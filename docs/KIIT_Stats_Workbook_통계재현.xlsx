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00_개요" sheetId="1" state="visible" r:id="rId1"/>
    <sheet xmlns:r="http://schemas.openxmlformats.org/officeDocument/2006/relationships" name="01_원자료" sheetId="2" state="visible" r:id="rId2"/>
    <sheet xmlns:r="http://schemas.openxmlformats.org/officeDocument/2006/relationships" name="02_지표정의" sheetId="3" state="visible" r:id="rId3"/>
    <sheet xmlns:r="http://schemas.openxmlformats.org/officeDocument/2006/relationships" name="03_가중치민감도" sheetId="4" state="visible" r:id="rId4"/>
    <sheet xmlns:r="http://schemas.openxmlformats.org/officeDocument/2006/relationships" name="03B_시나리오점수" sheetId="5" state="visible" r:id="rId5"/>
    <sheet xmlns:r="http://schemas.openxmlformats.org/officeDocument/2006/relationships" name="04_교차표" sheetId="6" state="visible" r:id="rId6"/>
    <sheet xmlns:r="http://schemas.openxmlformats.org/officeDocument/2006/relationships" name="05_이원분산분석" sheetId="7" state="visible" r:id="rId7"/>
    <sheet xmlns:r="http://schemas.openxmlformats.org/officeDocument/2006/relationships" name="05B_가정검정" sheetId="8" state="visible" r:id="rId8"/>
    <sheet xmlns:r="http://schemas.openxmlformats.org/officeDocument/2006/relationships" name="06_ICC" sheetId="9" state="visible" r:id="rId9"/>
    <sheet xmlns:r="http://schemas.openxmlformats.org/officeDocument/2006/relationships" name="07_관대함변별력" sheetId="10" state="visible" r:id="rId10"/>
    <sheet xmlns:r="http://schemas.openxmlformats.org/officeDocument/2006/relationships" name="08_KW_Holm" sheetId="11" state="visible" r:id="rId11"/>
    <sheet xmlns:r="http://schemas.openxmlformats.org/officeDocument/2006/relationships" name="08B_대응표본Wilcoxon" sheetId="12" state="visible" r:id="rId12"/>
    <sheet xmlns:r="http://schemas.openxmlformats.org/officeDocument/2006/relationships" name="09_12지표교차표" sheetId="13" state="visible" r:id="rId13"/>
    <sheet xmlns:r="http://schemas.openxmlformats.org/officeDocument/2006/relationships" name="10_계열편향" sheetId="14" state="visible" r:id="rId14"/>
    <sheet xmlns:r="http://schemas.openxmlformats.org/officeDocument/2006/relationships" name="10B_문서단위잔차" sheetId="15" state="visible" r:id="rId15"/>
    <sheet xmlns:r="http://schemas.openxmlformats.org/officeDocument/2006/relationships" name="11_문서단위" sheetId="16" state="visible" r:id="rId16"/>
    <sheet xmlns:r="http://schemas.openxmlformats.org/officeDocument/2006/relationships" name="12_사후회귀" sheetId="17" state="visible" r:id="rId17"/>
    <sheet xmlns:r="http://schemas.openxmlformats.org/officeDocument/2006/relationships" name="13_레퍼런스프리" sheetId="18" state="visible" r:id="rId18"/>
    <sheet xmlns:r="http://schemas.openxmlformats.org/officeDocument/2006/relationships" name="13B_레퍼런스프리_어휘의미" sheetId="19" state="visible" r:id="rId19"/>
    <sheet xmlns:r="http://schemas.openxmlformats.org/officeDocument/2006/relationships" name="13C_보조모형" sheetId="20" state="visible" r:id="rId20"/>
    <sheet xmlns:r="http://schemas.openxmlformats.org/officeDocument/2006/relationships" name="14_논문대조" sheetId="21" state="visible" r:id="rId2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3">
    <numFmt numFmtId="164" formatCode="0.0%"/>
    <numFmt numFmtId="165" formatCode="0.000000"/>
    <numFmt numFmtId="166" formatCode="0.0"/>
    <numFmt numFmtId="167" formatCode="0.000"/>
    <numFmt numFmtId="168" formatCode="0.0000"/>
    <numFmt numFmtId="169" formatCode="\+0.000;\-0.000"/>
    <numFmt numFmtId="170" formatCode="\+0.0000;\-0.0000"/>
    <numFmt numFmtId="171" formatCode="\+0.000"/>
    <numFmt numFmtId="172" formatCode="\+0.0000"/>
    <numFmt numFmtId="173" formatCode="0.00000"/>
    <numFmt numFmtId="174" formatCode="\+0.00000;\-0.00000"/>
    <numFmt numFmtId="175" formatCode="+0.000;−0.000"/>
    <numFmt numFmtId="176" formatCode="+0.00;−0.00"/>
  </numFmts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Noto Sans CJK SC"/>
      <family val="2"/>
      <b val="1"/>
      <sz val="14"/>
    </font>
    <font>
      <name val="Noto Sans CJK SC"/>
      <family val="2"/>
      <i val="1"/>
      <color rgb="FF555555"/>
      <sz val="9"/>
    </font>
    <font>
      <name val="Arial"/>
      <charset val="1"/>
      <family val="0"/>
      <i val="1"/>
      <color rgb="FF555555"/>
      <sz val="9"/>
    </font>
    <font>
      <name val="Noto Sans CJK SC"/>
      <family val="2"/>
      <b val="1"/>
      <color rgb="FF2F5496"/>
      <sz val="11"/>
    </font>
    <font>
      <name val="Noto Sans CJK SC"/>
      <family val="2"/>
      <b val="1"/>
      <sz val="10"/>
    </font>
    <font>
      <name val="Arial"/>
      <charset val="1"/>
      <family val="0"/>
      <sz val="10"/>
    </font>
    <font>
      <name val="Noto Sans CJK SC"/>
      <family val="2"/>
      <sz val="10"/>
    </font>
    <font>
      <name val="Arial"/>
      <charset val="1"/>
      <family val="0"/>
      <b val="1"/>
      <sz val="10"/>
    </font>
    <font>
      <name val="Noto Sans CJK SC"/>
      <family val="2"/>
      <color rgb="FF0000FF"/>
      <sz val="10"/>
    </font>
    <font>
      <name val="Noto Sans CJK SC"/>
      <family val="2"/>
      <b val="1"/>
      <color rgb="FFFFFFF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2F5496"/>
      <sz val="11"/>
    </font>
    <font>
      <b val="1"/>
      <sz val="13"/>
    </font>
    <font>
      <b val="1"/>
    </font>
  </fonts>
  <fills count="9">
    <fill>
      <patternFill/>
    </fill>
    <fill>
      <patternFill patternType="gray125"/>
    </fill>
    <fill>
      <patternFill patternType="solid">
        <fgColor rgb="FFFFF2CC"/>
        <bgColor rgb="FFFCE4E4"/>
      </patternFill>
    </fill>
    <fill>
      <patternFill patternType="solid">
        <fgColor rgb="FF2F5496"/>
        <bgColor rgb="FF555555"/>
      </patternFill>
    </fill>
    <fill>
      <patternFill patternType="solid">
        <fgColor rgb="FFE2EFDA"/>
        <bgColor rgb="FFFFF2CC"/>
      </patternFill>
    </fill>
    <fill>
      <patternFill patternType="solid">
        <fgColor rgb="FFFCE4E4"/>
        <bgColor rgb="FFFFF2CC"/>
      </patternFill>
    </fill>
    <fill>
      <patternFill patternType="solid">
        <fgColor rgb="00DCE6F1"/>
      </patternFill>
    </fill>
    <fill>
      <patternFill patternType="solid">
        <fgColor rgb="00E4DFEC"/>
      </patternFill>
    </fill>
    <fill>
      <patternFill patternType="solid">
        <fgColor rgb="00FDE9D9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4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0" fontId="14" fillId="3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bottom"/>
    </xf>
    <xf numFmtId="164" fontId="12" fillId="2" borderId="0" applyAlignment="1" pivotButton="0" quotePrefix="0" xfId="0">
      <alignment horizontal="general" vertical="bottom"/>
    </xf>
    <xf numFmtId="1" fontId="12" fillId="0" borderId="0" applyAlignment="1" pivotButton="0" quotePrefix="0" xfId="0">
      <alignment horizontal="general" vertical="bottom"/>
    </xf>
    <xf numFmtId="0" fontId="15" fillId="3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general" vertical="bottom"/>
    </xf>
    <xf numFmtId="165" fontId="16" fillId="0" borderId="0" applyAlignment="1" pivotButton="0" quotePrefix="0" xfId="0">
      <alignment horizontal="general" vertical="bottom"/>
    </xf>
    <xf numFmtId="165" fontId="10" fillId="0" borderId="0" applyAlignment="1" pivotButton="0" quotePrefix="0" xfId="0">
      <alignment horizontal="general" vertical="bottom"/>
    </xf>
    <xf numFmtId="166" fontId="10" fillId="0" borderId="0" applyAlignment="1" pivotButton="0" quotePrefix="0" xfId="0">
      <alignment horizontal="general" vertical="bottom"/>
    </xf>
    <xf numFmtId="1" fontId="7" fillId="0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2" fontId="16" fillId="2" borderId="0" applyAlignment="1" pivotButton="0" quotePrefix="0" xfId="0">
      <alignment horizontal="general" vertical="bottom"/>
    </xf>
    <xf numFmtId="2" fontId="12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167" fontId="16" fillId="2" borderId="0" applyAlignment="1" pivotButton="0" quotePrefix="0" xfId="0">
      <alignment horizontal="general" vertical="bottom"/>
    </xf>
    <xf numFmtId="168" fontId="10" fillId="0" borderId="0" applyAlignment="1" pivotButton="0" quotePrefix="0" xfId="0">
      <alignment horizontal="general" vertical="bottom"/>
    </xf>
    <xf numFmtId="168" fontId="12" fillId="2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168" fontId="12" fillId="0" borderId="0" applyAlignment="1" pivotButton="0" quotePrefix="0" xfId="0">
      <alignment horizontal="general" vertical="bottom"/>
    </xf>
    <xf numFmtId="1" fontId="10" fillId="0" borderId="0" applyAlignment="1" pivotButton="0" quotePrefix="0" xfId="0">
      <alignment horizontal="general" vertical="bottom"/>
    </xf>
    <xf numFmtId="2" fontId="10" fillId="0" borderId="0" applyAlignment="1" pivotButton="0" quotePrefix="0" xfId="0">
      <alignment horizontal="general" vertical="bottom"/>
    </xf>
    <xf numFmtId="11" fontId="10" fillId="0" borderId="0" applyAlignment="1" pivotButton="0" quotePrefix="0" xfId="0">
      <alignment horizontal="general" vertical="bottom"/>
    </xf>
    <xf numFmtId="165" fontId="12" fillId="0" borderId="0" applyAlignment="1" pivotButton="0" quotePrefix="0" xfId="0">
      <alignment horizontal="general" vertical="bottom"/>
    </xf>
    <xf numFmtId="2" fontId="12" fillId="2" borderId="0" applyAlignment="1" pivotButton="0" quotePrefix="0" xfId="0">
      <alignment horizontal="general" vertical="bottom"/>
    </xf>
    <xf numFmtId="169" fontId="10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167" fontId="12" fillId="2" borderId="0" applyAlignment="1" pivotButton="0" quotePrefix="0" xfId="0">
      <alignment horizontal="general" vertical="bottom"/>
    </xf>
    <xf numFmtId="11" fontId="12" fillId="2" borderId="0" applyAlignment="1" pivotButton="0" quotePrefix="0" xfId="0">
      <alignment horizontal="general" vertical="bottom"/>
    </xf>
    <xf numFmtId="170" fontId="12" fillId="0" borderId="0" applyAlignment="1" pivotButton="0" quotePrefix="0" xfId="0">
      <alignment horizontal="general" vertical="bottom"/>
    </xf>
    <xf numFmtId="166" fontId="12" fillId="2" borderId="0" applyAlignment="1" pivotButton="0" quotePrefix="0" xfId="0">
      <alignment horizontal="general" vertical="bottom"/>
    </xf>
    <xf numFmtId="11" fontId="12" fillId="0" borderId="0" applyAlignment="1" pivotButton="0" quotePrefix="0" xfId="0">
      <alignment horizontal="general" vertical="bottom"/>
    </xf>
    <xf numFmtId="166" fontId="12" fillId="0" borderId="0" applyAlignment="1" pivotButton="0" quotePrefix="0" xfId="0">
      <alignment horizontal="general" vertical="bottom"/>
    </xf>
    <xf numFmtId="167" fontId="12" fillId="0" borderId="0" applyAlignment="1" pivotButton="0" quotePrefix="0" xfId="0">
      <alignment horizontal="general" vertical="bottom"/>
    </xf>
    <xf numFmtId="170" fontId="12" fillId="2" borderId="0" applyAlignment="1" pivotButton="0" quotePrefix="0" xfId="0">
      <alignment horizontal="general" vertical="bottom"/>
    </xf>
    <xf numFmtId="170" fontId="10" fillId="0" borderId="0" applyAlignment="1" pivotButton="0" quotePrefix="0" xfId="0">
      <alignment horizontal="general" vertical="bottom"/>
    </xf>
    <xf numFmtId="164" fontId="10" fillId="0" borderId="0" applyAlignment="1" pivotButton="0" quotePrefix="0" xfId="0">
      <alignment horizontal="general" vertical="bottom"/>
    </xf>
    <xf numFmtId="171" fontId="12" fillId="2" borderId="0" applyAlignment="1" pivotButton="0" quotePrefix="0" xfId="0">
      <alignment horizontal="general" vertical="bottom"/>
    </xf>
    <xf numFmtId="172" fontId="12" fillId="2" borderId="0" applyAlignment="1" pivotButton="0" quotePrefix="0" xfId="0">
      <alignment horizontal="general" vertical="bottom"/>
    </xf>
    <xf numFmtId="172" fontId="12" fillId="0" borderId="0" applyAlignment="1" pivotButton="0" quotePrefix="0" xfId="0">
      <alignment horizontal="general" vertical="bottom"/>
    </xf>
    <xf numFmtId="172" fontId="10" fillId="0" borderId="0" applyAlignment="1" pivotButton="0" quotePrefix="0" xfId="0">
      <alignment horizontal="general" vertical="bottom"/>
    </xf>
    <xf numFmtId="11" fontId="7" fillId="0" borderId="0" applyAlignment="1" pivotButton="0" quotePrefix="0" xfId="0">
      <alignment horizontal="general" vertical="bottom"/>
    </xf>
    <xf numFmtId="1" fontId="12" fillId="2" borderId="0" applyAlignment="1" pivotButton="0" quotePrefix="0" xfId="0">
      <alignment horizontal="general" vertical="bottom"/>
    </xf>
    <xf numFmtId="2" fontId="16" fillId="0" borderId="0" applyAlignment="1" pivotButton="0" quotePrefix="0" xfId="0">
      <alignment horizontal="general" vertical="bottom"/>
    </xf>
    <xf numFmtId="173" fontId="10" fillId="0" borderId="0" applyAlignment="1" pivotButton="0" quotePrefix="0" xfId="0">
      <alignment horizontal="general" vertical="bottom"/>
    </xf>
    <xf numFmtId="165" fontId="12" fillId="2" borderId="0" applyAlignment="1" pivotButton="0" quotePrefix="0" xfId="0">
      <alignment horizontal="general" vertical="bottom"/>
    </xf>
    <xf numFmtId="168" fontId="16" fillId="0" borderId="0" applyAlignment="1" pivotButton="0" quotePrefix="0" xfId="0">
      <alignment horizontal="general" vertical="bottom"/>
    </xf>
    <xf numFmtId="174" fontId="10" fillId="0" borderId="0" applyAlignment="1" pivotButton="0" quotePrefix="0" xfId="0">
      <alignment horizontal="general" vertical="bottom"/>
    </xf>
    <xf numFmtId="168" fontId="7" fillId="0" borderId="0" applyAlignment="1" pivotButton="0" quotePrefix="0" xfId="0">
      <alignment horizontal="general" vertical="bottom"/>
    </xf>
    <xf numFmtId="1" fontId="16" fillId="0" borderId="0" applyAlignment="1" pivotButton="0" quotePrefix="0" xfId="0">
      <alignment horizontal="general" vertical="bottom"/>
    </xf>
    <xf numFmtId="1" fontId="12" fillId="4" borderId="0" applyAlignment="1" pivotButton="0" quotePrefix="0" xfId="0">
      <alignment horizontal="general" vertical="bottom"/>
    </xf>
    <xf numFmtId="1" fontId="12" fillId="5" borderId="0" applyAlignment="1" pivotButton="0" quotePrefix="0" xfId="0">
      <alignment horizontal="general" vertical="bottom"/>
    </xf>
    <xf numFmtId="167" fontId="16" fillId="0" borderId="0" applyAlignment="1" pivotButton="0" quotePrefix="0" xfId="0">
      <alignment horizontal="general" vertical="bottom"/>
    </xf>
    <xf numFmtId="167" fontId="12" fillId="4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0" fontId="14" fillId="3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bottom"/>
    </xf>
    <xf numFmtId="164" fontId="12" fillId="2" borderId="0" applyAlignment="1" pivotButton="0" quotePrefix="0" xfId="0">
      <alignment horizontal="general" vertical="bottom"/>
    </xf>
    <xf numFmtId="1" fontId="12" fillId="0" borderId="0" applyAlignment="1" pivotButton="0" quotePrefix="0" xfId="0">
      <alignment horizontal="general" vertical="bottom"/>
    </xf>
    <xf numFmtId="0" fontId="15" fillId="3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general" vertical="bottom"/>
    </xf>
    <xf numFmtId="165" fontId="16" fillId="0" borderId="0" applyAlignment="1" pivotButton="0" quotePrefix="0" xfId="0">
      <alignment horizontal="general" vertical="bottom"/>
    </xf>
    <xf numFmtId="165" fontId="10" fillId="0" borderId="0" applyAlignment="1" pivotButton="0" quotePrefix="0" xfId="0">
      <alignment horizontal="general" vertical="bottom"/>
    </xf>
    <xf numFmtId="166" fontId="10" fillId="0" borderId="0" applyAlignment="1" pivotButton="0" quotePrefix="0" xfId="0">
      <alignment horizontal="general" vertical="bottom"/>
    </xf>
    <xf numFmtId="1" fontId="7" fillId="0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2" fontId="16" fillId="2" borderId="0" applyAlignment="1" pivotButton="0" quotePrefix="0" xfId="0">
      <alignment horizontal="general" vertical="bottom"/>
    </xf>
    <xf numFmtId="2" fontId="12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167" fontId="16" fillId="2" borderId="0" applyAlignment="1" pivotButton="0" quotePrefix="0" xfId="0">
      <alignment horizontal="general" vertical="bottom"/>
    </xf>
    <xf numFmtId="168" fontId="10" fillId="0" borderId="0" applyAlignment="1" pivotButton="0" quotePrefix="0" xfId="0">
      <alignment horizontal="general" vertical="bottom"/>
    </xf>
    <xf numFmtId="168" fontId="12" fillId="2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168" fontId="12" fillId="0" borderId="0" applyAlignment="1" pivotButton="0" quotePrefix="0" xfId="0">
      <alignment horizontal="general" vertical="bottom"/>
    </xf>
    <xf numFmtId="1" fontId="10" fillId="0" borderId="0" applyAlignment="1" pivotButton="0" quotePrefix="0" xfId="0">
      <alignment horizontal="general" vertical="bottom"/>
    </xf>
    <xf numFmtId="2" fontId="10" fillId="0" borderId="0" applyAlignment="1" pivotButton="0" quotePrefix="0" xfId="0">
      <alignment horizontal="general" vertical="bottom"/>
    </xf>
    <xf numFmtId="11" fontId="10" fillId="0" borderId="0" applyAlignment="1" pivotButton="0" quotePrefix="0" xfId="0">
      <alignment horizontal="general" vertical="bottom"/>
    </xf>
    <xf numFmtId="165" fontId="12" fillId="0" borderId="0" applyAlignment="1" pivotButton="0" quotePrefix="0" xfId="0">
      <alignment horizontal="general" vertical="bottom"/>
    </xf>
    <xf numFmtId="2" fontId="12" fillId="2" borderId="0" applyAlignment="1" pivotButton="0" quotePrefix="0" xfId="0">
      <alignment horizontal="general" vertical="bottom"/>
    </xf>
    <xf numFmtId="169" fontId="10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167" fontId="12" fillId="2" borderId="0" applyAlignment="1" pivotButton="0" quotePrefix="0" xfId="0">
      <alignment horizontal="general" vertical="bottom"/>
    </xf>
    <xf numFmtId="11" fontId="12" fillId="2" borderId="0" applyAlignment="1" pivotButton="0" quotePrefix="0" xfId="0">
      <alignment horizontal="general" vertical="bottom"/>
    </xf>
    <xf numFmtId="170" fontId="12" fillId="0" borderId="0" applyAlignment="1" pivotButton="0" quotePrefix="0" xfId="0">
      <alignment horizontal="general" vertical="bottom"/>
    </xf>
    <xf numFmtId="166" fontId="12" fillId="2" borderId="0" applyAlignment="1" pivotButton="0" quotePrefix="0" xfId="0">
      <alignment horizontal="general" vertical="bottom"/>
    </xf>
    <xf numFmtId="11" fontId="12" fillId="0" borderId="0" applyAlignment="1" pivotButton="0" quotePrefix="0" xfId="0">
      <alignment horizontal="general" vertical="bottom"/>
    </xf>
    <xf numFmtId="166" fontId="12" fillId="0" borderId="0" applyAlignment="1" pivotButton="0" quotePrefix="0" xfId="0">
      <alignment horizontal="general" vertical="bottom"/>
    </xf>
    <xf numFmtId="167" fontId="12" fillId="0" borderId="0" applyAlignment="1" pivotButton="0" quotePrefix="0" xfId="0">
      <alignment horizontal="general" vertical="bottom"/>
    </xf>
    <xf numFmtId="0" fontId="18" fillId="0" borderId="0" pivotButton="0" quotePrefix="0" xfId="0"/>
    <xf numFmtId="0" fontId="19" fillId="0" borderId="0" pivotButton="0" quotePrefix="0" xfId="0"/>
    <xf numFmtId="0" fontId="19" fillId="6" borderId="1" applyAlignment="1" pivotButton="0" quotePrefix="0" xfId="0">
      <alignment horizontal="center" wrapText="1"/>
    </xf>
    <xf numFmtId="165" fontId="0" fillId="0" borderId="0" pivotButton="0" quotePrefix="0" xfId="0"/>
    <xf numFmtId="166" fontId="0" fillId="0" borderId="0" pivotButton="0" quotePrefix="0" xfId="0"/>
    <xf numFmtId="0" fontId="19" fillId="7" borderId="1" applyAlignment="1" pivotButton="0" quotePrefix="0" xfId="0">
      <alignment horizontal="center"/>
    </xf>
    <xf numFmtId="0" fontId="0" fillId="0" borderId="1" pivotButton="0" quotePrefix="0" xfId="0"/>
    <xf numFmtId="167" fontId="0" fillId="0" borderId="1" pivotButton="0" quotePrefix="0" xfId="0"/>
    <xf numFmtId="11" fontId="0" fillId="0" borderId="1" pivotButton="0" quotePrefix="0" xfId="0"/>
    <xf numFmtId="0" fontId="19" fillId="8" borderId="1" applyAlignment="1" pivotButton="0" quotePrefix="0" xfId="0">
      <alignment horizontal="center" wrapText="1"/>
    </xf>
    <xf numFmtId="166" fontId="0" fillId="0" borderId="1" pivotButton="0" quotePrefix="0" xfId="0"/>
    <xf numFmtId="175" fontId="0" fillId="0" borderId="1" pivotButton="0" quotePrefix="0" xfId="0"/>
    <xf numFmtId="176" fontId="0" fillId="0" borderId="1" pivotButton="0" quotePrefix="0" xfId="0"/>
    <xf numFmtId="170" fontId="12" fillId="2" borderId="0" applyAlignment="1" pivotButton="0" quotePrefix="0" xfId="0">
      <alignment horizontal="general" vertical="bottom"/>
    </xf>
    <xf numFmtId="170" fontId="10" fillId="0" borderId="0" applyAlignment="1" pivotButton="0" quotePrefix="0" xfId="0">
      <alignment horizontal="general" vertical="bottom"/>
    </xf>
    <xf numFmtId="164" fontId="10" fillId="0" borderId="0" applyAlignment="1" pivotButton="0" quotePrefix="0" xfId="0">
      <alignment horizontal="general" vertical="bottom"/>
    </xf>
    <xf numFmtId="171" fontId="12" fillId="2" borderId="0" applyAlignment="1" pivotButton="0" quotePrefix="0" xfId="0">
      <alignment horizontal="general" vertical="bottom"/>
    </xf>
    <xf numFmtId="172" fontId="12" fillId="2" borderId="0" applyAlignment="1" pivotButton="0" quotePrefix="0" xfId="0">
      <alignment horizontal="general" vertical="bottom"/>
    </xf>
    <xf numFmtId="172" fontId="12" fillId="0" borderId="0" applyAlignment="1" pivotButton="0" quotePrefix="0" xfId="0">
      <alignment horizontal="general" vertical="bottom"/>
    </xf>
    <xf numFmtId="172" fontId="10" fillId="0" borderId="0" applyAlignment="1" pivotButton="0" quotePrefix="0" xfId="0">
      <alignment horizontal="general" vertical="bottom"/>
    </xf>
    <xf numFmtId="11" fontId="7" fillId="0" borderId="0" applyAlignment="1" pivotButton="0" quotePrefix="0" xfId="0">
      <alignment horizontal="general" vertical="bottom"/>
    </xf>
    <xf numFmtId="1" fontId="12" fillId="2" borderId="0" applyAlignment="1" pivotButton="0" quotePrefix="0" xfId="0">
      <alignment horizontal="general" vertical="bottom"/>
    </xf>
    <xf numFmtId="2" fontId="16" fillId="0" borderId="0" applyAlignment="1" pivotButton="0" quotePrefix="0" xfId="0">
      <alignment horizontal="general" vertical="bottom"/>
    </xf>
    <xf numFmtId="173" fontId="10" fillId="0" borderId="0" applyAlignment="1" pivotButton="0" quotePrefix="0" xfId="0">
      <alignment horizontal="general" vertical="bottom"/>
    </xf>
    <xf numFmtId="165" fontId="12" fillId="2" borderId="0" applyAlignment="1" pivotButton="0" quotePrefix="0" xfId="0">
      <alignment horizontal="general" vertical="bottom"/>
    </xf>
    <xf numFmtId="168" fontId="16" fillId="0" borderId="0" applyAlignment="1" pivotButton="0" quotePrefix="0" xfId="0">
      <alignment horizontal="general" vertical="bottom"/>
    </xf>
    <xf numFmtId="174" fontId="10" fillId="0" borderId="0" applyAlignment="1" pivotButton="0" quotePrefix="0" xfId="0">
      <alignment horizontal="general" vertical="bottom"/>
    </xf>
    <xf numFmtId="168" fontId="7" fillId="0" borderId="0" applyAlignment="1" pivotButton="0" quotePrefix="0" xfId="0">
      <alignment horizontal="general" vertical="bottom"/>
    </xf>
    <xf numFmtId="1" fontId="16" fillId="0" borderId="0" applyAlignment="1" pivotButton="0" quotePrefix="0" xfId="0">
      <alignment horizontal="general" vertical="bottom"/>
    </xf>
    <xf numFmtId="1" fontId="12" fillId="4" borderId="0" applyAlignment="1" pivotButton="0" quotePrefix="0" xfId="0">
      <alignment horizontal="general" vertical="bottom"/>
    </xf>
    <xf numFmtId="1" fontId="12" fillId="5" borderId="0" applyAlignment="1" pivotButton="0" quotePrefix="0" xfId="0">
      <alignment horizontal="general" vertical="bottom"/>
    </xf>
    <xf numFmtId="167" fontId="16" fillId="0" borderId="0" applyAlignment="1" pivotButton="0" quotePrefix="0" xfId="0">
      <alignment horizontal="general" vertical="bottom"/>
    </xf>
    <xf numFmtId="167" fontId="12" fillId="4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E4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5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67" min="1" max="1"/>
    <col width="68" customWidth="1" style="67" min="2" max="2"/>
    <col width="16" customWidth="1" style="67" min="3" max="3"/>
  </cols>
  <sheetData>
    <row r="1" ht="21.6" customHeight="1" s="68">
      <c r="A1" s="69" t="inlineStr">
        <is>
          <t>KIIT 논문 통계 재현 워크북</t>
        </is>
      </c>
    </row>
    <row r="2" ht="15" customHeight="1" s="68">
      <c r="A2" s="70" t="inlineStr">
        <is>
          <t>논문에 보고된 모든 통계량을 원자료 975개 평가쌍에서 엑셀 수식으로 재계산한다. 모든 결과 셀은 하드코딩이 아니라 수식이며, 입력값을 바꾸면 전체가 다시 계산된다.</t>
        </is>
      </c>
    </row>
    <row r="4" ht="15" customHeight="1" s="68">
      <c r="A4" s="71" t="inlineStr">
        <is>
          <t>데이터 규모</t>
        </is>
      </c>
    </row>
    <row r="5" ht="15" customHeight="1" s="68">
      <c r="A5" s="72" t="inlineStr">
        <is>
          <t>평가쌍</t>
        </is>
      </c>
      <c r="B5" s="73" t="inlineStr">
        <is>
          <t>975 = 레퍼런스 5종 x 로컬 모델 3종 x 문서 65건</t>
        </is>
      </c>
    </row>
    <row r="6" ht="15" customHeight="1" s="68">
      <c r="A6" s="74" t="inlineStr">
        <is>
          <t>ADR 원문</t>
        </is>
      </c>
      <c r="B6" s="73" t="inlineStr">
        <is>
          <t>520개 = 8개 모델 x 65건</t>
        </is>
      </c>
    </row>
    <row r="7" ht="15" customHeight="1" s="68">
      <c r="A7" s="72" t="inlineStr">
        <is>
          <t>지표</t>
        </is>
      </c>
      <c r="B7" s="73" t="inlineStr">
        <is>
          <t>12개 (어휘 6 + 의미 3 + 구조 3)</t>
        </is>
      </c>
    </row>
    <row r="8" ht="15" customHeight="1" s="68">
      <c r="A8" s="72" t="inlineStr">
        <is>
          <t>설계</t>
        </is>
      </c>
      <c r="B8" s="75" t="inlineStr">
        <is>
          <t>완전 균형 요인설계, 결측 없음</t>
        </is>
      </c>
    </row>
    <row r="10" ht="15" customHeight="1" s="68">
      <c r="A10" s="71" t="inlineStr">
        <is>
          <t>색상 규약</t>
        </is>
      </c>
    </row>
    <row r="11" ht="15" customHeight="1" s="68">
      <c r="A11" s="76" t="inlineStr">
        <is>
          <t>파란 글씨</t>
        </is>
      </c>
      <c r="B11" s="75" t="inlineStr">
        <is>
          <t>입력값(원자료 또는 논문에서 가져온 상수). 여기만 수정한다.</t>
        </is>
      </c>
    </row>
    <row r="12" ht="15" customHeight="1" s="68">
      <c r="A12" s="75" t="inlineStr">
        <is>
          <t>검정 글씨</t>
        </is>
      </c>
      <c r="B12" s="75" t="inlineStr">
        <is>
          <t>수식으로 계산된 값. 직접 수정하지 않는다.</t>
        </is>
      </c>
    </row>
    <row r="13" ht="15" customHeight="1" s="68">
      <c r="A13" s="77" t="inlineStr">
        <is>
          <t>노란 배경</t>
        </is>
      </c>
      <c r="B13" s="75" t="inlineStr">
        <is>
          <t>논문에 인쇄된 핵심 수치에 해당하는 셀</t>
        </is>
      </c>
    </row>
    <row r="15" ht="15" customHeight="1" s="68">
      <c r="A15" s="71" t="inlineStr">
        <is>
          <t>시트 구성</t>
        </is>
      </c>
    </row>
    <row r="16" ht="15" customHeight="1" s="68">
      <c r="A16" s="78" t="inlineStr">
        <is>
          <t>시트</t>
        </is>
      </c>
      <c r="B16" s="78" t="inlineStr">
        <is>
          <t>내용</t>
        </is>
      </c>
      <c r="C16" s="78" t="inlineStr">
        <is>
          <t>논문 대응</t>
        </is>
      </c>
    </row>
    <row r="17" ht="15" customHeight="1" s="68">
      <c r="A17" s="74" t="inlineStr">
        <is>
          <t>01_원자료</t>
        </is>
      </c>
      <c r="B17" s="73" t="inlineStr">
        <is>
          <t>975행 x 12지표. Overall Score와 순위를 수식으로 산출</t>
        </is>
      </c>
      <c r="C17" s="70" t="inlineStr">
        <is>
          <t>분석 원자료</t>
        </is>
      </c>
    </row>
    <row r="18" ht="15" customHeight="1" s="68">
      <c r="A18" s="74" t="inlineStr">
        <is>
          <t>02_지표정의</t>
        </is>
      </c>
      <c r="B18" s="73" t="inlineStr">
        <is>
          <t>12개 지표의 산식 정의, 그룹 가중치, 표기 방언 처리</t>
        </is>
      </c>
      <c r="C18" s="79" t="inlineStr">
        <is>
          <t>3.2, 표 1</t>
        </is>
      </c>
    </row>
    <row r="19" ht="15" customHeight="1" s="68">
      <c r="A19" s="74" t="inlineStr">
        <is>
          <t>03_가중치민감도</t>
        </is>
      </c>
      <c r="B19" s="75" t="inlineStr">
        <is>
          <t>가중치 6개 시나리오에 대한 결론 안정성 검증</t>
        </is>
      </c>
      <c r="C19" s="70" t="inlineStr">
        <is>
          <t>표 3, 4.1</t>
        </is>
      </c>
    </row>
    <row r="20" ht="15" customHeight="1" s="68">
      <c r="A20" s="74" t="inlineStr">
        <is>
          <t>03B_시나리오점수</t>
        </is>
      </c>
      <c r="B20" s="75" t="inlineStr">
        <is>
          <t>시나리오별 975쌍 점수·순위 (Spearman rho 계산용)</t>
        </is>
      </c>
      <c r="C20" s="70" t="inlineStr">
        <is>
          <t>표 3</t>
        </is>
      </c>
    </row>
    <row r="21" ht="15" customHeight="1" s="68">
      <c r="A21" s="74" t="inlineStr">
        <is>
          <t>04_교차표</t>
        </is>
      </c>
      <c r="B21" s="75" t="inlineStr">
        <is>
          <t>레퍼런스x모델 5x3 셀 평균과 이중 중심화 잔차</t>
        </is>
      </c>
      <c r="C21" s="79" t="inlineStr">
        <is>
          <t>4.2 공통 입력</t>
        </is>
      </c>
    </row>
    <row r="22" ht="15" customHeight="1" s="68">
      <c r="A22" s="74" t="inlineStr">
        <is>
          <t>05_이원분산분석</t>
        </is>
      </c>
      <c r="B22" s="75" t="inlineStr">
        <is>
          <t>평방합 분해 → eta² (레퍼런스/모델/상호작용)</t>
        </is>
      </c>
      <c r="C22" s="79" t="inlineStr">
        <is>
          <t>4.2</t>
        </is>
      </c>
    </row>
    <row r="23" ht="15" customHeight="1" s="68">
      <c r="A23" s="74" t="inlineStr">
        <is>
          <t>05B_가정검정</t>
        </is>
      </c>
      <c r="B23" s="75" t="inlineStr">
        <is>
          <t>셀별 정규성(왜도·첨도·JB)과 Levene 등분산성 검정</t>
        </is>
      </c>
      <c r="C23" s="79" t="inlineStr">
        <is>
          <t>3.4</t>
        </is>
      </c>
    </row>
    <row r="24" ht="15" customHeight="1" s="68">
      <c r="A24" s="74" t="inlineStr">
        <is>
          <t>06_ICC</t>
        </is>
      </c>
      <c r="B24" s="75" t="inlineStr">
        <is>
          <t>문서 확률효과 분산성분과 급내상관</t>
        </is>
      </c>
      <c r="C24" s="79" t="inlineStr">
        <is>
          <t>4.2 강건성</t>
        </is>
      </c>
    </row>
    <row r="25" ht="15" customHeight="1" s="68">
      <c r="A25" s="74" t="inlineStr">
        <is>
          <t>07_관대함변별력</t>
        </is>
      </c>
      <c r="B25" s="75" t="inlineStr">
        <is>
          <t>레퍼런스의 두 축(관대함, 변별력) 분해</t>
        </is>
      </c>
      <c r="C25" s="70" t="inlineStr">
        <is>
          <t>표 4</t>
        </is>
      </c>
    </row>
    <row r="26" ht="15" customHeight="1" s="68">
      <c r="A26" s="74" t="inlineStr">
        <is>
          <t>08_KW_Holm</t>
        </is>
      </c>
      <c r="B26" s="73" t="inlineStr">
        <is>
          <t>Kruskal-Wallis + 쌍별 Mann-Whitney + Holm 보정</t>
        </is>
      </c>
      <c r="C26" s="70" t="inlineStr">
        <is>
          <t>표 5</t>
        </is>
      </c>
    </row>
    <row r="27" ht="15" customHeight="1" s="68">
      <c r="A27" s="74" t="inlineStr">
        <is>
          <t>09_12지표교차표</t>
        </is>
      </c>
      <c r="B27" s="73" t="inlineStr">
        <is>
          <t>15개 조합 x 12지표 평균</t>
        </is>
      </c>
      <c r="C27" s="70" t="inlineStr">
        <is>
          <t>표 6</t>
        </is>
      </c>
    </row>
    <row r="28" ht="15" customHeight="1" s="68">
      <c r="A28" s="74" t="inlineStr">
        <is>
          <t>10_계열편향</t>
        </is>
      </c>
      <c r="B28" s="75" t="inlineStr">
        <is>
          <t>원점수 우위 D_raw와 이중 중심화 잔차 D*</t>
        </is>
      </c>
      <c r="C28" s="70" t="inlineStr">
        <is>
          <t>표 7, 4.4</t>
        </is>
      </c>
    </row>
    <row r="29" ht="15" customHeight="1" s="68">
      <c r="A29" s="74" t="inlineStr">
        <is>
          <t>10B_문서단위잔차</t>
        </is>
      </c>
      <c r="B29" s="75" t="inlineStr">
        <is>
          <t>문서별 D*와 문서형식×부호 카이제곱 검정</t>
        </is>
      </c>
      <c r="C29" s="79" t="inlineStr">
        <is>
          <t>4.4 마지막 문단</t>
        </is>
      </c>
    </row>
    <row r="30" ht="15" customHeight="1" s="68">
      <c r="A30" s="74" t="inlineStr">
        <is>
          <t>11_문서단위</t>
        </is>
      </c>
      <c r="B30" s="75" t="inlineStr">
        <is>
          <t>문서 65건 집계 + 회귀 입력변수 + 문서형식 비교</t>
        </is>
      </c>
      <c r="C30" s="79" t="inlineStr">
        <is>
          <t>4.3</t>
        </is>
      </c>
    </row>
    <row r="31" ht="15" customHeight="1" s="68">
      <c r="A31" s="74" t="inlineStr">
        <is>
          <t>12_사후회귀</t>
        </is>
      </c>
      <c r="B31" s="75" t="inlineStr">
        <is>
          <t>레퍼런스 기반 2신호 회귀 (행렬 연산 + LOOCV)</t>
        </is>
      </c>
      <c r="C31" s="79" t="inlineStr">
        <is>
          <t>4.3</t>
        </is>
      </c>
    </row>
    <row r="32" ht="15" customHeight="1" s="68">
      <c r="A32" s="74" t="inlineStr">
        <is>
          <t>13_레퍼런스프리</t>
        </is>
      </c>
      <c r="B32" s="75" t="inlineStr">
        <is>
          <t>레퍼런스-프리 3신호 회귀</t>
        </is>
      </c>
      <c r="C32" s="79" t="inlineStr">
        <is>
          <t>4.3</t>
        </is>
      </c>
    </row>
    <row r="33" ht="15" customHeight="1" s="68">
      <c r="A33" s="74" t="inlineStr">
        <is>
          <t>13B_..._어휘의미</t>
        </is>
      </c>
      <c r="B33" s="75" t="inlineStr">
        <is>
          <t>레퍼런스-프리 3신호, 종속변수를 어휘+의미로 교체</t>
        </is>
      </c>
      <c r="C33" s="79" t="inlineStr">
        <is>
          <t>4.3</t>
        </is>
      </c>
    </row>
    <row r="34" ht="15" customHeight="1" s="68">
      <c r="A34" s="74" t="inlineStr">
        <is>
          <t>13C_보조모형</t>
        </is>
      </c>
      <c r="B34" s="75" t="inlineStr">
        <is>
          <t>단일 예측변수 회귀 5종 + Spearman 순위상관 3종</t>
        </is>
      </c>
      <c r="C34" s="79" t="inlineStr">
        <is>
          <t>4.3</t>
        </is>
      </c>
    </row>
    <row r="35" ht="15" customHeight="1" s="68">
      <c r="A35" s="71" t="inlineStr">
        <is>
          <t>재현성 검증 결과</t>
        </is>
      </c>
      <c r="B35" s="75" t="inlineStr">
        <is>
          <t>논문 인쇄값 vs 워크북 계산값 자동 대조</t>
        </is>
      </c>
      <c r="C35" s="70" t="inlineStr">
        <is>
          <t>전체 검증</t>
        </is>
      </c>
    </row>
    <row r="36" ht="15" customHeight="1" s="68">
      <c r="A36" s="72" t="inlineStr">
        <is>
          <t>자동 대조 재현율</t>
        </is>
      </c>
      <c r="B36" s="80">
        <f>'14_논문대조'!B92</f>
        <v/>
      </c>
    </row>
    <row r="37" ht="15" customHeight="1" s="68">
      <c r="A37" s="72" t="inlineStr">
        <is>
          <t>불일치 항목 수</t>
        </is>
      </c>
      <c r="B37" s="81">
        <f>'14_논문대조'!B91</f>
        <v/>
      </c>
    </row>
    <row r="39" ht="15" customHeight="1" s="68">
      <c r="A39" s="70" t="inlineStr">
        <is>
          <t>독립 재구현 검증: 본 워크북의 원자료를 만들기 위해 구조 지표 산출 코드를 원 구현과 무관하게 다시 작성하고, 원 파이프라인과 동일한 조건(ATX 전용 파서)에서 돌린 결과가 기존 산출 파일과 최대 5.6e-17(배정밀도 한계) 차이로 일치하였다. 따라서 재계산 절차 자체가 원 구현을 정확히 재현한다.</t>
        </is>
      </c>
    </row>
    <row r="40" ht="15" customHeight="1" s="68">
      <c r="A40" s="70" t="inlineStr">
        <is>
          <t>문서 식별자 대조: adrs/ 원문의 문서번호와 산출 파일의 document_id는 서로 다른 체계를 쓴다. Markdown Awareness 값 15개를 지문으로 삼아 1:1 대응을 복원했으며, 65건 전부 L1 오차 0.0으로 유일하게 매칭되었다.</t>
        </is>
      </c>
    </row>
    <row r="42" ht="15" customHeight="1" s="68">
      <c r="A42" s="71" t="inlineStr">
        <is>
          <t>엑셀로 재현할 수 없는 항목</t>
        </is>
      </c>
    </row>
    <row r="43" ht="15" customHeight="1" s="68">
      <c r="A43" s="70" t="inlineStr">
        <is>
          <t>혼합모형(LMM)의 REML 추정은 엑셀 함수로 구현할 수 없다. 다만 본 연구는 완전 균형설계이므로 적률법 분산성분 추정이 REML 결과와 일치하며(06_ICC에서 확인), BERTScore·SBERT 등 임베딩 기반 지표는 신경망 추론이 필요하므로 01_원자료에 입력값으로 수록하였다.</t>
        </is>
      </c>
    </row>
    <row r="44" ht="15" customHeight="1" s="68">
      <c r="A44" s="79" t="inlineStr">
        <is>
          <t>p값은 대표본 정규근사(NORMSDIST)와 카이제곱 분포(CHIDIST)를 사용한다. |z|가 13을 넘는 경우 부동소수점 하한 때문에 p가 0으로 표시되나 실제로는 극히 작은 값이다.</t>
        </is>
      </c>
    </row>
    <row r="46" ht="15" customHeight="1" s="68">
      <c r="A46" s="71" t="inlineStr">
        <is>
          <t>출처</t>
        </is>
      </c>
    </row>
    <row r="47" ht="15" customHeight="1" s="68">
      <c r="A47" s="70" t="inlineStr">
        <is>
          <t>원자료: similarity_{chatgpt|claude|gemini|mistral|qwen3_6}_as_reference.xlsx (5개 파일, 각 195행)</t>
        </is>
      </c>
    </row>
    <row r="48" ht="15" customHeight="1" s="68">
      <c r="A48" s="70" t="inlineStr">
        <is>
          <t>구조 지표 2종(MA, TEDS_doc): adrs/ 520개 원문에서 Setext·ATX 양쪽을 인식하는 파서로 전수 재계산</t>
        </is>
      </c>
    </row>
    <row r="49" ht="15" customHeight="1" s="68">
      <c r="A49" s="70" t="inlineStr">
        <is>
          <t>출력 어휘량: adrs/ 원문 토큰 수 직접 계수 / 로컬 상호 합의도: local_local_teds.csv</t>
        </is>
      </c>
    </row>
    <row r="50" ht="15" customHeight="1" s="68">
      <c r="A50" s="70" t="inlineStr">
        <is>
          <t>원 구현: calculate_similarity.py (KIIT_paper_source_code/src)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B97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26" customWidth="1" style="67" min="1" max="1"/>
    <col width="17" customWidth="1" style="67" min="2" max="2"/>
    <col width="18" customWidth="1" style="67" min="3" max="3"/>
    <col width="11" customWidth="1" style="67" min="4" max="15"/>
    <col width="10" customWidth="1" style="67" min="16" max="18"/>
    <col width="12" customWidth="1" style="67" min="19" max="19"/>
    <col width="9" customWidth="1" style="67" min="20" max="21"/>
    <col width="12" customWidth="1" style="67" min="22" max="22"/>
    <col width="13" customWidth="1" style="67" min="23" max="25"/>
    <col width="11" customWidth="1" style="67" min="26" max="26"/>
    <col width="17" customWidth="1" style="67" min="27" max="27"/>
    <col width="14" customWidth="1" style="67" min="28" max="28"/>
  </cols>
  <sheetData>
    <row r="1" ht="46.25" customHeight="1" s="68">
      <c r="A1" s="82" t="inlineStr">
        <is>
          <t>document_id</t>
        </is>
      </c>
      <c r="B1" s="82" t="inlineStr">
        <is>
          <t>reference_model</t>
        </is>
      </c>
      <c r="C1" s="82" t="inlineStr">
        <is>
          <t>comparison_model</t>
        </is>
      </c>
      <c r="D1" s="82" t="inlineStr">
        <is>
          <t>f1_score</t>
        </is>
      </c>
      <c r="E1" s="82" t="inlineStr">
        <is>
          <t>rouge1</t>
        </is>
      </c>
      <c r="F1" s="82" t="inlineStr">
        <is>
          <t>rouge2</t>
        </is>
      </c>
      <c r="G1" s="82" t="inlineStr">
        <is>
          <t>rougeL</t>
        </is>
      </c>
      <c r="H1" s="82" t="inlineStr">
        <is>
          <t>bleu_score</t>
        </is>
      </c>
      <c r="I1" s="82" t="inlineStr">
        <is>
          <t>tfidf_similarity</t>
        </is>
      </c>
      <c r="J1" s="82" t="inlineStr">
        <is>
          <t>bertscore</t>
        </is>
      </c>
      <c r="K1" s="82" t="inlineStr">
        <is>
          <t>sts_score</t>
        </is>
      </c>
      <c r="L1" s="82" t="inlineStr">
        <is>
          <t>moverscore</t>
        </is>
      </c>
      <c r="M1" s="82" t="inlineStr">
        <is>
          <t>markdown_awareness_similarity</t>
        </is>
      </c>
      <c r="N1" s="82" t="inlineStr">
        <is>
          <t>teds_document_structure_similarity</t>
        </is>
      </c>
      <c r="O1" s="82" t="inlineStr">
        <is>
          <t>teds_table_structure_similarity</t>
        </is>
      </c>
      <c r="P1" s="82" t="inlineStr">
        <is>
          <t>lex_mean</t>
        </is>
      </c>
      <c r="Q1" s="82" t="inlineStr">
        <is>
          <t>sem_mean</t>
        </is>
      </c>
      <c r="R1" s="82" t="inlineStr">
        <is>
          <t>str_mean</t>
        </is>
      </c>
      <c r="S1" s="82" t="inlineStr">
        <is>
          <t>overall_score</t>
        </is>
      </c>
      <c r="T1" s="78" t="inlineStr">
        <is>
          <t>동일계열</t>
        </is>
      </c>
      <c r="U1" s="78" t="inlineStr">
        <is>
          <t>문서형식</t>
        </is>
      </c>
      <c r="V1" s="78" t="inlineStr">
        <is>
          <t>전체평균순위</t>
        </is>
      </c>
      <c r="W1" s="82" t="inlineStr">
        <is>
          <t>pool순위_G:M</t>
        </is>
      </c>
      <c r="X1" s="82" t="inlineStr">
        <is>
          <t>pool순위_G:Q</t>
        </is>
      </c>
      <c r="Y1" s="82" t="inlineStr">
        <is>
          <t>pool순위_M:Q</t>
        </is>
      </c>
      <c r="Z1" s="78" t="inlineStr">
        <is>
          <t>셀내 순위</t>
        </is>
      </c>
      <c r="AA1" s="82" t="inlineStr">
        <is>
          <t>Levene Z=|y−셀중앙값|</t>
        </is>
      </c>
      <c r="AB1" s="78" t="inlineStr">
        <is>
          <t>잔차 y−셀평균</t>
        </is>
      </c>
    </row>
    <row r="2" ht="15" customHeight="1" s="68">
      <c r="A2" s="83" t="inlineStr">
        <is>
          <t>PAT-01</t>
        </is>
      </c>
      <c r="B2" s="83" t="inlineStr">
        <is>
          <t>chatgpt</t>
        </is>
      </c>
      <c r="C2" s="83" t="inlineStr">
        <is>
          <t>gemma</t>
        </is>
      </c>
      <c r="D2" s="84" t="n">
        <v>0.251445086705202</v>
      </c>
      <c r="E2" s="84" t="n">
        <v>0.281938325991189</v>
      </c>
      <c r="F2" s="84" t="n">
        <v>0.106666666666667</v>
      </c>
      <c r="G2" s="84" t="n">
        <v>0.246696035242291</v>
      </c>
      <c r="H2" s="84" t="n">
        <v>0.200829645686141</v>
      </c>
      <c r="I2" s="84" t="n">
        <v>0.225847400991996</v>
      </c>
      <c r="J2" s="84" t="n">
        <v>0.63084063934032</v>
      </c>
      <c r="K2" s="84" t="n">
        <v>0.575861970311025</v>
      </c>
      <c r="L2" s="84" t="n">
        <v>0.731729737126389</v>
      </c>
      <c r="M2" s="84" t="n">
        <v>0.435897435897436</v>
      </c>
      <c r="N2" s="84" t="n">
        <v>0.182692307692308</v>
      </c>
      <c r="O2" s="84" t="n">
        <v>1</v>
      </c>
      <c r="P2" s="85">
        <f>AVERAGE(D2:I2)</f>
        <v/>
      </c>
      <c r="Q2" s="85">
        <f>AVERAGE(J2:L2)</f>
        <v/>
      </c>
      <c r="R2" s="85">
        <f>AVERAGE(M2:O2)</f>
        <v/>
      </c>
      <c r="S2" s="85">
        <f>'02_지표정의'!$C$22*P2+'02_지표정의'!$C$23*Q2+'02_지표정의'!$C$24*R2</f>
        <v/>
      </c>
      <c r="T2" s="73">
        <f>IF(OR(AND(B2="gemini",C2="gemma"),AND(B2="qwen3_6",C2="qwen"),AND(B2="mistral",C2="ministral")),1,0)</f>
        <v/>
      </c>
      <c r="U2" s="73">
        <f>IF(LEFT(A2,3)="PAT","특허","보고서")</f>
        <v/>
      </c>
      <c r="V2" s="86">
        <f>COUNTIF($S$2:$S$976,"&lt;"&amp;S2)+(COUNTIF($S$2:$S$976,"="&amp;S2)+1)/2</f>
        <v/>
      </c>
      <c r="W2" s="73">
        <f>IF(C2="qwen",0,COUNTIFS($C$2:$C$976,"&lt;&gt;qwen",$S$2:$S$976,"&lt;"&amp;S2)+1)</f>
        <v/>
      </c>
      <c r="X2" s="73">
        <f>IF(C2="ministral",0,COUNTIFS($C$2:$C$976,"&lt;&gt;ministral",$S$2:$S$976,"&lt;"&amp;S2)+1)</f>
        <v/>
      </c>
      <c r="Y2" s="73">
        <f>IF(C2="gemma",0,COUNTIFS($C$2:$C$976,"&lt;&gt;gemma",$S$2:$S$976,"&lt;"&amp;S2)+1)</f>
        <v/>
      </c>
      <c r="Z2" s="87">
        <f>COUNTIFS($B$2:$B$976,B2,$C$2:$C$976,C2,$S$2:$S$976,"&lt;"&amp;S2)+1</f>
        <v/>
      </c>
      <c r="AA2" s="88">
        <f>ABS(S2-SUMPRODUCT(('05B_가정검정'!$A$5:$A$19=B2)*('05B_가정검정'!$B$5:$B$19=C2)*'05B_가정검정'!$E$5:$E$19))</f>
        <v/>
      </c>
      <c r="AB2" s="88">
        <f>S2-AVERAGEIFS($S$2:$S$976,$B$2:$B$976,B2,$C$2:$C$976,C2)</f>
        <v/>
      </c>
    </row>
    <row r="3" ht="15" customHeight="1" s="68">
      <c r="A3" s="83" t="inlineStr">
        <is>
          <t>PAT-01</t>
        </is>
      </c>
      <c r="B3" s="83" t="inlineStr">
        <is>
          <t>chatgpt</t>
        </is>
      </c>
      <c r="C3" s="83" t="inlineStr">
        <is>
          <t>ministral</t>
        </is>
      </c>
      <c r="D3" s="84" t="n">
        <v>0.283828382838284</v>
      </c>
      <c r="E3" s="84" t="n">
        <v>0.330935251798561</v>
      </c>
      <c r="F3" s="84" t="n">
        <v>0.130434782608696</v>
      </c>
      <c r="G3" s="84" t="n">
        <v>0.287769784172662</v>
      </c>
      <c r="H3" s="84" t="n">
        <v>0.141585470314294</v>
      </c>
      <c r="I3" s="84" t="n">
        <v>0.306709451791245</v>
      </c>
      <c r="J3" s="84" t="n">
        <v>0.653748564154461</v>
      </c>
      <c r="K3" s="84" t="n">
        <v>0.664882502739647</v>
      </c>
      <c r="L3" s="84" t="n">
        <v>0.791310491607605</v>
      </c>
      <c r="M3" s="84" t="n">
        <v>0.473118279569893</v>
      </c>
      <c r="N3" s="84" t="n">
        <v>0</v>
      </c>
      <c r="O3" s="84" t="n">
        <v>1</v>
      </c>
      <c r="P3" s="85">
        <f>AVERAGE(D3:I3)</f>
        <v/>
      </c>
      <c r="Q3" s="85">
        <f>AVERAGE(J3:L3)</f>
        <v/>
      </c>
      <c r="R3" s="85">
        <f>AVERAGE(M3:O3)</f>
        <v/>
      </c>
      <c r="S3" s="85">
        <f>'02_지표정의'!$C$22*P3+'02_지표정의'!$C$23*Q3+'02_지표정의'!$C$24*R3</f>
        <v/>
      </c>
      <c r="T3" s="73">
        <f>IF(OR(AND(B3="gemini",C3="gemma"),AND(B3="qwen3_6",C3="qwen"),AND(B3="mistral",C3="ministral")),1,0)</f>
        <v/>
      </c>
      <c r="U3" s="73">
        <f>IF(LEFT(A3,3)="PAT","특허","보고서")</f>
        <v/>
      </c>
      <c r="V3" s="86">
        <f>COUNTIF($S$2:$S$976,"&lt;"&amp;S3)+(COUNTIF($S$2:$S$976,"="&amp;S3)+1)/2</f>
        <v/>
      </c>
      <c r="W3" s="73">
        <f>IF(C3="qwen",0,COUNTIFS($C$2:$C$976,"&lt;&gt;qwen",$S$2:$S$976,"&lt;"&amp;S3)+1)</f>
        <v/>
      </c>
      <c r="X3" s="73">
        <f>IF(C3="ministral",0,COUNTIFS($C$2:$C$976,"&lt;&gt;ministral",$S$2:$S$976,"&lt;"&amp;S3)+1)</f>
        <v/>
      </c>
      <c r="Y3" s="73">
        <f>IF(C3="gemma",0,COUNTIFS($C$2:$C$976,"&lt;&gt;gemma",$S$2:$S$976,"&lt;"&amp;S3)+1)</f>
        <v/>
      </c>
      <c r="Z3" s="87">
        <f>COUNTIFS($B$2:$B$976,B3,$C$2:$C$976,C3,$S$2:$S$976,"&lt;"&amp;S3)+1</f>
        <v/>
      </c>
      <c r="AA3" s="88">
        <f>ABS(S3-SUMPRODUCT(('05B_가정검정'!$A$5:$A$19=B3)*('05B_가정검정'!$B$5:$B$19=C3)*'05B_가정검정'!$E$5:$E$19))</f>
        <v/>
      </c>
      <c r="AB3" s="88">
        <f>S3-AVERAGEIFS($S$2:$S$976,$B$2:$B$976,B3,$C$2:$C$976,C3)</f>
        <v/>
      </c>
    </row>
    <row r="4" ht="15" customHeight="1" s="68">
      <c r="A4" s="83" t="inlineStr">
        <is>
          <t>PAT-01</t>
        </is>
      </c>
      <c r="B4" s="83" t="inlineStr">
        <is>
          <t>chatgpt</t>
        </is>
      </c>
      <c r="C4" s="83" t="inlineStr">
        <is>
          <t>qwen</t>
        </is>
      </c>
      <c r="D4" s="84" t="n">
        <v>0.248153618906942</v>
      </c>
      <c r="E4" s="84" t="n">
        <v>0.420560747663551</v>
      </c>
      <c r="F4" s="84" t="n">
        <v>0.122641509433962</v>
      </c>
      <c r="G4" s="84" t="n">
        <v>0.308411214953271</v>
      </c>
      <c r="H4" s="84" t="n">
        <v>0.182068495480241</v>
      </c>
      <c r="I4" s="84" t="n">
        <v>0.353955337007711</v>
      </c>
      <c r="J4" s="84" t="n">
        <v>0.669891825964933</v>
      </c>
      <c r="K4" s="84" t="n">
        <v>0.559810522074954</v>
      </c>
      <c r="L4" s="84" t="n">
        <v>0.715440872526602</v>
      </c>
      <c r="M4" s="84" t="n">
        <v>0.37948717948718</v>
      </c>
      <c r="N4" s="84" t="n">
        <v>0</v>
      </c>
      <c r="O4" s="84" t="n">
        <v>1</v>
      </c>
      <c r="P4" s="85">
        <f>AVERAGE(D4:I4)</f>
        <v/>
      </c>
      <c r="Q4" s="85">
        <f>AVERAGE(J4:L4)</f>
        <v/>
      </c>
      <c r="R4" s="85">
        <f>AVERAGE(M4:O4)</f>
        <v/>
      </c>
      <c r="S4" s="85">
        <f>'02_지표정의'!$C$22*P4+'02_지표정의'!$C$23*Q4+'02_지표정의'!$C$24*R4</f>
        <v/>
      </c>
      <c r="T4" s="73">
        <f>IF(OR(AND(B4="gemini",C4="gemma"),AND(B4="qwen3_6",C4="qwen"),AND(B4="mistral",C4="ministral")),1,0)</f>
        <v/>
      </c>
      <c r="U4" s="73">
        <f>IF(LEFT(A4,3)="PAT","특허","보고서")</f>
        <v/>
      </c>
      <c r="V4" s="86">
        <f>COUNTIF($S$2:$S$976,"&lt;"&amp;S4)+(COUNTIF($S$2:$S$976,"="&amp;S4)+1)/2</f>
        <v/>
      </c>
      <c r="W4" s="73">
        <f>IF(C4="qwen",0,COUNTIFS($C$2:$C$976,"&lt;&gt;qwen",$S$2:$S$976,"&lt;"&amp;S4)+1)</f>
        <v/>
      </c>
      <c r="X4" s="73">
        <f>IF(C4="ministral",0,COUNTIFS($C$2:$C$976,"&lt;&gt;ministral",$S$2:$S$976,"&lt;"&amp;S4)+1)</f>
        <v/>
      </c>
      <c r="Y4" s="73">
        <f>IF(C4="gemma",0,COUNTIFS($C$2:$C$976,"&lt;&gt;gemma",$S$2:$S$976,"&lt;"&amp;S4)+1)</f>
        <v/>
      </c>
      <c r="Z4" s="87">
        <f>COUNTIFS($B$2:$B$976,B4,$C$2:$C$976,C4,$S$2:$S$976,"&lt;"&amp;S4)+1</f>
        <v/>
      </c>
      <c r="AA4" s="88">
        <f>ABS(S4-SUMPRODUCT(('05B_가정검정'!$A$5:$A$19=B4)*('05B_가정검정'!$B$5:$B$19=C4)*'05B_가정검정'!$E$5:$E$19))</f>
        <v/>
      </c>
      <c r="AB4" s="88">
        <f>S4-AVERAGEIFS($S$2:$S$976,$B$2:$B$976,B4,$C$2:$C$976,C4)</f>
        <v/>
      </c>
    </row>
    <row r="5" ht="15" customHeight="1" s="68">
      <c r="A5" s="83" t="inlineStr">
        <is>
          <t>PAT-01</t>
        </is>
      </c>
      <c r="B5" s="83" t="inlineStr">
        <is>
          <t>claude</t>
        </is>
      </c>
      <c r="C5" s="83" t="inlineStr">
        <is>
          <t>gemma</t>
        </is>
      </c>
      <c r="D5" s="84" t="n">
        <v>0.26677994902294</v>
      </c>
      <c r="E5" s="84" t="n">
        <v>0.302469135802469</v>
      </c>
      <c r="F5" s="84" t="n">
        <v>0.0745341614906832</v>
      </c>
      <c r="G5" s="84" t="n">
        <v>0.179012345679012</v>
      </c>
      <c r="H5" s="84" t="n">
        <v>0.284033179357744</v>
      </c>
      <c r="I5" s="84" t="n">
        <v>0.186038397955163</v>
      </c>
      <c r="J5" s="84" t="n">
        <v>0.689626610992195</v>
      </c>
      <c r="K5" s="84" t="n">
        <v>0.622633556002482</v>
      </c>
      <c r="L5" s="84" t="n">
        <v>0.858546586878273</v>
      </c>
      <c r="M5" s="84" t="n">
        <v>0.567073170731707</v>
      </c>
      <c r="N5" s="84" t="n">
        <v>0.521276595744681</v>
      </c>
      <c r="O5" s="84" t="n">
        <v>1</v>
      </c>
      <c r="P5" s="85">
        <f>AVERAGE(D5:I5)</f>
        <v/>
      </c>
      <c r="Q5" s="85">
        <f>AVERAGE(J5:L5)</f>
        <v/>
      </c>
      <c r="R5" s="85">
        <f>AVERAGE(M5:O5)</f>
        <v/>
      </c>
      <c r="S5" s="85">
        <f>'02_지표정의'!$C$22*P5+'02_지표정의'!$C$23*Q5+'02_지표정의'!$C$24*R5</f>
        <v/>
      </c>
      <c r="T5" s="73">
        <f>IF(OR(AND(B5="gemini",C5="gemma"),AND(B5="qwen3_6",C5="qwen"),AND(B5="mistral",C5="ministral")),1,0)</f>
        <v/>
      </c>
      <c r="U5" s="73">
        <f>IF(LEFT(A5,3)="PAT","특허","보고서")</f>
        <v/>
      </c>
      <c r="V5" s="86">
        <f>COUNTIF($S$2:$S$976,"&lt;"&amp;S5)+(COUNTIF($S$2:$S$976,"="&amp;S5)+1)/2</f>
        <v/>
      </c>
      <c r="W5" s="73">
        <f>IF(C5="qwen",0,COUNTIFS($C$2:$C$976,"&lt;&gt;qwen",$S$2:$S$976,"&lt;"&amp;S5)+1)</f>
        <v/>
      </c>
      <c r="X5" s="73">
        <f>IF(C5="ministral",0,COUNTIFS($C$2:$C$976,"&lt;&gt;ministral",$S$2:$S$976,"&lt;"&amp;S5)+1)</f>
        <v/>
      </c>
      <c r="Y5" s="73">
        <f>IF(C5="gemma",0,COUNTIFS($C$2:$C$976,"&lt;&gt;gemma",$S$2:$S$976,"&lt;"&amp;S5)+1)</f>
        <v/>
      </c>
      <c r="Z5" s="87">
        <f>COUNTIFS($B$2:$B$976,B5,$C$2:$C$976,C5,$S$2:$S$976,"&lt;"&amp;S5)+1</f>
        <v/>
      </c>
      <c r="AA5" s="88">
        <f>ABS(S5-SUMPRODUCT(('05B_가정검정'!$A$5:$A$19=B5)*('05B_가정검정'!$B$5:$B$19=C5)*'05B_가정검정'!$E$5:$E$19))</f>
        <v/>
      </c>
      <c r="AB5" s="88">
        <f>S5-AVERAGEIFS($S$2:$S$976,$B$2:$B$976,B5,$C$2:$C$976,C5)</f>
        <v/>
      </c>
    </row>
    <row r="6" ht="15" customHeight="1" s="68">
      <c r="A6" s="83" t="inlineStr">
        <is>
          <t>PAT-01</t>
        </is>
      </c>
      <c r="B6" s="83" t="inlineStr">
        <is>
          <t>claude</t>
        </is>
      </c>
      <c r="C6" s="83" t="inlineStr">
        <is>
          <t>ministral</t>
        </is>
      </c>
      <c r="D6" s="84" t="n">
        <v>0.229147571035747</v>
      </c>
      <c r="E6" s="84" t="n">
        <v>0.272</v>
      </c>
      <c r="F6" s="84" t="n">
        <v>0.0911528150134048</v>
      </c>
      <c r="G6" s="84" t="n">
        <v>0.202666666666667</v>
      </c>
      <c r="H6" s="84" t="n">
        <v>0.239241197824019</v>
      </c>
      <c r="I6" s="84" t="n">
        <v>0.173766125173858</v>
      </c>
      <c r="J6" s="84" t="n">
        <v>0.707764727000425</v>
      </c>
      <c r="K6" s="84" t="n">
        <v>0.6436282181481739</v>
      </c>
      <c r="L6" s="84" t="n">
        <v>0.844049553104417</v>
      </c>
      <c r="M6" s="84" t="n">
        <v>0.530465949820789</v>
      </c>
      <c r="N6" s="84" t="n">
        <v>0.527131782945737</v>
      </c>
      <c r="O6" s="84" t="n">
        <v>1</v>
      </c>
      <c r="P6" s="85">
        <f>AVERAGE(D6:I6)</f>
        <v/>
      </c>
      <c r="Q6" s="85">
        <f>AVERAGE(J6:L6)</f>
        <v/>
      </c>
      <c r="R6" s="85">
        <f>AVERAGE(M6:O6)</f>
        <v/>
      </c>
      <c r="S6" s="85">
        <f>'02_지표정의'!$C$22*P6+'02_지표정의'!$C$23*Q6+'02_지표정의'!$C$24*R6</f>
        <v/>
      </c>
      <c r="T6" s="73">
        <f>IF(OR(AND(B6="gemini",C6="gemma"),AND(B6="qwen3_6",C6="qwen"),AND(B6="mistral",C6="ministral")),1,0)</f>
        <v/>
      </c>
      <c r="U6" s="73">
        <f>IF(LEFT(A6,3)="PAT","특허","보고서")</f>
        <v/>
      </c>
      <c r="V6" s="86">
        <f>COUNTIF($S$2:$S$976,"&lt;"&amp;S6)+(COUNTIF($S$2:$S$976,"="&amp;S6)+1)/2</f>
        <v/>
      </c>
      <c r="W6" s="73">
        <f>IF(C6="qwen",0,COUNTIFS($C$2:$C$976,"&lt;&gt;qwen",$S$2:$S$976,"&lt;"&amp;S6)+1)</f>
        <v/>
      </c>
      <c r="X6" s="73">
        <f>IF(C6="ministral",0,COUNTIFS($C$2:$C$976,"&lt;&gt;ministral",$S$2:$S$976,"&lt;"&amp;S6)+1)</f>
        <v/>
      </c>
      <c r="Y6" s="73">
        <f>IF(C6="gemma",0,COUNTIFS($C$2:$C$976,"&lt;&gt;gemma",$S$2:$S$976,"&lt;"&amp;S6)+1)</f>
        <v/>
      </c>
      <c r="Z6" s="87">
        <f>COUNTIFS($B$2:$B$976,B6,$C$2:$C$976,C6,$S$2:$S$976,"&lt;"&amp;S6)+1</f>
        <v/>
      </c>
      <c r="AA6" s="88">
        <f>ABS(S6-SUMPRODUCT(('05B_가정검정'!$A$5:$A$19=B6)*('05B_가정검정'!$B$5:$B$19=C6)*'05B_가정검정'!$E$5:$E$19))</f>
        <v/>
      </c>
      <c r="AB6" s="88">
        <f>S6-AVERAGEIFS($S$2:$S$976,$B$2:$B$976,B6,$C$2:$C$976,C6)</f>
        <v/>
      </c>
    </row>
    <row r="7" ht="15" customHeight="1" s="68">
      <c r="A7" s="83" t="inlineStr">
        <is>
          <t>PAT-01</t>
        </is>
      </c>
      <c r="B7" s="83" t="inlineStr">
        <is>
          <t>claude</t>
        </is>
      </c>
      <c r="C7" s="83" t="inlineStr">
        <is>
          <t>qwen</t>
        </is>
      </c>
      <c r="D7" s="84" t="n">
        <v>0.258175559380379</v>
      </c>
      <c r="E7" s="84" t="n">
        <v>0.360128617363344</v>
      </c>
      <c r="F7" s="84" t="n">
        <v>0.116504854368932</v>
      </c>
      <c r="G7" s="84" t="n">
        <v>0.257234726688103</v>
      </c>
      <c r="H7" s="84" t="n">
        <v>0.320486798120129</v>
      </c>
      <c r="I7" s="84" t="n">
        <v>0.245056753805066</v>
      </c>
      <c r="J7" s="84" t="n">
        <v>0.699810705006102</v>
      </c>
      <c r="K7" s="84" t="n">
        <v>0.61108905595146</v>
      </c>
      <c r="L7" s="84" t="n">
        <v>0.8435456611657171</v>
      </c>
      <c r="M7" s="84" t="n">
        <v>0.615384615384615</v>
      </c>
      <c r="N7" s="84" t="n">
        <v>0.549019607843137</v>
      </c>
      <c r="O7" s="84" t="n">
        <v>1</v>
      </c>
      <c r="P7" s="85">
        <f>AVERAGE(D7:I7)</f>
        <v/>
      </c>
      <c r="Q7" s="85">
        <f>AVERAGE(J7:L7)</f>
        <v/>
      </c>
      <c r="R7" s="85">
        <f>AVERAGE(M7:O7)</f>
        <v/>
      </c>
      <c r="S7" s="85">
        <f>'02_지표정의'!$C$22*P7+'02_지표정의'!$C$23*Q7+'02_지표정의'!$C$24*R7</f>
        <v/>
      </c>
      <c r="T7" s="73">
        <f>IF(OR(AND(B7="gemini",C7="gemma"),AND(B7="qwen3_6",C7="qwen"),AND(B7="mistral",C7="ministral")),1,0)</f>
        <v/>
      </c>
      <c r="U7" s="73">
        <f>IF(LEFT(A7,3)="PAT","특허","보고서")</f>
        <v/>
      </c>
      <c r="V7" s="86">
        <f>COUNTIF($S$2:$S$976,"&lt;"&amp;S7)+(COUNTIF($S$2:$S$976,"="&amp;S7)+1)/2</f>
        <v/>
      </c>
      <c r="W7" s="73">
        <f>IF(C7="qwen",0,COUNTIFS($C$2:$C$976,"&lt;&gt;qwen",$S$2:$S$976,"&lt;"&amp;S7)+1)</f>
        <v/>
      </c>
      <c r="X7" s="73">
        <f>IF(C7="ministral",0,COUNTIFS($C$2:$C$976,"&lt;&gt;ministral",$S$2:$S$976,"&lt;"&amp;S7)+1)</f>
        <v/>
      </c>
      <c r="Y7" s="73">
        <f>IF(C7="gemma",0,COUNTIFS($C$2:$C$976,"&lt;&gt;gemma",$S$2:$S$976,"&lt;"&amp;S7)+1)</f>
        <v/>
      </c>
      <c r="Z7" s="87">
        <f>COUNTIFS($B$2:$B$976,B7,$C$2:$C$976,C7,$S$2:$S$976,"&lt;"&amp;S7)+1</f>
        <v/>
      </c>
      <c r="AA7" s="88">
        <f>ABS(S7-SUMPRODUCT(('05B_가정검정'!$A$5:$A$19=B7)*('05B_가정검정'!$B$5:$B$19=C7)*'05B_가정검정'!$E$5:$E$19))</f>
        <v/>
      </c>
      <c r="AB7" s="88">
        <f>S7-AVERAGEIFS($S$2:$S$976,$B$2:$B$976,B7,$C$2:$C$976,C7)</f>
        <v/>
      </c>
    </row>
    <row r="8" ht="15" customHeight="1" s="68">
      <c r="A8" s="83" t="inlineStr">
        <is>
          <t>PAT-01</t>
        </is>
      </c>
      <c r="B8" s="83" t="inlineStr">
        <is>
          <t>gemini</t>
        </is>
      </c>
      <c r="C8" s="83" t="inlineStr">
        <is>
          <t>gemma</t>
        </is>
      </c>
      <c r="D8" s="84" t="n">
        <v>0.263736263736264</v>
      </c>
      <c r="E8" s="84" t="n">
        <v>0.307692307692308</v>
      </c>
      <c r="F8" s="84" t="n">
        <v>0.118721461187215</v>
      </c>
      <c r="G8" s="84" t="n">
        <v>0.235294117647059</v>
      </c>
      <c r="H8" s="84" t="n">
        <v>0.282006431244574</v>
      </c>
      <c r="I8" s="84" t="n">
        <v>0.169718913725231</v>
      </c>
      <c r="J8" s="84" t="n">
        <v>0.739209918917016</v>
      </c>
      <c r="K8" s="84" t="n">
        <v>0.697485304868609</v>
      </c>
      <c r="L8" s="84" t="n">
        <v>0.859931350023543</v>
      </c>
      <c r="M8" s="84" t="n">
        <v>0.906542056074766</v>
      </c>
      <c r="N8" s="84" t="n">
        <v>0.916666666666667</v>
      </c>
      <c r="O8" s="84" t="n">
        <v>1</v>
      </c>
      <c r="P8" s="85">
        <f>AVERAGE(D8:I8)</f>
        <v/>
      </c>
      <c r="Q8" s="85">
        <f>AVERAGE(J8:L8)</f>
        <v/>
      </c>
      <c r="R8" s="85">
        <f>AVERAGE(M8:O8)</f>
        <v/>
      </c>
      <c r="S8" s="85">
        <f>'02_지표정의'!$C$22*P8+'02_지표정의'!$C$23*Q8+'02_지표정의'!$C$24*R8</f>
        <v/>
      </c>
      <c r="T8" s="73">
        <f>IF(OR(AND(B8="gemini",C8="gemma"),AND(B8="qwen3_6",C8="qwen"),AND(B8="mistral",C8="ministral")),1,0)</f>
        <v/>
      </c>
      <c r="U8" s="73">
        <f>IF(LEFT(A8,3)="PAT","특허","보고서")</f>
        <v/>
      </c>
      <c r="V8" s="86">
        <f>COUNTIF($S$2:$S$976,"&lt;"&amp;S8)+(COUNTIF($S$2:$S$976,"="&amp;S8)+1)/2</f>
        <v/>
      </c>
      <c r="W8" s="73">
        <f>IF(C8="qwen",0,COUNTIFS($C$2:$C$976,"&lt;&gt;qwen",$S$2:$S$976,"&lt;"&amp;S8)+1)</f>
        <v/>
      </c>
      <c r="X8" s="73">
        <f>IF(C8="ministral",0,COUNTIFS($C$2:$C$976,"&lt;&gt;ministral",$S$2:$S$976,"&lt;"&amp;S8)+1)</f>
        <v/>
      </c>
      <c r="Y8" s="73">
        <f>IF(C8="gemma",0,COUNTIFS($C$2:$C$976,"&lt;&gt;gemma",$S$2:$S$976,"&lt;"&amp;S8)+1)</f>
        <v/>
      </c>
      <c r="Z8" s="87">
        <f>COUNTIFS($B$2:$B$976,B8,$C$2:$C$976,C8,$S$2:$S$976,"&lt;"&amp;S8)+1</f>
        <v/>
      </c>
      <c r="AA8" s="88">
        <f>ABS(S8-SUMPRODUCT(('05B_가정검정'!$A$5:$A$19=B8)*('05B_가정검정'!$B$5:$B$19=C8)*'05B_가정검정'!$E$5:$E$19))</f>
        <v/>
      </c>
      <c r="AB8" s="88">
        <f>S8-AVERAGEIFS($S$2:$S$976,$B$2:$B$976,B8,$C$2:$C$976,C8)</f>
        <v/>
      </c>
    </row>
    <row r="9" ht="15" customHeight="1" s="68">
      <c r="A9" s="83" t="inlineStr">
        <is>
          <t>PAT-01</t>
        </is>
      </c>
      <c r="B9" s="83" t="inlineStr">
        <is>
          <t>gemini</t>
        </is>
      </c>
      <c r="C9" s="83" t="inlineStr">
        <is>
          <t>ministral</t>
        </is>
      </c>
      <c r="D9" s="84" t="n">
        <v>0.234652114597544</v>
      </c>
      <c r="E9" s="84" t="n">
        <v>0.279411764705882</v>
      </c>
      <c r="F9" s="84" t="n">
        <v>0.103703703703704</v>
      </c>
      <c r="G9" s="84" t="n">
        <v>0.242647058823529</v>
      </c>
      <c r="H9" s="84" t="n">
        <v>0.168463324505514</v>
      </c>
      <c r="I9" s="84" t="n">
        <v>0.175925804610195</v>
      </c>
      <c r="J9" s="84" t="n">
        <v>0.745908562820597</v>
      </c>
      <c r="K9" s="84" t="n">
        <v>0.746634075368757</v>
      </c>
      <c r="L9" s="84" t="n">
        <v>0.8873061994407559</v>
      </c>
      <c r="M9" s="84" t="n">
        <v>0.347670250896057</v>
      </c>
      <c r="N9" s="84" t="n">
        <v>0.426356589147287</v>
      </c>
      <c r="O9" s="84" t="n">
        <v>1</v>
      </c>
      <c r="P9" s="85">
        <f>AVERAGE(D9:I9)</f>
        <v/>
      </c>
      <c r="Q9" s="85">
        <f>AVERAGE(J9:L9)</f>
        <v/>
      </c>
      <c r="R9" s="85">
        <f>AVERAGE(M9:O9)</f>
        <v/>
      </c>
      <c r="S9" s="85">
        <f>'02_지표정의'!$C$22*P9+'02_지표정의'!$C$23*Q9+'02_지표정의'!$C$24*R9</f>
        <v/>
      </c>
      <c r="T9" s="73">
        <f>IF(OR(AND(B9="gemini",C9="gemma"),AND(B9="qwen3_6",C9="qwen"),AND(B9="mistral",C9="ministral")),1,0)</f>
        <v/>
      </c>
      <c r="U9" s="73">
        <f>IF(LEFT(A9,3)="PAT","특허","보고서")</f>
        <v/>
      </c>
      <c r="V9" s="86">
        <f>COUNTIF($S$2:$S$976,"&lt;"&amp;S9)+(COUNTIF($S$2:$S$976,"="&amp;S9)+1)/2</f>
        <v/>
      </c>
      <c r="W9" s="73">
        <f>IF(C9="qwen",0,COUNTIFS($C$2:$C$976,"&lt;&gt;qwen",$S$2:$S$976,"&lt;"&amp;S9)+1)</f>
        <v/>
      </c>
      <c r="X9" s="73">
        <f>IF(C9="ministral",0,COUNTIFS($C$2:$C$976,"&lt;&gt;ministral",$S$2:$S$976,"&lt;"&amp;S9)+1)</f>
        <v/>
      </c>
      <c r="Y9" s="73">
        <f>IF(C9="gemma",0,COUNTIFS($C$2:$C$976,"&lt;&gt;gemma",$S$2:$S$976,"&lt;"&amp;S9)+1)</f>
        <v/>
      </c>
      <c r="Z9" s="87">
        <f>COUNTIFS($B$2:$B$976,B9,$C$2:$C$976,C9,$S$2:$S$976,"&lt;"&amp;S9)+1</f>
        <v/>
      </c>
      <c r="AA9" s="88">
        <f>ABS(S9-SUMPRODUCT(('05B_가정검정'!$A$5:$A$19=B9)*('05B_가정검정'!$B$5:$B$19=C9)*'05B_가정검정'!$E$5:$E$19))</f>
        <v/>
      </c>
      <c r="AB9" s="88">
        <f>S9-AVERAGEIFS($S$2:$S$976,$B$2:$B$976,B9,$C$2:$C$976,C9)</f>
        <v/>
      </c>
    </row>
    <row r="10" ht="15" customHeight="1" s="68">
      <c r="A10" s="83" t="inlineStr">
        <is>
          <t>PAT-01</t>
        </is>
      </c>
      <c r="B10" s="83" t="inlineStr">
        <is>
          <t>gemini</t>
        </is>
      </c>
      <c r="C10" s="83" t="inlineStr">
        <is>
          <t>qwen</t>
        </is>
      </c>
      <c r="D10" s="84" t="n">
        <v>0.243781094527363</v>
      </c>
      <c r="E10" s="84" t="n">
        <v>0.384615384615385</v>
      </c>
      <c r="F10" s="84" t="n">
        <v>0.12621359223301</v>
      </c>
      <c r="G10" s="84" t="n">
        <v>0.278846153846154</v>
      </c>
      <c r="H10" s="84" t="n">
        <v>0.239659226442833</v>
      </c>
      <c r="I10" s="84" t="n">
        <v>0.268432412772175</v>
      </c>
      <c r="J10" s="84" t="n">
        <v>0.761451518325261</v>
      </c>
      <c r="K10" s="84" t="n">
        <v>0.695507283493229</v>
      </c>
      <c r="L10" s="84" t="n">
        <v>0.854297330197575</v>
      </c>
      <c r="M10" s="84" t="n">
        <v>0.5739644970414201</v>
      </c>
      <c r="N10" s="84" t="n">
        <v>0.53921568627451</v>
      </c>
      <c r="O10" s="84" t="n">
        <v>1</v>
      </c>
      <c r="P10" s="85">
        <f>AVERAGE(D10:I10)</f>
        <v/>
      </c>
      <c r="Q10" s="85">
        <f>AVERAGE(J10:L10)</f>
        <v/>
      </c>
      <c r="R10" s="85">
        <f>AVERAGE(M10:O10)</f>
        <v/>
      </c>
      <c r="S10" s="85">
        <f>'02_지표정의'!$C$22*P10+'02_지표정의'!$C$23*Q10+'02_지표정의'!$C$24*R10</f>
        <v/>
      </c>
      <c r="T10" s="73">
        <f>IF(OR(AND(B10="gemini",C10="gemma"),AND(B10="qwen3_6",C10="qwen"),AND(B10="mistral",C10="ministral")),1,0)</f>
        <v/>
      </c>
      <c r="U10" s="73">
        <f>IF(LEFT(A10,3)="PAT","특허","보고서")</f>
        <v/>
      </c>
      <c r="V10" s="86">
        <f>COUNTIF($S$2:$S$976,"&lt;"&amp;S10)+(COUNTIF($S$2:$S$976,"="&amp;S10)+1)/2</f>
        <v/>
      </c>
      <c r="W10" s="73">
        <f>IF(C10="qwen",0,COUNTIFS($C$2:$C$976,"&lt;&gt;qwen",$S$2:$S$976,"&lt;"&amp;S10)+1)</f>
        <v/>
      </c>
      <c r="X10" s="73">
        <f>IF(C10="ministral",0,COUNTIFS($C$2:$C$976,"&lt;&gt;ministral",$S$2:$S$976,"&lt;"&amp;S10)+1)</f>
        <v/>
      </c>
      <c r="Y10" s="73">
        <f>IF(C10="gemma",0,COUNTIFS($C$2:$C$976,"&lt;&gt;gemma",$S$2:$S$976,"&lt;"&amp;S10)+1)</f>
        <v/>
      </c>
      <c r="Z10" s="87">
        <f>COUNTIFS($B$2:$B$976,B10,$C$2:$C$976,C10,$S$2:$S$976,"&lt;"&amp;S10)+1</f>
        <v/>
      </c>
      <c r="AA10" s="88">
        <f>ABS(S10-SUMPRODUCT(('05B_가정검정'!$A$5:$A$19=B10)*('05B_가정검정'!$B$5:$B$19=C10)*'05B_가정검정'!$E$5:$E$19))</f>
        <v/>
      </c>
      <c r="AB10" s="88">
        <f>S10-AVERAGEIFS($S$2:$S$976,$B$2:$B$976,B10,$C$2:$C$976,C10)</f>
        <v/>
      </c>
    </row>
    <row r="11" ht="15" customHeight="1" s="68">
      <c r="A11" s="83" t="inlineStr">
        <is>
          <t>PAT-01</t>
        </is>
      </c>
      <c r="B11" s="83" t="inlineStr">
        <is>
          <t>mistral</t>
        </is>
      </c>
      <c r="C11" s="83" t="inlineStr">
        <is>
          <t>gemma</t>
        </is>
      </c>
      <c r="D11" s="84" t="n">
        <v>0.248492159227986</v>
      </c>
      <c r="E11" s="84" t="n">
        <v>0.251012145748988</v>
      </c>
      <c r="F11" s="84" t="n">
        <v>0.07346938775510201</v>
      </c>
      <c r="G11" s="84" t="n">
        <v>0.210526315789474</v>
      </c>
      <c r="H11" s="84" t="n">
        <v>0.316774170182231</v>
      </c>
      <c r="I11" s="84" t="n">
        <v>0.199320741467141</v>
      </c>
      <c r="J11" s="84" t="n">
        <v>0.701846924647014</v>
      </c>
      <c r="K11" s="84" t="n">
        <v>0.542277475371021</v>
      </c>
      <c r="L11" s="84" t="n">
        <v>0.746423009226726</v>
      </c>
      <c r="M11" s="84" t="n">
        <v>0.502702702702703</v>
      </c>
      <c r="N11" s="84" t="n">
        <v>0.445454545454545</v>
      </c>
      <c r="O11" s="84" t="n">
        <v>1</v>
      </c>
      <c r="P11" s="85">
        <f>AVERAGE(D11:I11)</f>
        <v/>
      </c>
      <c r="Q11" s="85">
        <f>AVERAGE(J11:L11)</f>
        <v/>
      </c>
      <c r="R11" s="85">
        <f>AVERAGE(M11:O11)</f>
        <v/>
      </c>
      <c r="S11" s="85">
        <f>'02_지표정의'!$C$22*P11+'02_지표정의'!$C$23*Q11+'02_지표정의'!$C$24*R11</f>
        <v/>
      </c>
      <c r="T11" s="73">
        <f>IF(OR(AND(B11="gemini",C11="gemma"),AND(B11="qwen3_6",C11="qwen"),AND(B11="mistral",C11="ministral")),1,0)</f>
        <v/>
      </c>
      <c r="U11" s="73">
        <f>IF(LEFT(A11,3)="PAT","특허","보고서")</f>
        <v/>
      </c>
      <c r="V11" s="86">
        <f>COUNTIF($S$2:$S$976,"&lt;"&amp;S11)+(COUNTIF($S$2:$S$976,"="&amp;S11)+1)/2</f>
        <v/>
      </c>
      <c r="W11" s="73">
        <f>IF(C11="qwen",0,COUNTIFS($C$2:$C$976,"&lt;&gt;qwen",$S$2:$S$976,"&lt;"&amp;S11)+1)</f>
        <v/>
      </c>
      <c r="X11" s="73">
        <f>IF(C11="ministral",0,COUNTIFS($C$2:$C$976,"&lt;&gt;ministral",$S$2:$S$976,"&lt;"&amp;S11)+1)</f>
        <v/>
      </c>
      <c r="Y11" s="73">
        <f>IF(C11="gemma",0,COUNTIFS($C$2:$C$976,"&lt;&gt;gemma",$S$2:$S$976,"&lt;"&amp;S11)+1)</f>
        <v/>
      </c>
      <c r="Z11" s="87">
        <f>COUNTIFS($B$2:$B$976,B11,$C$2:$C$976,C11,$S$2:$S$976,"&lt;"&amp;S11)+1</f>
        <v/>
      </c>
      <c r="AA11" s="88">
        <f>ABS(S11-SUMPRODUCT(('05B_가정검정'!$A$5:$A$19=B11)*('05B_가정검정'!$B$5:$B$19=C11)*'05B_가정검정'!$E$5:$E$19))</f>
        <v/>
      </c>
      <c r="AB11" s="88">
        <f>S11-AVERAGEIFS($S$2:$S$976,$B$2:$B$976,B11,$C$2:$C$976,C11)</f>
        <v/>
      </c>
    </row>
    <row r="12" ht="15" customHeight="1" s="68">
      <c r="A12" s="83" t="inlineStr">
        <is>
          <t>PAT-01</t>
        </is>
      </c>
      <c r="B12" s="83" t="inlineStr">
        <is>
          <t>mistral</t>
        </is>
      </c>
      <c r="C12" s="83" t="inlineStr">
        <is>
          <t>ministral</t>
        </is>
      </c>
      <c r="D12" s="84" t="n">
        <v>0.306864064602961</v>
      </c>
      <c r="E12" s="84" t="n">
        <v>0.375838926174497</v>
      </c>
      <c r="F12" s="84" t="n">
        <v>0.162162162162162</v>
      </c>
      <c r="G12" s="84" t="n">
        <v>0.288590604026846</v>
      </c>
      <c r="H12" s="84" t="n">
        <v>0.273563774255994</v>
      </c>
      <c r="I12" s="84" t="n">
        <v>0.257377223650202</v>
      </c>
      <c r="J12" s="84" t="n">
        <v>0.717751655777754</v>
      </c>
      <c r="K12" s="84" t="n">
        <v>0.63988421718821</v>
      </c>
      <c r="L12" s="84" t="n">
        <v>0.783293718514478</v>
      </c>
      <c r="M12" s="84" t="n">
        <v>0.577060931899642</v>
      </c>
      <c r="N12" s="84" t="n">
        <v>0.635658914728682</v>
      </c>
      <c r="O12" s="84" t="n">
        <v>1</v>
      </c>
      <c r="P12" s="85">
        <f>AVERAGE(D12:I12)</f>
        <v/>
      </c>
      <c r="Q12" s="85">
        <f>AVERAGE(J12:L12)</f>
        <v/>
      </c>
      <c r="R12" s="85">
        <f>AVERAGE(M12:O12)</f>
        <v/>
      </c>
      <c r="S12" s="85">
        <f>'02_지표정의'!$C$22*P12+'02_지표정의'!$C$23*Q12+'02_지표정의'!$C$24*R12</f>
        <v/>
      </c>
      <c r="T12" s="73">
        <f>IF(OR(AND(B12="gemini",C12="gemma"),AND(B12="qwen3_6",C12="qwen"),AND(B12="mistral",C12="ministral")),1,0)</f>
        <v/>
      </c>
      <c r="U12" s="73">
        <f>IF(LEFT(A12,3)="PAT","특허","보고서")</f>
        <v/>
      </c>
      <c r="V12" s="86">
        <f>COUNTIF($S$2:$S$976,"&lt;"&amp;S12)+(COUNTIF($S$2:$S$976,"="&amp;S12)+1)/2</f>
        <v/>
      </c>
      <c r="W12" s="73">
        <f>IF(C12="qwen",0,COUNTIFS($C$2:$C$976,"&lt;&gt;qwen",$S$2:$S$976,"&lt;"&amp;S12)+1)</f>
        <v/>
      </c>
      <c r="X12" s="73">
        <f>IF(C12="ministral",0,COUNTIFS($C$2:$C$976,"&lt;&gt;ministral",$S$2:$S$976,"&lt;"&amp;S12)+1)</f>
        <v/>
      </c>
      <c r="Y12" s="73">
        <f>IF(C12="gemma",0,COUNTIFS($C$2:$C$976,"&lt;&gt;gemma",$S$2:$S$976,"&lt;"&amp;S12)+1)</f>
        <v/>
      </c>
      <c r="Z12" s="87">
        <f>COUNTIFS($B$2:$B$976,B12,$C$2:$C$976,C12,$S$2:$S$976,"&lt;"&amp;S12)+1</f>
        <v/>
      </c>
      <c r="AA12" s="88">
        <f>ABS(S12-SUMPRODUCT(('05B_가정검정'!$A$5:$A$19=B12)*('05B_가정검정'!$B$5:$B$19=C12)*'05B_가정검정'!$E$5:$E$19))</f>
        <v/>
      </c>
      <c r="AB12" s="88">
        <f>S12-AVERAGEIFS($S$2:$S$976,$B$2:$B$976,B12,$C$2:$C$976,C12)</f>
        <v/>
      </c>
    </row>
    <row r="13" ht="15" customHeight="1" s="68">
      <c r="A13" s="83" t="inlineStr">
        <is>
          <t>PAT-01</t>
        </is>
      </c>
      <c r="B13" s="83" t="inlineStr">
        <is>
          <t>mistral</t>
        </is>
      </c>
      <c r="C13" s="83" t="inlineStr">
        <is>
          <t>qwen</t>
        </is>
      </c>
      <c r="D13" s="84" t="n">
        <v>0.238329238329238</v>
      </c>
      <c r="E13" s="84" t="n">
        <v>0.47008547008547</v>
      </c>
      <c r="F13" s="84" t="n">
        <v>0.155172413793103</v>
      </c>
      <c r="G13" s="84" t="n">
        <v>0.367521367521368</v>
      </c>
      <c r="H13" s="84" t="n">
        <v>0.31914738484782</v>
      </c>
      <c r="I13" s="84" t="n">
        <v>0.236801990576158</v>
      </c>
      <c r="J13" s="84" t="n">
        <v>0.717084906059029</v>
      </c>
      <c r="K13" s="84" t="n">
        <v>0.556769250542039</v>
      </c>
      <c r="L13" s="84" t="n">
        <v>0.752435655317909</v>
      </c>
      <c r="M13" s="84" t="n">
        <v>0.794594594594595</v>
      </c>
      <c r="N13" s="84" t="n">
        <v>0.809090909090909</v>
      </c>
      <c r="O13" s="84" t="n">
        <v>1</v>
      </c>
      <c r="P13" s="85">
        <f>AVERAGE(D13:I13)</f>
        <v/>
      </c>
      <c r="Q13" s="85">
        <f>AVERAGE(J13:L13)</f>
        <v/>
      </c>
      <c r="R13" s="85">
        <f>AVERAGE(M13:O13)</f>
        <v/>
      </c>
      <c r="S13" s="85">
        <f>'02_지표정의'!$C$22*P13+'02_지표정의'!$C$23*Q13+'02_지표정의'!$C$24*R13</f>
        <v/>
      </c>
      <c r="T13" s="73">
        <f>IF(OR(AND(B13="gemini",C13="gemma"),AND(B13="qwen3_6",C13="qwen"),AND(B13="mistral",C13="ministral")),1,0)</f>
        <v/>
      </c>
      <c r="U13" s="73">
        <f>IF(LEFT(A13,3)="PAT","특허","보고서")</f>
        <v/>
      </c>
      <c r="V13" s="86">
        <f>COUNTIF($S$2:$S$976,"&lt;"&amp;S13)+(COUNTIF($S$2:$S$976,"="&amp;S13)+1)/2</f>
        <v/>
      </c>
      <c r="W13" s="73">
        <f>IF(C13="qwen",0,COUNTIFS($C$2:$C$976,"&lt;&gt;qwen",$S$2:$S$976,"&lt;"&amp;S13)+1)</f>
        <v/>
      </c>
      <c r="X13" s="73">
        <f>IF(C13="ministral",0,COUNTIFS($C$2:$C$976,"&lt;&gt;ministral",$S$2:$S$976,"&lt;"&amp;S13)+1)</f>
        <v/>
      </c>
      <c r="Y13" s="73">
        <f>IF(C13="gemma",0,COUNTIFS($C$2:$C$976,"&lt;&gt;gemma",$S$2:$S$976,"&lt;"&amp;S13)+1)</f>
        <v/>
      </c>
      <c r="Z13" s="87">
        <f>COUNTIFS($B$2:$B$976,B13,$C$2:$C$976,C13,$S$2:$S$976,"&lt;"&amp;S13)+1</f>
        <v/>
      </c>
      <c r="AA13" s="88">
        <f>ABS(S13-SUMPRODUCT(('05B_가정검정'!$A$5:$A$19=B13)*('05B_가정검정'!$B$5:$B$19=C13)*'05B_가정검정'!$E$5:$E$19))</f>
        <v/>
      </c>
      <c r="AB13" s="88">
        <f>S13-AVERAGEIFS($S$2:$S$976,$B$2:$B$976,B13,$C$2:$C$976,C13)</f>
        <v/>
      </c>
    </row>
    <row r="14" ht="15" customHeight="1" s="68">
      <c r="A14" s="83" t="inlineStr">
        <is>
          <t>PAT-01</t>
        </is>
      </c>
      <c r="B14" s="83" t="inlineStr">
        <is>
          <t>qwen3_6</t>
        </is>
      </c>
      <c r="C14" s="83" t="inlineStr">
        <is>
          <t>gemma</t>
        </is>
      </c>
      <c r="D14" s="84" t="n">
        <v>0.303030303030303</v>
      </c>
      <c r="E14" s="84" t="n">
        <v>0.350597609561753</v>
      </c>
      <c r="F14" s="84" t="n">
        <v>0.120481927710843</v>
      </c>
      <c r="G14" s="84" t="n">
        <v>0.239043824701195</v>
      </c>
      <c r="H14" s="84" t="n">
        <v>0.325156754079775</v>
      </c>
      <c r="I14" s="84" t="n">
        <v>0.249747478620456</v>
      </c>
      <c r="J14" s="84" t="n">
        <v>0.715638521242923</v>
      </c>
      <c r="K14" s="84" t="n">
        <v>0.645260026202757</v>
      </c>
      <c r="L14" s="84" t="n">
        <v>0.852220122843977</v>
      </c>
      <c r="M14" s="84" t="n">
        <v>0.906542056074766</v>
      </c>
      <c r="N14" s="84" t="n">
        <v>0.916666666666667</v>
      </c>
      <c r="O14" s="84" t="n">
        <v>1</v>
      </c>
      <c r="P14" s="85">
        <f>AVERAGE(D14:I14)</f>
        <v/>
      </c>
      <c r="Q14" s="85">
        <f>AVERAGE(J14:L14)</f>
        <v/>
      </c>
      <c r="R14" s="85">
        <f>AVERAGE(M14:O14)</f>
        <v/>
      </c>
      <c r="S14" s="85">
        <f>'02_지표정의'!$C$22*P14+'02_지표정의'!$C$23*Q14+'02_지표정의'!$C$24*R14</f>
        <v/>
      </c>
      <c r="T14" s="73">
        <f>IF(OR(AND(B14="gemini",C14="gemma"),AND(B14="qwen3_6",C14="qwen"),AND(B14="mistral",C14="ministral")),1,0)</f>
        <v/>
      </c>
      <c r="U14" s="73">
        <f>IF(LEFT(A14,3)="PAT","특허","보고서")</f>
        <v/>
      </c>
      <c r="V14" s="86">
        <f>COUNTIF($S$2:$S$976,"&lt;"&amp;S14)+(COUNTIF($S$2:$S$976,"="&amp;S14)+1)/2</f>
        <v/>
      </c>
      <c r="W14" s="73">
        <f>IF(C14="qwen",0,COUNTIFS($C$2:$C$976,"&lt;&gt;qwen",$S$2:$S$976,"&lt;"&amp;S14)+1)</f>
        <v/>
      </c>
      <c r="X14" s="73">
        <f>IF(C14="ministral",0,COUNTIFS($C$2:$C$976,"&lt;&gt;ministral",$S$2:$S$976,"&lt;"&amp;S14)+1)</f>
        <v/>
      </c>
      <c r="Y14" s="73">
        <f>IF(C14="gemma",0,COUNTIFS($C$2:$C$976,"&lt;&gt;gemma",$S$2:$S$976,"&lt;"&amp;S14)+1)</f>
        <v/>
      </c>
      <c r="Z14" s="87">
        <f>COUNTIFS($B$2:$B$976,B14,$C$2:$C$976,C14,$S$2:$S$976,"&lt;"&amp;S14)+1</f>
        <v/>
      </c>
      <c r="AA14" s="88">
        <f>ABS(S14-SUMPRODUCT(('05B_가정검정'!$A$5:$A$19=B14)*('05B_가정검정'!$B$5:$B$19=C14)*'05B_가정검정'!$E$5:$E$19))</f>
        <v/>
      </c>
      <c r="AB14" s="88">
        <f>S14-AVERAGEIFS($S$2:$S$976,$B$2:$B$976,B14,$C$2:$C$976,C14)</f>
        <v/>
      </c>
    </row>
    <row r="15" ht="15" customHeight="1" s="68">
      <c r="A15" s="83" t="inlineStr">
        <is>
          <t>PAT-01</t>
        </is>
      </c>
      <c r="B15" s="83" t="inlineStr">
        <is>
          <t>qwen3_6</t>
        </is>
      </c>
      <c r="C15" s="83" t="inlineStr">
        <is>
          <t>ministral</t>
        </is>
      </c>
      <c r="D15" s="84" t="n">
        <v>0.300621118012422</v>
      </c>
      <c r="E15" s="84" t="n">
        <v>0.304635761589404</v>
      </c>
      <c r="F15" s="84" t="n">
        <v>0.126666666666667</v>
      </c>
      <c r="G15" s="84" t="n">
        <v>0.23841059602649</v>
      </c>
      <c r="H15" s="84" t="n">
        <v>0.205800854189577</v>
      </c>
      <c r="I15" s="84" t="n">
        <v>0.239361197064583</v>
      </c>
      <c r="J15" s="84" t="n">
        <v>0.7077639693554379</v>
      </c>
      <c r="K15" s="84" t="n">
        <v>0.675628072139376</v>
      </c>
      <c r="L15" s="84" t="n">
        <v>0.81899877657635</v>
      </c>
      <c r="M15" s="84" t="n">
        <v>0.347670250896057</v>
      </c>
      <c r="N15" s="84" t="n">
        <v>0.426356589147287</v>
      </c>
      <c r="O15" s="84" t="n">
        <v>1</v>
      </c>
      <c r="P15" s="85">
        <f>AVERAGE(D15:I15)</f>
        <v/>
      </c>
      <c r="Q15" s="85">
        <f>AVERAGE(J15:L15)</f>
        <v/>
      </c>
      <c r="R15" s="85">
        <f>AVERAGE(M15:O15)</f>
        <v/>
      </c>
      <c r="S15" s="85">
        <f>'02_지표정의'!$C$22*P15+'02_지표정의'!$C$23*Q15+'02_지표정의'!$C$24*R15</f>
        <v/>
      </c>
      <c r="T15" s="73">
        <f>IF(OR(AND(B15="gemini",C15="gemma"),AND(B15="qwen3_6",C15="qwen"),AND(B15="mistral",C15="ministral")),1,0)</f>
        <v/>
      </c>
      <c r="U15" s="73">
        <f>IF(LEFT(A15,3)="PAT","특허","보고서")</f>
        <v/>
      </c>
      <c r="V15" s="86">
        <f>COUNTIF($S$2:$S$976,"&lt;"&amp;S15)+(COUNTIF($S$2:$S$976,"="&amp;S15)+1)/2</f>
        <v/>
      </c>
      <c r="W15" s="73">
        <f>IF(C15="qwen",0,COUNTIFS($C$2:$C$976,"&lt;&gt;qwen",$S$2:$S$976,"&lt;"&amp;S15)+1)</f>
        <v/>
      </c>
      <c r="X15" s="73">
        <f>IF(C15="ministral",0,COUNTIFS($C$2:$C$976,"&lt;&gt;ministral",$S$2:$S$976,"&lt;"&amp;S15)+1)</f>
        <v/>
      </c>
      <c r="Y15" s="73">
        <f>IF(C15="gemma",0,COUNTIFS($C$2:$C$976,"&lt;&gt;gemma",$S$2:$S$976,"&lt;"&amp;S15)+1)</f>
        <v/>
      </c>
      <c r="Z15" s="87">
        <f>COUNTIFS($B$2:$B$976,B15,$C$2:$C$976,C15,$S$2:$S$976,"&lt;"&amp;S15)+1</f>
        <v/>
      </c>
      <c r="AA15" s="88">
        <f>ABS(S15-SUMPRODUCT(('05B_가정검정'!$A$5:$A$19=B15)*('05B_가정검정'!$B$5:$B$19=C15)*'05B_가정검정'!$E$5:$E$19))</f>
        <v/>
      </c>
      <c r="AB15" s="88">
        <f>S15-AVERAGEIFS($S$2:$S$976,$B$2:$B$976,B15,$C$2:$C$976,C15)</f>
        <v/>
      </c>
    </row>
    <row r="16" ht="15" customHeight="1" s="68">
      <c r="A16" s="83" t="inlineStr">
        <is>
          <t>PAT-01</t>
        </is>
      </c>
      <c r="B16" s="83" t="inlineStr">
        <is>
          <t>qwen3_6</t>
        </is>
      </c>
      <c r="C16" s="83" t="inlineStr">
        <is>
          <t>qwen</t>
        </is>
      </c>
      <c r="D16" s="84" t="n">
        <v>0.294520547945206</v>
      </c>
      <c r="E16" s="84" t="n">
        <v>0.504201680672269</v>
      </c>
      <c r="F16" s="84" t="n">
        <v>0.14406779661017</v>
      </c>
      <c r="G16" s="84" t="n">
        <v>0.310924369747899</v>
      </c>
      <c r="H16" s="84" t="n">
        <v>0.285168260786118</v>
      </c>
      <c r="I16" s="84" t="n">
        <v>0.355695449063025</v>
      </c>
      <c r="J16" s="84" t="n">
        <v>0.711834330982992</v>
      </c>
      <c r="K16" s="84" t="n">
        <v>0.619878877883025</v>
      </c>
      <c r="L16" s="84" t="n">
        <v>0.8318736181269329</v>
      </c>
      <c r="M16" s="84" t="n">
        <v>0.5739644970414201</v>
      </c>
      <c r="N16" s="84" t="n">
        <v>0.53921568627451</v>
      </c>
      <c r="O16" s="84" t="n">
        <v>1</v>
      </c>
      <c r="P16" s="85">
        <f>AVERAGE(D16:I16)</f>
        <v/>
      </c>
      <c r="Q16" s="85">
        <f>AVERAGE(J16:L16)</f>
        <v/>
      </c>
      <c r="R16" s="85">
        <f>AVERAGE(M16:O16)</f>
        <v/>
      </c>
      <c r="S16" s="85">
        <f>'02_지표정의'!$C$22*P16+'02_지표정의'!$C$23*Q16+'02_지표정의'!$C$24*R16</f>
        <v/>
      </c>
      <c r="T16" s="73">
        <f>IF(OR(AND(B16="gemini",C16="gemma"),AND(B16="qwen3_6",C16="qwen"),AND(B16="mistral",C16="ministral")),1,0)</f>
        <v/>
      </c>
      <c r="U16" s="73">
        <f>IF(LEFT(A16,3)="PAT","특허","보고서")</f>
        <v/>
      </c>
      <c r="V16" s="86">
        <f>COUNTIF($S$2:$S$976,"&lt;"&amp;S16)+(COUNTIF($S$2:$S$976,"="&amp;S16)+1)/2</f>
        <v/>
      </c>
      <c r="W16" s="73">
        <f>IF(C16="qwen",0,COUNTIFS($C$2:$C$976,"&lt;&gt;qwen",$S$2:$S$976,"&lt;"&amp;S16)+1)</f>
        <v/>
      </c>
      <c r="X16" s="73">
        <f>IF(C16="ministral",0,COUNTIFS($C$2:$C$976,"&lt;&gt;ministral",$S$2:$S$976,"&lt;"&amp;S16)+1)</f>
        <v/>
      </c>
      <c r="Y16" s="73">
        <f>IF(C16="gemma",0,COUNTIFS($C$2:$C$976,"&lt;&gt;gemma",$S$2:$S$976,"&lt;"&amp;S16)+1)</f>
        <v/>
      </c>
      <c r="Z16" s="87">
        <f>COUNTIFS($B$2:$B$976,B16,$C$2:$C$976,C16,$S$2:$S$976,"&lt;"&amp;S16)+1</f>
        <v/>
      </c>
      <c r="AA16" s="88">
        <f>ABS(S16-SUMPRODUCT(('05B_가정검정'!$A$5:$A$19=B16)*('05B_가정검정'!$B$5:$B$19=C16)*'05B_가정검정'!$E$5:$E$19))</f>
        <v/>
      </c>
      <c r="AB16" s="88">
        <f>S16-AVERAGEIFS($S$2:$S$976,$B$2:$B$976,B16,$C$2:$C$976,C16)</f>
        <v/>
      </c>
    </row>
    <row r="17" ht="15" customHeight="1" s="68">
      <c r="A17" s="83" t="inlineStr">
        <is>
          <t>PAT-02</t>
        </is>
      </c>
      <c r="B17" s="83" t="inlineStr">
        <is>
          <t>chatgpt</t>
        </is>
      </c>
      <c r="C17" s="83" t="inlineStr">
        <is>
          <t>gemma</t>
        </is>
      </c>
      <c r="D17" s="84" t="n">
        <v>0.237741456166419</v>
      </c>
      <c r="E17" s="84" t="n">
        <v>0.297029702970297</v>
      </c>
      <c r="F17" s="84" t="n">
        <v>0.11</v>
      </c>
      <c r="G17" s="84" t="n">
        <v>0.257425742574257</v>
      </c>
      <c r="H17" s="84" t="n">
        <v>0.208572230625021</v>
      </c>
      <c r="I17" s="84" t="n">
        <v>0.289854732783054</v>
      </c>
      <c r="J17" s="84" t="n">
        <v>0.678504885931651</v>
      </c>
      <c r="K17" s="84" t="n">
        <v>0.618927114101258</v>
      </c>
      <c r="L17" s="84" t="n">
        <v>0.7970829425956421</v>
      </c>
      <c r="M17" s="84" t="n">
        <v>0.435897435897436</v>
      </c>
      <c r="N17" s="84" t="n">
        <v>0.182692307692308</v>
      </c>
      <c r="O17" s="84" t="n">
        <v>1</v>
      </c>
      <c r="P17" s="85">
        <f>AVERAGE(D17:I17)</f>
        <v/>
      </c>
      <c r="Q17" s="85">
        <f>AVERAGE(J17:L17)</f>
        <v/>
      </c>
      <c r="R17" s="85">
        <f>AVERAGE(M17:O17)</f>
        <v/>
      </c>
      <c r="S17" s="85">
        <f>'02_지표정의'!$C$22*P17+'02_지표정의'!$C$23*Q17+'02_지표정의'!$C$24*R17</f>
        <v/>
      </c>
      <c r="T17" s="73">
        <f>IF(OR(AND(B17="gemini",C17="gemma"),AND(B17="qwen3_6",C17="qwen"),AND(B17="mistral",C17="ministral")),1,0)</f>
        <v/>
      </c>
      <c r="U17" s="73">
        <f>IF(LEFT(A17,3)="PAT","특허","보고서")</f>
        <v/>
      </c>
      <c r="V17" s="86">
        <f>COUNTIF($S$2:$S$976,"&lt;"&amp;S17)+(COUNTIF($S$2:$S$976,"="&amp;S17)+1)/2</f>
        <v/>
      </c>
      <c r="W17" s="73">
        <f>IF(C17="qwen",0,COUNTIFS($C$2:$C$976,"&lt;&gt;qwen",$S$2:$S$976,"&lt;"&amp;S17)+1)</f>
        <v/>
      </c>
      <c r="X17" s="73">
        <f>IF(C17="ministral",0,COUNTIFS($C$2:$C$976,"&lt;&gt;ministral",$S$2:$S$976,"&lt;"&amp;S17)+1)</f>
        <v/>
      </c>
      <c r="Y17" s="73">
        <f>IF(C17="gemma",0,COUNTIFS($C$2:$C$976,"&lt;&gt;gemma",$S$2:$S$976,"&lt;"&amp;S17)+1)</f>
        <v/>
      </c>
      <c r="Z17" s="87">
        <f>COUNTIFS($B$2:$B$976,B17,$C$2:$C$976,C17,$S$2:$S$976,"&lt;"&amp;S17)+1</f>
        <v/>
      </c>
      <c r="AA17" s="88">
        <f>ABS(S17-SUMPRODUCT(('05B_가정검정'!$A$5:$A$19=B17)*('05B_가정검정'!$B$5:$B$19=C17)*'05B_가정검정'!$E$5:$E$19))</f>
        <v/>
      </c>
      <c r="AB17" s="88">
        <f>S17-AVERAGEIFS($S$2:$S$976,$B$2:$B$976,B17,$C$2:$C$976,C17)</f>
        <v/>
      </c>
    </row>
    <row r="18" ht="15" customHeight="1" s="68">
      <c r="A18" s="83" t="inlineStr">
        <is>
          <t>PAT-02</t>
        </is>
      </c>
      <c r="B18" s="83" t="inlineStr">
        <is>
          <t>chatgpt</t>
        </is>
      </c>
      <c r="C18" s="83" t="inlineStr">
        <is>
          <t>ministral</t>
        </is>
      </c>
      <c r="D18" s="84" t="n">
        <v>0.229032258064516</v>
      </c>
      <c r="E18" s="84" t="n">
        <v>0.197879858657244</v>
      </c>
      <c r="F18" s="84" t="n">
        <v>0.0854092526690392</v>
      </c>
      <c r="G18" s="84" t="n">
        <v>0.183745583038869</v>
      </c>
      <c r="H18" s="84" t="n">
        <v>0.140958327997491</v>
      </c>
      <c r="I18" s="84" t="n">
        <v>0.192532423439034</v>
      </c>
      <c r="J18" s="84" t="n">
        <v>0.667868313366652</v>
      </c>
      <c r="K18" s="84" t="n">
        <v>0.655435733600972</v>
      </c>
      <c r="L18" s="84" t="n">
        <v>0.813435505156598</v>
      </c>
      <c r="M18" s="84" t="n">
        <v>0.423880597014925</v>
      </c>
      <c r="N18" s="84" t="n">
        <v>0</v>
      </c>
      <c r="O18" s="84" t="n">
        <v>0.6447368421052631</v>
      </c>
      <c r="P18" s="85">
        <f>AVERAGE(D18:I18)</f>
        <v/>
      </c>
      <c r="Q18" s="85">
        <f>AVERAGE(J18:L18)</f>
        <v/>
      </c>
      <c r="R18" s="85">
        <f>AVERAGE(M18:O18)</f>
        <v/>
      </c>
      <c r="S18" s="85">
        <f>'02_지표정의'!$C$22*P18+'02_지표정의'!$C$23*Q18+'02_지표정의'!$C$24*R18</f>
        <v/>
      </c>
      <c r="T18" s="73">
        <f>IF(OR(AND(B18="gemini",C18="gemma"),AND(B18="qwen3_6",C18="qwen"),AND(B18="mistral",C18="ministral")),1,0)</f>
        <v/>
      </c>
      <c r="U18" s="73">
        <f>IF(LEFT(A18,3)="PAT","특허","보고서")</f>
        <v/>
      </c>
      <c r="V18" s="86">
        <f>COUNTIF($S$2:$S$976,"&lt;"&amp;S18)+(COUNTIF($S$2:$S$976,"="&amp;S18)+1)/2</f>
        <v/>
      </c>
      <c r="W18" s="73">
        <f>IF(C18="qwen",0,COUNTIFS($C$2:$C$976,"&lt;&gt;qwen",$S$2:$S$976,"&lt;"&amp;S18)+1)</f>
        <v/>
      </c>
      <c r="X18" s="73">
        <f>IF(C18="ministral",0,COUNTIFS($C$2:$C$976,"&lt;&gt;ministral",$S$2:$S$976,"&lt;"&amp;S18)+1)</f>
        <v/>
      </c>
      <c r="Y18" s="73">
        <f>IF(C18="gemma",0,COUNTIFS($C$2:$C$976,"&lt;&gt;gemma",$S$2:$S$976,"&lt;"&amp;S18)+1)</f>
        <v/>
      </c>
      <c r="Z18" s="87">
        <f>COUNTIFS($B$2:$B$976,B18,$C$2:$C$976,C18,$S$2:$S$976,"&lt;"&amp;S18)+1</f>
        <v/>
      </c>
      <c r="AA18" s="88">
        <f>ABS(S18-SUMPRODUCT(('05B_가정검정'!$A$5:$A$19=B18)*('05B_가정검정'!$B$5:$B$19=C18)*'05B_가정검정'!$E$5:$E$19))</f>
        <v/>
      </c>
      <c r="AB18" s="88">
        <f>S18-AVERAGEIFS($S$2:$S$976,$B$2:$B$976,B18,$C$2:$C$976,C18)</f>
        <v/>
      </c>
    </row>
    <row r="19" ht="15" customHeight="1" s="68">
      <c r="A19" s="83" t="inlineStr">
        <is>
          <t>PAT-02</t>
        </is>
      </c>
      <c r="B19" s="83" t="inlineStr">
        <is>
          <t>chatgpt</t>
        </is>
      </c>
      <c r="C19" s="83" t="inlineStr">
        <is>
          <t>qwen</t>
        </is>
      </c>
      <c r="D19" s="84" t="n">
        <v>0.294303797468354</v>
      </c>
      <c r="E19" s="84" t="n">
        <v>0.462222222222222</v>
      </c>
      <c r="F19" s="84" t="n">
        <v>0.116591928251121</v>
      </c>
      <c r="G19" s="84" t="n">
        <v>0.346666666666667</v>
      </c>
      <c r="H19" s="84" t="n">
        <v>0.223850609040323</v>
      </c>
      <c r="I19" s="84" t="n">
        <v>0.525326876856791</v>
      </c>
      <c r="J19" s="84" t="n">
        <v>0.661469688025252</v>
      </c>
      <c r="K19" s="84" t="n">
        <v>0.586149811223625</v>
      </c>
      <c r="L19" s="84" t="n">
        <v>0.7899150229685949</v>
      </c>
      <c r="M19" s="84" t="n">
        <v>0.502564102564103</v>
      </c>
      <c r="N19" s="84" t="n">
        <v>0</v>
      </c>
      <c r="O19" s="84" t="n">
        <v>1</v>
      </c>
      <c r="P19" s="85">
        <f>AVERAGE(D19:I19)</f>
        <v/>
      </c>
      <c r="Q19" s="85">
        <f>AVERAGE(J19:L19)</f>
        <v/>
      </c>
      <c r="R19" s="85">
        <f>AVERAGE(M19:O19)</f>
        <v/>
      </c>
      <c r="S19" s="85">
        <f>'02_지표정의'!$C$22*P19+'02_지표정의'!$C$23*Q19+'02_지표정의'!$C$24*R19</f>
        <v/>
      </c>
      <c r="T19" s="73">
        <f>IF(OR(AND(B19="gemini",C19="gemma"),AND(B19="qwen3_6",C19="qwen"),AND(B19="mistral",C19="ministral")),1,0)</f>
        <v/>
      </c>
      <c r="U19" s="73">
        <f>IF(LEFT(A19,3)="PAT","특허","보고서")</f>
        <v/>
      </c>
      <c r="V19" s="86">
        <f>COUNTIF($S$2:$S$976,"&lt;"&amp;S19)+(COUNTIF($S$2:$S$976,"="&amp;S19)+1)/2</f>
        <v/>
      </c>
      <c r="W19" s="73">
        <f>IF(C19="qwen",0,COUNTIFS($C$2:$C$976,"&lt;&gt;qwen",$S$2:$S$976,"&lt;"&amp;S19)+1)</f>
        <v/>
      </c>
      <c r="X19" s="73">
        <f>IF(C19="ministral",0,COUNTIFS($C$2:$C$976,"&lt;&gt;ministral",$S$2:$S$976,"&lt;"&amp;S19)+1)</f>
        <v/>
      </c>
      <c r="Y19" s="73">
        <f>IF(C19="gemma",0,COUNTIFS($C$2:$C$976,"&lt;&gt;gemma",$S$2:$S$976,"&lt;"&amp;S19)+1)</f>
        <v/>
      </c>
      <c r="Z19" s="87">
        <f>COUNTIFS($B$2:$B$976,B19,$C$2:$C$976,C19,$S$2:$S$976,"&lt;"&amp;S19)+1</f>
        <v/>
      </c>
      <c r="AA19" s="88">
        <f>ABS(S19-SUMPRODUCT(('05B_가정검정'!$A$5:$A$19=B19)*('05B_가정검정'!$B$5:$B$19=C19)*'05B_가정검정'!$E$5:$E$19))</f>
        <v/>
      </c>
      <c r="AB19" s="88">
        <f>S19-AVERAGEIFS($S$2:$S$976,$B$2:$B$976,B19,$C$2:$C$976,C19)</f>
        <v/>
      </c>
    </row>
    <row r="20" ht="15" customHeight="1" s="68">
      <c r="A20" s="83" t="inlineStr">
        <is>
          <t>PAT-02</t>
        </is>
      </c>
      <c r="B20" s="83" t="inlineStr">
        <is>
          <t>claude</t>
        </is>
      </c>
      <c r="C20" s="83" t="inlineStr">
        <is>
          <t>gemma</t>
        </is>
      </c>
      <c r="D20" s="84" t="n">
        <v>0.257943925233645</v>
      </c>
      <c r="E20" s="84" t="n">
        <v>0.293159609120521</v>
      </c>
      <c r="F20" s="84" t="n">
        <v>0.0983606557377049</v>
      </c>
      <c r="G20" s="84" t="n">
        <v>0.188925081433225</v>
      </c>
      <c r="H20" s="84" t="n">
        <v>0.312434474675136</v>
      </c>
      <c r="I20" s="84" t="n">
        <v>0.2664226764499</v>
      </c>
      <c r="J20" s="84" t="n">
        <v>0.697154255449477</v>
      </c>
      <c r="K20" s="84" t="n">
        <v>0.680966567034625</v>
      </c>
      <c r="L20" s="84" t="n">
        <v>0.859997226404614</v>
      </c>
      <c r="M20" s="84" t="n">
        <v>0.645833333333333</v>
      </c>
      <c r="N20" s="84" t="n">
        <v>0.583333333333333</v>
      </c>
      <c r="O20" s="84" t="n">
        <v>1</v>
      </c>
      <c r="P20" s="85">
        <f>AVERAGE(D20:I20)</f>
        <v/>
      </c>
      <c r="Q20" s="85">
        <f>AVERAGE(J20:L20)</f>
        <v/>
      </c>
      <c r="R20" s="85">
        <f>AVERAGE(M20:O20)</f>
        <v/>
      </c>
      <c r="S20" s="85">
        <f>'02_지표정의'!$C$22*P20+'02_지표정의'!$C$23*Q20+'02_지표정의'!$C$24*R20</f>
        <v/>
      </c>
      <c r="T20" s="73">
        <f>IF(OR(AND(B20="gemini",C20="gemma"),AND(B20="qwen3_6",C20="qwen"),AND(B20="mistral",C20="ministral")),1,0)</f>
        <v/>
      </c>
      <c r="U20" s="73">
        <f>IF(LEFT(A20,3)="PAT","특허","보고서")</f>
        <v/>
      </c>
      <c r="V20" s="86">
        <f>COUNTIF($S$2:$S$976,"&lt;"&amp;S20)+(COUNTIF($S$2:$S$976,"="&amp;S20)+1)/2</f>
        <v/>
      </c>
      <c r="W20" s="73">
        <f>IF(C20="qwen",0,COUNTIFS($C$2:$C$976,"&lt;&gt;qwen",$S$2:$S$976,"&lt;"&amp;S20)+1)</f>
        <v/>
      </c>
      <c r="X20" s="73">
        <f>IF(C20="ministral",0,COUNTIFS($C$2:$C$976,"&lt;&gt;ministral",$S$2:$S$976,"&lt;"&amp;S20)+1)</f>
        <v/>
      </c>
      <c r="Y20" s="73">
        <f>IF(C20="gemma",0,COUNTIFS($C$2:$C$976,"&lt;&gt;gemma",$S$2:$S$976,"&lt;"&amp;S20)+1)</f>
        <v/>
      </c>
      <c r="Z20" s="87">
        <f>COUNTIFS($B$2:$B$976,B20,$C$2:$C$976,C20,$S$2:$S$976,"&lt;"&amp;S20)+1</f>
        <v/>
      </c>
      <c r="AA20" s="88">
        <f>ABS(S20-SUMPRODUCT(('05B_가정검정'!$A$5:$A$19=B20)*('05B_가정검정'!$B$5:$B$19=C20)*'05B_가정검정'!$E$5:$E$19))</f>
        <v/>
      </c>
      <c r="AB20" s="88">
        <f>S20-AVERAGEIFS($S$2:$S$976,$B$2:$B$976,B20,$C$2:$C$976,C20)</f>
        <v/>
      </c>
    </row>
    <row r="21" ht="15" customHeight="1" s="68">
      <c r="A21" s="83" t="inlineStr">
        <is>
          <t>PAT-02</t>
        </is>
      </c>
      <c r="B21" s="83" t="inlineStr">
        <is>
          <t>claude</t>
        </is>
      </c>
      <c r="C21" s="83" t="inlineStr">
        <is>
          <t>ministral</t>
        </is>
      </c>
      <c r="D21" s="84" t="n">
        <v>0.263520157325467</v>
      </c>
      <c r="E21" s="84" t="n">
        <v>0.252577319587629</v>
      </c>
      <c r="F21" s="84" t="n">
        <v>0.077720207253886</v>
      </c>
      <c r="G21" s="84" t="n">
        <v>0.195876288659794</v>
      </c>
      <c r="H21" s="84" t="n">
        <v>0.269018553630115</v>
      </c>
      <c r="I21" s="84" t="n">
        <v>0.196034308534859</v>
      </c>
      <c r="J21" s="84" t="n">
        <v>0.705564901607953</v>
      </c>
      <c r="K21" s="84" t="n">
        <v>0.665581245220247</v>
      </c>
      <c r="L21" s="84" t="n">
        <v>0.837378309718583</v>
      </c>
      <c r="M21" s="84" t="n">
        <v>0.423880597014925</v>
      </c>
      <c r="N21" s="84" t="n">
        <v>0.30379746835443</v>
      </c>
      <c r="O21" s="84" t="n">
        <v>0.652631578947369</v>
      </c>
      <c r="P21" s="85">
        <f>AVERAGE(D21:I21)</f>
        <v/>
      </c>
      <c r="Q21" s="85">
        <f>AVERAGE(J21:L21)</f>
        <v/>
      </c>
      <c r="R21" s="85">
        <f>AVERAGE(M21:O21)</f>
        <v/>
      </c>
      <c r="S21" s="85">
        <f>'02_지표정의'!$C$22*P21+'02_지표정의'!$C$23*Q21+'02_지표정의'!$C$24*R21</f>
        <v/>
      </c>
      <c r="T21" s="73">
        <f>IF(OR(AND(B21="gemini",C21="gemma"),AND(B21="qwen3_6",C21="qwen"),AND(B21="mistral",C21="ministral")),1,0)</f>
        <v/>
      </c>
      <c r="U21" s="73">
        <f>IF(LEFT(A21,3)="PAT","특허","보고서")</f>
        <v/>
      </c>
      <c r="V21" s="86">
        <f>COUNTIF($S$2:$S$976,"&lt;"&amp;S21)+(COUNTIF($S$2:$S$976,"="&amp;S21)+1)/2</f>
        <v/>
      </c>
      <c r="W21" s="73">
        <f>IF(C21="qwen",0,COUNTIFS($C$2:$C$976,"&lt;&gt;qwen",$S$2:$S$976,"&lt;"&amp;S21)+1)</f>
        <v/>
      </c>
      <c r="X21" s="73">
        <f>IF(C21="ministral",0,COUNTIFS($C$2:$C$976,"&lt;&gt;ministral",$S$2:$S$976,"&lt;"&amp;S21)+1)</f>
        <v/>
      </c>
      <c r="Y21" s="73">
        <f>IF(C21="gemma",0,COUNTIFS($C$2:$C$976,"&lt;&gt;gemma",$S$2:$S$976,"&lt;"&amp;S21)+1)</f>
        <v/>
      </c>
      <c r="Z21" s="87">
        <f>COUNTIFS($B$2:$B$976,B21,$C$2:$C$976,C21,$S$2:$S$976,"&lt;"&amp;S21)+1</f>
        <v/>
      </c>
      <c r="AA21" s="88">
        <f>ABS(S21-SUMPRODUCT(('05B_가정검정'!$A$5:$A$19=B21)*('05B_가정검정'!$B$5:$B$19=C21)*'05B_가정검정'!$E$5:$E$19))</f>
        <v/>
      </c>
      <c r="AB21" s="88">
        <f>S21-AVERAGEIFS($S$2:$S$976,$B$2:$B$976,B21,$C$2:$C$976,C21)</f>
        <v/>
      </c>
    </row>
    <row r="22" ht="15" customHeight="1" s="68">
      <c r="A22" s="83" t="inlineStr">
        <is>
          <t>PAT-02</t>
        </is>
      </c>
      <c r="B22" s="83" t="inlineStr">
        <is>
          <t>claude</t>
        </is>
      </c>
      <c r="C22" s="83" t="inlineStr">
        <is>
          <t>qwen</t>
        </is>
      </c>
      <c r="D22" s="84" t="n">
        <v>0.281827016520894</v>
      </c>
      <c r="E22" s="84" t="n">
        <v>0.436363636363636</v>
      </c>
      <c r="F22" s="84" t="n">
        <v>0.140243902439024</v>
      </c>
      <c r="G22" s="84" t="n">
        <v>0.284848484848485</v>
      </c>
      <c r="H22" s="84" t="n">
        <v>0.347635900997476</v>
      </c>
      <c r="I22" s="84" t="n">
        <v>0.458570906328961</v>
      </c>
      <c r="J22" s="84" t="n">
        <v>0.722341137291801</v>
      </c>
      <c r="K22" s="84" t="n">
        <v>0.669496316926497</v>
      </c>
      <c r="L22" s="84" t="n">
        <v>0.847507250447607</v>
      </c>
      <c r="M22" s="84" t="n">
        <v>0.691011235955056</v>
      </c>
      <c r="N22" s="84" t="n">
        <v>0.6875</v>
      </c>
      <c r="O22" s="84" t="n">
        <v>1</v>
      </c>
      <c r="P22" s="85">
        <f>AVERAGE(D22:I22)</f>
        <v/>
      </c>
      <c r="Q22" s="85">
        <f>AVERAGE(J22:L22)</f>
        <v/>
      </c>
      <c r="R22" s="85">
        <f>AVERAGE(M22:O22)</f>
        <v/>
      </c>
      <c r="S22" s="85">
        <f>'02_지표정의'!$C$22*P22+'02_지표정의'!$C$23*Q22+'02_지표정의'!$C$24*R22</f>
        <v/>
      </c>
      <c r="T22" s="73">
        <f>IF(OR(AND(B22="gemini",C22="gemma"),AND(B22="qwen3_6",C22="qwen"),AND(B22="mistral",C22="ministral")),1,0)</f>
        <v/>
      </c>
      <c r="U22" s="73">
        <f>IF(LEFT(A22,3)="PAT","특허","보고서")</f>
        <v/>
      </c>
      <c r="V22" s="86">
        <f>COUNTIF($S$2:$S$976,"&lt;"&amp;S22)+(COUNTIF($S$2:$S$976,"="&amp;S22)+1)/2</f>
        <v/>
      </c>
      <c r="W22" s="73">
        <f>IF(C22="qwen",0,COUNTIFS($C$2:$C$976,"&lt;&gt;qwen",$S$2:$S$976,"&lt;"&amp;S22)+1)</f>
        <v/>
      </c>
      <c r="X22" s="73">
        <f>IF(C22="ministral",0,COUNTIFS($C$2:$C$976,"&lt;&gt;ministral",$S$2:$S$976,"&lt;"&amp;S22)+1)</f>
        <v/>
      </c>
      <c r="Y22" s="73">
        <f>IF(C22="gemma",0,COUNTIFS($C$2:$C$976,"&lt;&gt;gemma",$S$2:$S$976,"&lt;"&amp;S22)+1)</f>
        <v/>
      </c>
      <c r="Z22" s="87">
        <f>COUNTIFS($B$2:$B$976,B22,$C$2:$C$976,C22,$S$2:$S$976,"&lt;"&amp;S22)+1</f>
        <v/>
      </c>
      <c r="AA22" s="88">
        <f>ABS(S22-SUMPRODUCT(('05B_가정검정'!$A$5:$A$19=B22)*('05B_가정검정'!$B$5:$B$19=C22)*'05B_가정검정'!$E$5:$E$19))</f>
        <v/>
      </c>
      <c r="AB22" s="88">
        <f>S22-AVERAGEIFS($S$2:$S$976,$B$2:$B$976,B22,$C$2:$C$976,C22)</f>
        <v/>
      </c>
    </row>
    <row r="23" ht="15" customHeight="1" s="68">
      <c r="A23" s="83" t="inlineStr">
        <is>
          <t>PAT-02</t>
        </is>
      </c>
      <c r="B23" s="83" t="inlineStr">
        <is>
          <t>gemini</t>
        </is>
      </c>
      <c r="C23" s="83" t="inlineStr">
        <is>
          <t>gemma</t>
        </is>
      </c>
      <c r="D23" s="84" t="n">
        <v>0.248366013071895</v>
      </c>
      <c r="E23" s="84" t="n">
        <v>0.284313725490196</v>
      </c>
      <c r="F23" s="84" t="n">
        <v>0.108910891089109</v>
      </c>
      <c r="G23" s="84" t="n">
        <v>0.235294117647059</v>
      </c>
      <c r="H23" s="84" t="n">
        <v>0.289897491702338</v>
      </c>
      <c r="I23" s="84" t="n">
        <v>0.206280186146644</v>
      </c>
      <c r="J23" s="84" t="n">
        <v>0.745882733060767</v>
      </c>
      <c r="K23" s="84" t="n">
        <v>0.800382075633058</v>
      </c>
      <c r="L23" s="84" t="n">
        <v>0.907930413756496</v>
      </c>
      <c r="M23" s="84" t="n">
        <v>0.906542056074766</v>
      </c>
      <c r="N23" s="84" t="n">
        <v>0.916666666666667</v>
      </c>
      <c r="O23" s="84" t="n">
        <v>1</v>
      </c>
      <c r="P23" s="85">
        <f>AVERAGE(D23:I23)</f>
        <v/>
      </c>
      <c r="Q23" s="85">
        <f>AVERAGE(J23:L23)</f>
        <v/>
      </c>
      <c r="R23" s="85">
        <f>AVERAGE(M23:O23)</f>
        <v/>
      </c>
      <c r="S23" s="85">
        <f>'02_지표정의'!$C$22*P23+'02_지표정의'!$C$23*Q23+'02_지표정의'!$C$24*R23</f>
        <v/>
      </c>
      <c r="T23" s="73">
        <f>IF(OR(AND(B23="gemini",C23="gemma"),AND(B23="qwen3_6",C23="qwen"),AND(B23="mistral",C23="ministral")),1,0)</f>
        <v/>
      </c>
      <c r="U23" s="73">
        <f>IF(LEFT(A23,3)="PAT","특허","보고서")</f>
        <v/>
      </c>
      <c r="V23" s="86">
        <f>COUNTIF($S$2:$S$976,"&lt;"&amp;S23)+(COUNTIF($S$2:$S$976,"="&amp;S23)+1)/2</f>
        <v/>
      </c>
      <c r="W23" s="73">
        <f>IF(C23="qwen",0,COUNTIFS($C$2:$C$976,"&lt;&gt;qwen",$S$2:$S$976,"&lt;"&amp;S23)+1)</f>
        <v/>
      </c>
      <c r="X23" s="73">
        <f>IF(C23="ministral",0,COUNTIFS($C$2:$C$976,"&lt;&gt;ministral",$S$2:$S$976,"&lt;"&amp;S23)+1)</f>
        <v/>
      </c>
      <c r="Y23" s="73">
        <f>IF(C23="gemma",0,COUNTIFS($C$2:$C$976,"&lt;&gt;gemma",$S$2:$S$976,"&lt;"&amp;S23)+1)</f>
        <v/>
      </c>
      <c r="Z23" s="87">
        <f>COUNTIFS($B$2:$B$976,B23,$C$2:$C$976,C23,$S$2:$S$976,"&lt;"&amp;S23)+1</f>
        <v/>
      </c>
      <c r="AA23" s="88">
        <f>ABS(S23-SUMPRODUCT(('05B_가정검정'!$A$5:$A$19=B23)*('05B_가정검정'!$B$5:$B$19=C23)*'05B_가정검정'!$E$5:$E$19))</f>
        <v/>
      </c>
      <c r="AB23" s="88">
        <f>S23-AVERAGEIFS($S$2:$S$976,$B$2:$B$976,B23,$C$2:$C$976,C23)</f>
        <v/>
      </c>
    </row>
    <row r="24" ht="15" customHeight="1" s="68">
      <c r="A24" s="83" t="inlineStr">
        <is>
          <t>PAT-02</t>
        </is>
      </c>
      <c r="B24" s="83" t="inlineStr">
        <is>
          <t>gemini</t>
        </is>
      </c>
      <c r="C24" s="83" t="inlineStr">
        <is>
          <t>ministral</t>
        </is>
      </c>
      <c r="D24" s="84" t="n">
        <v>0.252808988764045</v>
      </c>
      <c r="E24" s="84" t="n">
        <v>0.189473684210526</v>
      </c>
      <c r="F24" s="84" t="n">
        <v>0.07067137809187279</v>
      </c>
      <c r="G24" s="84" t="n">
        <v>0.16140350877193</v>
      </c>
      <c r="H24" s="84" t="n">
        <v>0.193213332710094</v>
      </c>
      <c r="I24" s="84" t="n">
        <v>0.171567007124102</v>
      </c>
      <c r="J24" s="84" t="n">
        <v>0.744183823753882</v>
      </c>
      <c r="K24" s="84" t="n">
        <v>0.761743728327047</v>
      </c>
      <c r="L24" s="84" t="n">
        <v>0.884488685430376</v>
      </c>
      <c r="M24" s="84" t="n">
        <v>0.28955223880597</v>
      </c>
      <c r="N24" s="84" t="n">
        <v>0.272151898734177</v>
      </c>
      <c r="O24" s="84" t="n">
        <v>0.6447368421052631</v>
      </c>
      <c r="P24" s="85">
        <f>AVERAGE(D24:I24)</f>
        <v/>
      </c>
      <c r="Q24" s="85">
        <f>AVERAGE(J24:L24)</f>
        <v/>
      </c>
      <c r="R24" s="85">
        <f>AVERAGE(M24:O24)</f>
        <v/>
      </c>
      <c r="S24" s="85">
        <f>'02_지표정의'!$C$22*P24+'02_지표정의'!$C$23*Q24+'02_지표정의'!$C$24*R24</f>
        <v/>
      </c>
      <c r="T24" s="73">
        <f>IF(OR(AND(B24="gemini",C24="gemma"),AND(B24="qwen3_6",C24="qwen"),AND(B24="mistral",C24="ministral")),1,0)</f>
        <v/>
      </c>
      <c r="U24" s="73">
        <f>IF(LEFT(A24,3)="PAT","특허","보고서")</f>
        <v/>
      </c>
      <c r="V24" s="86">
        <f>COUNTIF($S$2:$S$976,"&lt;"&amp;S24)+(COUNTIF($S$2:$S$976,"="&amp;S24)+1)/2</f>
        <v/>
      </c>
      <c r="W24" s="73">
        <f>IF(C24="qwen",0,COUNTIFS($C$2:$C$976,"&lt;&gt;qwen",$S$2:$S$976,"&lt;"&amp;S24)+1)</f>
        <v/>
      </c>
      <c r="X24" s="73">
        <f>IF(C24="ministral",0,COUNTIFS($C$2:$C$976,"&lt;&gt;ministral",$S$2:$S$976,"&lt;"&amp;S24)+1)</f>
        <v/>
      </c>
      <c r="Y24" s="73">
        <f>IF(C24="gemma",0,COUNTIFS($C$2:$C$976,"&lt;&gt;gemma",$S$2:$S$976,"&lt;"&amp;S24)+1)</f>
        <v/>
      </c>
      <c r="Z24" s="87">
        <f>COUNTIFS($B$2:$B$976,B24,$C$2:$C$976,C24,$S$2:$S$976,"&lt;"&amp;S24)+1</f>
        <v/>
      </c>
      <c r="AA24" s="88">
        <f>ABS(S24-SUMPRODUCT(('05B_가정검정'!$A$5:$A$19=B24)*('05B_가정검정'!$B$5:$B$19=C24)*'05B_가정검정'!$E$5:$E$19))</f>
        <v/>
      </c>
      <c r="AB24" s="88">
        <f>S24-AVERAGEIFS($S$2:$S$976,$B$2:$B$976,B24,$C$2:$C$976,C24)</f>
        <v/>
      </c>
    </row>
    <row r="25" ht="15" customHeight="1" s="68">
      <c r="A25" s="83" t="inlineStr">
        <is>
          <t>PAT-02</t>
        </is>
      </c>
      <c r="B25" s="83" t="inlineStr">
        <is>
          <t>gemini</t>
        </is>
      </c>
      <c r="C25" s="83" t="inlineStr">
        <is>
          <t>qwen</t>
        </is>
      </c>
      <c r="D25" s="84" t="n">
        <v>0.259668508287293</v>
      </c>
      <c r="E25" s="84" t="n">
        <v>0.378854625550661</v>
      </c>
      <c r="F25" s="84" t="n">
        <v>0.16</v>
      </c>
      <c r="G25" s="84" t="n">
        <v>0.273127753303965</v>
      </c>
      <c r="H25" s="84" t="n">
        <v>0.277903841292362</v>
      </c>
      <c r="I25" s="84" t="n">
        <v>0.345980710978451</v>
      </c>
      <c r="J25" s="84" t="n">
        <v>0.755430736277547</v>
      </c>
      <c r="K25" s="84" t="n">
        <v>0.764147133846763</v>
      </c>
      <c r="L25" s="84" t="n">
        <v>0.8896732002900229</v>
      </c>
      <c r="M25" s="84" t="n">
        <v>0.544943820224719</v>
      </c>
      <c r="N25" s="84" t="n">
        <v>0.572916666666667</v>
      </c>
      <c r="O25" s="84" t="n">
        <v>1</v>
      </c>
      <c r="P25" s="85">
        <f>AVERAGE(D25:I25)</f>
        <v/>
      </c>
      <c r="Q25" s="85">
        <f>AVERAGE(J25:L25)</f>
        <v/>
      </c>
      <c r="R25" s="85">
        <f>AVERAGE(M25:O25)</f>
        <v/>
      </c>
      <c r="S25" s="85">
        <f>'02_지표정의'!$C$22*P25+'02_지표정의'!$C$23*Q25+'02_지표정의'!$C$24*R25</f>
        <v/>
      </c>
      <c r="T25" s="73">
        <f>IF(OR(AND(B25="gemini",C25="gemma"),AND(B25="qwen3_6",C25="qwen"),AND(B25="mistral",C25="ministral")),1,0)</f>
        <v/>
      </c>
      <c r="U25" s="73">
        <f>IF(LEFT(A25,3)="PAT","특허","보고서")</f>
        <v/>
      </c>
      <c r="V25" s="86">
        <f>COUNTIF($S$2:$S$976,"&lt;"&amp;S25)+(COUNTIF($S$2:$S$976,"="&amp;S25)+1)/2</f>
        <v/>
      </c>
      <c r="W25" s="73">
        <f>IF(C25="qwen",0,COUNTIFS($C$2:$C$976,"&lt;&gt;qwen",$S$2:$S$976,"&lt;"&amp;S25)+1)</f>
        <v/>
      </c>
      <c r="X25" s="73">
        <f>IF(C25="ministral",0,COUNTIFS($C$2:$C$976,"&lt;&gt;ministral",$S$2:$S$976,"&lt;"&amp;S25)+1)</f>
        <v/>
      </c>
      <c r="Y25" s="73">
        <f>IF(C25="gemma",0,COUNTIFS($C$2:$C$976,"&lt;&gt;gemma",$S$2:$S$976,"&lt;"&amp;S25)+1)</f>
        <v/>
      </c>
      <c r="Z25" s="87">
        <f>COUNTIFS($B$2:$B$976,B25,$C$2:$C$976,C25,$S$2:$S$976,"&lt;"&amp;S25)+1</f>
        <v/>
      </c>
      <c r="AA25" s="88">
        <f>ABS(S25-SUMPRODUCT(('05B_가정검정'!$A$5:$A$19=B25)*('05B_가정검정'!$B$5:$B$19=C25)*'05B_가정검정'!$E$5:$E$19))</f>
        <v/>
      </c>
      <c r="AB25" s="88">
        <f>S25-AVERAGEIFS($S$2:$S$976,$B$2:$B$976,B25,$C$2:$C$976,C25)</f>
        <v/>
      </c>
    </row>
    <row r="26" ht="15" customHeight="1" s="68">
      <c r="A26" s="83" t="inlineStr">
        <is>
          <t>PAT-02</t>
        </is>
      </c>
      <c r="B26" s="83" t="inlineStr">
        <is>
          <t>mistral</t>
        </is>
      </c>
      <c r="C26" s="83" t="inlineStr">
        <is>
          <t>gemma</t>
        </is>
      </c>
      <c r="D26" s="84" t="n">
        <v>0.294322132097335</v>
      </c>
      <c r="E26" s="84" t="n">
        <v>0.366412213740458</v>
      </c>
      <c r="F26" s="84" t="n">
        <v>0.0923076923076923</v>
      </c>
      <c r="G26" s="84" t="n">
        <v>0.251908396946565</v>
      </c>
      <c r="H26" s="84" t="n">
        <v>0.36903987331894</v>
      </c>
      <c r="I26" s="84" t="n">
        <v>0.3045128611502</v>
      </c>
      <c r="J26" s="84" t="n">
        <v>0.718603993740428</v>
      </c>
      <c r="K26" s="84" t="n">
        <v>0.713042491905575</v>
      </c>
      <c r="L26" s="84" t="n">
        <v>0.866432630425615</v>
      </c>
      <c r="M26" s="84" t="n">
        <v>0.486338797814208</v>
      </c>
      <c r="N26" s="84" t="n">
        <v>0.5326086956521739</v>
      </c>
      <c r="O26" s="84" t="n">
        <v>1</v>
      </c>
      <c r="P26" s="85">
        <f>AVERAGE(D26:I26)</f>
        <v/>
      </c>
      <c r="Q26" s="85">
        <f>AVERAGE(J26:L26)</f>
        <v/>
      </c>
      <c r="R26" s="85">
        <f>AVERAGE(M26:O26)</f>
        <v/>
      </c>
      <c r="S26" s="85">
        <f>'02_지표정의'!$C$22*P26+'02_지표정의'!$C$23*Q26+'02_지표정의'!$C$24*R26</f>
        <v/>
      </c>
      <c r="T26" s="73">
        <f>IF(OR(AND(B26="gemini",C26="gemma"),AND(B26="qwen3_6",C26="qwen"),AND(B26="mistral",C26="ministral")),1,0)</f>
        <v/>
      </c>
      <c r="U26" s="73">
        <f>IF(LEFT(A26,3)="PAT","특허","보고서")</f>
        <v/>
      </c>
      <c r="V26" s="86">
        <f>COUNTIF($S$2:$S$976,"&lt;"&amp;S26)+(COUNTIF($S$2:$S$976,"="&amp;S26)+1)/2</f>
        <v/>
      </c>
      <c r="W26" s="73">
        <f>IF(C26="qwen",0,COUNTIFS($C$2:$C$976,"&lt;&gt;qwen",$S$2:$S$976,"&lt;"&amp;S26)+1)</f>
        <v/>
      </c>
      <c r="X26" s="73">
        <f>IF(C26="ministral",0,COUNTIFS($C$2:$C$976,"&lt;&gt;ministral",$S$2:$S$976,"&lt;"&amp;S26)+1)</f>
        <v/>
      </c>
      <c r="Y26" s="73">
        <f>IF(C26="gemma",0,COUNTIFS($C$2:$C$976,"&lt;&gt;gemma",$S$2:$S$976,"&lt;"&amp;S26)+1)</f>
        <v/>
      </c>
      <c r="Z26" s="87">
        <f>COUNTIFS($B$2:$B$976,B26,$C$2:$C$976,C26,$S$2:$S$976,"&lt;"&amp;S26)+1</f>
        <v/>
      </c>
      <c r="AA26" s="88">
        <f>ABS(S26-SUMPRODUCT(('05B_가정검정'!$A$5:$A$19=B26)*('05B_가정검정'!$B$5:$B$19=C26)*'05B_가정검정'!$E$5:$E$19))</f>
        <v/>
      </c>
      <c r="AB26" s="88">
        <f>S26-AVERAGEIFS($S$2:$S$976,$B$2:$B$976,B26,$C$2:$C$976,C26)</f>
        <v/>
      </c>
    </row>
    <row r="27" ht="15" customHeight="1" s="68">
      <c r="A27" s="83" t="inlineStr">
        <is>
          <t>PAT-02</t>
        </is>
      </c>
      <c r="B27" s="83" t="inlineStr">
        <is>
          <t>mistral</t>
        </is>
      </c>
      <c r="C27" s="83" t="inlineStr">
        <is>
          <t>ministral</t>
        </is>
      </c>
      <c r="D27" s="84" t="n">
        <v>0.306172839506173</v>
      </c>
      <c r="E27" s="84" t="n">
        <v>0.233236151603499</v>
      </c>
      <c r="F27" s="84" t="n">
        <v>0.0762463343108504</v>
      </c>
      <c r="G27" s="84" t="n">
        <v>0.204081632653061</v>
      </c>
      <c r="H27" s="84" t="n">
        <v>0.258912407528534</v>
      </c>
      <c r="I27" s="84" t="n">
        <v>0.241430372837439</v>
      </c>
      <c r="J27" s="84" t="n">
        <v>0.721270612308837</v>
      </c>
      <c r="K27" s="84" t="n">
        <v>0.709209119458185</v>
      </c>
      <c r="L27" s="84" t="n">
        <v>0.837917250140882</v>
      </c>
      <c r="M27" s="84" t="n">
        <v>0.486567164179105</v>
      </c>
      <c r="N27" s="84" t="n">
        <v>0.272151898734177</v>
      </c>
      <c r="O27" s="84" t="n">
        <v>0.6447368421052631</v>
      </c>
      <c r="P27" s="85">
        <f>AVERAGE(D27:I27)</f>
        <v/>
      </c>
      <c r="Q27" s="85">
        <f>AVERAGE(J27:L27)</f>
        <v/>
      </c>
      <c r="R27" s="85">
        <f>AVERAGE(M27:O27)</f>
        <v/>
      </c>
      <c r="S27" s="85">
        <f>'02_지표정의'!$C$22*P27+'02_지표정의'!$C$23*Q27+'02_지표정의'!$C$24*R27</f>
        <v/>
      </c>
      <c r="T27" s="73">
        <f>IF(OR(AND(B27="gemini",C27="gemma"),AND(B27="qwen3_6",C27="qwen"),AND(B27="mistral",C27="ministral")),1,0)</f>
        <v/>
      </c>
      <c r="U27" s="73">
        <f>IF(LEFT(A27,3)="PAT","특허","보고서")</f>
        <v/>
      </c>
      <c r="V27" s="86">
        <f>COUNTIF($S$2:$S$976,"&lt;"&amp;S27)+(COUNTIF($S$2:$S$976,"="&amp;S27)+1)/2</f>
        <v/>
      </c>
      <c r="W27" s="73">
        <f>IF(C27="qwen",0,COUNTIFS($C$2:$C$976,"&lt;&gt;qwen",$S$2:$S$976,"&lt;"&amp;S27)+1)</f>
        <v/>
      </c>
      <c r="X27" s="73">
        <f>IF(C27="ministral",0,COUNTIFS($C$2:$C$976,"&lt;&gt;ministral",$S$2:$S$976,"&lt;"&amp;S27)+1)</f>
        <v/>
      </c>
      <c r="Y27" s="73">
        <f>IF(C27="gemma",0,COUNTIFS($C$2:$C$976,"&lt;&gt;gemma",$S$2:$S$976,"&lt;"&amp;S27)+1)</f>
        <v/>
      </c>
      <c r="Z27" s="87">
        <f>COUNTIFS($B$2:$B$976,B27,$C$2:$C$976,C27,$S$2:$S$976,"&lt;"&amp;S27)+1</f>
        <v/>
      </c>
      <c r="AA27" s="88">
        <f>ABS(S27-SUMPRODUCT(('05B_가정검정'!$A$5:$A$19=B27)*('05B_가정검정'!$B$5:$B$19=C27)*'05B_가정검정'!$E$5:$E$19))</f>
        <v/>
      </c>
      <c r="AB27" s="88">
        <f>S27-AVERAGEIFS($S$2:$S$976,$B$2:$B$976,B27,$C$2:$C$976,C27)</f>
        <v/>
      </c>
    </row>
    <row r="28" ht="15" customHeight="1" s="68">
      <c r="A28" s="83" t="inlineStr">
        <is>
          <t>PAT-02</t>
        </is>
      </c>
      <c r="B28" s="83" t="inlineStr">
        <is>
          <t>mistral</t>
        </is>
      </c>
      <c r="C28" s="83" t="inlineStr">
        <is>
          <t>qwen</t>
        </is>
      </c>
      <c r="D28" s="84" t="n">
        <v>0.309002433090024</v>
      </c>
      <c r="E28" s="84" t="n">
        <v>0.392982456140351</v>
      </c>
      <c r="F28" s="84" t="n">
        <v>0.0989399293286219</v>
      </c>
      <c r="G28" s="84" t="n">
        <v>0.23859649122807</v>
      </c>
      <c r="H28" s="84" t="n">
        <v>0.338245772519815</v>
      </c>
      <c r="I28" s="84" t="n">
        <v>0.329358187891449</v>
      </c>
      <c r="J28" s="84" t="n">
        <v>0.73828355686495</v>
      </c>
      <c r="K28" s="84" t="n">
        <v>0.685308258727077</v>
      </c>
      <c r="L28" s="84" t="n">
        <v>0.8616622811440749</v>
      </c>
      <c r="M28" s="84" t="n">
        <v>0.666666666666667</v>
      </c>
      <c r="N28" s="84" t="n">
        <v>0.489583333333333</v>
      </c>
      <c r="O28" s="84" t="n">
        <v>1</v>
      </c>
      <c r="P28" s="85">
        <f>AVERAGE(D28:I28)</f>
        <v/>
      </c>
      <c r="Q28" s="85">
        <f>AVERAGE(J28:L28)</f>
        <v/>
      </c>
      <c r="R28" s="85">
        <f>AVERAGE(M28:O28)</f>
        <v/>
      </c>
      <c r="S28" s="85">
        <f>'02_지표정의'!$C$22*P28+'02_지표정의'!$C$23*Q28+'02_지표정의'!$C$24*R28</f>
        <v/>
      </c>
      <c r="T28" s="73">
        <f>IF(OR(AND(B28="gemini",C28="gemma"),AND(B28="qwen3_6",C28="qwen"),AND(B28="mistral",C28="ministral")),1,0)</f>
        <v/>
      </c>
      <c r="U28" s="73">
        <f>IF(LEFT(A28,3)="PAT","특허","보고서")</f>
        <v/>
      </c>
      <c r="V28" s="86">
        <f>COUNTIF($S$2:$S$976,"&lt;"&amp;S28)+(COUNTIF($S$2:$S$976,"="&amp;S28)+1)/2</f>
        <v/>
      </c>
      <c r="W28" s="73">
        <f>IF(C28="qwen",0,COUNTIFS($C$2:$C$976,"&lt;&gt;qwen",$S$2:$S$976,"&lt;"&amp;S28)+1)</f>
        <v/>
      </c>
      <c r="X28" s="73">
        <f>IF(C28="ministral",0,COUNTIFS($C$2:$C$976,"&lt;&gt;ministral",$S$2:$S$976,"&lt;"&amp;S28)+1)</f>
        <v/>
      </c>
      <c r="Y28" s="73">
        <f>IF(C28="gemma",0,COUNTIFS($C$2:$C$976,"&lt;&gt;gemma",$S$2:$S$976,"&lt;"&amp;S28)+1)</f>
        <v/>
      </c>
      <c r="Z28" s="87">
        <f>COUNTIFS($B$2:$B$976,B28,$C$2:$C$976,C28,$S$2:$S$976,"&lt;"&amp;S28)+1</f>
        <v/>
      </c>
      <c r="AA28" s="88">
        <f>ABS(S28-SUMPRODUCT(('05B_가정검정'!$A$5:$A$19=B28)*('05B_가정검정'!$B$5:$B$19=C28)*'05B_가정검정'!$E$5:$E$19))</f>
        <v/>
      </c>
      <c r="AB28" s="88">
        <f>S28-AVERAGEIFS($S$2:$S$976,$B$2:$B$976,B28,$C$2:$C$976,C28)</f>
        <v/>
      </c>
    </row>
    <row r="29" ht="15" customHeight="1" s="68">
      <c r="A29" s="83" t="inlineStr">
        <is>
          <t>PAT-02</t>
        </is>
      </c>
      <c r="B29" s="83" t="inlineStr">
        <is>
          <t>qwen3_6</t>
        </is>
      </c>
      <c r="C29" s="83" t="inlineStr">
        <is>
          <t>gemma</t>
        </is>
      </c>
      <c r="D29" s="84" t="n">
        <v>0.273781902552204</v>
      </c>
      <c r="E29" s="84" t="n">
        <v>0.324786324786325</v>
      </c>
      <c r="F29" s="84" t="n">
        <v>0.112068965517241</v>
      </c>
      <c r="G29" s="84" t="n">
        <v>0.264957264957265</v>
      </c>
      <c r="H29" s="84" t="n">
        <v>0.347127219833544</v>
      </c>
      <c r="I29" s="84" t="n">
        <v>0.188550120000449</v>
      </c>
      <c r="J29" s="84" t="n">
        <v>0.705515853113605</v>
      </c>
      <c r="K29" s="84" t="n">
        <v>0.658181582270963</v>
      </c>
      <c r="L29" s="84" t="n">
        <v>0.8526038098080569</v>
      </c>
      <c r="M29" s="84" t="n">
        <v>0.906542056074766</v>
      </c>
      <c r="N29" s="84" t="n">
        <v>0.916666666666667</v>
      </c>
      <c r="O29" s="84" t="n">
        <v>1</v>
      </c>
      <c r="P29" s="85">
        <f>AVERAGE(D29:I29)</f>
        <v/>
      </c>
      <c r="Q29" s="85">
        <f>AVERAGE(J29:L29)</f>
        <v/>
      </c>
      <c r="R29" s="85">
        <f>AVERAGE(M29:O29)</f>
        <v/>
      </c>
      <c r="S29" s="85">
        <f>'02_지표정의'!$C$22*P29+'02_지표정의'!$C$23*Q29+'02_지표정의'!$C$24*R29</f>
        <v/>
      </c>
      <c r="T29" s="73">
        <f>IF(OR(AND(B29="gemini",C29="gemma"),AND(B29="qwen3_6",C29="qwen"),AND(B29="mistral",C29="ministral")),1,0)</f>
        <v/>
      </c>
      <c r="U29" s="73">
        <f>IF(LEFT(A29,3)="PAT","특허","보고서")</f>
        <v/>
      </c>
      <c r="V29" s="86">
        <f>COUNTIF($S$2:$S$976,"&lt;"&amp;S29)+(COUNTIF($S$2:$S$976,"="&amp;S29)+1)/2</f>
        <v/>
      </c>
      <c r="W29" s="73">
        <f>IF(C29="qwen",0,COUNTIFS($C$2:$C$976,"&lt;&gt;qwen",$S$2:$S$976,"&lt;"&amp;S29)+1)</f>
        <v/>
      </c>
      <c r="X29" s="73">
        <f>IF(C29="ministral",0,COUNTIFS($C$2:$C$976,"&lt;&gt;ministral",$S$2:$S$976,"&lt;"&amp;S29)+1)</f>
        <v/>
      </c>
      <c r="Y29" s="73">
        <f>IF(C29="gemma",0,COUNTIFS($C$2:$C$976,"&lt;&gt;gemma",$S$2:$S$976,"&lt;"&amp;S29)+1)</f>
        <v/>
      </c>
      <c r="Z29" s="87">
        <f>COUNTIFS($B$2:$B$976,B29,$C$2:$C$976,C29,$S$2:$S$976,"&lt;"&amp;S29)+1</f>
        <v/>
      </c>
      <c r="AA29" s="88">
        <f>ABS(S29-SUMPRODUCT(('05B_가정검정'!$A$5:$A$19=B29)*('05B_가정검정'!$B$5:$B$19=C29)*'05B_가정검정'!$E$5:$E$19))</f>
        <v/>
      </c>
      <c r="AB29" s="88">
        <f>S29-AVERAGEIFS($S$2:$S$976,$B$2:$B$976,B29,$C$2:$C$976,C29)</f>
        <v/>
      </c>
    </row>
    <row r="30" ht="15" customHeight="1" s="68">
      <c r="A30" s="83" t="inlineStr">
        <is>
          <t>PAT-02</t>
        </is>
      </c>
      <c r="B30" s="83" t="inlineStr">
        <is>
          <t>qwen3_6</t>
        </is>
      </c>
      <c r="C30" s="83" t="inlineStr">
        <is>
          <t>ministral</t>
        </is>
      </c>
      <c r="D30" s="84" t="n">
        <v>0.262051915945612</v>
      </c>
      <c r="E30" s="84" t="n">
        <v>0.20952380952381</v>
      </c>
      <c r="F30" s="84" t="n">
        <v>0.09584664536741209</v>
      </c>
      <c r="G30" s="84" t="n">
        <v>0.184126984126984</v>
      </c>
      <c r="H30" s="84" t="n">
        <v>0.21530614177721</v>
      </c>
      <c r="I30" s="84" t="n">
        <v>0.157644885960999</v>
      </c>
      <c r="J30" s="84" t="n">
        <v>0.714116361106881</v>
      </c>
      <c r="K30" s="84" t="n">
        <v>0.649123417639849</v>
      </c>
      <c r="L30" s="84" t="n">
        <v>0.815646396464314</v>
      </c>
      <c r="M30" s="84" t="n">
        <v>0.28955223880597</v>
      </c>
      <c r="N30" s="84" t="n">
        <v>0.272151898734177</v>
      </c>
      <c r="O30" s="84" t="n">
        <v>0.6447368421052631</v>
      </c>
      <c r="P30" s="85">
        <f>AVERAGE(D30:I30)</f>
        <v/>
      </c>
      <c r="Q30" s="85">
        <f>AVERAGE(J30:L30)</f>
        <v/>
      </c>
      <c r="R30" s="85">
        <f>AVERAGE(M30:O30)</f>
        <v/>
      </c>
      <c r="S30" s="85">
        <f>'02_지표정의'!$C$22*P30+'02_지표정의'!$C$23*Q30+'02_지표정의'!$C$24*R30</f>
        <v/>
      </c>
      <c r="T30" s="73">
        <f>IF(OR(AND(B30="gemini",C30="gemma"),AND(B30="qwen3_6",C30="qwen"),AND(B30="mistral",C30="ministral")),1,0)</f>
        <v/>
      </c>
      <c r="U30" s="73">
        <f>IF(LEFT(A30,3)="PAT","특허","보고서")</f>
        <v/>
      </c>
      <c r="V30" s="86">
        <f>COUNTIF($S$2:$S$976,"&lt;"&amp;S30)+(COUNTIF($S$2:$S$976,"="&amp;S30)+1)/2</f>
        <v/>
      </c>
      <c r="W30" s="73">
        <f>IF(C30="qwen",0,COUNTIFS($C$2:$C$976,"&lt;&gt;qwen",$S$2:$S$976,"&lt;"&amp;S30)+1)</f>
        <v/>
      </c>
      <c r="X30" s="73">
        <f>IF(C30="ministral",0,COUNTIFS($C$2:$C$976,"&lt;&gt;ministral",$S$2:$S$976,"&lt;"&amp;S30)+1)</f>
        <v/>
      </c>
      <c r="Y30" s="73">
        <f>IF(C30="gemma",0,COUNTIFS($C$2:$C$976,"&lt;&gt;gemma",$S$2:$S$976,"&lt;"&amp;S30)+1)</f>
        <v/>
      </c>
      <c r="Z30" s="87">
        <f>COUNTIFS($B$2:$B$976,B30,$C$2:$C$976,C30,$S$2:$S$976,"&lt;"&amp;S30)+1</f>
        <v/>
      </c>
      <c r="AA30" s="88">
        <f>ABS(S30-SUMPRODUCT(('05B_가정검정'!$A$5:$A$19=B30)*('05B_가정검정'!$B$5:$B$19=C30)*'05B_가정검정'!$E$5:$E$19))</f>
        <v/>
      </c>
      <c r="AB30" s="88">
        <f>S30-AVERAGEIFS($S$2:$S$976,$B$2:$B$976,B30,$C$2:$C$976,C30)</f>
        <v/>
      </c>
    </row>
    <row r="31" ht="15" customHeight="1" s="68">
      <c r="A31" s="83" t="inlineStr">
        <is>
          <t>PAT-02</t>
        </is>
      </c>
      <c r="B31" s="83" t="inlineStr">
        <is>
          <t>qwen3_6</t>
        </is>
      </c>
      <c r="C31" s="83" t="inlineStr">
        <is>
          <t>qwen</t>
        </is>
      </c>
      <c r="D31" s="84" t="n">
        <v>0.309378806333739</v>
      </c>
      <c r="E31" s="84" t="n">
        <v>0.443579766536965</v>
      </c>
      <c r="F31" s="84" t="n">
        <v>0.149019607843137</v>
      </c>
      <c r="G31" s="84" t="n">
        <v>0.326848249027237</v>
      </c>
      <c r="H31" s="84" t="n">
        <v>0.333480404251479</v>
      </c>
      <c r="I31" s="84" t="n">
        <v>0.350048545932505</v>
      </c>
      <c r="J31" s="84" t="n">
        <v>0.732554421779542</v>
      </c>
      <c r="K31" s="84" t="n">
        <v>0.628568511394781</v>
      </c>
      <c r="L31" s="84" t="n">
        <v>0.833984303289401</v>
      </c>
      <c r="M31" s="84" t="n">
        <v>0.544943820224719</v>
      </c>
      <c r="N31" s="84" t="n">
        <v>0.572916666666667</v>
      </c>
      <c r="O31" s="84" t="n">
        <v>1</v>
      </c>
      <c r="P31" s="85">
        <f>AVERAGE(D31:I31)</f>
        <v/>
      </c>
      <c r="Q31" s="85">
        <f>AVERAGE(J31:L31)</f>
        <v/>
      </c>
      <c r="R31" s="85">
        <f>AVERAGE(M31:O31)</f>
        <v/>
      </c>
      <c r="S31" s="85">
        <f>'02_지표정의'!$C$22*P31+'02_지표정의'!$C$23*Q31+'02_지표정의'!$C$24*R31</f>
        <v/>
      </c>
      <c r="T31" s="73">
        <f>IF(OR(AND(B31="gemini",C31="gemma"),AND(B31="qwen3_6",C31="qwen"),AND(B31="mistral",C31="ministral")),1,0)</f>
        <v/>
      </c>
      <c r="U31" s="73">
        <f>IF(LEFT(A31,3)="PAT","특허","보고서")</f>
        <v/>
      </c>
      <c r="V31" s="86">
        <f>COUNTIF($S$2:$S$976,"&lt;"&amp;S31)+(COUNTIF($S$2:$S$976,"="&amp;S31)+1)/2</f>
        <v/>
      </c>
      <c r="W31" s="73">
        <f>IF(C31="qwen",0,COUNTIFS($C$2:$C$976,"&lt;&gt;qwen",$S$2:$S$976,"&lt;"&amp;S31)+1)</f>
        <v/>
      </c>
      <c r="X31" s="73">
        <f>IF(C31="ministral",0,COUNTIFS($C$2:$C$976,"&lt;&gt;ministral",$S$2:$S$976,"&lt;"&amp;S31)+1)</f>
        <v/>
      </c>
      <c r="Y31" s="73">
        <f>IF(C31="gemma",0,COUNTIFS($C$2:$C$976,"&lt;&gt;gemma",$S$2:$S$976,"&lt;"&amp;S31)+1)</f>
        <v/>
      </c>
      <c r="Z31" s="87">
        <f>COUNTIFS($B$2:$B$976,B31,$C$2:$C$976,C31,$S$2:$S$976,"&lt;"&amp;S31)+1</f>
        <v/>
      </c>
      <c r="AA31" s="88">
        <f>ABS(S31-SUMPRODUCT(('05B_가정검정'!$A$5:$A$19=B31)*('05B_가정검정'!$B$5:$B$19=C31)*'05B_가정검정'!$E$5:$E$19))</f>
        <v/>
      </c>
      <c r="AB31" s="88">
        <f>S31-AVERAGEIFS($S$2:$S$976,$B$2:$B$976,B31,$C$2:$C$976,C31)</f>
        <v/>
      </c>
    </row>
    <row r="32" ht="15" customHeight="1" s="68">
      <c r="A32" s="83" t="inlineStr">
        <is>
          <t>PAT-03</t>
        </is>
      </c>
      <c r="B32" s="83" t="inlineStr">
        <is>
          <t>chatgpt</t>
        </is>
      </c>
      <c r="C32" s="83" t="inlineStr">
        <is>
          <t>gemma</t>
        </is>
      </c>
      <c r="D32" s="84" t="n">
        <v>0.192405063291139</v>
      </c>
      <c r="E32" s="84" t="n">
        <v>0.256410256410256</v>
      </c>
      <c r="F32" s="84" t="n">
        <v>0.0948275862068966</v>
      </c>
      <c r="G32" s="84" t="n">
        <v>0.230769230769231</v>
      </c>
      <c r="H32" s="84" t="n">
        <v>0.198133026594816</v>
      </c>
      <c r="I32" s="84" t="n">
        <v>0.102186263686652</v>
      </c>
      <c r="J32" s="84" t="n">
        <v>0.64969858100353</v>
      </c>
      <c r="K32" s="84" t="n">
        <v>0.633844513500997</v>
      </c>
      <c r="L32" s="84" t="n">
        <v>0.800889312180988</v>
      </c>
      <c r="M32" s="84" t="n">
        <v>0.446153846153846</v>
      </c>
      <c r="N32" s="84" t="n">
        <v>0.192307692307692</v>
      </c>
      <c r="O32" s="84" t="n">
        <v>1</v>
      </c>
      <c r="P32" s="85">
        <f>AVERAGE(D32:I32)</f>
        <v/>
      </c>
      <c r="Q32" s="85">
        <f>AVERAGE(J32:L32)</f>
        <v/>
      </c>
      <c r="R32" s="85">
        <f>AVERAGE(M32:O32)</f>
        <v/>
      </c>
      <c r="S32" s="85">
        <f>'02_지표정의'!$C$22*P32+'02_지표정의'!$C$23*Q32+'02_지표정의'!$C$24*R32</f>
        <v/>
      </c>
      <c r="T32" s="73">
        <f>IF(OR(AND(B32="gemini",C32="gemma"),AND(B32="qwen3_6",C32="qwen"),AND(B32="mistral",C32="ministral")),1,0)</f>
        <v/>
      </c>
      <c r="U32" s="73">
        <f>IF(LEFT(A32,3)="PAT","특허","보고서")</f>
        <v/>
      </c>
      <c r="V32" s="86">
        <f>COUNTIF($S$2:$S$976,"&lt;"&amp;S32)+(COUNTIF($S$2:$S$976,"="&amp;S32)+1)/2</f>
        <v/>
      </c>
      <c r="W32" s="73">
        <f>IF(C32="qwen",0,COUNTIFS($C$2:$C$976,"&lt;&gt;qwen",$S$2:$S$976,"&lt;"&amp;S32)+1)</f>
        <v/>
      </c>
      <c r="X32" s="73">
        <f>IF(C32="ministral",0,COUNTIFS($C$2:$C$976,"&lt;&gt;ministral",$S$2:$S$976,"&lt;"&amp;S32)+1)</f>
        <v/>
      </c>
      <c r="Y32" s="73">
        <f>IF(C32="gemma",0,COUNTIFS($C$2:$C$976,"&lt;&gt;gemma",$S$2:$S$976,"&lt;"&amp;S32)+1)</f>
        <v/>
      </c>
      <c r="Z32" s="87">
        <f>COUNTIFS($B$2:$B$976,B32,$C$2:$C$976,C32,$S$2:$S$976,"&lt;"&amp;S32)+1</f>
        <v/>
      </c>
      <c r="AA32" s="88">
        <f>ABS(S32-SUMPRODUCT(('05B_가정검정'!$A$5:$A$19=B32)*('05B_가정검정'!$B$5:$B$19=C32)*'05B_가정검정'!$E$5:$E$19))</f>
        <v/>
      </c>
      <c r="AB32" s="88">
        <f>S32-AVERAGEIFS($S$2:$S$976,$B$2:$B$976,B32,$C$2:$C$976,C32)</f>
        <v/>
      </c>
    </row>
    <row r="33" ht="15" customHeight="1" s="68">
      <c r="A33" s="83" t="inlineStr">
        <is>
          <t>PAT-03</t>
        </is>
      </c>
      <c r="B33" s="83" t="inlineStr">
        <is>
          <t>chatgpt</t>
        </is>
      </c>
      <c r="C33" s="83" t="inlineStr">
        <is>
          <t>ministral</t>
        </is>
      </c>
      <c r="D33" s="84" t="n">
        <v>0.330241187384045</v>
      </c>
      <c r="E33" s="84" t="n">
        <v>0.338129496402878</v>
      </c>
      <c r="F33" s="84" t="n">
        <v>0.159420289855073</v>
      </c>
      <c r="G33" s="84" t="n">
        <v>0.280575539568345</v>
      </c>
      <c r="H33" s="84" t="n">
        <v>0.187636428216751</v>
      </c>
      <c r="I33" s="84" t="n">
        <v>0.271735925000263</v>
      </c>
      <c r="J33" s="84" t="n">
        <v>0.694393853797754</v>
      </c>
      <c r="K33" s="84" t="n">
        <v>0.684162382358139</v>
      </c>
      <c r="L33" s="84" t="n">
        <v>0.829564243972568</v>
      </c>
      <c r="M33" s="84" t="n">
        <v>0.432343234323432</v>
      </c>
      <c r="N33" s="84" t="n">
        <v>0</v>
      </c>
      <c r="O33" s="84" t="n">
        <v>0.526315789473684</v>
      </c>
      <c r="P33" s="85">
        <f>AVERAGE(D33:I33)</f>
        <v/>
      </c>
      <c r="Q33" s="85">
        <f>AVERAGE(J33:L33)</f>
        <v/>
      </c>
      <c r="R33" s="85">
        <f>AVERAGE(M33:O33)</f>
        <v/>
      </c>
      <c r="S33" s="85">
        <f>'02_지표정의'!$C$22*P33+'02_지표정의'!$C$23*Q33+'02_지표정의'!$C$24*R33</f>
        <v/>
      </c>
      <c r="T33" s="73">
        <f>IF(OR(AND(B33="gemini",C33="gemma"),AND(B33="qwen3_6",C33="qwen"),AND(B33="mistral",C33="ministral")),1,0)</f>
        <v/>
      </c>
      <c r="U33" s="73">
        <f>IF(LEFT(A33,3)="PAT","특허","보고서")</f>
        <v/>
      </c>
      <c r="V33" s="86">
        <f>COUNTIF($S$2:$S$976,"&lt;"&amp;S33)+(COUNTIF($S$2:$S$976,"="&amp;S33)+1)/2</f>
        <v/>
      </c>
      <c r="W33" s="73">
        <f>IF(C33="qwen",0,COUNTIFS($C$2:$C$976,"&lt;&gt;qwen",$S$2:$S$976,"&lt;"&amp;S33)+1)</f>
        <v/>
      </c>
      <c r="X33" s="73">
        <f>IF(C33="ministral",0,COUNTIFS($C$2:$C$976,"&lt;&gt;ministral",$S$2:$S$976,"&lt;"&amp;S33)+1)</f>
        <v/>
      </c>
      <c r="Y33" s="73">
        <f>IF(C33="gemma",0,COUNTIFS($C$2:$C$976,"&lt;&gt;gemma",$S$2:$S$976,"&lt;"&amp;S33)+1)</f>
        <v/>
      </c>
      <c r="Z33" s="87">
        <f>COUNTIFS($B$2:$B$976,B33,$C$2:$C$976,C33,$S$2:$S$976,"&lt;"&amp;S33)+1</f>
        <v/>
      </c>
      <c r="AA33" s="88">
        <f>ABS(S33-SUMPRODUCT(('05B_가정검정'!$A$5:$A$19=B33)*('05B_가정검정'!$B$5:$B$19=C33)*'05B_가정검정'!$E$5:$E$19))</f>
        <v/>
      </c>
      <c r="AB33" s="88">
        <f>S33-AVERAGEIFS($S$2:$S$976,$B$2:$B$976,B33,$C$2:$C$976,C33)</f>
        <v/>
      </c>
    </row>
    <row r="34" ht="15" customHeight="1" s="68">
      <c r="A34" s="83" t="inlineStr">
        <is>
          <t>PAT-03</t>
        </is>
      </c>
      <c r="B34" s="83" t="inlineStr">
        <is>
          <t>chatgpt</t>
        </is>
      </c>
      <c r="C34" s="83" t="inlineStr">
        <is>
          <t>qwen</t>
        </is>
      </c>
      <c r="D34" s="84" t="n">
        <v>0.277258566978193</v>
      </c>
      <c r="E34" s="84" t="n">
        <v>0.466367713004484</v>
      </c>
      <c r="F34" s="84" t="n">
        <v>0.135746606334842</v>
      </c>
      <c r="G34" s="84" t="n">
        <v>0.295964125560538</v>
      </c>
      <c r="H34" s="84" t="n">
        <v>0.23764113719551</v>
      </c>
      <c r="I34" s="84" t="n">
        <v>0.301683575306651</v>
      </c>
      <c r="J34" s="84" t="n">
        <v>0.707352443888584</v>
      </c>
      <c r="K34" s="84" t="n">
        <v>0.664638584149577</v>
      </c>
      <c r="L34" s="84" t="n">
        <v>0.8674349062922539</v>
      </c>
      <c r="M34" s="84" t="n">
        <v>0.415384615384615</v>
      </c>
      <c r="N34" s="84" t="n">
        <v>0</v>
      </c>
      <c r="O34" s="84" t="n">
        <v>0.842105263157895</v>
      </c>
      <c r="P34" s="85">
        <f>AVERAGE(D34:I34)</f>
        <v/>
      </c>
      <c r="Q34" s="85">
        <f>AVERAGE(J34:L34)</f>
        <v/>
      </c>
      <c r="R34" s="85">
        <f>AVERAGE(M34:O34)</f>
        <v/>
      </c>
      <c r="S34" s="85">
        <f>'02_지표정의'!$C$22*P34+'02_지표정의'!$C$23*Q34+'02_지표정의'!$C$24*R34</f>
        <v/>
      </c>
      <c r="T34" s="73">
        <f>IF(OR(AND(B34="gemini",C34="gemma"),AND(B34="qwen3_6",C34="qwen"),AND(B34="mistral",C34="ministral")),1,0)</f>
        <v/>
      </c>
      <c r="U34" s="73">
        <f>IF(LEFT(A34,3)="PAT","특허","보고서")</f>
        <v/>
      </c>
      <c r="V34" s="86">
        <f>COUNTIF($S$2:$S$976,"&lt;"&amp;S34)+(COUNTIF($S$2:$S$976,"="&amp;S34)+1)/2</f>
        <v/>
      </c>
      <c r="W34" s="73">
        <f>IF(C34="qwen",0,COUNTIFS($C$2:$C$976,"&lt;&gt;qwen",$S$2:$S$976,"&lt;"&amp;S34)+1)</f>
        <v/>
      </c>
      <c r="X34" s="73">
        <f>IF(C34="ministral",0,COUNTIFS($C$2:$C$976,"&lt;&gt;ministral",$S$2:$S$976,"&lt;"&amp;S34)+1)</f>
        <v/>
      </c>
      <c r="Y34" s="73">
        <f>IF(C34="gemma",0,COUNTIFS($C$2:$C$976,"&lt;&gt;gemma",$S$2:$S$976,"&lt;"&amp;S34)+1)</f>
        <v/>
      </c>
      <c r="Z34" s="87">
        <f>COUNTIFS($B$2:$B$976,B34,$C$2:$C$976,C34,$S$2:$S$976,"&lt;"&amp;S34)+1</f>
        <v/>
      </c>
      <c r="AA34" s="88">
        <f>ABS(S34-SUMPRODUCT(('05B_가정검정'!$A$5:$A$19=B34)*('05B_가정검정'!$B$5:$B$19=C34)*'05B_가정검정'!$E$5:$E$19))</f>
        <v/>
      </c>
      <c r="AB34" s="88">
        <f>S34-AVERAGEIFS($S$2:$S$976,$B$2:$B$976,B34,$C$2:$C$976,C34)</f>
        <v/>
      </c>
    </row>
    <row r="35" ht="15" customHeight="1" s="68">
      <c r="A35" s="83" t="inlineStr">
        <is>
          <t>PAT-03</t>
        </is>
      </c>
      <c r="B35" s="83" t="inlineStr">
        <is>
          <t>claude</t>
        </is>
      </c>
      <c r="C35" s="83" t="inlineStr">
        <is>
          <t>gemma</t>
        </is>
      </c>
      <c r="D35" s="84" t="n">
        <v>0.217040358744395</v>
      </c>
      <c r="E35" s="84" t="n">
        <v>0.226537216828479</v>
      </c>
      <c r="F35" s="84" t="n">
        <v>0.0651465798045603</v>
      </c>
      <c r="G35" s="84" t="n">
        <v>0.168284789644013</v>
      </c>
      <c r="H35" s="84" t="n">
        <v>0.32027540416152</v>
      </c>
      <c r="I35" s="84" t="n">
        <v>0.109442032126006</v>
      </c>
      <c r="J35" s="84" t="n">
        <v>0.675693228219411</v>
      </c>
      <c r="K35" s="84" t="n">
        <v>0.645179825766994</v>
      </c>
      <c r="L35" s="84" t="n">
        <v>0.816004781784281</v>
      </c>
      <c r="M35" s="84" t="n">
        <v>0.645833333333333</v>
      </c>
      <c r="N35" s="84" t="n">
        <v>0.571428571428571</v>
      </c>
      <c r="O35" s="84" t="n">
        <v>1</v>
      </c>
      <c r="P35" s="85">
        <f>AVERAGE(D35:I35)</f>
        <v/>
      </c>
      <c r="Q35" s="85">
        <f>AVERAGE(J35:L35)</f>
        <v/>
      </c>
      <c r="R35" s="85">
        <f>AVERAGE(M35:O35)</f>
        <v/>
      </c>
      <c r="S35" s="85">
        <f>'02_지표정의'!$C$22*P35+'02_지표정의'!$C$23*Q35+'02_지표정의'!$C$24*R35</f>
        <v/>
      </c>
      <c r="T35" s="73">
        <f>IF(OR(AND(B35="gemini",C35="gemma"),AND(B35="qwen3_6",C35="qwen"),AND(B35="mistral",C35="ministral")),1,0)</f>
        <v/>
      </c>
      <c r="U35" s="73">
        <f>IF(LEFT(A35,3)="PAT","특허","보고서")</f>
        <v/>
      </c>
      <c r="V35" s="86">
        <f>COUNTIF($S$2:$S$976,"&lt;"&amp;S35)+(COUNTIF($S$2:$S$976,"="&amp;S35)+1)/2</f>
        <v/>
      </c>
      <c r="W35" s="73">
        <f>IF(C35="qwen",0,COUNTIFS($C$2:$C$976,"&lt;&gt;qwen",$S$2:$S$976,"&lt;"&amp;S35)+1)</f>
        <v/>
      </c>
      <c r="X35" s="73">
        <f>IF(C35="ministral",0,COUNTIFS($C$2:$C$976,"&lt;&gt;ministral",$S$2:$S$976,"&lt;"&amp;S35)+1)</f>
        <v/>
      </c>
      <c r="Y35" s="73">
        <f>IF(C35="gemma",0,COUNTIFS($C$2:$C$976,"&lt;&gt;gemma",$S$2:$S$976,"&lt;"&amp;S35)+1)</f>
        <v/>
      </c>
      <c r="Z35" s="87">
        <f>COUNTIFS($B$2:$B$976,B35,$C$2:$C$976,C35,$S$2:$S$976,"&lt;"&amp;S35)+1</f>
        <v/>
      </c>
      <c r="AA35" s="88">
        <f>ABS(S35-SUMPRODUCT(('05B_가정검정'!$A$5:$A$19=B35)*('05B_가정검정'!$B$5:$B$19=C35)*'05B_가정검정'!$E$5:$E$19))</f>
        <v/>
      </c>
      <c r="AB35" s="88">
        <f>S35-AVERAGEIFS($S$2:$S$976,$B$2:$B$976,B35,$C$2:$C$976,C35)</f>
        <v/>
      </c>
    </row>
    <row r="36" ht="15" customHeight="1" s="68">
      <c r="A36" s="83" t="inlineStr">
        <is>
          <t>PAT-03</t>
        </is>
      </c>
      <c r="B36" s="83" t="inlineStr">
        <is>
          <t>claude</t>
        </is>
      </c>
      <c r="C36" s="83" t="inlineStr">
        <is>
          <t>ministral</t>
        </is>
      </c>
      <c r="D36" s="84" t="n">
        <v>0.252314814814815</v>
      </c>
      <c r="E36" s="84" t="n">
        <v>0.402266288951841</v>
      </c>
      <c r="F36" s="84" t="n">
        <v>0.153846153846154</v>
      </c>
      <c r="G36" s="84" t="n">
        <v>0.28328611898017</v>
      </c>
      <c r="H36" s="84" t="n">
        <v>0.259804885436972</v>
      </c>
      <c r="I36" s="84" t="n">
        <v>0.331954055567188</v>
      </c>
      <c r="J36" s="84" t="n">
        <v>0.707068766300634</v>
      </c>
      <c r="K36" s="84" t="n">
        <v>0.6504501011778639</v>
      </c>
      <c r="L36" s="84" t="n">
        <v>0.831433569616147</v>
      </c>
      <c r="M36" s="84" t="n">
        <v>0.468646864686469</v>
      </c>
      <c r="N36" s="84" t="n">
        <v>0.295081967213115</v>
      </c>
      <c r="O36" s="84" t="n">
        <v>0.526315789473684</v>
      </c>
      <c r="P36" s="85">
        <f>AVERAGE(D36:I36)</f>
        <v/>
      </c>
      <c r="Q36" s="85">
        <f>AVERAGE(J36:L36)</f>
        <v/>
      </c>
      <c r="R36" s="85">
        <f>AVERAGE(M36:O36)</f>
        <v/>
      </c>
      <c r="S36" s="85">
        <f>'02_지표정의'!$C$22*P36+'02_지표정의'!$C$23*Q36+'02_지표정의'!$C$24*R36</f>
        <v/>
      </c>
      <c r="T36" s="73">
        <f>IF(OR(AND(B36="gemini",C36="gemma"),AND(B36="qwen3_6",C36="qwen"),AND(B36="mistral",C36="ministral")),1,0)</f>
        <v/>
      </c>
      <c r="U36" s="73">
        <f>IF(LEFT(A36,3)="PAT","특허","보고서")</f>
        <v/>
      </c>
      <c r="V36" s="86">
        <f>COUNTIF($S$2:$S$976,"&lt;"&amp;S36)+(COUNTIF($S$2:$S$976,"="&amp;S36)+1)/2</f>
        <v/>
      </c>
      <c r="W36" s="73">
        <f>IF(C36="qwen",0,COUNTIFS($C$2:$C$976,"&lt;&gt;qwen",$S$2:$S$976,"&lt;"&amp;S36)+1)</f>
        <v/>
      </c>
      <c r="X36" s="73">
        <f>IF(C36="ministral",0,COUNTIFS($C$2:$C$976,"&lt;&gt;ministral",$S$2:$S$976,"&lt;"&amp;S36)+1)</f>
        <v/>
      </c>
      <c r="Y36" s="73">
        <f>IF(C36="gemma",0,COUNTIFS($C$2:$C$976,"&lt;&gt;gemma",$S$2:$S$976,"&lt;"&amp;S36)+1)</f>
        <v/>
      </c>
      <c r="Z36" s="87">
        <f>COUNTIFS($B$2:$B$976,B36,$C$2:$C$976,C36,$S$2:$S$976,"&lt;"&amp;S36)+1</f>
        <v/>
      </c>
      <c r="AA36" s="88">
        <f>ABS(S36-SUMPRODUCT(('05B_가정검정'!$A$5:$A$19=B36)*('05B_가정검정'!$B$5:$B$19=C36)*'05B_가정검정'!$E$5:$E$19))</f>
        <v/>
      </c>
      <c r="AB36" s="88">
        <f>S36-AVERAGEIFS($S$2:$S$976,$B$2:$B$976,B36,$C$2:$C$976,C36)</f>
        <v/>
      </c>
    </row>
    <row r="37" ht="15" customHeight="1" s="68">
      <c r="A37" s="83" t="inlineStr">
        <is>
          <t>PAT-03</t>
        </is>
      </c>
      <c r="B37" s="83" t="inlineStr">
        <is>
          <t>claude</t>
        </is>
      </c>
      <c r="C37" s="83" t="inlineStr">
        <is>
          <t>qwen</t>
        </is>
      </c>
      <c r="D37" s="84" t="n">
        <v>0.270941054808687</v>
      </c>
      <c r="E37" s="84" t="n">
        <v>0.442953020134228</v>
      </c>
      <c r="F37" s="84" t="n">
        <v>0.141891891891892</v>
      </c>
      <c r="G37" s="84" t="n">
        <v>0.288590604026846</v>
      </c>
      <c r="H37" s="84" t="n">
        <v>0.32954245507137</v>
      </c>
      <c r="I37" s="84" t="n">
        <v>0.365806169310618</v>
      </c>
      <c r="J37" s="84" t="n">
        <v>0.734727763825864</v>
      </c>
      <c r="K37" s="84" t="n">
        <v>0.67516077609622</v>
      </c>
      <c r="L37" s="84" t="n">
        <v>0.856822698658789</v>
      </c>
      <c r="M37" s="84" t="n">
        <v>0.736111111111111</v>
      </c>
      <c r="N37" s="84" t="n">
        <v>0.75</v>
      </c>
      <c r="O37" s="84" t="n">
        <v>0.842105263157895</v>
      </c>
      <c r="P37" s="85">
        <f>AVERAGE(D37:I37)</f>
        <v/>
      </c>
      <c r="Q37" s="85">
        <f>AVERAGE(J37:L37)</f>
        <v/>
      </c>
      <c r="R37" s="85">
        <f>AVERAGE(M37:O37)</f>
        <v/>
      </c>
      <c r="S37" s="85">
        <f>'02_지표정의'!$C$22*P37+'02_지표정의'!$C$23*Q37+'02_지표정의'!$C$24*R37</f>
        <v/>
      </c>
      <c r="T37" s="73">
        <f>IF(OR(AND(B37="gemini",C37="gemma"),AND(B37="qwen3_6",C37="qwen"),AND(B37="mistral",C37="ministral")),1,0)</f>
        <v/>
      </c>
      <c r="U37" s="73">
        <f>IF(LEFT(A37,3)="PAT","특허","보고서")</f>
        <v/>
      </c>
      <c r="V37" s="86">
        <f>COUNTIF($S$2:$S$976,"&lt;"&amp;S37)+(COUNTIF($S$2:$S$976,"="&amp;S37)+1)/2</f>
        <v/>
      </c>
      <c r="W37" s="73">
        <f>IF(C37="qwen",0,COUNTIFS($C$2:$C$976,"&lt;&gt;qwen",$S$2:$S$976,"&lt;"&amp;S37)+1)</f>
        <v/>
      </c>
      <c r="X37" s="73">
        <f>IF(C37="ministral",0,COUNTIFS($C$2:$C$976,"&lt;&gt;ministral",$S$2:$S$976,"&lt;"&amp;S37)+1)</f>
        <v/>
      </c>
      <c r="Y37" s="73">
        <f>IF(C37="gemma",0,COUNTIFS($C$2:$C$976,"&lt;&gt;gemma",$S$2:$S$976,"&lt;"&amp;S37)+1)</f>
        <v/>
      </c>
      <c r="Z37" s="87">
        <f>COUNTIFS($B$2:$B$976,B37,$C$2:$C$976,C37,$S$2:$S$976,"&lt;"&amp;S37)+1</f>
        <v/>
      </c>
      <c r="AA37" s="88">
        <f>ABS(S37-SUMPRODUCT(('05B_가정검정'!$A$5:$A$19=B37)*('05B_가정검정'!$B$5:$B$19=C37)*'05B_가정검정'!$E$5:$E$19))</f>
        <v/>
      </c>
      <c r="AB37" s="88">
        <f>S37-AVERAGEIFS($S$2:$S$976,$B$2:$B$976,B37,$C$2:$C$976,C37)</f>
        <v/>
      </c>
    </row>
    <row r="38" ht="15" customHeight="1" s="68">
      <c r="A38" s="83" t="inlineStr">
        <is>
          <t>PAT-03</t>
        </is>
      </c>
      <c r="B38" s="83" t="inlineStr">
        <is>
          <t>gemini</t>
        </is>
      </c>
      <c r="C38" s="83" t="inlineStr">
        <is>
          <t>gemma</t>
        </is>
      </c>
      <c r="D38" s="84" t="n">
        <v>0.212351029252438</v>
      </c>
      <c r="E38" s="84" t="n">
        <v>0.280851063829787</v>
      </c>
      <c r="F38" s="84" t="n">
        <v>0.09442060085836911</v>
      </c>
      <c r="G38" s="84" t="n">
        <v>0.212765957446809</v>
      </c>
      <c r="H38" s="84" t="n">
        <v>0.30019323350143</v>
      </c>
      <c r="I38" s="84" t="n">
        <v>0.107566771756367</v>
      </c>
      <c r="J38" s="84" t="n">
        <v>0.729225278947648</v>
      </c>
      <c r="K38" s="84" t="n">
        <v>0.721123195273995</v>
      </c>
      <c r="L38" s="84" t="n">
        <v>0.867002253136447</v>
      </c>
      <c r="M38" s="84" t="n">
        <v>0.889908256880734</v>
      </c>
      <c r="N38" s="84" t="n">
        <v>0.901639344262295</v>
      </c>
      <c r="O38" s="84" t="n">
        <v>1</v>
      </c>
      <c r="P38" s="85">
        <f>AVERAGE(D38:I38)</f>
        <v/>
      </c>
      <c r="Q38" s="85">
        <f>AVERAGE(J38:L38)</f>
        <v/>
      </c>
      <c r="R38" s="85">
        <f>AVERAGE(M38:O38)</f>
        <v/>
      </c>
      <c r="S38" s="85">
        <f>'02_지표정의'!$C$22*P38+'02_지표정의'!$C$23*Q38+'02_지표정의'!$C$24*R38</f>
        <v/>
      </c>
      <c r="T38" s="73">
        <f>IF(OR(AND(B38="gemini",C38="gemma"),AND(B38="qwen3_6",C38="qwen"),AND(B38="mistral",C38="ministral")),1,0)</f>
        <v/>
      </c>
      <c r="U38" s="73">
        <f>IF(LEFT(A38,3)="PAT","특허","보고서")</f>
        <v/>
      </c>
      <c r="V38" s="86">
        <f>COUNTIF($S$2:$S$976,"&lt;"&amp;S38)+(COUNTIF($S$2:$S$976,"="&amp;S38)+1)/2</f>
        <v/>
      </c>
      <c r="W38" s="73">
        <f>IF(C38="qwen",0,COUNTIFS($C$2:$C$976,"&lt;&gt;qwen",$S$2:$S$976,"&lt;"&amp;S38)+1)</f>
        <v/>
      </c>
      <c r="X38" s="73">
        <f>IF(C38="ministral",0,COUNTIFS($C$2:$C$976,"&lt;&gt;ministral",$S$2:$S$976,"&lt;"&amp;S38)+1)</f>
        <v/>
      </c>
      <c r="Y38" s="73">
        <f>IF(C38="gemma",0,COUNTIFS($C$2:$C$976,"&lt;&gt;gemma",$S$2:$S$976,"&lt;"&amp;S38)+1)</f>
        <v/>
      </c>
      <c r="Z38" s="87">
        <f>COUNTIFS($B$2:$B$976,B38,$C$2:$C$976,C38,$S$2:$S$976,"&lt;"&amp;S38)+1</f>
        <v/>
      </c>
      <c r="AA38" s="88">
        <f>ABS(S38-SUMPRODUCT(('05B_가정검정'!$A$5:$A$19=B38)*('05B_가정검정'!$B$5:$B$19=C38)*'05B_가정검정'!$E$5:$E$19))</f>
        <v/>
      </c>
      <c r="AB38" s="88">
        <f>S38-AVERAGEIFS($S$2:$S$976,$B$2:$B$976,B38,$C$2:$C$976,C38)</f>
        <v/>
      </c>
    </row>
    <row r="39" ht="15" customHeight="1" s="68">
      <c r="A39" s="83" t="inlineStr">
        <is>
          <t>PAT-03</t>
        </is>
      </c>
      <c r="B39" s="83" t="inlineStr">
        <is>
          <t>gemini</t>
        </is>
      </c>
      <c r="C39" s="83" t="inlineStr">
        <is>
          <t>ministral</t>
        </is>
      </c>
      <c r="D39" s="84" t="n">
        <v>0.297619047619048</v>
      </c>
      <c r="E39" s="84" t="n">
        <v>0.372759856630824</v>
      </c>
      <c r="F39" s="84" t="n">
        <v>0.15884476534296</v>
      </c>
      <c r="G39" s="84" t="n">
        <v>0.25089605734767</v>
      </c>
      <c r="H39" s="84" t="n">
        <v>0.265787756306988</v>
      </c>
      <c r="I39" s="84" t="n">
        <v>0.295560387794488</v>
      </c>
      <c r="J39" s="84" t="n">
        <v>0.745418142923235</v>
      </c>
      <c r="K39" s="84" t="n">
        <v>0.769380801770306</v>
      </c>
      <c r="L39" s="84" t="n">
        <v>0.896940029634843</v>
      </c>
      <c r="M39" s="84" t="n">
        <v>0.32013201320132</v>
      </c>
      <c r="N39" s="84" t="n">
        <v>0.30327868852459</v>
      </c>
      <c r="O39" s="84" t="n">
        <v>0.526315789473684</v>
      </c>
      <c r="P39" s="85">
        <f>AVERAGE(D39:I39)</f>
        <v/>
      </c>
      <c r="Q39" s="85">
        <f>AVERAGE(J39:L39)</f>
        <v/>
      </c>
      <c r="R39" s="85">
        <f>AVERAGE(M39:O39)</f>
        <v/>
      </c>
      <c r="S39" s="85">
        <f>'02_지표정의'!$C$22*P39+'02_지표정의'!$C$23*Q39+'02_지표정의'!$C$24*R39</f>
        <v/>
      </c>
      <c r="T39" s="73">
        <f>IF(OR(AND(B39="gemini",C39="gemma"),AND(B39="qwen3_6",C39="qwen"),AND(B39="mistral",C39="ministral")),1,0)</f>
        <v/>
      </c>
      <c r="U39" s="73">
        <f>IF(LEFT(A39,3)="PAT","특허","보고서")</f>
        <v/>
      </c>
      <c r="V39" s="86">
        <f>COUNTIF($S$2:$S$976,"&lt;"&amp;S39)+(COUNTIF($S$2:$S$976,"="&amp;S39)+1)/2</f>
        <v/>
      </c>
      <c r="W39" s="73">
        <f>IF(C39="qwen",0,COUNTIFS($C$2:$C$976,"&lt;&gt;qwen",$S$2:$S$976,"&lt;"&amp;S39)+1)</f>
        <v/>
      </c>
      <c r="X39" s="73">
        <f>IF(C39="ministral",0,COUNTIFS($C$2:$C$976,"&lt;&gt;ministral",$S$2:$S$976,"&lt;"&amp;S39)+1)</f>
        <v/>
      </c>
      <c r="Y39" s="73">
        <f>IF(C39="gemma",0,COUNTIFS($C$2:$C$976,"&lt;&gt;gemma",$S$2:$S$976,"&lt;"&amp;S39)+1)</f>
        <v/>
      </c>
      <c r="Z39" s="87">
        <f>COUNTIFS($B$2:$B$976,B39,$C$2:$C$976,C39,$S$2:$S$976,"&lt;"&amp;S39)+1</f>
        <v/>
      </c>
      <c r="AA39" s="88">
        <f>ABS(S39-SUMPRODUCT(('05B_가정검정'!$A$5:$A$19=B39)*('05B_가정검정'!$B$5:$B$19=C39)*'05B_가정검정'!$E$5:$E$19))</f>
        <v/>
      </c>
      <c r="AB39" s="88">
        <f>S39-AVERAGEIFS($S$2:$S$976,$B$2:$B$976,B39,$C$2:$C$976,C39)</f>
        <v/>
      </c>
    </row>
    <row r="40" ht="15" customHeight="1" s="68">
      <c r="A40" s="83" t="inlineStr">
        <is>
          <t>PAT-03</t>
        </is>
      </c>
      <c r="B40" s="83" t="inlineStr">
        <is>
          <t>gemini</t>
        </is>
      </c>
      <c r="C40" s="83" t="inlineStr">
        <is>
          <t>qwen</t>
        </is>
      </c>
      <c r="D40" s="84" t="n">
        <v>0.283870967741936</v>
      </c>
      <c r="E40" s="84" t="n">
        <v>0.428571428571429</v>
      </c>
      <c r="F40" s="84" t="n">
        <v>0.135135135135135</v>
      </c>
      <c r="G40" s="84" t="n">
        <v>0.276785714285714</v>
      </c>
      <c r="H40" s="84" t="n">
        <v>0.354142403355325</v>
      </c>
      <c r="I40" s="84" t="n">
        <v>0.265878011401598</v>
      </c>
      <c r="J40" s="84" t="n">
        <v>0.779655417625927</v>
      </c>
      <c r="K40" s="84" t="n">
        <v>0.750797855072058</v>
      </c>
      <c r="L40" s="84" t="n">
        <v>0.876433913199238</v>
      </c>
      <c r="M40" s="84" t="n">
        <v>0.7461538461538459</v>
      </c>
      <c r="N40" s="84" t="n">
        <v>0.653333333333333</v>
      </c>
      <c r="O40" s="84" t="n">
        <v>0.842105263157895</v>
      </c>
      <c r="P40" s="85">
        <f>AVERAGE(D40:I40)</f>
        <v/>
      </c>
      <c r="Q40" s="85">
        <f>AVERAGE(J40:L40)</f>
        <v/>
      </c>
      <c r="R40" s="85">
        <f>AVERAGE(M40:O40)</f>
        <v/>
      </c>
      <c r="S40" s="85">
        <f>'02_지표정의'!$C$22*P40+'02_지표정의'!$C$23*Q40+'02_지표정의'!$C$24*R40</f>
        <v/>
      </c>
      <c r="T40" s="73">
        <f>IF(OR(AND(B40="gemini",C40="gemma"),AND(B40="qwen3_6",C40="qwen"),AND(B40="mistral",C40="ministral")),1,0)</f>
        <v/>
      </c>
      <c r="U40" s="73">
        <f>IF(LEFT(A40,3)="PAT","특허","보고서")</f>
        <v/>
      </c>
      <c r="V40" s="86">
        <f>COUNTIF($S$2:$S$976,"&lt;"&amp;S40)+(COUNTIF($S$2:$S$976,"="&amp;S40)+1)/2</f>
        <v/>
      </c>
      <c r="W40" s="73">
        <f>IF(C40="qwen",0,COUNTIFS($C$2:$C$976,"&lt;&gt;qwen",$S$2:$S$976,"&lt;"&amp;S40)+1)</f>
        <v/>
      </c>
      <c r="X40" s="73">
        <f>IF(C40="ministral",0,COUNTIFS($C$2:$C$976,"&lt;&gt;ministral",$S$2:$S$976,"&lt;"&amp;S40)+1)</f>
        <v/>
      </c>
      <c r="Y40" s="73">
        <f>IF(C40="gemma",0,COUNTIFS($C$2:$C$976,"&lt;&gt;gemma",$S$2:$S$976,"&lt;"&amp;S40)+1)</f>
        <v/>
      </c>
      <c r="Z40" s="87">
        <f>COUNTIFS($B$2:$B$976,B40,$C$2:$C$976,C40,$S$2:$S$976,"&lt;"&amp;S40)+1</f>
        <v/>
      </c>
      <c r="AA40" s="88">
        <f>ABS(S40-SUMPRODUCT(('05B_가정검정'!$A$5:$A$19=B40)*('05B_가정검정'!$B$5:$B$19=C40)*'05B_가정검정'!$E$5:$E$19))</f>
        <v/>
      </c>
      <c r="AB40" s="88">
        <f>S40-AVERAGEIFS($S$2:$S$976,$B$2:$B$976,B40,$C$2:$C$976,C40)</f>
        <v/>
      </c>
    </row>
    <row r="41" ht="15" customHeight="1" s="68">
      <c r="A41" s="83" t="inlineStr">
        <is>
          <t>PAT-03</t>
        </is>
      </c>
      <c r="B41" s="83" t="inlineStr">
        <is>
          <t>mistral</t>
        </is>
      </c>
      <c r="C41" s="83" t="inlineStr">
        <is>
          <t>gemma</t>
        </is>
      </c>
      <c r="D41" s="84" t="n">
        <v>0.233890214797136</v>
      </c>
      <c r="E41" s="84" t="n">
        <v>0.282258064516129</v>
      </c>
      <c r="F41" s="84" t="n">
        <v>0.113821138211382</v>
      </c>
      <c r="G41" s="84" t="n">
        <v>0.193548387096774</v>
      </c>
      <c r="H41" s="84" t="n">
        <v>0.239579921125128</v>
      </c>
      <c r="I41" s="84" t="n">
        <v>0.131717003893558</v>
      </c>
      <c r="J41" s="84" t="n">
        <v>0.6289782241592</v>
      </c>
      <c r="K41" s="84" t="n">
        <v>0.574126095391674</v>
      </c>
      <c r="L41" s="84" t="n">
        <v>0.730747114672343</v>
      </c>
      <c r="M41" s="84" t="n">
        <v>0.73109243697479</v>
      </c>
      <c r="N41" s="84" t="n">
        <v>0.727272727272727</v>
      </c>
      <c r="O41" s="84" t="n">
        <v>1</v>
      </c>
      <c r="P41" s="85">
        <f>AVERAGE(D41:I41)</f>
        <v/>
      </c>
      <c r="Q41" s="85">
        <f>AVERAGE(J41:L41)</f>
        <v/>
      </c>
      <c r="R41" s="85">
        <f>AVERAGE(M41:O41)</f>
        <v/>
      </c>
      <c r="S41" s="85">
        <f>'02_지표정의'!$C$22*P41+'02_지표정의'!$C$23*Q41+'02_지표정의'!$C$24*R41</f>
        <v/>
      </c>
      <c r="T41" s="73">
        <f>IF(OR(AND(B41="gemini",C41="gemma"),AND(B41="qwen3_6",C41="qwen"),AND(B41="mistral",C41="ministral")),1,0)</f>
        <v/>
      </c>
      <c r="U41" s="73">
        <f>IF(LEFT(A41,3)="PAT","특허","보고서")</f>
        <v/>
      </c>
      <c r="V41" s="86">
        <f>COUNTIF($S$2:$S$976,"&lt;"&amp;S41)+(COUNTIF($S$2:$S$976,"="&amp;S41)+1)/2</f>
        <v/>
      </c>
      <c r="W41" s="73">
        <f>IF(C41="qwen",0,COUNTIFS($C$2:$C$976,"&lt;&gt;qwen",$S$2:$S$976,"&lt;"&amp;S41)+1)</f>
        <v/>
      </c>
      <c r="X41" s="73">
        <f>IF(C41="ministral",0,COUNTIFS($C$2:$C$976,"&lt;&gt;ministral",$S$2:$S$976,"&lt;"&amp;S41)+1)</f>
        <v/>
      </c>
      <c r="Y41" s="73">
        <f>IF(C41="gemma",0,COUNTIFS($C$2:$C$976,"&lt;&gt;gemma",$S$2:$S$976,"&lt;"&amp;S41)+1)</f>
        <v/>
      </c>
      <c r="Z41" s="87">
        <f>COUNTIFS($B$2:$B$976,B41,$C$2:$C$976,C41,$S$2:$S$976,"&lt;"&amp;S41)+1</f>
        <v/>
      </c>
      <c r="AA41" s="88">
        <f>ABS(S41-SUMPRODUCT(('05B_가정검정'!$A$5:$A$19=B41)*('05B_가정검정'!$B$5:$B$19=C41)*'05B_가정검정'!$E$5:$E$19))</f>
        <v/>
      </c>
      <c r="AB41" s="88">
        <f>S41-AVERAGEIFS($S$2:$S$976,$B$2:$B$976,B41,$C$2:$C$976,C41)</f>
        <v/>
      </c>
    </row>
    <row r="42" ht="15" customHeight="1" s="68">
      <c r="A42" s="83" t="inlineStr">
        <is>
          <t>PAT-03</t>
        </is>
      </c>
      <c r="B42" s="83" t="inlineStr">
        <is>
          <t>mistral</t>
        </is>
      </c>
      <c r="C42" s="83" t="inlineStr">
        <is>
          <t>ministral</t>
        </is>
      </c>
      <c r="D42" s="84" t="n">
        <v>0.378194207836457</v>
      </c>
      <c r="E42" s="84" t="n">
        <v>0.328767123287671</v>
      </c>
      <c r="F42" s="84" t="n">
        <v>0.144827586206897</v>
      </c>
      <c r="G42" s="84" t="n">
        <v>0.232876712328767</v>
      </c>
      <c r="H42" s="84" t="n">
        <v>0.240213682866273</v>
      </c>
      <c r="I42" s="84" t="n">
        <v>0.326381672603047</v>
      </c>
      <c r="J42" s="84" t="n">
        <v>0.651348601005696</v>
      </c>
      <c r="K42" s="84" t="n">
        <v>0.690107211063268</v>
      </c>
      <c r="L42" s="84" t="n">
        <v>0.772483012644413</v>
      </c>
      <c r="M42" s="84" t="n">
        <v>0.366336633663366</v>
      </c>
      <c r="N42" s="84" t="n">
        <v>0.237704918032787</v>
      </c>
      <c r="O42" s="84" t="n">
        <v>0.526315789473684</v>
      </c>
      <c r="P42" s="85">
        <f>AVERAGE(D42:I42)</f>
        <v/>
      </c>
      <c r="Q42" s="85">
        <f>AVERAGE(J42:L42)</f>
        <v/>
      </c>
      <c r="R42" s="85">
        <f>AVERAGE(M42:O42)</f>
        <v/>
      </c>
      <c r="S42" s="85">
        <f>'02_지표정의'!$C$22*P42+'02_지표정의'!$C$23*Q42+'02_지표정의'!$C$24*R42</f>
        <v/>
      </c>
      <c r="T42" s="73">
        <f>IF(OR(AND(B42="gemini",C42="gemma"),AND(B42="qwen3_6",C42="qwen"),AND(B42="mistral",C42="ministral")),1,0)</f>
        <v/>
      </c>
      <c r="U42" s="73">
        <f>IF(LEFT(A42,3)="PAT","특허","보고서")</f>
        <v/>
      </c>
      <c r="V42" s="86">
        <f>COUNTIF($S$2:$S$976,"&lt;"&amp;S42)+(COUNTIF($S$2:$S$976,"="&amp;S42)+1)/2</f>
        <v/>
      </c>
      <c r="W42" s="73">
        <f>IF(C42="qwen",0,COUNTIFS($C$2:$C$976,"&lt;&gt;qwen",$S$2:$S$976,"&lt;"&amp;S42)+1)</f>
        <v/>
      </c>
      <c r="X42" s="73">
        <f>IF(C42="ministral",0,COUNTIFS($C$2:$C$976,"&lt;&gt;ministral",$S$2:$S$976,"&lt;"&amp;S42)+1)</f>
        <v/>
      </c>
      <c r="Y42" s="73">
        <f>IF(C42="gemma",0,COUNTIFS($C$2:$C$976,"&lt;&gt;gemma",$S$2:$S$976,"&lt;"&amp;S42)+1)</f>
        <v/>
      </c>
      <c r="Z42" s="87">
        <f>COUNTIFS($B$2:$B$976,B42,$C$2:$C$976,C42,$S$2:$S$976,"&lt;"&amp;S42)+1</f>
        <v/>
      </c>
      <c r="AA42" s="88">
        <f>ABS(S42-SUMPRODUCT(('05B_가정검정'!$A$5:$A$19=B42)*('05B_가정검정'!$B$5:$B$19=C42)*'05B_가정검정'!$E$5:$E$19))</f>
        <v/>
      </c>
      <c r="AB42" s="88">
        <f>S42-AVERAGEIFS($S$2:$S$976,$B$2:$B$976,B42,$C$2:$C$976,C42)</f>
        <v/>
      </c>
    </row>
    <row r="43" ht="15" customHeight="1" s="68">
      <c r="A43" s="83" t="inlineStr">
        <is>
          <t>PAT-03</t>
        </is>
      </c>
      <c r="B43" s="83" t="inlineStr">
        <is>
          <t>mistral</t>
        </is>
      </c>
      <c r="C43" s="83" t="inlineStr">
        <is>
          <t>qwen</t>
        </is>
      </c>
      <c r="D43" s="84" t="n">
        <v>0.32463768115942</v>
      </c>
      <c r="E43" s="84" t="n">
        <v>0.472573839662447</v>
      </c>
      <c r="F43" s="84" t="n">
        <v>0.161702127659575</v>
      </c>
      <c r="G43" s="84" t="n">
        <v>0.337552742616034</v>
      </c>
      <c r="H43" s="84" t="n">
        <v>0.293822765295551</v>
      </c>
      <c r="I43" s="84" t="n">
        <v>0.338653733157325</v>
      </c>
      <c r="J43" s="84" t="n">
        <v>0.684117954126132</v>
      </c>
      <c r="K43" s="84" t="n">
        <v>0.606339909878241</v>
      </c>
      <c r="L43" s="84" t="n">
        <v>0.796872540637896</v>
      </c>
      <c r="M43" s="84" t="n">
        <v>0.6</v>
      </c>
      <c r="N43" s="84" t="n">
        <v>0.493333333333333</v>
      </c>
      <c r="O43" s="84" t="n">
        <v>0.842105263157895</v>
      </c>
      <c r="P43" s="85">
        <f>AVERAGE(D43:I43)</f>
        <v/>
      </c>
      <c r="Q43" s="85">
        <f>AVERAGE(J43:L43)</f>
        <v/>
      </c>
      <c r="R43" s="85">
        <f>AVERAGE(M43:O43)</f>
        <v/>
      </c>
      <c r="S43" s="85">
        <f>'02_지표정의'!$C$22*P43+'02_지표정의'!$C$23*Q43+'02_지표정의'!$C$24*R43</f>
        <v/>
      </c>
      <c r="T43" s="73">
        <f>IF(OR(AND(B43="gemini",C43="gemma"),AND(B43="qwen3_6",C43="qwen"),AND(B43="mistral",C43="ministral")),1,0)</f>
        <v/>
      </c>
      <c r="U43" s="73">
        <f>IF(LEFT(A43,3)="PAT","특허","보고서")</f>
        <v/>
      </c>
      <c r="V43" s="86">
        <f>COUNTIF($S$2:$S$976,"&lt;"&amp;S43)+(COUNTIF($S$2:$S$976,"="&amp;S43)+1)/2</f>
        <v/>
      </c>
      <c r="W43" s="73">
        <f>IF(C43="qwen",0,COUNTIFS($C$2:$C$976,"&lt;&gt;qwen",$S$2:$S$976,"&lt;"&amp;S43)+1)</f>
        <v/>
      </c>
      <c r="X43" s="73">
        <f>IF(C43="ministral",0,COUNTIFS($C$2:$C$976,"&lt;&gt;ministral",$S$2:$S$976,"&lt;"&amp;S43)+1)</f>
        <v/>
      </c>
      <c r="Y43" s="73">
        <f>IF(C43="gemma",0,COUNTIFS($C$2:$C$976,"&lt;&gt;gemma",$S$2:$S$976,"&lt;"&amp;S43)+1)</f>
        <v/>
      </c>
      <c r="Z43" s="87">
        <f>COUNTIFS($B$2:$B$976,B43,$C$2:$C$976,C43,$S$2:$S$976,"&lt;"&amp;S43)+1</f>
        <v/>
      </c>
      <c r="AA43" s="88">
        <f>ABS(S43-SUMPRODUCT(('05B_가정검정'!$A$5:$A$19=B43)*('05B_가정검정'!$B$5:$B$19=C43)*'05B_가정검정'!$E$5:$E$19))</f>
        <v/>
      </c>
      <c r="AB43" s="88">
        <f>S43-AVERAGEIFS($S$2:$S$976,$B$2:$B$976,B43,$C$2:$C$976,C43)</f>
        <v/>
      </c>
    </row>
    <row r="44" ht="15" customHeight="1" s="68">
      <c r="A44" s="83" t="inlineStr">
        <is>
          <t>PAT-03</t>
        </is>
      </c>
      <c r="B44" s="83" t="inlineStr">
        <is>
          <t>qwen3_6</t>
        </is>
      </c>
      <c r="C44" s="83" t="inlineStr">
        <is>
          <t>gemma</t>
        </is>
      </c>
      <c r="D44" s="84" t="n">
        <v>0.22010582010582</v>
      </c>
      <c r="E44" s="84" t="n">
        <v>0.284615384615385</v>
      </c>
      <c r="F44" s="84" t="n">
        <v>0.0930232558139535</v>
      </c>
      <c r="G44" s="84" t="n">
        <v>0.2</v>
      </c>
      <c r="H44" s="84" t="n">
        <v>0.290271199451819</v>
      </c>
      <c r="I44" s="84" t="n">
        <v>0.118652003043437</v>
      </c>
      <c r="J44" s="84" t="n">
        <v>0.716883395849092</v>
      </c>
      <c r="K44" s="84" t="n">
        <v>0.606605030450195</v>
      </c>
      <c r="L44" s="84" t="n">
        <v>0.7961005360857401</v>
      </c>
      <c r="M44" s="84" t="n">
        <v>0.889908256880734</v>
      </c>
      <c r="N44" s="84" t="n">
        <v>0.901639344262295</v>
      </c>
      <c r="O44" s="84" t="n">
        <v>1</v>
      </c>
      <c r="P44" s="85">
        <f>AVERAGE(D44:I44)</f>
        <v/>
      </c>
      <c r="Q44" s="85">
        <f>AVERAGE(J44:L44)</f>
        <v/>
      </c>
      <c r="R44" s="85">
        <f>AVERAGE(M44:O44)</f>
        <v/>
      </c>
      <c r="S44" s="85">
        <f>'02_지표정의'!$C$22*P44+'02_지표정의'!$C$23*Q44+'02_지표정의'!$C$24*R44</f>
        <v/>
      </c>
      <c r="T44" s="73">
        <f>IF(OR(AND(B44="gemini",C44="gemma"),AND(B44="qwen3_6",C44="qwen"),AND(B44="mistral",C44="ministral")),1,0)</f>
        <v/>
      </c>
      <c r="U44" s="73">
        <f>IF(LEFT(A44,3)="PAT","특허","보고서")</f>
        <v/>
      </c>
      <c r="V44" s="86">
        <f>COUNTIF($S$2:$S$976,"&lt;"&amp;S44)+(COUNTIF($S$2:$S$976,"="&amp;S44)+1)/2</f>
        <v/>
      </c>
      <c r="W44" s="73">
        <f>IF(C44="qwen",0,COUNTIFS($C$2:$C$976,"&lt;&gt;qwen",$S$2:$S$976,"&lt;"&amp;S44)+1)</f>
        <v/>
      </c>
      <c r="X44" s="73">
        <f>IF(C44="ministral",0,COUNTIFS($C$2:$C$976,"&lt;&gt;ministral",$S$2:$S$976,"&lt;"&amp;S44)+1)</f>
        <v/>
      </c>
      <c r="Y44" s="73">
        <f>IF(C44="gemma",0,COUNTIFS($C$2:$C$976,"&lt;&gt;gemma",$S$2:$S$976,"&lt;"&amp;S44)+1)</f>
        <v/>
      </c>
      <c r="Z44" s="87">
        <f>COUNTIFS($B$2:$B$976,B44,$C$2:$C$976,C44,$S$2:$S$976,"&lt;"&amp;S44)+1</f>
        <v/>
      </c>
      <c r="AA44" s="88">
        <f>ABS(S44-SUMPRODUCT(('05B_가정검정'!$A$5:$A$19=B44)*('05B_가정검정'!$B$5:$B$19=C44)*'05B_가정검정'!$E$5:$E$19))</f>
        <v/>
      </c>
      <c r="AB44" s="88">
        <f>S44-AVERAGEIFS($S$2:$S$976,$B$2:$B$976,B44,$C$2:$C$976,C44)</f>
        <v/>
      </c>
    </row>
    <row r="45" ht="15" customHeight="1" s="68">
      <c r="A45" s="83" t="inlineStr">
        <is>
          <t>PAT-03</t>
        </is>
      </c>
      <c r="B45" s="83" t="inlineStr">
        <is>
          <t>qwen3_6</t>
        </is>
      </c>
      <c r="C45" s="83" t="inlineStr">
        <is>
          <t>ministral</t>
        </is>
      </c>
      <c r="D45" s="84" t="n">
        <v>0.31700288184438</v>
      </c>
      <c r="E45" s="84" t="n">
        <v>0.401315789473684</v>
      </c>
      <c r="F45" s="84" t="n">
        <v>0.139072847682119</v>
      </c>
      <c r="G45" s="84" t="n">
        <v>0.25</v>
      </c>
      <c r="H45" s="84" t="n">
        <v>0.273699269347571</v>
      </c>
      <c r="I45" s="84" t="n">
        <v>0.361601830991655</v>
      </c>
      <c r="J45" s="84" t="n">
        <v>0.703390712385484</v>
      </c>
      <c r="K45" s="84" t="n">
        <v>0.655402185928514</v>
      </c>
      <c r="L45" s="84" t="n">
        <v>0.826166328024096</v>
      </c>
      <c r="M45" s="84" t="n">
        <v>0.32013201320132</v>
      </c>
      <c r="N45" s="84" t="n">
        <v>0.30327868852459</v>
      </c>
      <c r="O45" s="84" t="n">
        <v>0.526315789473684</v>
      </c>
      <c r="P45" s="85">
        <f>AVERAGE(D45:I45)</f>
        <v/>
      </c>
      <c r="Q45" s="85">
        <f>AVERAGE(J45:L45)</f>
        <v/>
      </c>
      <c r="R45" s="85">
        <f>AVERAGE(M45:O45)</f>
        <v/>
      </c>
      <c r="S45" s="85">
        <f>'02_지표정의'!$C$22*P45+'02_지표정의'!$C$23*Q45+'02_지표정의'!$C$24*R45</f>
        <v/>
      </c>
      <c r="T45" s="73">
        <f>IF(OR(AND(B45="gemini",C45="gemma"),AND(B45="qwen3_6",C45="qwen"),AND(B45="mistral",C45="ministral")),1,0)</f>
        <v/>
      </c>
      <c r="U45" s="73">
        <f>IF(LEFT(A45,3)="PAT","특허","보고서")</f>
        <v/>
      </c>
      <c r="V45" s="86">
        <f>COUNTIF($S$2:$S$976,"&lt;"&amp;S45)+(COUNTIF($S$2:$S$976,"="&amp;S45)+1)/2</f>
        <v/>
      </c>
      <c r="W45" s="73">
        <f>IF(C45="qwen",0,COUNTIFS($C$2:$C$976,"&lt;&gt;qwen",$S$2:$S$976,"&lt;"&amp;S45)+1)</f>
        <v/>
      </c>
      <c r="X45" s="73">
        <f>IF(C45="ministral",0,COUNTIFS($C$2:$C$976,"&lt;&gt;ministral",$S$2:$S$976,"&lt;"&amp;S45)+1)</f>
        <v/>
      </c>
      <c r="Y45" s="73">
        <f>IF(C45="gemma",0,COUNTIFS($C$2:$C$976,"&lt;&gt;gemma",$S$2:$S$976,"&lt;"&amp;S45)+1)</f>
        <v/>
      </c>
      <c r="Z45" s="87">
        <f>COUNTIFS($B$2:$B$976,B45,$C$2:$C$976,C45,$S$2:$S$976,"&lt;"&amp;S45)+1</f>
        <v/>
      </c>
      <c r="AA45" s="88">
        <f>ABS(S45-SUMPRODUCT(('05B_가정검정'!$A$5:$A$19=B45)*('05B_가정검정'!$B$5:$B$19=C45)*'05B_가정검정'!$E$5:$E$19))</f>
        <v/>
      </c>
      <c r="AB45" s="88">
        <f>S45-AVERAGEIFS($S$2:$S$976,$B$2:$B$976,B45,$C$2:$C$976,C45)</f>
        <v/>
      </c>
    </row>
    <row r="46" ht="15" customHeight="1" s="68">
      <c r="A46" s="83" t="inlineStr">
        <is>
          <t>PAT-03</t>
        </is>
      </c>
      <c r="B46" s="83" t="inlineStr">
        <is>
          <t>qwen3_6</t>
        </is>
      </c>
      <c r="C46" s="83" t="inlineStr">
        <is>
          <t>qwen</t>
        </is>
      </c>
      <c r="D46" s="84" t="n">
        <v>0.331242158092848</v>
      </c>
      <c r="E46" s="84" t="n">
        <v>0.417670682730924</v>
      </c>
      <c r="F46" s="84" t="n">
        <v>0.11336032388664</v>
      </c>
      <c r="G46" s="84" t="n">
        <v>0.273092369477912</v>
      </c>
      <c r="H46" s="84" t="n">
        <v>0.37130813115462</v>
      </c>
      <c r="I46" s="84" t="n">
        <v>0.371384877190442</v>
      </c>
      <c r="J46" s="84" t="n">
        <v>0.711316373125099</v>
      </c>
      <c r="K46" s="84" t="n">
        <v>0.629232526409646</v>
      </c>
      <c r="L46" s="84" t="n">
        <v>0.835961222868793</v>
      </c>
      <c r="M46" s="84" t="n">
        <v>0.7461538461538459</v>
      </c>
      <c r="N46" s="84" t="n">
        <v>0.653333333333333</v>
      </c>
      <c r="O46" s="84" t="n">
        <v>0.842105263157895</v>
      </c>
      <c r="P46" s="85">
        <f>AVERAGE(D46:I46)</f>
        <v/>
      </c>
      <c r="Q46" s="85">
        <f>AVERAGE(J46:L46)</f>
        <v/>
      </c>
      <c r="R46" s="85">
        <f>AVERAGE(M46:O46)</f>
        <v/>
      </c>
      <c r="S46" s="85">
        <f>'02_지표정의'!$C$22*P46+'02_지표정의'!$C$23*Q46+'02_지표정의'!$C$24*R46</f>
        <v/>
      </c>
      <c r="T46" s="73">
        <f>IF(OR(AND(B46="gemini",C46="gemma"),AND(B46="qwen3_6",C46="qwen"),AND(B46="mistral",C46="ministral")),1,0)</f>
        <v/>
      </c>
      <c r="U46" s="73">
        <f>IF(LEFT(A46,3)="PAT","특허","보고서")</f>
        <v/>
      </c>
      <c r="V46" s="86">
        <f>COUNTIF($S$2:$S$976,"&lt;"&amp;S46)+(COUNTIF($S$2:$S$976,"="&amp;S46)+1)/2</f>
        <v/>
      </c>
      <c r="W46" s="73">
        <f>IF(C46="qwen",0,COUNTIFS($C$2:$C$976,"&lt;&gt;qwen",$S$2:$S$976,"&lt;"&amp;S46)+1)</f>
        <v/>
      </c>
      <c r="X46" s="73">
        <f>IF(C46="ministral",0,COUNTIFS($C$2:$C$976,"&lt;&gt;ministral",$S$2:$S$976,"&lt;"&amp;S46)+1)</f>
        <v/>
      </c>
      <c r="Y46" s="73">
        <f>IF(C46="gemma",0,COUNTIFS($C$2:$C$976,"&lt;&gt;gemma",$S$2:$S$976,"&lt;"&amp;S46)+1)</f>
        <v/>
      </c>
      <c r="Z46" s="87">
        <f>COUNTIFS($B$2:$B$976,B46,$C$2:$C$976,C46,$S$2:$S$976,"&lt;"&amp;S46)+1</f>
        <v/>
      </c>
      <c r="AA46" s="88">
        <f>ABS(S46-SUMPRODUCT(('05B_가정검정'!$A$5:$A$19=B46)*('05B_가정검정'!$B$5:$B$19=C46)*'05B_가정검정'!$E$5:$E$19))</f>
        <v/>
      </c>
      <c r="AB46" s="88">
        <f>S46-AVERAGEIFS($S$2:$S$976,$B$2:$B$976,B46,$C$2:$C$976,C46)</f>
        <v/>
      </c>
    </row>
    <row r="47" ht="15" customHeight="1" s="68">
      <c r="A47" s="83" t="inlineStr">
        <is>
          <t>PAT-04</t>
        </is>
      </c>
      <c r="B47" s="83" t="inlineStr">
        <is>
          <t>chatgpt</t>
        </is>
      </c>
      <c r="C47" s="83" t="inlineStr">
        <is>
          <t>gemma</t>
        </is>
      </c>
      <c r="D47" s="84" t="n">
        <v>0.194202898550725</v>
      </c>
      <c r="E47" s="84" t="n">
        <v>0.339805825242719</v>
      </c>
      <c r="F47" s="84" t="n">
        <v>0.117647058823529</v>
      </c>
      <c r="G47" s="84" t="n">
        <v>0.242718446601942</v>
      </c>
      <c r="H47" s="84" t="n">
        <v>0.200913641054119</v>
      </c>
      <c r="I47" s="84" t="n">
        <v>0.198786188712329</v>
      </c>
      <c r="J47" s="84" t="n">
        <v>0.71152244257131</v>
      </c>
      <c r="K47" s="84" t="n">
        <v>0.610639441187798</v>
      </c>
      <c r="L47" s="84" t="n">
        <v>0.814079667638398</v>
      </c>
      <c r="M47" s="84" t="n">
        <v>0.455497382198953</v>
      </c>
      <c r="N47" s="84" t="n">
        <v>0.0196078431372549</v>
      </c>
      <c r="O47" s="84" t="n">
        <v>0.526315789473684</v>
      </c>
      <c r="P47" s="85">
        <f>AVERAGE(D47:I47)</f>
        <v/>
      </c>
      <c r="Q47" s="85">
        <f>AVERAGE(J47:L47)</f>
        <v/>
      </c>
      <c r="R47" s="85">
        <f>AVERAGE(M47:O47)</f>
        <v/>
      </c>
      <c r="S47" s="85">
        <f>'02_지표정의'!$C$22*P47+'02_지표정의'!$C$23*Q47+'02_지표정의'!$C$24*R47</f>
        <v/>
      </c>
      <c r="T47" s="73">
        <f>IF(OR(AND(B47="gemini",C47="gemma"),AND(B47="qwen3_6",C47="qwen"),AND(B47="mistral",C47="ministral")),1,0)</f>
        <v/>
      </c>
      <c r="U47" s="73">
        <f>IF(LEFT(A47,3)="PAT","특허","보고서")</f>
        <v/>
      </c>
      <c r="V47" s="86">
        <f>COUNTIF($S$2:$S$976,"&lt;"&amp;S47)+(COUNTIF($S$2:$S$976,"="&amp;S47)+1)/2</f>
        <v/>
      </c>
      <c r="W47" s="73">
        <f>IF(C47="qwen",0,COUNTIFS($C$2:$C$976,"&lt;&gt;qwen",$S$2:$S$976,"&lt;"&amp;S47)+1)</f>
        <v/>
      </c>
      <c r="X47" s="73">
        <f>IF(C47="ministral",0,COUNTIFS($C$2:$C$976,"&lt;&gt;ministral",$S$2:$S$976,"&lt;"&amp;S47)+1)</f>
        <v/>
      </c>
      <c r="Y47" s="73">
        <f>IF(C47="gemma",0,COUNTIFS($C$2:$C$976,"&lt;&gt;gemma",$S$2:$S$976,"&lt;"&amp;S47)+1)</f>
        <v/>
      </c>
      <c r="Z47" s="87">
        <f>COUNTIFS($B$2:$B$976,B47,$C$2:$C$976,C47,$S$2:$S$976,"&lt;"&amp;S47)+1</f>
        <v/>
      </c>
      <c r="AA47" s="88">
        <f>ABS(S47-SUMPRODUCT(('05B_가정검정'!$A$5:$A$19=B47)*('05B_가정검정'!$B$5:$B$19=C47)*'05B_가정검정'!$E$5:$E$19))</f>
        <v/>
      </c>
      <c r="AB47" s="88">
        <f>S47-AVERAGEIFS($S$2:$S$976,$B$2:$B$976,B47,$C$2:$C$976,C47)</f>
        <v/>
      </c>
    </row>
    <row r="48" ht="15" customHeight="1" s="68">
      <c r="A48" s="83" t="inlineStr">
        <is>
          <t>PAT-04</t>
        </is>
      </c>
      <c r="B48" s="83" t="inlineStr">
        <is>
          <t>chatgpt</t>
        </is>
      </c>
      <c r="C48" s="83" t="inlineStr">
        <is>
          <t>ministral</t>
        </is>
      </c>
      <c r="D48" s="84" t="n">
        <v>0.277673545966229</v>
      </c>
      <c r="E48" s="84" t="n">
        <v>0.230508474576271</v>
      </c>
      <c r="F48" s="84" t="n">
        <v>0.109215017064846</v>
      </c>
      <c r="G48" s="84" t="n">
        <v>0.203389830508475</v>
      </c>
      <c r="H48" s="84" t="n">
        <v>0.124606486658332</v>
      </c>
      <c r="I48" s="84" t="n">
        <v>0.281107494984124</v>
      </c>
      <c r="J48" s="84" t="n">
        <v>0.720501049867973</v>
      </c>
      <c r="K48" s="84" t="n">
        <v>0.728170185647287</v>
      </c>
      <c r="L48" s="84" t="n">
        <v>0.874281242615923</v>
      </c>
      <c r="M48" s="84" t="n">
        <v>0.444444444444444</v>
      </c>
      <c r="N48" s="84" t="n">
        <v>0</v>
      </c>
      <c r="O48" s="84" t="n">
        <v>0.526315789473684</v>
      </c>
      <c r="P48" s="85">
        <f>AVERAGE(D48:I48)</f>
        <v/>
      </c>
      <c r="Q48" s="85">
        <f>AVERAGE(J48:L48)</f>
        <v/>
      </c>
      <c r="R48" s="85">
        <f>AVERAGE(M48:O48)</f>
        <v/>
      </c>
      <c r="S48" s="85">
        <f>'02_지표정의'!$C$22*P48+'02_지표정의'!$C$23*Q48+'02_지표정의'!$C$24*R48</f>
        <v/>
      </c>
      <c r="T48" s="73">
        <f>IF(OR(AND(B48="gemini",C48="gemma"),AND(B48="qwen3_6",C48="qwen"),AND(B48="mistral",C48="ministral")),1,0)</f>
        <v/>
      </c>
      <c r="U48" s="73">
        <f>IF(LEFT(A48,3)="PAT","특허","보고서")</f>
        <v/>
      </c>
      <c r="V48" s="86">
        <f>COUNTIF($S$2:$S$976,"&lt;"&amp;S48)+(COUNTIF($S$2:$S$976,"="&amp;S48)+1)/2</f>
        <v/>
      </c>
      <c r="W48" s="73">
        <f>IF(C48="qwen",0,COUNTIFS($C$2:$C$976,"&lt;&gt;qwen",$S$2:$S$976,"&lt;"&amp;S48)+1)</f>
        <v/>
      </c>
      <c r="X48" s="73">
        <f>IF(C48="ministral",0,COUNTIFS($C$2:$C$976,"&lt;&gt;ministral",$S$2:$S$976,"&lt;"&amp;S48)+1)</f>
        <v/>
      </c>
      <c r="Y48" s="73">
        <f>IF(C48="gemma",0,COUNTIFS($C$2:$C$976,"&lt;&gt;gemma",$S$2:$S$976,"&lt;"&amp;S48)+1)</f>
        <v/>
      </c>
      <c r="Z48" s="87">
        <f>COUNTIFS($B$2:$B$976,B48,$C$2:$C$976,C48,$S$2:$S$976,"&lt;"&amp;S48)+1</f>
        <v/>
      </c>
      <c r="AA48" s="88">
        <f>ABS(S48-SUMPRODUCT(('05B_가정검정'!$A$5:$A$19=B48)*('05B_가정검정'!$B$5:$B$19=C48)*'05B_가정검정'!$E$5:$E$19))</f>
        <v/>
      </c>
      <c r="AB48" s="88">
        <f>S48-AVERAGEIFS($S$2:$S$976,$B$2:$B$976,B48,$C$2:$C$976,C48)</f>
        <v/>
      </c>
    </row>
    <row r="49" ht="15" customHeight="1" s="68">
      <c r="A49" s="83" t="inlineStr">
        <is>
          <t>PAT-04</t>
        </is>
      </c>
      <c r="B49" s="83" t="inlineStr">
        <is>
          <t>chatgpt</t>
        </is>
      </c>
      <c r="C49" s="83" t="inlineStr">
        <is>
          <t>qwen</t>
        </is>
      </c>
      <c r="D49" s="84" t="n">
        <v>0.235294117647059</v>
      </c>
      <c r="E49" s="84" t="n">
        <v>0.339805825242719</v>
      </c>
      <c r="F49" s="84" t="n">
        <v>0.156862745098039</v>
      </c>
      <c r="G49" s="84" t="n">
        <v>0.300970873786408</v>
      </c>
      <c r="H49" s="84" t="n">
        <v>0.216701381666066</v>
      </c>
      <c r="I49" s="84" t="n">
        <v>0.307766151627252</v>
      </c>
      <c r="J49" s="84" t="n">
        <v>0.717613777977094</v>
      </c>
      <c r="K49" s="84" t="n">
        <v>0.668285704736602</v>
      </c>
      <c r="L49" s="84" t="n">
        <v>0.831349047831914</v>
      </c>
      <c r="M49" s="84" t="n">
        <v>0.539267015706806</v>
      </c>
      <c r="N49" s="84" t="n">
        <v>0</v>
      </c>
      <c r="O49" s="84" t="n">
        <v>0.526315789473684</v>
      </c>
      <c r="P49" s="85">
        <f>AVERAGE(D49:I49)</f>
        <v/>
      </c>
      <c r="Q49" s="85">
        <f>AVERAGE(J49:L49)</f>
        <v/>
      </c>
      <c r="R49" s="85">
        <f>AVERAGE(M49:O49)</f>
        <v/>
      </c>
      <c r="S49" s="85">
        <f>'02_지표정의'!$C$22*P49+'02_지표정의'!$C$23*Q49+'02_지표정의'!$C$24*R49</f>
        <v/>
      </c>
      <c r="T49" s="73">
        <f>IF(OR(AND(B49="gemini",C49="gemma"),AND(B49="qwen3_6",C49="qwen"),AND(B49="mistral",C49="ministral")),1,0)</f>
        <v/>
      </c>
      <c r="U49" s="73">
        <f>IF(LEFT(A49,3)="PAT","특허","보고서")</f>
        <v/>
      </c>
      <c r="V49" s="86">
        <f>COUNTIF($S$2:$S$976,"&lt;"&amp;S49)+(COUNTIF($S$2:$S$976,"="&amp;S49)+1)/2</f>
        <v/>
      </c>
      <c r="W49" s="73">
        <f>IF(C49="qwen",0,COUNTIFS($C$2:$C$976,"&lt;&gt;qwen",$S$2:$S$976,"&lt;"&amp;S49)+1)</f>
        <v/>
      </c>
      <c r="X49" s="73">
        <f>IF(C49="ministral",0,COUNTIFS($C$2:$C$976,"&lt;&gt;ministral",$S$2:$S$976,"&lt;"&amp;S49)+1)</f>
        <v/>
      </c>
      <c r="Y49" s="73">
        <f>IF(C49="gemma",0,COUNTIFS($C$2:$C$976,"&lt;&gt;gemma",$S$2:$S$976,"&lt;"&amp;S49)+1)</f>
        <v/>
      </c>
      <c r="Z49" s="87">
        <f>COUNTIFS($B$2:$B$976,B49,$C$2:$C$976,C49,$S$2:$S$976,"&lt;"&amp;S49)+1</f>
        <v/>
      </c>
      <c r="AA49" s="88">
        <f>ABS(S49-SUMPRODUCT(('05B_가정검정'!$A$5:$A$19=B49)*('05B_가정검정'!$B$5:$B$19=C49)*'05B_가정검정'!$E$5:$E$19))</f>
        <v/>
      </c>
      <c r="AB49" s="88">
        <f>S49-AVERAGEIFS($S$2:$S$976,$B$2:$B$976,B49,$C$2:$C$976,C49)</f>
        <v/>
      </c>
    </row>
    <row r="50" ht="15" customHeight="1" s="68">
      <c r="A50" s="83" t="inlineStr">
        <is>
          <t>PAT-04</t>
        </is>
      </c>
      <c r="B50" s="83" t="inlineStr">
        <is>
          <t>claude</t>
        </is>
      </c>
      <c r="C50" s="83" t="inlineStr">
        <is>
          <t>gemma</t>
        </is>
      </c>
      <c r="D50" s="84" t="n">
        <v>0.225774225774226</v>
      </c>
      <c r="E50" s="84" t="n">
        <v>0.294573643410853</v>
      </c>
      <c r="F50" s="84" t="n">
        <v>0.0859375</v>
      </c>
      <c r="G50" s="84" t="n">
        <v>0.224806201550388</v>
      </c>
      <c r="H50" s="84" t="n">
        <v>0.320636072820081</v>
      </c>
      <c r="I50" s="84" t="n">
        <v>0.194654507210719</v>
      </c>
      <c r="J50" s="84" t="n">
        <v>0.702029400337168</v>
      </c>
      <c r="K50" s="84" t="n">
        <v>0.6752718893884539</v>
      </c>
      <c r="L50" s="84" t="n">
        <v>0.848978607731708</v>
      </c>
      <c r="M50" s="84" t="n">
        <v>0.853211009174312</v>
      </c>
      <c r="N50" s="84" t="n">
        <v>0.868852459016393</v>
      </c>
      <c r="O50" s="84" t="n">
        <v>1</v>
      </c>
      <c r="P50" s="85">
        <f>AVERAGE(D50:I50)</f>
        <v/>
      </c>
      <c r="Q50" s="85">
        <f>AVERAGE(J50:L50)</f>
        <v/>
      </c>
      <c r="R50" s="85">
        <f>AVERAGE(M50:O50)</f>
        <v/>
      </c>
      <c r="S50" s="85">
        <f>'02_지표정의'!$C$22*P50+'02_지표정의'!$C$23*Q50+'02_지표정의'!$C$24*R50</f>
        <v/>
      </c>
      <c r="T50" s="73">
        <f>IF(OR(AND(B50="gemini",C50="gemma"),AND(B50="qwen3_6",C50="qwen"),AND(B50="mistral",C50="ministral")),1,0)</f>
        <v/>
      </c>
      <c r="U50" s="73">
        <f>IF(LEFT(A50,3)="PAT","특허","보고서")</f>
        <v/>
      </c>
      <c r="V50" s="86">
        <f>COUNTIF($S$2:$S$976,"&lt;"&amp;S50)+(COUNTIF($S$2:$S$976,"="&amp;S50)+1)/2</f>
        <v/>
      </c>
      <c r="W50" s="73">
        <f>IF(C50="qwen",0,COUNTIFS($C$2:$C$976,"&lt;&gt;qwen",$S$2:$S$976,"&lt;"&amp;S50)+1)</f>
        <v/>
      </c>
      <c r="X50" s="73">
        <f>IF(C50="ministral",0,COUNTIFS($C$2:$C$976,"&lt;&gt;ministral",$S$2:$S$976,"&lt;"&amp;S50)+1)</f>
        <v/>
      </c>
      <c r="Y50" s="73">
        <f>IF(C50="gemma",0,COUNTIFS($C$2:$C$976,"&lt;&gt;gemma",$S$2:$S$976,"&lt;"&amp;S50)+1)</f>
        <v/>
      </c>
      <c r="Z50" s="87">
        <f>COUNTIFS($B$2:$B$976,B50,$C$2:$C$976,C50,$S$2:$S$976,"&lt;"&amp;S50)+1</f>
        <v/>
      </c>
      <c r="AA50" s="88">
        <f>ABS(S50-SUMPRODUCT(('05B_가정검정'!$A$5:$A$19=B50)*('05B_가정검정'!$B$5:$B$19=C50)*'05B_가정검정'!$E$5:$E$19))</f>
        <v/>
      </c>
      <c r="AB50" s="88">
        <f>S50-AVERAGEIFS($S$2:$S$976,$B$2:$B$976,B50,$C$2:$C$976,C50)</f>
        <v/>
      </c>
    </row>
    <row r="51" ht="15" customHeight="1" s="68">
      <c r="A51" s="83" t="inlineStr">
        <is>
          <t>PAT-04</t>
        </is>
      </c>
      <c r="B51" s="83" t="inlineStr">
        <is>
          <t>claude</t>
        </is>
      </c>
      <c r="C51" s="83" t="inlineStr">
        <is>
          <t>ministral</t>
        </is>
      </c>
      <c r="D51" s="84" t="n">
        <v>0.260663507109005</v>
      </c>
      <c r="E51" s="84" t="n">
        <v>0.311239193083574</v>
      </c>
      <c r="F51" s="84" t="n">
        <v>0.133333333333333</v>
      </c>
      <c r="G51" s="84" t="n">
        <v>0.195965417867435</v>
      </c>
      <c r="H51" s="84" t="n">
        <v>0.213033593046846</v>
      </c>
      <c r="I51" s="84" t="n">
        <v>0.268726838167613</v>
      </c>
      <c r="J51" s="84" t="n">
        <v>0.698574734822291</v>
      </c>
      <c r="K51" s="84" t="n">
        <v>0.681506884357567</v>
      </c>
      <c r="L51" s="84" t="n">
        <v>0.831491634783756</v>
      </c>
      <c r="M51" s="84" t="n">
        <v>0.390946502057613</v>
      </c>
      <c r="N51" s="84" t="n">
        <v>0.445378151260504</v>
      </c>
      <c r="O51" s="84" t="n">
        <v>1</v>
      </c>
      <c r="P51" s="85">
        <f>AVERAGE(D51:I51)</f>
        <v/>
      </c>
      <c r="Q51" s="85">
        <f>AVERAGE(J51:L51)</f>
        <v/>
      </c>
      <c r="R51" s="85">
        <f>AVERAGE(M51:O51)</f>
        <v/>
      </c>
      <c r="S51" s="85">
        <f>'02_지표정의'!$C$22*P51+'02_지표정의'!$C$23*Q51+'02_지표정의'!$C$24*R51</f>
        <v/>
      </c>
      <c r="T51" s="73">
        <f>IF(OR(AND(B51="gemini",C51="gemma"),AND(B51="qwen3_6",C51="qwen"),AND(B51="mistral",C51="ministral")),1,0)</f>
        <v/>
      </c>
      <c r="U51" s="73">
        <f>IF(LEFT(A51,3)="PAT","특허","보고서")</f>
        <v/>
      </c>
      <c r="V51" s="86">
        <f>COUNTIF($S$2:$S$976,"&lt;"&amp;S51)+(COUNTIF($S$2:$S$976,"="&amp;S51)+1)/2</f>
        <v/>
      </c>
      <c r="W51" s="73">
        <f>IF(C51="qwen",0,COUNTIFS($C$2:$C$976,"&lt;&gt;qwen",$S$2:$S$976,"&lt;"&amp;S51)+1)</f>
        <v/>
      </c>
      <c r="X51" s="73">
        <f>IF(C51="ministral",0,COUNTIFS($C$2:$C$976,"&lt;&gt;ministral",$S$2:$S$976,"&lt;"&amp;S51)+1)</f>
        <v/>
      </c>
      <c r="Y51" s="73">
        <f>IF(C51="gemma",0,COUNTIFS($C$2:$C$976,"&lt;&gt;gemma",$S$2:$S$976,"&lt;"&amp;S51)+1)</f>
        <v/>
      </c>
      <c r="Z51" s="87">
        <f>COUNTIFS($B$2:$B$976,B51,$C$2:$C$976,C51,$S$2:$S$976,"&lt;"&amp;S51)+1</f>
        <v/>
      </c>
      <c r="AA51" s="88">
        <f>ABS(S51-SUMPRODUCT(('05B_가정검정'!$A$5:$A$19=B51)*('05B_가정검정'!$B$5:$B$19=C51)*'05B_가정검정'!$E$5:$E$19))</f>
        <v/>
      </c>
      <c r="AB51" s="88">
        <f>S51-AVERAGEIFS($S$2:$S$976,$B$2:$B$976,B51,$C$2:$C$976,C51)</f>
        <v/>
      </c>
    </row>
    <row r="52" ht="15" customHeight="1" s="68">
      <c r="A52" s="83" t="inlineStr">
        <is>
          <t>PAT-04</t>
        </is>
      </c>
      <c r="B52" s="83" t="inlineStr">
        <is>
          <t>claude</t>
        </is>
      </c>
      <c r="C52" s="83" t="inlineStr">
        <is>
          <t>qwen</t>
        </is>
      </c>
      <c r="D52" s="84" t="n">
        <v>0.295744680851064</v>
      </c>
      <c r="E52" s="84" t="n">
        <v>0.418604651162791</v>
      </c>
      <c r="F52" s="84" t="n">
        <v>0.1953125</v>
      </c>
      <c r="G52" s="84" t="n">
        <v>0.325581395348837</v>
      </c>
      <c r="H52" s="84" t="n">
        <v>0.369691770817615</v>
      </c>
      <c r="I52" s="84" t="n">
        <v>0.450124306846459</v>
      </c>
      <c r="J52" s="84" t="n">
        <v>0.7099969864933841</v>
      </c>
      <c r="K52" s="84" t="n">
        <v>0.720752242603876</v>
      </c>
      <c r="L52" s="84" t="n">
        <v>0.871697873128023</v>
      </c>
      <c r="M52" s="84" t="n">
        <v>0.6326530612244901</v>
      </c>
      <c r="N52" s="84" t="n">
        <v>0.706666666666667</v>
      </c>
      <c r="O52" s="84" t="n">
        <v>1</v>
      </c>
      <c r="P52" s="85">
        <f>AVERAGE(D52:I52)</f>
        <v/>
      </c>
      <c r="Q52" s="85">
        <f>AVERAGE(J52:L52)</f>
        <v/>
      </c>
      <c r="R52" s="85">
        <f>AVERAGE(M52:O52)</f>
        <v/>
      </c>
      <c r="S52" s="85">
        <f>'02_지표정의'!$C$22*P52+'02_지표정의'!$C$23*Q52+'02_지표정의'!$C$24*R52</f>
        <v/>
      </c>
      <c r="T52" s="73">
        <f>IF(OR(AND(B52="gemini",C52="gemma"),AND(B52="qwen3_6",C52="qwen"),AND(B52="mistral",C52="ministral")),1,0)</f>
        <v/>
      </c>
      <c r="U52" s="73">
        <f>IF(LEFT(A52,3)="PAT","특허","보고서")</f>
        <v/>
      </c>
      <c r="V52" s="86">
        <f>COUNTIF($S$2:$S$976,"&lt;"&amp;S52)+(COUNTIF($S$2:$S$976,"="&amp;S52)+1)/2</f>
        <v/>
      </c>
      <c r="W52" s="73">
        <f>IF(C52="qwen",0,COUNTIFS($C$2:$C$976,"&lt;&gt;qwen",$S$2:$S$976,"&lt;"&amp;S52)+1)</f>
        <v/>
      </c>
      <c r="X52" s="73">
        <f>IF(C52="ministral",0,COUNTIFS($C$2:$C$976,"&lt;&gt;ministral",$S$2:$S$976,"&lt;"&amp;S52)+1)</f>
        <v/>
      </c>
      <c r="Y52" s="73">
        <f>IF(C52="gemma",0,COUNTIFS($C$2:$C$976,"&lt;&gt;gemma",$S$2:$S$976,"&lt;"&amp;S52)+1)</f>
        <v/>
      </c>
      <c r="Z52" s="87">
        <f>COUNTIFS($B$2:$B$976,B52,$C$2:$C$976,C52,$S$2:$S$976,"&lt;"&amp;S52)+1</f>
        <v/>
      </c>
      <c r="AA52" s="88">
        <f>ABS(S52-SUMPRODUCT(('05B_가정검정'!$A$5:$A$19=B52)*('05B_가정검정'!$B$5:$B$19=C52)*'05B_가정검정'!$E$5:$E$19))</f>
        <v/>
      </c>
      <c r="AB52" s="88">
        <f>S52-AVERAGEIFS($S$2:$S$976,$B$2:$B$976,B52,$C$2:$C$976,C52)</f>
        <v/>
      </c>
    </row>
    <row r="53" ht="15" customHeight="1" s="68">
      <c r="A53" s="83" t="inlineStr">
        <is>
          <t>PAT-04</t>
        </is>
      </c>
      <c r="B53" s="83" t="inlineStr">
        <is>
          <t>gemini</t>
        </is>
      </c>
      <c r="C53" s="83" t="inlineStr">
        <is>
          <t>gemma</t>
        </is>
      </c>
      <c r="D53" s="84" t="n">
        <v>0.239074550128535</v>
      </c>
      <c r="E53" s="84" t="n">
        <v>0.299559471365639</v>
      </c>
      <c r="F53" s="84" t="n">
        <v>0.08888888888888891</v>
      </c>
      <c r="G53" s="84" t="n">
        <v>0.220264317180617</v>
      </c>
      <c r="H53" s="84" t="n">
        <v>0.284000033187786</v>
      </c>
      <c r="I53" s="84" t="n">
        <v>0.210993843458503</v>
      </c>
      <c r="J53" s="84" t="n">
        <v>0.746208540602481</v>
      </c>
      <c r="K53" s="84" t="n">
        <v>0.7725781743568</v>
      </c>
      <c r="L53" s="84" t="n">
        <v>0.889915052946081</v>
      </c>
      <c r="M53" s="84" t="n">
        <v>0.889908256880734</v>
      </c>
      <c r="N53" s="84" t="n">
        <v>0.901639344262295</v>
      </c>
      <c r="O53" s="84" t="n">
        <v>1</v>
      </c>
      <c r="P53" s="85">
        <f>AVERAGE(D53:I53)</f>
        <v/>
      </c>
      <c r="Q53" s="85">
        <f>AVERAGE(J53:L53)</f>
        <v/>
      </c>
      <c r="R53" s="85">
        <f>AVERAGE(M53:O53)</f>
        <v/>
      </c>
      <c r="S53" s="85">
        <f>'02_지표정의'!$C$22*P53+'02_지표정의'!$C$23*Q53+'02_지표정의'!$C$24*R53</f>
        <v/>
      </c>
      <c r="T53" s="73">
        <f>IF(OR(AND(B53="gemini",C53="gemma"),AND(B53="qwen3_6",C53="qwen"),AND(B53="mistral",C53="ministral")),1,0)</f>
        <v/>
      </c>
      <c r="U53" s="73">
        <f>IF(LEFT(A53,3)="PAT","특허","보고서")</f>
        <v/>
      </c>
      <c r="V53" s="86">
        <f>COUNTIF($S$2:$S$976,"&lt;"&amp;S53)+(COUNTIF($S$2:$S$976,"="&amp;S53)+1)/2</f>
        <v/>
      </c>
      <c r="W53" s="73">
        <f>IF(C53="qwen",0,COUNTIFS($C$2:$C$976,"&lt;&gt;qwen",$S$2:$S$976,"&lt;"&amp;S53)+1)</f>
        <v/>
      </c>
      <c r="X53" s="73">
        <f>IF(C53="ministral",0,COUNTIFS($C$2:$C$976,"&lt;&gt;ministral",$S$2:$S$976,"&lt;"&amp;S53)+1)</f>
        <v/>
      </c>
      <c r="Y53" s="73">
        <f>IF(C53="gemma",0,COUNTIFS($C$2:$C$976,"&lt;&gt;gemma",$S$2:$S$976,"&lt;"&amp;S53)+1)</f>
        <v/>
      </c>
      <c r="Z53" s="87">
        <f>COUNTIFS($B$2:$B$976,B53,$C$2:$C$976,C53,$S$2:$S$976,"&lt;"&amp;S53)+1</f>
        <v/>
      </c>
      <c r="AA53" s="88">
        <f>ABS(S53-SUMPRODUCT(('05B_가정검정'!$A$5:$A$19=B53)*('05B_가정검정'!$B$5:$B$19=C53)*'05B_가정검정'!$E$5:$E$19))</f>
        <v/>
      </c>
      <c r="AB53" s="88">
        <f>S53-AVERAGEIFS($S$2:$S$976,$B$2:$B$976,B53,$C$2:$C$976,C53)</f>
        <v/>
      </c>
    </row>
    <row r="54" ht="15" customHeight="1" s="68">
      <c r="A54" s="83" t="inlineStr">
        <is>
          <t>PAT-04</t>
        </is>
      </c>
      <c r="B54" s="83" t="inlineStr">
        <is>
          <t>gemini</t>
        </is>
      </c>
      <c r="C54" s="83" t="inlineStr">
        <is>
          <t>ministral</t>
        </is>
      </c>
      <c r="D54" s="84" t="n">
        <v>0.309178743961353</v>
      </c>
      <c r="E54" s="84" t="n">
        <v>0.278481012658228</v>
      </c>
      <c r="F54" s="84" t="n">
        <v>0.089171974522293</v>
      </c>
      <c r="G54" s="84" t="n">
        <v>0.19620253164557</v>
      </c>
      <c r="H54" s="84" t="n">
        <v>0.183720906261565</v>
      </c>
      <c r="I54" s="84" t="n">
        <v>0.380693179482787</v>
      </c>
      <c r="J54" s="84" t="n">
        <v>0.7348366776397069</v>
      </c>
      <c r="K54" s="84" t="n">
        <v>0.8142189804459909</v>
      </c>
      <c r="L54" s="84" t="n">
        <v>0.917869409391645</v>
      </c>
      <c r="M54" s="84" t="n">
        <v>0.39917695473251</v>
      </c>
      <c r="N54" s="84" t="n">
        <v>0.46218487394958</v>
      </c>
      <c r="O54" s="84" t="n">
        <v>1</v>
      </c>
      <c r="P54" s="85">
        <f>AVERAGE(D54:I54)</f>
        <v/>
      </c>
      <c r="Q54" s="85">
        <f>AVERAGE(J54:L54)</f>
        <v/>
      </c>
      <c r="R54" s="85">
        <f>AVERAGE(M54:O54)</f>
        <v/>
      </c>
      <c r="S54" s="85">
        <f>'02_지표정의'!$C$22*P54+'02_지표정의'!$C$23*Q54+'02_지표정의'!$C$24*R54</f>
        <v/>
      </c>
      <c r="T54" s="73">
        <f>IF(OR(AND(B54="gemini",C54="gemma"),AND(B54="qwen3_6",C54="qwen"),AND(B54="mistral",C54="ministral")),1,0)</f>
        <v/>
      </c>
      <c r="U54" s="73">
        <f>IF(LEFT(A54,3)="PAT","특허","보고서")</f>
        <v/>
      </c>
      <c r="V54" s="86">
        <f>COUNTIF($S$2:$S$976,"&lt;"&amp;S54)+(COUNTIF($S$2:$S$976,"="&amp;S54)+1)/2</f>
        <v/>
      </c>
      <c r="W54" s="73">
        <f>IF(C54="qwen",0,COUNTIFS($C$2:$C$976,"&lt;&gt;qwen",$S$2:$S$976,"&lt;"&amp;S54)+1)</f>
        <v/>
      </c>
      <c r="X54" s="73">
        <f>IF(C54="ministral",0,COUNTIFS($C$2:$C$976,"&lt;&gt;ministral",$S$2:$S$976,"&lt;"&amp;S54)+1)</f>
        <v/>
      </c>
      <c r="Y54" s="73">
        <f>IF(C54="gemma",0,COUNTIFS($C$2:$C$976,"&lt;&gt;gemma",$S$2:$S$976,"&lt;"&amp;S54)+1)</f>
        <v/>
      </c>
      <c r="Z54" s="87">
        <f>COUNTIFS($B$2:$B$976,B54,$C$2:$C$976,C54,$S$2:$S$976,"&lt;"&amp;S54)+1</f>
        <v/>
      </c>
      <c r="AA54" s="88">
        <f>ABS(S54-SUMPRODUCT(('05B_가정검정'!$A$5:$A$19=B54)*('05B_가정검정'!$B$5:$B$19=C54)*'05B_가정검정'!$E$5:$E$19))</f>
        <v/>
      </c>
      <c r="AB54" s="88">
        <f>S54-AVERAGEIFS($S$2:$S$976,$B$2:$B$976,B54,$C$2:$C$976,C54)</f>
        <v/>
      </c>
    </row>
    <row r="55" ht="15" customHeight="1" s="68">
      <c r="A55" s="83" t="inlineStr">
        <is>
          <t>PAT-04</t>
        </is>
      </c>
      <c r="B55" s="83" t="inlineStr">
        <is>
          <t>gemini</t>
        </is>
      </c>
      <c r="C55" s="83" t="inlineStr">
        <is>
          <t>qwen</t>
        </is>
      </c>
      <c r="D55" s="84" t="n">
        <v>0.315202231520223</v>
      </c>
      <c r="E55" s="84" t="n">
        <v>0.466960352422908</v>
      </c>
      <c r="F55" s="84" t="n">
        <v>0.213333333333333</v>
      </c>
      <c r="G55" s="84" t="n">
        <v>0.325991189427313</v>
      </c>
      <c r="H55" s="84" t="n">
        <v>0.324350260636729</v>
      </c>
      <c r="I55" s="84" t="n">
        <v>0.381588414369984</v>
      </c>
      <c r="J55" s="84" t="n">
        <v>0.754035727798518</v>
      </c>
      <c r="K55" s="84" t="n">
        <v>0.801250528200467</v>
      </c>
      <c r="L55" s="84" t="n">
        <v>0.903381155236026</v>
      </c>
      <c r="M55" s="84" t="n">
        <v>0.659863945578231</v>
      </c>
      <c r="N55" s="84" t="n">
        <v>0.7333333333333329</v>
      </c>
      <c r="O55" s="84" t="n">
        <v>1</v>
      </c>
      <c r="P55" s="85">
        <f>AVERAGE(D55:I55)</f>
        <v/>
      </c>
      <c r="Q55" s="85">
        <f>AVERAGE(J55:L55)</f>
        <v/>
      </c>
      <c r="R55" s="85">
        <f>AVERAGE(M55:O55)</f>
        <v/>
      </c>
      <c r="S55" s="85">
        <f>'02_지표정의'!$C$22*P55+'02_지표정의'!$C$23*Q55+'02_지표정의'!$C$24*R55</f>
        <v/>
      </c>
      <c r="T55" s="73">
        <f>IF(OR(AND(B55="gemini",C55="gemma"),AND(B55="qwen3_6",C55="qwen"),AND(B55="mistral",C55="ministral")),1,0)</f>
        <v/>
      </c>
      <c r="U55" s="73">
        <f>IF(LEFT(A55,3)="PAT","특허","보고서")</f>
        <v/>
      </c>
      <c r="V55" s="86">
        <f>COUNTIF($S$2:$S$976,"&lt;"&amp;S55)+(COUNTIF($S$2:$S$976,"="&amp;S55)+1)/2</f>
        <v/>
      </c>
      <c r="W55" s="73">
        <f>IF(C55="qwen",0,COUNTIFS($C$2:$C$976,"&lt;&gt;qwen",$S$2:$S$976,"&lt;"&amp;S55)+1)</f>
        <v/>
      </c>
      <c r="X55" s="73">
        <f>IF(C55="ministral",0,COUNTIFS($C$2:$C$976,"&lt;&gt;ministral",$S$2:$S$976,"&lt;"&amp;S55)+1)</f>
        <v/>
      </c>
      <c r="Y55" s="73">
        <f>IF(C55="gemma",0,COUNTIFS($C$2:$C$976,"&lt;&gt;gemma",$S$2:$S$976,"&lt;"&amp;S55)+1)</f>
        <v/>
      </c>
      <c r="Z55" s="87">
        <f>COUNTIFS($B$2:$B$976,B55,$C$2:$C$976,C55,$S$2:$S$976,"&lt;"&amp;S55)+1</f>
        <v/>
      </c>
      <c r="AA55" s="88">
        <f>ABS(S55-SUMPRODUCT(('05B_가정검정'!$A$5:$A$19=B55)*('05B_가정검정'!$B$5:$B$19=C55)*'05B_가정검정'!$E$5:$E$19))</f>
        <v/>
      </c>
      <c r="AB55" s="88">
        <f>S55-AVERAGEIFS($S$2:$S$976,$B$2:$B$976,B55,$C$2:$C$976,C55)</f>
        <v/>
      </c>
    </row>
    <row r="56" ht="15" customHeight="1" s="68">
      <c r="A56" s="83" t="inlineStr">
        <is>
          <t>PAT-04</t>
        </is>
      </c>
      <c r="B56" s="83" t="inlineStr">
        <is>
          <t>mistral</t>
        </is>
      </c>
      <c r="C56" s="83" t="inlineStr">
        <is>
          <t>gemma</t>
        </is>
      </c>
      <c r="D56" s="84" t="n">
        <v>0.246719160104987</v>
      </c>
      <c r="E56" s="84" t="n">
        <v>0.293577981651376</v>
      </c>
      <c r="F56" s="84" t="n">
        <v>0.0925925925925926</v>
      </c>
      <c r="G56" s="84" t="n">
        <v>0.247706422018349</v>
      </c>
      <c r="H56" s="84" t="n">
        <v>0.258366623640169</v>
      </c>
      <c r="I56" s="84" t="n">
        <v>0.193289303552776</v>
      </c>
      <c r="J56" s="84" t="n">
        <v>0.7245270591720741</v>
      </c>
      <c r="K56" s="84" t="n">
        <v>0.689966496298263</v>
      </c>
      <c r="L56" s="84" t="n">
        <v>0.846679686060647</v>
      </c>
      <c r="M56" s="84" t="n">
        <v>0.73109243697479</v>
      </c>
      <c r="N56" s="84" t="n">
        <v>0.727272727272727</v>
      </c>
      <c r="O56" s="84" t="n">
        <v>1</v>
      </c>
      <c r="P56" s="85">
        <f>AVERAGE(D56:I56)</f>
        <v/>
      </c>
      <c r="Q56" s="85">
        <f>AVERAGE(J56:L56)</f>
        <v/>
      </c>
      <c r="R56" s="85">
        <f>AVERAGE(M56:O56)</f>
        <v/>
      </c>
      <c r="S56" s="85">
        <f>'02_지표정의'!$C$22*P56+'02_지표정의'!$C$23*Q56+'02_지표정의'!$C$24*R56</f>
        <v/>
      </c>
      <c r="T56" s="73">
        <f>IF(OR(AND(B56="gemini",C56="gemma"),AND(B56="qwen3_6",C56="qwen"),AND(B56="mistral",C56="ministral")),1,0)</f>
        <v/>
      </c>
      <c r="U56" s="73">
        <f>IF(LEFT(A56,3)="PAT","특허","보고서")</f>
        <v/>
      </c>
      <c r="V56" s="86">
        <f>COUNTIF($S$2:$S$976,"&lt;"&amp;S56)+(COUNTIF($S$2:$S$976,"="&amp;S56)+1)/2</f>
        <v/>
      </c>
      <c r="W56" s="73">
        <f>IF(C56="qwen",0,COUNTIFS($C$2:$C$976,"&lt;&gt;qwen",$S$2:$S$976,"&lt;"&amp;S56)+1)</f>
        <v/>
      </c>
      <c r="X56" s="73">
        <f>IF(C56="ministral",0,COUNTIFS($C$2:$C$976,"&lt;&gt;ministral",$S$2:$S$976,"&lt;"&amp;S56)+1)</f>
        <v/>
      </c>
      <c r="Y56" s="73">
        <f>IF(C56="gemma",0,COUNTIFS($C$2:$C$976,"&lt;&gt;gemma",$S$2:$S$976,"&lt;"&amp;S56)+1)</f>
        <v/>
      </c>
      <c r="Z56" s="87">
        <f>COUNTIFS($B$2:$B$976,B56,$C$2:$C$976,C56,$S$2:$S$976,"&lt;"&amp;S56)+1</f>
        <v/>
      </c>
      <c r="AA56" s="88">
        <f>ABS(S56-SUMPRODUCT(('05B_가정검정'!$A$5:$A$19=B56)*('05B_가정검정'!$B$5:$B$19=C56)*'05B_가정검정'!$E$5:$E$19))</f>
        <v/>
      </c>
      <c r="AB56" s="88">
        <f>S56-AVERAGEIFS($S$2:$S$976,$B$2:$B$976,B56,$C$2:$C$976,C56)</f>
        <v/>
      </c>
    </row>
    <row r="57" ht="15" customHeight="1" s="68">
      <c r="A57" s="83" t="inlineStr">
        <is>
          <t>PAT-04</t>
        </is>
      </c>
      <c r="B57" s="83" t="inlineStr">
        <is>
          <t>mistral</t>
        </is>
      </c>
      <c r="C57" s="83" t="inlineStr">
        <is>
          <t>ministral</t>
        </is>
      </c>
      <c r="D57" s="84" t="n">
        <v>0.376859504132231</v>
      </c>
      <c r="E57" s="84" t="n">
        <v>0.325732899022801</v>
      </c>
      <c r="F57" s="84" t="n">
        <v>0.137704918032787</v>
      </c>
      <c r="G57" s="84" t="n">
        <v>0.241042345276873</v>
      </c>
      <c r="H57" s="84" t="n">
        <v>0.18248886087305</v>
      </c>
      <c r="I57" s="84" t="n">
        <v>0.410112933731128</v>
      </c>
      <c r="J57" s="84" t="n">
        <v>0.73182692229076</v>
      </c>
      <c r="K57" s="84" t="n">
        <v>0.789351776156119</v>
      </c>
      <c r="L57" s="84" t="n">
        <v>0.900814296149658</v>
      </c>
      <c r="M57" s="84" t="n">
        <v>0.423868312757202</v>
      </c>
      <c r="N57" s="84" t="n">
        <v>0.369747899159664</v>
      </c>
      <c r="O57" s="84" t="n">
        <v>1</v>
      </c>
      <c r="P57" s="85">
        <f>AVERAGE(D57:I57)</f>
        <v/>
      </c>
      <c r="Q57" s="85">
        <f>AVERAGE(J57:L57)</f>
        <v/>
      </c>
      <c r="R57" s="85">
        <f>AVERAGE(M57:O57)</f>
        <v/>
      </c>
      <c r="S57" s="85">
        <f>'02_지표정의'!$C$22*P57+'02_지표정의'!$C$23*Q57+'02_지표정의'!$C$24*R57</f>
        <v/>
      </c>
      <c r="T57" s="73">
        <f>IF(OR(AND(B57="gemini",C57="gemma"),AND(B57="qwen3_6",C57="qwen"),AND(B57="mistral",C57="ministral")),1,0)</f>
        <v/>
      </c>
      <c r="U57" s="73">
        <f>IF(LEFT(A57,3)="PAT","특허","보고서")</f>
        <v/>
      </c>
      <c r="V57" s="86">
        <f>COUNTIF($S$2:$S$976,"&lt;"&amp;S57)+(COUNTIF($S$2:$S$976,"="&amp;S57)+1)/2</f>
        <v/>
      </c>
      <c r="W57" s="73">
        <f>IF(C57="qwen",0,COUNTIFS($C$2:$C$976,"&lt;&gt;qwen",$S$2:$S$976,"&lt;"&amp;S57)+1)</f>
        <v/>
      </c>
      <c r="X57" s="73">
        <f>IF(C57="ministral",0,COUNTIFS($C$2:$C$976,"&lt;&gt;ministral",$S$2:$S$976,"&lt;"&amp;S57)+1)</f>
        <v/>
      </c>
      <c r="Y57" s="73">
        <f>IF(C57="gemma",0,COUNTIFS($C$2:$C$976,"&lt;&gt;gemma",$S$2:$S$976,"&lt;"&amp;S57)+1)</f>
        <v/>
      </c>
      <c r="Z57" s="87">
        <f>COUNTIFS($B$2:$B$976,B57,$C$2:$C$976,C57,$S$2:$S$976,"&lt;"&amp;S57)+1</f>
        <v/>
      </c>
      <c r="AA57" s="88">
        <f>ABS(S57-SUMPRODUCT(('05B_가정검정'!$A$5:$A$19=B57)*('05B_가정검정'!$B$5:$B$19=C57)*'05B_가정검정'!$E$5:$E$19))</f>
        <v/>
      </c>
      <c r="AB57" s="88">
        <f>S57-AVERAGEIFS($S$2:$S$976,$B$2:$B$976,B57,$C$2:$C$976,C57)</f>
        <v/>
      </c>
    </row>
    <row r="58" ht="15" customHeight="1" s="68">
      <c r="A58" s="83" t="inlineStr">
        <is>
          <t>PAT-04</t>
        </is>
      </c>
      <c r="B58" s="83" t="inlineStr">
        <is>
          <t>mistral</t>
        </is>
      </c>
      <c r="C58" s="83" t="inlineStr">
        <is>
          <t>qwen</t>
        </is>
      </c>
      <c r="D58" s="84" t="n">
        <v>0.310984308131241</v>
      </c>
      <c r="E58" s="84" t="n">
        <v>0.394495412844037</v>
      </c>
      <c r="F58" s="84" t="n">
        <v>0.111111111111111</v>
      </c>
      <c r="G58" s="84" t="n">
        <v>0.26605504587156</v>
      </c>
      <c r="H58" s="84" t="n">
        <v>0.286666463656951</v>
      </c>
      <c r="I58" s="84" t="n">
        <v>0.294495920553191</v>
      </c>
      <c r="J58" s="84" t="n">
        <v>0.739307951328755</v>
      </c>
      <c r="K58" s="84" t="n">
        <v>0.7584147249861291</v>
      </c>
      <c r="L58" s="84" t="n">
        <v>0.873320455146375</v>
      </c>
      <c r="M58" s="84" t="n">
        <v>0.687074829931973</v>
      </c>
      <c r="N58" s="84" t="n">
        <v>0.573333333333333</v>
      </c>
      <c r="O58" s="84" t="n">
        <v>1</v>
      </c>
      <c r="P58" s="85">
        <f>AVERAGE(D58:I58)</f>
        <v/>
      </c>
      <c r="Q58" s="85">
        <f>AVERAGE(J58:L58)</f>
        <v/>
      </c>
      <c r="R58" s="85">
        <f>AVERAGE(M58:O58)</f>
        <v/>
      </c>
      <c r="S58" s="85">
        <f>'02_지표정의'!$C$22*P58+'02_지표정의'!$C$23*Q58+'02_지표정의'!$C$24*R58</f>
        <v/>
      </c>
      <c r="T58" s="73">
        <f>IF(OR(AND(B58="gemini",C58="gemma"),AND(B58="qwen3_6",C58="qwen"),AND(B58="mistral",C58="ministral")),1,0)</f>
        <v/>
      </c>
      <c r="U58" s="73">
        <f>IF(LEFT(A58,3)="PAT","특허","보고서")</f>
        <v/>
      </c>
      <c r="V58" s="86">
        <f>COUNTIF($S$2:$S$976,"&lt;"&amp;S58)+(COUNTIF($S$2:$S$976,"="&amp;S58)+1)/2</f>
        <v/>
      </c>
      <c r="W58" s="73">
        <f>IF(C58="qwen",0,COUNTIFS($C$2:$C$976,"&lt;&gt;qwen",$S$2:$S$976,"&lt;"&amp;S58)+1)</f>
        <v/>
      </c>
      <c r="X58" s="73">
        <f>IF(C58="ministral",0,COUNTIFS($C$2:$C$976,"&lt;&gt;ministral",$S$2:$S$976,"&lt;"&amp;S58)+1)</f>
        <v/>
      </c>
      <c r="Y58" s="73">
        <f>IF(C58="gemma",0,COUNTIFS($C$2:$C$976,"&lt;&gt;gemma",$S$2:$S$976,"&lt;"&amp;S58)+1)</f>
        <v/>
      </c>
      <c r="Z58" s="87">
        <f>COUNTIFS($B$2:$B$976,B58,$C$2:$C$976,C58,$S$2:$S$976,"&lt;"&amp;S58)+1</f>
        <v/>
      </c>
      <c r="AA58" s="88">
        <f>ABS(S58-SUMPRODUCT(('05B_가정검정'!$A$5:$A$19=B58)*('05B_가정검정'!$B$5:$B$19=C58)*'05B_가정검정'!$E$5:$E$19))</f>
        <v/>
      </c>
      <c r="AB58" s="88">
        <f>S58-AVERAGEIFS($S$2:$S$976,$B$2:$B$976,B58,$C$2:$C$976,C58)</f>
        <v/>
      </c>
    </row>
    <row r="59" ht="15" customHeight="1" s="68">
      <c r="A59" s="83" t="inlineStr">
        <is>
          <t>PAT-04</t>
        </is>
      </c>
      <c r="B59" s="83" t="inlineStr">
        <is>
          <t>qwen3_6</t>
        </is>
      </c>
      <c r="C59" s="83" t="inlineStr">
        <is>
          <t>gemma</t>
        </is>
      </c>
      <c r="D59" s="84" t="n">
        <v>0.242352941176471</v>
      </c>
      <c r="E59" s="84" t="n">
        <v>0.272373540856031</v>
      </c>
      <c r="F59" s="84" t="n">
        <v>0.0941176470588235</v>
      </c>
      <c r="G59" s="84" t="n">
        <v>0.217898832684825</v>
      </c>
      <c r="H59" s="84" t="n">
        <v>0.321856079379297</v>
      </c>
      <c r="I59" s="84" t="n">
        <v>0.216365328930951</v>
      </c>
      <c r="J59" s="84" t="n">
        <v>0.701942931547343</v>
      </c>
      <c r="K59" s="84" t="n">
        <v>0.697898703072769</v>
      </c>
      <c r="L59" s="84" t="n">
        <v>0.875750105101331</v>
      </c>
      <c r="M59" s="84" t="n">
        <v>0.889908256880734</v>
      </c>
      <c r="N59" s="84" t="n">
        <v>0.901639344262295</v>
      </c>
      <c r="O59" s="84" t="n">
        <v>1</v>
      </c>
      <c r="P59" s="85">
        <f>AVERAGE(D59:I59)</f>
        <v/>
      </c>
      <c r="Q59" s="85">
        <f>AVERAGE(J59:L59)</f>
        <v/>
      </c>
      <c r="R59" s="85">
        <f>AVERAGE(M59:O59)</f>
        <v/>
      </c>
      <c r="S59" s="85">
        <f>'02_지표정의'!$C$22*P59+'02_지표정의'!$C$23*Q59+'02_지표정의'!$C$24*R59</f>
        <v/>
      </c>
      <c r="T59" s="73">
        <f>IF(OR(AND(B59="gemini",C59="gemma"),AND(B59="qwen3_6",C59="qwen"),AND(B59="mistral",C59="ministral")),1,0)</f>
        <v/>
      </c>
      <c r="U59" s="73">
        <f>IF(LEFT(A59,3)="PAT","특허","보고서")</f>
        <v/>
      </c>
      <c r="V59" s="86">
        <f>COUNTIF($S$2:$S$976,"&lt;"&amp;S59)+(COUNTIF($S$2:$S$976,"="&amp;S59)+1)/2</f>
        <v/>
      </c>
      <c r="W59" s="73">
        <f>IF(C59="qwen",0,COUNTIFS($C$2:$C$976,"&lt;&gt;qwen",$S$2:$S$976,"&lt;"&amp;S59)+1)</f>
        <v/>
      </c>
      <c r="X59" s="73">
        <f>IF(C59="ministral",0,COUNTIFS($C$2:$C$976,"&lt;&gt;ministral",$S$2:$S$976,"&lt;"&amp;S59)+1)</f>
        <v/>
      </c>
      <c r="Y59" s="73">
        <f>IF(C59="gemma",0,COUNTIFS($C$2:$C$976,"&lt;&gt;gemma",$S$2:$S$976,"&lt;"&amp;S59)+1)</f>
        <v/>
      </c>
      <c r="Z59" s="87">
        <f>COUNTIFS($B$2:$B$976,B59,$C$2:$C$976,C59,$S$2:$S$976,"&lt;"&amp;S59)+1</f>
        <v/>
      </c>
      <c r="AA59" s="88">
        <f>ABS(S59-SUMPRODUCT(('05B_가정검정'!$A$5:$A$19=B59)*('05B_가정검정'!$B$5:$B$19=C59)*'05B_가정검정'!$E$5:$E$19))</f>
        <v/>
      </c>
      <c r="AB59" s="88">
        <f>S59-AVERAGEIFS($S$2:$S$976,$B$2:$B$976,B59,$C$2:$C$976,C59)</f>
        <v/>
      </c>
    </row>
    <row r="60" ht="15" customHeight="1" s="68">
      <c r="A60" s="83" t="inlineStr">
        <is>
          <t>PAT-04</t>
        </is>
      </c>
      <c r="B60" s="83" t="inlineStr">
        <is>
          <t>qwen3_6</t>
        </is>
      </c>
      <c r="C60" s="83" t="inlineStr">
        <is>
          <t>ministral</t>
        </is>
      </c>
      <c r="D60" s="84" t="n">
        <v>0.32034632034632</v>
      </c>
      <c r="E60" s="84" t="n">
        <v>0.289017341040462</v>
      </c>
      <c r="F60" s="84" t="n">
        <v>0.127906976744186</v>
      </c>
      <c r="G60" s="84" t="n">
        <v>0.213872832369942</v>
      </c>
      <c r="H60" s="84" t="n">
        <v>0.220840780845998</v>
      </c>
      <c r="I60" s="84" t="n">
        <v>0.393963957912618</v>
      </c>
      <c r="J60" s="84" t="n">
        <v>0.708887186222727</v>
      </c>
      <c r="K60" s="84" t="n">
        <v>0.697011223350554</v>
      </c>
      <c r="L60" s="84" t="n">
        <v>0.848078566428196</v>
      </c>
      <c r="M60" s="84" t="n">
        <v>0.39917695473251</v>
      </c>
      <c r="N60" s="84" t="n">
        <v>0.46218487394958</v>
      </c>
      <c r="O60" s="84" t="n">
        <v>1</v>
      </c>
      <c r="P60" s="85">
        <f>AVERAGE(D60:I60)</f>
        <v/>
      </c>
      <c r="Q60" s="85">
        <f>AVERAGE(J60:L60)</f>
        <v/>
      </c>
      <c r="R60" s="85">
        <f>AVERAGE(M60:O60)</f>
        <v/>
      </c>
      <c r="S60" s="85">
        <f>'02_지표정의'!$C$22*P60+'02_지표정의'!$C$23*Q60+'02_지표정의'!$C$24*R60</f>
        <v/>
      </c>
      <c r="T60" s="73">
        <f>IF(OR(AND(B60="gemini",C60="gemma"),AND(B60="qwen3_6",C60="qwen"),AND(B60="mistral",C60="ministral")),1,0)</f>
        <v/>
      </c>
      <c r="U60" s="73">
        <f>IF(LEFT(A60,3)="PAT","특허","보고서")</f>
        <v/>
      </c>
      <c r="V60" s="86">
        <f>COUNTIF($S$2:$S$976,"&lt;"&amp;S60)+(COUNTIF($S$2:$S$976,"="&amp;S60)+1)/2</f>
        <v/>
      </c>
      <c r="W60" s="73">
        <f>IF(C60="qwen",0,COUNTIFS($C$2:$C$976,"&lt;&gt;qwen",$S$2:$S$976,"&lt;"&amp;S60)+1)</f>
        <v/>
      </c>
      <c r="X60" s="73">
        <f>IF(C60="ministral",0,COUNTIFS($C$2:$C$976,"&lt;&gt;ministral",$S$2:$S$976,"&lt;"&amp;S60)+1)</f>
        <v/>
      </c>
      <c r="Y60" s="73">
        <f>IF(C60="gemma",0,COUNTIFS($C$2:$C$976,"&lt;&gt;gemma",$S$2:$S$976,"&lt;"&amp;S60)+1)</f>
        <v/>
      </c>
      <c r="Z60" s="87">
        <f>COUNTIFS($B$2:$B$976,B60,$C$2:$C$976,C60,$S$2:$S$976,"&lt;"&amp;S60)+1</f>
        <v/>
      </c>
      <c r="AA60" s="88">
        <f>ABS(S60-SUMPRODUCT(('05B_가정검정'!$A$5:$A$19=B60)*('05B_가정검정'!$B$5:$B$19=C60)*'05B_가정검정'!$E$5:$E$19))</f>
        <v/>
      </c>
      <c r="AB60" s="88">
        <f>S60-AVERAGEIFS($S$2:$S$976,$B$2:$B$976,B60,$C$2:$C$976,C60)</f>
        <v/>
      </c>
    </row>
    <row r="61" ht="15" customHeight="1" s="68">
      <c r="A61" s="83" t="inlineStr">
        <is>
          <t>PAT-04</t>
        </is>
      </c>
      <c r="B61" s="83" t="inlineStr">
        <is>
          <t>qwen3_6</t>
        </is>
      </c>
      <c r="C61" s="83" t="inlineStr">
        <is>
          <t>qwen</t>
        </is>
      </c>
      <c r="D61" s="84" t="n">
        <v>0.311787072243346</v>
      </c>
      <c r="E61" s="84" t="n">
        <v>0.412451361867704</v>
      </c>
      <c r="F61" s="84" t="n">
        <v>0.188235294117647</v>
      </c>
      <c r="G61" s="84" t="n">
        <v>0.311284046692607</v>
      </c>
      <c r="H61" s="84" t="n">
        <v>0.38489800322469</v>
      </c>
      <c r="I61" s="84" t="n">
        <v>0.464218844533376</v>
      </c>
      <c r="J61" s="84" t="n">
        <v>0.704705553376172</v>
      </c>
      <c r="K61" s="84" t="n">
        <v>0.705634173723052</v>
      </c>
      <c r="L61" s="84" t="n">
        <v>0.8860247755674761</v>
      </c>
      <c r="M61" s="84" t="n">
        <v>0.659863945578231</v>
      </c>
      <c r="N61" s="84" t="n">
        <v>0.7333333333333329</v>
      </c>
      <c r="O61" s="84" t="n">
        <v>1</v>
      </c>
      <c r="P61" s="85">
        <f>AVERAGE(D61:I61)</f>
        <v/>
      </c>
      <c r="Q61" s="85">
        <f>AVERAGE(J61:L61)</f>
        <v/>
      </c>
      <c r="R61" s="85">
        <f>AVERAGE(M61:O61)</f>
        <v/>
      </c>
      <c r="S61" s="85">
        <f>'02_지표정의'!$C$22*P61+'02_지표정의'!$C$23*Q61+'02_지표정의'!$C$24*R61</f>
        <v/>
      </c>
      <c r="T61" s="73">
        <f>IF(OR(AND(B61="gemini",C61="gemma"),AND(B61="qwen3_6",C61="qwen"),AND(B61="mistral",C61="ministral")),1,0)</f>
        <v/>
      </c>
      <c r="U61" s="73">
        <f>IF(LEFT(A61,3)="PAT","특허","보고서")</f>
        <v/>
      </c>
      <c r="V61" s="86">
        <f>COUNTIF($S$2:$S$976,"&lt;"&amp;S61)+(COUNTIF($S$2:$S$976,"="&amp;S61)+1)/2</f>
        <v/>
      </c>
      <c r="W61" s="73">
        <f>IF(C61="qwen",0,COUNTIFS($C$2:$C$976,"&lt;&gt;qwen",$S$2:$S$976,"&lt;"&amp;S61)+1)</f>
        <v/>
      </c>
      <c r="X61" s="73">
        <f>IF(C61="ministral",0,COUNTIFS($C$2:$C$976,"&lt;&gt;ministral",$S$2:$S$976,"&lt;"&amp;S61)+1)</f>
        <v/>
      </c>
      <c r="Y61" s="73">
        <f>IF(C61="gemma",0,COUNTIFS($C$2:$C$976,"&lt;&gt;gemma",$S$2:$S$976,"&lt;"&amp;S61)+1)</f>
        <v/>
      </c>
      <c r="Z61" s="87">
        <f>COUNTIFS($B$2:$B$976,B61,$C$2:$C$976,C61,$S$2:$S$976,"&lt;"&amp;S61)+1</f>
        <v/>
      </c>
      <c r="AA61" s="88">
        <f>ABS(S61-SUMPRODUCT(('05B_가정검정'!$A$5:$A$19=B61)*('05B_가정검정'!$B$5:$B$19=C61)*'05B_가정검정'!$E$5:$E$19))</f>
        <v/>
      </c>
      <c r="AB61" s="88">
        <f>S61-AVERAGEIFS($S$2:$S$976,$B$2:$B$976,B61,$C$2:$C$976,C61)</f>
        <v/>
      </c>
    </row>
    <row r="62" ht="15" customHeight="1" s="68">
      <c r="A62" s="83" t="inlineStr">
        <is>
          <t>PAT-05</t>
        </is>
      </c>
      <c r="B62" s="83" t="inlineStr">
        <is>
          <t>chatgpt</t>
        </is>
      </c>
      <c r="C62" s="83" t="inlineStr">
        <is>
          <t>gemma</t>
        </is>
      </c>
      <c r="D62" s="84" t="n">
        <v>0.242595204513399</v>
      </c>
      <c r="E62" s="84" t="n">
        <v>0.273170731707317</v>
      </c>
      <c r="F62" s="84" t="n">
        <v>0.108374384236453</v>
      </c>
      <c r="G62" s="84" t="n">
        <v>0.224390243902439</v>
      </c>
      <c r="H62" s="84" t="n">
        <v>0.187910425748389</v>
      </c>
      <c r="I62" s="84" t="n">
        <v>0.283779893999068</v>
      </c>
      <c r="J62" s="84" t="n">
        <v>0.682753565570153</v>
      </c>
      <c r="K62" s="84" t="n">
        <v>0.683099008376525</v>
      </c>
      <c r="L62" s="84" t="n">
        <v>0.8496476827541179</v>
      </c>
      <c r="M62" s="84" t="n">
        <v>0.445026178010471</v>
      </c>
      <c r="N62" s="84" t="n">
        <v>0.00980392156862742</v>
      </c>
      <c r="O62" s="84" t="n">
        <v>0.526315789473684</v>
      </c>
      <c r="P62" s="85">
        <f>AVERAGE(D62:I62)</f>
        <v/>
      </c>
      <c r="Q62" s="85">
        <f>AVERAGE(J62:L62)</f>
        <v/>
      </c>
      <c r="R62" s="85">
        <f>AVERAGE(M62:O62)</f>
        <v/>
      </c>
      <c r="S62" s="85">
        <f>'02_지표정의'!$C$22*P62+'02_지표정의'!$C$23*Q62+'02_지표정의'!$C$24*R62</f>
        <v/>
      </c>
      <c r="T62" s="73">
        <f>IF(OR(AND(B62="gemini",C62="gemma"),AND(B62="qwen3_6",C62="qwen"),AND(B62="mistral",C62="ministral")),1,0)</f>
        <v/>
      </c>
      <c r="U62" s="73">
        <f>IF(LEFT(A62,3)="PAT","특허","보고서")</f>
        <v/>
      </c>
      <c r="V62" s="86">
        <f>COUNTIF($S$2:$S$976,"&lt;"&amp;S62)+(COUNTIF($S$2:$S$976,"="&amp;S62)+1)/2</f>
        <v/>
      </c>
      <c r="W62" s="73">
        <f>IF(C62="qwen",0,COUNTIFS($C$2:$C$976,"&lt;&gt;qwen",$S$2:$S$976,"&lt;"&amp;S62)+1)</f>
        <v/>
      </c>
      <c r="X62" s="73">
        <f>IF(C62="ministral",0,COUNTIFS($C$2:$C$976,"&lt;&gt;ministral",$S$2:$S$976,"&lt;"&amp;S62)+1)</f>
        <v/>
      </c>
      <c r="Y62" s="73">
        <f>IF(C62="gemma",0,COUNTIFS($C$2:$C$976,"&lt;&gt;gemma",$S$2:$S$976,"&lt;"&amp;S62)+1)</f>
        <v/>
      </c>
      <c r="Z62" s="87">
        <f>COUNTIFS($B$2:$B$976,B62,$C$2:$C$976,C62,$S$2:$S$976,"&lt;"&amp;S62)+1</f>
        <v/>
      </c>
      <c r="AA62" s="88">
        <f>ABS(S62-SUMPRODUCT(('05B_가정검정'!$A$5:$A$19=B62)*('05B_가정검정'!$B$5:$B$19=C62)*'05B_가정검정'!$E$5:$E$19))</f>
        <v/>
      </c>
      <c r="AB62" s="88">
        <f>S62-AVERAGEIFS($S$2:$S$976,$B$2:$B$976,B62,$C$2:$C$976,C62)</f>
        <v/>
      </c>
    </row>
    <row r="63" ht="15" customHeight="1" s="68">
      <c r="A63" s="83" t="inlineStr">
        <is>
          <t>PAT-05</t>
        </is>
      </c>
      <c r="B63" s="83" t="inlineStr">
        <is>
          <t>chatgpt</t>
        </is>
      </c>
      <c r="C63" s="83" t="inlineStr">
        <is>
          <t>ministral</t>
        </is>
      </c>
      <c r="D63" s="84" t="n">
        <v>0.328301886792453</v>
      </c>
      <c r="E63" s="84" t="n">
        <v>0.380487804878049</v>
      </c>
      <c r="F63" s="84" t="n">
        <v>0.187192118226601</v>
      </c>
      <c r="G63" s="84" t="n">
        <v>0.31219512195122</v>
      </c>
      <c r="H63" s="84" t="n">
        <v>0.158899381776604</v>
      </c>
      <c r="I63" s="84" t="n">
        <v>0.52926291856258</v>
      </c>
      <c r="J63" s="84" t="n">
        <v>0.751823387549937</v>
      </c>
      <c r="K63" s="84" t="n">
        <v>0.727224716160131</v>
      </c>
      <c r="L63" s="84" t="n">
        <v>0.870044489792663</v>
      </c>
      <c r="M63" s="84" t="n">
        <v>0.425068119891008</v>
      </c>
      <c r="N63" s="84" t="n">
        <v>0</v>
      </c>
      <c r="O63" s="84" t="n">
        <v>1</v>
      </c>
      <c r="P63" s="85">
        <f>AVERAGE(D63:I63)</f>
        <v/>
      </c>
      <c r="Q63" s="85">
        <f>AVERAGE(J63:L63)</f>
        <v/>
      </c>
      <c r="R63" s="85">
        <f>AVERAGE(M63:O63)</f>
        <v/>
      </c>
      <c r="S63" s="85">
        <f>'02_지표정의'!$C$22*P63+'02_지표정의'!$C$23*Q63+'02_지표정의'!$C$24*R63</f>
        <v/>
      </c>
      <c r="T63" s="73">
        <f>IF(OR(AND(B63="gemini",C63="gemma"),AND(B63="qwen3_6",C63="qwen"),AND(B63="mistral",C63="ministral")),1,0)</f>
        <v/>
      </c>
      <c r="U63" s="73">
        <f>IF(LEFT(A63,3)="PAT","특허","보고서")</f>
        <v/>
      </c>
      <c r="V63" s="86">
        <f>COUNTIF($S$2:$S$976,"&lt;"&amp;S63)+(COUNTIF($S$2:$S$976,"="&amp;S63)+1)/2</f>
        <v/>
      </c>
      <c r="W63" s="73">
        <f>IF(C63="qwen",0,COUNTIFS($C$2:$C$976,"&lt;&gt;qwen",$S$2:$S$976,"&lt;"&amp;S63)+1)</f>
        <v/>
      </c>
      <c r="X63" s="73">
        <f>IF(C63="ministral",0,COUNTIFS($C$2:$C$976,"&lt;&gt;ministral",$S$2:$S$976,"&lt;"&amp;S63)+1)</f>
        <v/>
      </c>
      <c r="Y63" s="73">
        <f>IF(C63="gemma",0,COUNTIFS($C$2:$C$976,"&lt;&gt;gemma",$S$2:$S$976,"&lt;"&amp;S63)+1)</f>
        <v/>
      </c>
      <c r="Z63" s="87">
        <f>COUNTIFS($B$2:$B$976,B63,$C$2:$C$976,C63,$S$2:$S$976,"&lt;"&amp;S63)+1</f>
        <v/>
      </c>
      <c r="AA63" s="88">
        <f>ABS(S63-SUMPRODUCT(('05B_가정검정'!$A$5:$A$19=B63)*('05B_가정검정'!$B$5:$B$19=C63)*'05B_가정검정'!$E$5:$E$19))</f>
        <v/>
      </c>
      <c r="AB63" s="88">
        <f>S63-AVERAGEIFS($S$2:$S$976,$B$2:$B$976,B63,$C$2:$C$976,C63)</f>
        <v/>
      </c>
    </row>
    <row r="64" ht="15" customHeight="1" s="68">
      <c r="A64" s="83" t="inlineStr">
        <is>
          <t>PAT-05</t>
        </is>
      </c>
      <c r="B64" s="83" t="inlineStr">
        <is>
          <t>chatgpt</t>
        </is>
      </c>
      <c r="C64" s="83" t="inlineStr">
        <is>
          <t>qwen</t>
        </is>
      </c>
      <c r="D64" s="84" t="n">
        <v>0.260233918128655</v>
      </c>
      <c r="E64" s="84" t="n">
        <v>0.375</v>
      </c>
      <c r="F64" s="84" t="n">
        <v>0.184466019417476</v>
      </c>
      <c r="G64" s="84" t="n">
        <v>0.307692307692308</v>
      </c>
      <c r="H64" s="84" t="n">
        <v>0.205173631331404</v>
      </c>
      <c r="I64" s="84" t="n">
        <v>0.408688675858977</v>
      </c>
      <c r="J64" s="84" t="n">
        <v>0.7532095624177469</v>
      </c>
      <c r="K64" s="84" t="n">
        <v>0.720337603606747</v>
      </c>
      <c r="L64" s="84" t="n">
        <v>0.871987460834871</v>
      </c>
      <c r="M64" s="84" t="n">
        <v>0.436018957345972</v>
      </c>
      <c r="N64" s="84" t="n">
        <v>0</v>
      </c>
      <c r="O64" s="84" t="n">
        <v>0.526315789473684</v>
      </c>
      <c r="P64" s="85">
        <f>AVERAGE(D64:I64)</f>
        <v/>
      </c>
      <c r="Q64" s="85">
        <f>AVERAGE(J64:L64)</f>
        <v/>
      </c>
      <c r="R64" s="85">
        <f>AVERAGE(M64:O64)</f>
        <v/>
      </c>
      <c r="S64" s="85">
        <f>'02_지표정의'!$C$22*P64+'02_지표정의'!$C$23*Q64+'02_지표정의'!$C$24*R64</f>
        <v/>
      </c>
      <c r="T64" s="73">
        <f>IF(OR(AND(B64="gemini",C64="gemma"),AND(B64="qwen3_6",C64="qwen"),AND(B64="mistral",C64="ministral")),1,0)</f>
        <v/>
      </c>
      <c r="U64" s="73">
        <f>IF(LEFT(A64,3)="PAT","특허","보고서")</f>
        <v/>
      </c>
      <c r="V64" s="86">
        <f>COUNTIF($S$2:$S$976,"&lt;"&amp;S64)+(COUNTIF($S$2:$S$976,"="&amp;S64)+1)/2</f>
        <v/>
      </c>
      <c r="W64" s="73">
        <f>IF(C64="qwen",0,COUNTIFS($C$2:$C$976,"&lt;&gt;qwen",$S$2:$S$976,"&lt;"&amp;S64)+1)</f>
        <v/>
      </c>
      <c r="X64" s="73">
        <f>IF(C64="ministral",0,COUNTIFS($C$2:$C$976,"&lt;&gt;ministral",$S$2:$S$976,"&lt;"&amp;S64)+1)</f>
        <v/>
      </c>
      <c r="Y64" s="73">
        <f>IF(C64="gemma",0,COUNTIFS($C$2:$C$976,"&lt;&gt;gemma",$S$2:$S$976,"&lt;"&amp;S64)+1)</f>
        <v/>
      </c>
      <c r="Z64" s="87">
        <f>COUNTIFS($B$2:$B$976,B64,$C$2:$C$976,C64,$S$2:$S$976,"&lt;"&amp;S64)+1</f>
        <v/>
      </c>
      <c r="AA64" s="88">
        <f>ABS(S64-SUMPRODUCT(('05B_가정검정'!$A$5:$A$19=B64)*('05B_가정검정'!$B$5:$B$19=C64)*'05B_가정검정'!$E$5:$E$19))</f>
        <v/>
      </c>
      <c r="AB64" s="88">
        <f>S64-AVERAGEIFS($S$2:$S$976,$B$2:$B$976,B64,$C$2:$C$976,C64)</f>
        <v/>
      </c>
    </row>
    <row r="65" ht="15" customHeight="1" s="68">
      <c r="A65" s="83" t="inlineStr">
        <is>
          <t>PAT-05</t>
        </is>
      </c>
      <c r="B65" s="83" t="inlineStr">
        <is>
          <t>claude</t>
        </is>
      </c>
      <c r="C65" s="83" t="inlineStr">
        <is>
          <t>gemma</t>
        </is>
      </c>
      <c r="D65" s="84" t="n">
        <v>0.264044943820225</v>
      </c>
      <c r="E65" s="84" t="n">
        <v>0.30976430976431</v>
      </c>
      <c r="F65" s="84" t="n">
        <v>0.09491525423728819</v>
      </c>
      <c r="G65" s="84" t="n">
        <v>0.175084175084175</v>
      </c>
      <c r="H65" s="84" t="n">
        <v>0.335481867616949</v>
      </c>
      <c r="I65" s="84" t="n">
        <v>0.230034689911837</v>
      </c>
      <c r="J65" s="84" t="n">
        <v>0.712077285997725</v>
      </c>
      <c r="K65" s="84" t="n">
        <v>0.661506487217681</v>
      </c>
      <c r="L65" s="84" t="n">
        <v>0.818181901929664</v>
      </c>
      <c r="M65" s="84" t="n">
        <v>0.765765765765766</v>
      </c>
      <c r="N65" s="84" t="n">
        <v>0.790322580645161</v>
      </c>
      <c r="O65" s="84" t="n">
        <v>1</v>
      </c>
      <c r="P65" s="85">
        <f>AVERAGE(D65:I65)</f>
        <v/>
      </c>
      <c r="Q65" s="85">
        <f>AVERAGE(J65:L65)</f>
        <v/>
      </c>
      <c r="R65" s="85">
        <f>AVERAGE(M65:O65)</f>
        <v/>
      </c>
      <c r="S65" s="85">
        <f>'02_지표정의'!$C$22*P65+'02_지표정의'!$C$23*Q65+'02_지표정의'!$C$24*R65</f>
        <v/>
      </c>
      <c r="T65" s="73">
        <f>IF(OR(AND(B65="gemini",C65="gemma"),AND(B65="qwen3_6",C65="qwen"),AND(B65="mistral",C65="ministral")),1,0)</f>
        <v/>
      </c>
      <c r="U65" s="73">
        <f>IF(LEFT(A65,3)="PAT","특허","보고서")</f>
        <v/>
      </c>
      <c r="V65" s="86">
        <f>COUNTIF($S$2:$S$976,"&lt;"&amp;S65)+(COUNTIF($S$2:$S$976,"="&amp;S65)+1)/2</f>
        <v/>
      </c>
      <c r="W65" s="73">
        <f>IF(C65="qwen",0,COUNTIFS($C$2:$C$976,"&lt;&gt;qwen",$S$2:$S$976,"&lt;"&amp;S65)+1)</f>
        <v/>
      </c>
      <c r="X65" s="73">
        <f>IF(C65="ministral",0,COUNTIFS($C$2:$C$976,"&lt;&gt;ministral",$S$2:$S$976,"&lt;"&amp;S65)+1)</f>
        <v/>
      </c>
      <c r="Y65" s="73">
        <f>IF(C65="gemma",0,COUNTIFS($C$2:$C$976,"&lt;&gt;gemma",$S$2:$S$976,"&lt;"&amp;S65)+1)</f>
        <v/>
      </c>
      <c r="Z65" s="87">
        <f>COUNTIFS($B$2:$B$976,B65,$C$2:$C$976,C65,$S$2:$S$976,"&lt;"&amp;S65)+1</f>
        <v/>
      </c>
      <c r="AA65" s="88">
        <f>ABS(S65-SUMPRODUCT(('05B_가정검정'!$A$5:$A$19=B65)*('05B_가정검정'!$B$5:$B$19=C65)*'05B_가정검정'!$E$5:$E$19))</f>
        <v/>
      </c>
      <c r="AB65" s="88">
        <f>S65-AVERAGEIFS($S$2:$S$976,$B$2:$B$976,B65,$C$2:$C$976,C65)</f>
        <v/>
      </c>
    </row>
    <row r="66" ht="15" customHeight="1" s="68">
      <c r="A66" s="83" t="inlineStr">
        <is>
          <t>PAT-05</t>
        </is>
      </c>
      <c r="B66" s="83" t="inlineStr">
        <is>
          <t>claude</t>
        </is>
      </c>
      <c r="C66" s="83" t="inlineStr">
        <is>
          <t>ministral</t>
        </is>
      </c>
      <c r="D66" s="84" t="n">
        <v>0.265466816647919</v>
      </c>
      <c r="E66" s="84" t="n">
        <v>0.363636363636364</v>
      </c>
      <c r="F66" s="84" t="n">
        <v>0.142372881355932</v>
      </c>
      <c r="G66" s="84" t="n">
        <v>0.262626262626263</v>
      </c>
      <c r="H66" s="84" t="n">
        <v>0.242133827015033</v>
      </c>
      <c r="I66" s="84" t="n">
        <v>0.443160950887115</v>
      </c>
      <c r="J66" s="84" t="n">
        <v>0.716773452763492</v>
      </c>
      <c r="K66" s="84" t="n">
        <v>0.659129861262579</v>
      </c>
      <c r="L66" s="84" t="n">
        <v>0.8426697392843689</v>
      </c>
      <c r="M66" s="84" t="n">
        <v>0.302452316076294</v>
      </c>
      <c r="N66" s="84" t="n">
        <v>0.301369863013699</v>
      </c>
      <c r="O66" s="84" t="n">
        <v>0.526315789473684</v>
      </c>
      <c r="P66" s="85">
        <f>AVERAGE(D66:I66)</f>
        <v/>
      </c>
      <c r="Q66" s="85">
        <f>AVERAGE(J66:L66)</f>
        <v/>
      </c>
      <c r="R66" s="85">
        <f>AVERAGE(M66:O66)</f>
        <v/>
      </c>
      <c r="S66" s="85">
        <f>'02_지표정의'!$C$22*P66+'02_지표정의'!$C$23*Q66+'02_지표정의'!$C$24*R66</f>
        <v/>
      </c>
      <c r="T66" s="73">
        <f>IF(OR(AND(B66="gemini",C66="gemma"),AND(B66="qwen3_6",C66="qwen"),AND(B66="mistral",C66="ministral")),1,0)</f>
        <v/>
      </c>
      <c r="U66" s="73">
        <f>IF(LEFT(A66,3)="PAT","특허","보고서")</f>
        <v/>
      </c>
      <c r="V66" s="86">
        <f>COUNTIF($S$2:$S$976,"&lt;"&amp;S66)+(COUNTIF($S$2:$S$976,"="&amp;S66)+1)/2</f>
        <v/>
      </c>
      <c r="W66" s="73">
        <f>IF(C66="qwen",0,COUNTIFS($C$2:$C$976,"&lt;&gt;qwen",$S$2:$S$976,"&lt;"&amp;S66)+1)</f>
        <v/>
      </c>
      <c r="X66" s="73">
        <f>IF(C66="ministral",0,COUNTIFS($C$2:$C$976,"&lt;&gt;ministral",$S$2:$S$976,"&lt;"&amp;S66)+1)</f>
        <v/>
      </c>
      <c r="Y66" s="73">
        <f>IF(C66="gemma",0,COUNTIFS($C$2:$C$976,"&lt;&gt;gemma",$S$2:$S$976,"&lt;"&amp;S66)+1)</f>
        <v/>
      </c>
      <c r="Z66" s="87">
        <f>COUNTIFS($B$2:$B$976,B66,$C$2:$C$976,C66,$S$2:$S$976,"&lt;"&amp;S66)+1</f>
        <v/>
      </c>
      <c r="AA66" s="88">
        <f>ABS(S66-SUMPRODUCT(('05B_가정검정'!$A$5:$A$19=B66)*('05B_가정검정'!$B$5:$B$19=C66)*'05B_가정검정'!$E$5:$E$19))</f>
        <v/>
      </c>
      <c r="AB66" s="88">
        <f>S66-AVERAGEIFS($S$2:$S$976,$B$2:$B$976,B66,$C$2:$C$976,C66)</f>
        <v/>
      </c>
    </row>
    <row r="67" ht="15" customHeight="1" s="68">
      <c r="A67" s="83" t="inlineStr">
        <is>
          <t>PAT-05</t>
        </is>
      </c>
      <c r="B67" s="83" t="inlineStr">
        <is>
          <t>claude</t>
        </is>
      </c>
      <c r="C67" s="83" t="inlineStr">
        <is>
          <t>qwen</t>
        </is>
      </c>
      <c r="D67" s="84" t="n">
        <v>0.289549376797699</v>
      </c>
      <c r="E67" s="84" t="n">
        <v>0.44</v>
      </c>
      <c r="F67" s="84" t="n">
        <v>0.140939597315436</v>
      </c>
      <c r="G67" s="84" t="n">
        <v>0.22</v>
      </c>
      <c r="H67" s="84" t="n">
        <v>0.344695896109525</v>
      </c>
      <c r="I67" s="84" t="n">
        <v>0.385573482497643</v>
      </c>
      <c r="J67" s="84" t="n">
        <v>0.727677252022612</v>
      </c>
      <c r="K67" s="84" t="n">
        <v>0.669797412829233</v>
      </c>
      <c r="L67" s="84" t="n">
        <v>0.844987072931315</v>
      </c>
      <c r="M67" s="84" t="n">
        <v>0.4739336492891</v>
      </c>
      <c r="N67" s="84" t="n">
        <v>0.415929203539823</v>
      </c>
      <c r="O67" s="84" t="n">
        <v>1</v>
      </c>
      <c r="P67" s="85">
        <f>AVERAGE(D67:I67)</f>
        <v/>
      </c>
      <c r="Q67" s="85">
        <f>AVERAGE(J67:L67)</f>
        <v/>
      </c>
      <c r="R67" s="85">
        <f>AVERAGE(M67:O67)</f>
        <v/>
      </c>
      <c r="S67" s="85">
        <f>'02_지표정의'!$C$22*P67+'02_지표정의'!$C$23*Q67+'02_지표정의'!$C$24*R67</f>
        <v/>
      </c>
      <c r="T67" s="73">
        <f>IF(OR(AND(B67="gemini",C67="gemma"),AND(B67="qwen3_6",C67="qwen"),AND(B67="mistral",C67="ministral")),1,0)</f>
        <v/>
      </c>
      <c r="U67" s="73">
        <f>IF(LEFT(A67,3)="PAT","특허","보고서")</f>
        <v/>
      </c>
      <c r="V67" s="86">
        <f>COUNTIF($S$2:$S$976,"&lt;"&amp;S67)+(COUNTIF($S$2:$S$976,"="&amp;S67)+1)/2</f>
        <v/>
      </c>
      <c r="W67" s="73">
        <f>IF(C67="qwen",0,COUNTIFS($C$2:$C$976,"&lt;&gt;qwen",$S$2:$S$976,"&lt;"&amp;S67)+1)</f>
        <v/>
      </c>
      <c r="X67" s="73">
        <f>IF(C67="ministral",0,COUNTIFS($C$2:$C$976,"&lt;&gt;ministral",$S$2:$S$976,"&lt;"&amp;S67)+1)</f>
        <v/>
      </c>
      <c r="Y67" s="73">
        <f>IF(C67="gemma",0,COUNTIFS($C$2:$C$976,"&lt;&gt;gemma",$S$2:$S$976,"&lt;"&amp;S67)+1)</f>
        <v/>
      </c>
      <c r="Z67" s="87">
        <f>COUNTIFS($B$2:$B$976,B67,$C$2:$C$976,C67,$S$2:$S$976,"&lt;"&amp;S67)+1</f>
        <v/>
      </c>
      <c r="AA67" s="88">
        <f>ABS(S67-SUMPRODUCT(('05B_가정검정'!$A$5:$A$19=B67)*('05B_가정검정'!$B$5:$B$19=C67)*'05B_가정검정'!$E$5:$E$19))</f>
        <v/>
      </c>
      <c r="AB67" s="88">
        <f>S67-AVERAGEIFS($S$2:$S$976,$B$2:$B$976,B67,$C$2:$C$976,C67)</f>
        <v/>
      </c>
    </row>
    <row r="68" ht="15" customHeight="1" s="68">
      <c r="A68" s="83" t="inlineStr">
        <is>
          <t>PAT-05</t>
        </is>
      </c>
      <c r="B68" s="83" t="inlineStr">
        <is>
          <t>gemini</t>
        </is>
      </c>
      <c r="C68" s="83" t="inlineStr">
        <is>
          <t>gemma</t>
        </is>
      </c>
      <c r="D68" s="84" t="n">
        <v>0.245962732919255</v>
      </c>
      <c r="E68" s="84" t="n">
        <v>0.293838862559242</v>
      </c>
      <c r="F68" s="84" t="n">
        <v>0.105263157894737</v>
      </c>
      <c r="G68" s="84" t="n">
        <v>0.23696682464455</v>
      </c>
      <c r="H68" s="84" t="n">
        <v>0.279965500438981</v>
      </c>
      <c r="I68" s="84" t="n">
        <v>0.23447794432808</v>
      </c>
      <c r="J68" s="84" t="n">
        <v>0.718673519350901</v>
      </c>
      <c r="K68" s="84" t="n">
        <v>0.735774003712552</v>
      </c>
      <c r="L68" s="84" t="n">
        <v>0.87610797097631</v>
      </c>
      <c r="M68" s="84" t="n">
        <v>0.906542056074766</v>
      </c>
      <c r="N68" s="84" t="n">
        <v>0.916666666666667</v>
      </c>
      <c r="O68" s="84" t="n">
        <v>1</v>
      </c>
      <c r="P68" s="85">
        <f>AVERAGE(D68:I68)</f>
        <v/>
      </c>
      <c r="Q68" s="85">
        <f>AVERAGE(J68:L68)</f>
        <v/>
      </c>
      <c r="R68" s="85">
        <f>AVERAGE(M68:O68)</f>
        <v/>
      </c>
      <c r="S68" s="85">
        <f>'02_지표정의'!$C$22*P68+'02_지표정의'!$C$23*Q68+'02_지표정의'!$C$24*R68</f>
        <v/>
      </c>
      <c r="T68" s="73">
        <f>IF(OR(AND(B68="gemini",C68="gemma"),AND(B68="qwen3_6",C68="qwen"),AND(B68="mistral",C68="ministral")),1,0)</f>
        <v/>
      </c>
      <c r="U68" s="73">
        <f>IF(LEFT(A68,3)="PAT","특허","보고서")</f>
        <v/>
      </c>
      <c r="V68" s="86">
        <f>COUNTIF($S$2:$S$976,"&lt;"&amp;S68)+(COUNTIF($S$2:$S$976,"="&amp;S68)+1)/2</f>
        <v/>
      </c>
      <c r="W68" s="73">
        <f>IF(C68="qwen",0,COUNTIFS($C$2:$C$976,"&lt;&gt;qwen",$S$2:$S$976,"&lt;"&amp;S68)+1)</f>
        <v/>
      </c>
      <c r="X68" s="73">
        <f>IF(C68="ministral",0,COUNTIFS($C$2:$C$976,"&lt;&gt;ministral",$S$2:$S$976,"&lt;"&amp;S68)+1)</f>
        <v/>
      </c>
      <c r="Y68" s="73">
        <f>IF(C68="gemma",0,COUNTIFS($C$2:$C$976,"&lt;&gt;gemma",$S$2:$S$976,"&lt;"&amp;S68)+1)</f>
        <v/>
      </c>
      <c r="Z68" s="87">
        <f>COUNTIFS($B$2:$B$976,B68,$C$2:$C$976,C68,$S$2:$S$976,"&lt;"&amp;S68)+1</f>
        <v/>
      </c>
      <c r="AA68" s="88">
        <f>ABS(S68-SUMPRODUCT(('05B_가정검정'!$A$5:$A$19=B68)*('05B_가정검정'!$B$5:$B$19=C68)*'05B_가정검정'!$E$5:$E$19))</f>
        <v/>
      </c>
      <c r="AB68" s="88">
        <f>S68-AVERAGEIFS($S$2:$S$976,$B$2:$B$976,B68,$C$2:$C$976,C68)</f>
        <v/>
      </c>
    </row>
    <row r="69" ht="15" customHeight="1" s="68">
      <c r="A69" s="83" t="inlineStr">
        <is>
          <t>PAT-05</t>
        </is>
      </c>
      <c r="B69" s="83" t="inlineStr">
        <is>
          <t>gemini</t>
        </is>
      </c>
      <c r="C69" s="83" t="inlineStr">
        <is>
          <t>ministral</t>
        </is>
      </c>
      <c r="D69" s="84" t="n">
        <v>0.271565495207668</v>
      </c>
      <c r="E69" s="84" t="n">
        <v>0.388625592417062</v>
      </c>
      <c r="F69" s="84" t="n">
        <v>0.143540669856459</v>
      </c>
      <c r="G69" s="84" t="n">
        <v>0.265402843601896</v>
      </c>
      <c r="H69" s="84" t="n">
        <v>0.204482232666009</v>
      </c>
      <c r="I69" s="84" t="n">
        <v>0.424185730902628</v>
      </c>
      <c r="J69" s="84" t="n">
        <v>0.769586504141631</v>
      </c>
      <c r="K69" s="84" t="n">
        <v>0.753800818595139</v>
      </c>
      <c r="L69" s="84" t="n">
        <v>0.884865873136473</v>
      </c>
      <c r="M69" s="84" t="n">
        <v>0.264305177111717</v>
      </c>
      <c r="N69" s="84" t="n">
        <v>0.253424657534247</v>
      </c>
      <c r="O69" s="84" t="n">
        <v>0.526315789473684</v>
      </c>
      <c r="P69" s="85">
        <f>AVERAGE(D69:I69)</f>
        <v/>
      </c>
      <c r="Q69" s="85">
        <f>AVERAGE(J69:L69)</f>
        <v/>
      </c>
      <c r="R69" s="85">
        <f>AVERAGE(M69:O69)</f>
        <v/>
      </c>
      <c r="S69" s="85">
        <f>'02_지표정의'!$C$22*P69+'02_지표정의'!$C$23*Q69+'02_지표정의'!$C$24*R69</f>
        <v/>
      </c>
      <c r="T69" s="73">
        <f>IF(OR(AND(B69="gemini",C69="gemma"),AND(B69="qwen3_6",C69="qwen"),AND(B69="mistral",C69="ministral")),1,0)</f>
        <v/>
      </c>
      <c r="U69" s="73">
        <f>IF(LEFT(A69,3)="PAT","특허","보고서")</f>
        <v/>
      </c>
      <c r="V69" s="86">
        <f>COUNTIF($S$2:$S$976,"&lt;"&amp;S69)+(COUNTIF($S$2:$S$976,"="&amp;S69)+1)/2</f>
        <v/>
      </c>
      <c r="W69" s="73">
        <f>IF(C69="qwen",0,COUNTIFS($C$2:$C$976,"&lt;&gt;qwen",$S$2:$S$976,"&lt;"&amp;S69)+1)</f>
        <v/>
      </c>
      <c r="X69" s="73">
        <f>IF(C69="ministral",0,COUNTIFS($C$2:$C$976,"&lt;&gt;ministral",$S$2:$S$976,"&lt;"&amp;S69)+1)</f>
        <v/>
      </c>
      <c r="Y69" s="73">
        <f>IF(C69="gemma",0,COUNTIFS($C$2:$C$976,"&lt;&gt;gemma",$S$2:$S$976,"&lt;"&amp;S69)+1)</f>
        <v/>
      </c>
      <c r="Z69" s="87">
        <f>COUNTIFS($B$2:$B$976,B69,$C$2:$C$976,C69,$S$2:$S$976,"&lt;"&amp;S69)+1</f>
        <v/>
      </c>
      <c r="AA69" s="88">
        <f>ABS(S69-SUMPRODUCT(('05B_가정검정'!$A$5:$A$19=B69)*('05B_가정검정'!$B$5:$B$19=C69)*'05B_가정검정'!$E$5:$E$19))</f>
        <v/>
      </c>
      <c r="AB69" s="88">
        <f>S69-AVERAGEIFS($S$2:$S$976,$B$2:$B$976,B69,$C$2:$C$976,C69)</f>
        <v/>
      </c>
    </row>
    <row r="70" ht="15" customHeight="1" s="68">
      <c r="A70" s="83" t="inlineStr">
        <is>
          <t>PAT-05</t>
        </is>
      </c>
      <c r="B70" s="83" t="inlineStr">
        <is>
          <t>gemini</t>
        </is>
      </c>
      <c r="C70" s="83" t="inlineStr">
        <is>
          <t>qwen</t>
        </is>
      </c>
      <c r="D70" s="84" t="n">
        <v>0.266666666666667</v>
      </c>
      <c r="E70" s="84" t="n">
        <v>0.429906542056075</v>
      </c>
      <c r="F70" s="84" t="n">
        <v>0.179245283018868</v>
      </c>
      <c r="G70" s="84" t="n">
        <v>0.327102803738318</v>
      </c>
      <c r="H70" s="84" t="n">
        <v>0.280563706412727</v>
      </c>
      <c r="I70" s="84" t="n">
        <v>0.381870269351024</v>
      </c>
      <c r="J70" s="84" t="n">
        <v>0.774442812675412</v>
      </c>
      <c r="K70" s="84" t="n">
        <v>0.78351952228757</v>
      </c>
      <c r="L70" s="84" t="n">
        <v>0.898865088986005</v>
      </c>
      <c r="M70" s="84" t="n">
        <v>0.459715639810427</v>
      </c>
      <c r="N70" s="84" t="n">
        <v>0.486725663716814</v>
      </c>
      <c r="O70" s="84" t="n">
        <v>1</v>
      </c>
      <c r="P70" s="85">
        <f>AVERAGE(D70:I70)</f>
        <v/>
      </c>
      <c r="Q70" s="85">
        <f>AVERAGE(J70:L70)</f>
        <v/>
      </c>
      <c r="R70" s="85">
        <f>AVERAGE(M70:O70)</f>
        <v/>
      </c>
      <c r="S70" s="85">
        <f>'02_지표정의'!$C$22*P70+'02_지표정의'!$C$23*Q70+'02_지표정의'!$C$24*R70</f>
        <v/>
      </c>
      <c r="T70" s="73">
        <f>IF(OR(AND(B70="gemini",C70="gemma"),AND(B70="qwen3_6",C70="qwen"),AND(B70="mistral",C70="ministral")),1,0)</f>
        <v/>
      </c>
      <c r="U70" s="73">
        <f>IF(LEFT(A70,3)="PAT","특허","보고서")</f>
        <v/>
      </c>
      <c r="V70" s="86">
        <f>COUNTIF($S$2:$S$976,"&lt;"&amp;S70)+(COUNTIF($S$2:$S$976,"="&amp;S70)+1)/2</f>
        <v/>
      </c>
      <c r="W70" s="73">
        <f>IF(C70="qwen",0,COUNTIFS($C$2:$C$976,"&lt;&gt;qwen",$S$2:$S$976,"&lt;"&amp;S70)+1)</f>
        <v/>
      </c>
      <c r="X70" s="73">
        <f>IF(C70="ministral",0,COUNTIFS($C$2:$C$976,"&lt;&gt;ministral",$S$2:$S$976,"&lt;"&amp;S70)+1)</f>
        <v/>
      </c>
      <c r="Y70" s="73">
        <f>IF(C70="gemma",0,COUNTIFS($C$2:$C$976,"&lt;&gt;gemma",$S$2:$S$976,"&lt;"&amp;S70)+1)</f>
        <v/>
      </c>
      <c r="Z70" s="87">
        <f>COUNTIFS($B$2:$B$976,B70,$C$2:$C$976,C70,$S$2:$S$976,"&lt;"&amp;S70)+1</f>
        <v/>
      </c>
      <c r="AA70" s="88">
        <f>ABS(S70-SUMPRODUCT(('05B_가정검정'!$A$5:$A$19=B70)*('05B_가정검정'!$B$5:$B$19=C70)*'05B_가정검정'!$E$5:$E$19))</f>
        <v/>
      </c>
      <c r="AB70" s="88">
        <f>S70-AVERAGEIFS($S$2:$S$976,$B$2:$B$976,B70,$C$2:$C$976,C70)</f>
        <v/>
      </c>
    </row>
    <row r="71" ht="15" customHeight="1" s="68">
      <c r="A71" s="83" t="inlineStr">
        <is>
          <t>PAT-05</t>
        </is>
      </c>
      <c r="B71" s="83" t="inlineStr">
        <is>
          <t>mistral</t>
        </is>
      </c>
      <c r="C71" s="83" t="inlineStr">
        <is>
          <t>gemma</t>
        </is>
      </c>
      <c r="D71" s="84" t="n">
        <v>0.231168831168831</v>
      </c>
      <c r="E71" s="84" t="n">
        <v>0.241206030150754</v>
      </c>
      <c r="F71" s="84" t="n">
        <v>0.08121827411167511</v>
      </c>
      <c r="G71" s="84" t="n">
        <v>0.231155778894472</v>
      </c>
      <c r="H71" s="84" t="n">
        <v>0.285814366365337</v>
      </c>
      <c r="I71" s="84" t="n">
        <v>0.20831717269454</v>
      </c>
      <c r="J71" s="84" t="n">
        <v>0.6702615930628389</v>
      </c>
      <c r="K71" s="84" t="n">
        <v>0.661006184603585</v>
      </c>
      <c r="L71" s="84" t="n">
        <v>0.807498056652095</v>
      </c>
      <c r="M71" s="84" t="n">
        <v>0.747899159663866</v>
      </c>
      <c r="N71" s="84" t="n">
        <v>0.742424242424242</v>
      </c>
      <c r="O71" s="84" t="n">
        <v>1</v>
      </c>
      <c r="P71" s="85">
        <f>AVERAGE(D71:I71)</f>
        <v/>
      </c>
      <c r="Q71" s="85">
        <f>AVERAGE(J71:L71)</f>
        <v/>
      </c>
      <c r="R71" s="85">
        <f>AVERAGE(M71:O71)</f>
        <v/>
      </c>
      <c r="S71" s="85">
        <f>'02_지표정의'!$C$22*P71+'02_지표정의'!$C$23*Q71+'02_지표정의'!$C$24*R71</f>
        <v/>
      </c>
      <c r="T71" s="73">
        <f>IF(OR(AND(B71="gemini",C71="gemma"),AND(B71="qwen3_6",C71="qwen"),AND(B71="mistral",C71="ministral")),1,0)</f>
        <v/>
      </c>
      <c r="U71" s="73">
        <f>IF(LEFT(A71,3)="PAT","특허","보고서")</f>
        <v/>
      </c>
      <c r="V71" s="86">
        <f>COUNTIF($S$2:$S$976,"&lt;"&amp;S71)+(COUNTIF($S$2:$S$976,"="&amp;S71)+1)/2</f>
        <v/>
      </c>
      <c r="W71" s="73">
        <f>IF(C71="qwen",0,COUNTIFS($C$2:$C$976,"&lt;&gt;qwen",$S$2:$S$976,"&lt;"&amp;S71)+1)</f>
        <v/>
      </c>
      <c r="X71" s="73">
        <f>IF(C71="ministral",0,COUNTIFS($C$2:$C$976,"&lt;&gt;ministral",$S$2:$S$976,"&lt;"&amp;S71)+1)</f>
        <v/>
      </c>
      <c r="Y71" s="73">
        <f>IF(C71="gemma",0,COUNTIFS($C$2:$C$976,"&lt;&gt;gemma",$S$2:$S$976,"&lt;"&amp;S71)+1)</f>
        <v/>
      </c>
      <c r="Z71" s="87">
        <f>COUNTIFS($B$2:$B$976,B71,$C$2:$C$976,C71,$S$2:$S$976,"&lt;"&amp;S71)+1</f>
        <v/>
      </c>
      <c r="AA71" s="88">
        <f>ABS(S71-SUMPRODUCT(('05B_가정검정'!$A$5:$A$19=B71)*('05B_가정검정'!$B$5:$B$19=C71)*'05B_가정검정'!$E$5:$E$19))</f>
        <v/>
      </c>
      <c r="AB71" s="88">
        <f>S71-AVERAGEIFS($S$2:$S$976,$B$2:$B$976,B71,$C$2:$C$976,C71)</f>
        <v/>
      </c>
    </row>
    <row r="72" ht="15" customHeight="1" s="68">
      <c r="A72" s="83" t="inlineStr">
        <is>
          <t>PAT-05</t>
        </is>
      </c>
      <c r="B72" s="83" t="inlineStr">
        <is>
          <t>mistral</t>
        </is>
      </c>
      <c r="C72" s="83" t="inlineStr">
        <is>
          <t>ministral</t>
        </is>
      </c>
      <c r="D72" s="84" t="n">
        <v>0.328257191201354</v>
      </c>
      <c r="E72" s="84" t="n">
        <v>0.391959798994975</v>
      </c>
      <c r="F72" s="84" t="n">
        <v>0.17258883248731</v>
      </c>
      <c r="G72" s="84" t="n">
        <v>0.301507537688442</v>
      </c>
      <c r="H72" s="84" t="n">
        <v>0.24066025211473</v>
      </c>
      <c r="I72" s="84" t="n">
        <v>0.426209789552395</v>
      </c>
      <c r="J72" s="84" t="n">
        <v>0.735894842676413</v>
      </c>
      <c r="K72" s="84" t="n">
        <v>0.695006891487852</v>
      </c>
      <c r="L72" s="84" t="n">
        <v>0.830919960536055</v>
      </c>
      <c r="M72" s="84" t="n">
        <v>0.313351498637602</v>
      </c>
      <c r="N72" s="84" t="n">
        <v>0.198630136986301</v>
      </c>
      <c r="O72" s="84" t="n">
        <v>0.526315789473684</v>
      </c>
      <c r="P72" s="85">
        <f>AVERAGE(D72:I72)</f>
        <v/>
      </c>
      <c r="Q72" s="85">
        <f>AVERAGE(J72:L72)</f>
        <v/>
      </c>
      <c r="R72" s="85">
        <f>AVERAGE(M72:O72)</f>
        <v/>
      </c>
      <c r="S72" s="85">
        <f>'02_지표정의'!$C$22*P72+'02_지표정의'!$C$23*Q72+'02_지표정의'!$C$24*R72</f>
        <v/>
      </c>
      <c r="T72" s="73">
        <f>IF(OR(AND(B72="gemini",C72="gemma"),AND(B72="qwen3_6",C72="qwen"),AND(B72="mistral",C72="ministral")),1,0)</f>
        <v/>
      </c>
      <c r="U72" s="73">
        <f>IF(LEFT(A72,3)="PAT","특허","보고서")</f>
        <v/>
      </c>
      <c r="V72" s="86">
        <f>COUNTIF($S$2:$S$976,"&lt;"&amp;S72)+(COUNTIF($S$2:$S$976,"="&amp;S72)+1)/2</f>
        <v/>
      </c>
      <c r="W72" s="73">
        <f>IF(C72="qwen",0,COUNTIFS($C$2:$C$976,"&lt;&gt;qwen",$S$2:$S$976,"&lt;"&amp;S72)+1)</f>
        <v/>
      </c>
      <c r="X72" s="73">
        <f>IF(C72="ministral",0,COUNTIFS($C$2:$C$976,"&lt;&gt;ministral",$S$2:$S$976,"&lt;"&amp;S72)+1)</f>
        <v/>
      </c>
      <c r="Y72" s="73">
        <f>IF(C72="gemma",0,COUNTIFS($C$2:$C$976,"&lt;&gt;gemma",$S$2:$S$976,"&lt;"&amp;S72)+1)</f>
        <v/>
      </c>
      <c r="Z72" s="87">
        <f>COUNTIFS($B$2:$B$976,B72,$C$2:$C$976,C72,$S$2:$S$976,"&lt;"&amp;S72)+1</f>
        <v/>
      </c>
      <c r="AA72" s="88">
        <f>ABS(S72-SUMPRODUCT(('05B_가정검정'!$A$5:$A$19=B72)*('05B_가정검정'!$B$5:$B$19=C72)*'05B_가정검정'!$E$5:$E$19))</f>
        <v/>
      </c>
      <c r="AB72" s="88">
        <f>S72-AVERAGEIFS($S$2:$S$976,$B$2:$B$976,B72,$C$2:$C$976,C72)</f>
        <v/>
      </c>
    </row>
    <row r="73" ht="15" customHeight="1" s="68">
      <c r="A73" s="83" t="inlineStr">
        <is>
          <t>PAT-05</t>
        </is>
      </c>
      <c r="B73" s="83" t="inlineStr">
        <is>
          <t>mistral</t>
        </is>
      </c>
      <c r="C73" s="83" t="inlineStr">
        <is>
          <t>qwen</t>
        </is>
      </c>
      <c r="D73" s="84" t="n">
        <v>0.295302013422819</v>
      </c>
      <c r="E73" s="84" t="n">
        <v>0.376237623762376</v>
      </c>
      <c r="F73" s="84" t="n">
        <v>0.21</v>
      </c>
      <c r="G73" s="84" t="n">
        <v>0.287128712871287</v>
      </c>
      <c r="H73" s="84" t="n">
        <v>0.301113804114042</v>
      </c>
      <c r="I73" s="84" t="n">
        <v>0.389059781606873</v>
      </c>
      <c r="J73" s="84" t="n">
        <v>0.7295786166673029</v>
      </c>
      <c r="K73" s="84" t="n">
        <v>0.664051111738248</v>
      </c>
      <c r="L73" s="84" t="n">
        <v>0.812316004370527</v>
      </c>
      <c r="M73" s="84" t="n">
        <v>0.507109004739337</v>
      </c>
      <c r="N73" s="84" t="n">
        <v>0.380530973451328</v>
      </c>
      <c r="O73" s="84" t="n">
        <v>1</v>
      </c>
      <c r="P73" s="85">
        <f>AVERAGE(D73:I73)</f>
        <v/>
      </c>
      <c r="Q73" s="85">
        <f>AVERAGE(J73:L73)</f>
        <v/>
      </c>
      <c r="R73" s="85">
        <f>AVERAGE(M73:O73)</f>
        <v/>
      </c>
      <c r="S73" s="85">
        <f>'02_지표정의'!$C$22*P73+'02_지표정의'!$C$23*Q73+'02_지표정의'!$C$24*R73</f>
        <v/>
      </c>
      <c r="T73" s="73">
        <f>IF(OR(AND(B73="gemini",C73="gemma"),AND(B73="qwen3_6",C73="qwen"),AND(B73="mistral",C73="ministral")),1,0)</f>
        <v/>
      </c>
      <c r="U73" s="73">
        <f>IF(LEFT(A73,3)="PAT","특허","보고서")</f>
        <v/>
      </c>
      <c r="V73" s="86">
        <f>COUNTIF($S$2:$S$976,"&lt;"&amp;S73)+(COUNTIF($S$2:$S$976,"="&amp;S73)+1)/2</f>
        <v/>
      </c>
      <c r="W73" s="73">
        <f>IF(C73="qwen",0,COUNTIFS($C$2:$C$976,"&lt;&gt;qwen",$S$2:$S$976,"&lt;"&amp;S73)+1)</f>
        <v/>
      </c>
      <c r="X73" s="73">
        <f>IF(C73="ministral",0,COUNTIFS($C$2:$C$976,"&lt;&gt;ministral",$S$2:$S$976,"&lt;"&amp;S73)+1)</f>
        <v/>
      </c>
      <c r="Y73" s="73">
        <f>IF(C73="gemma",0,COUNTIFS($C$2:$C$976,"&lt;&gt;gemma",$S$2:$S$976,"&lt;"&amp;S73)+1)</f>
        <v/>
      </c>
      <c r="Z73" s="87">
        <f>COUNTIFS($B$2:$B$976,B73,$C$2:$C$976,C73,$S$2:$S$976,"&lt;"&amp;S73)+1</f>
        <v/>
      </c>
      <c r="AA73" s="88">
        <f>ABS(S73-SUMPRODUCT(('05B_가정검정'!$A$5:$A$19=B73)*('05B_가정검정'!$B$5:$B$19=C73)*'05B_가정검정'!$E$5:$E$19))</f>
        <v/>
      </c>
      <c r="AB73" s="88">
        <f>S73-AVERAGEIFS($S$2:$S$976,$B$2:$B$976,B73,$C$2:$C$976,C73)</f>
        <v/>
      </c>
    </row>
    <row r="74" ht="15" customHeight="1" s="68">
      <c r="A74" s="83" t="inlineStr">
        <is>
          <t>PAT-05</t>
        </is>
      </c>
      <c r="B74" s="83" t="inlineStr">
        <is>
          <t>qwen3_6</t>
        </is>
      </c>
      <c r="C74" s="83" t="inlineStr">
        <is>
          <t>gemma</t>
        </is>
      </c>
      <c r="D74" s="84" t="n">
        <v>0.21380846325167</v>
      </c>
      <c r="E74" s="84" t="n">
        <v>0.284671532846715</v>
      </c>
      <c r="F74" s="84" t="n">
        <v>0.0955882352941176</v>
      </c>
      <c r="G74" s="84" t="n">
        <v>0.226277372262774</v>
      </c>
      <c r="H74" s="84" t="n">
        <v>0.319206148611166</v>
      </c>
      <c r="I74" s="84" t="n">
        <v>0.212570004506211</v>
      </c>
      <c r="J74" s="84" t="n">
        <v>0.723003529998577</v>
      </c>
      <c r="K74" s="84" t="n">
        <v>0.676210615731678</v>
      </c>
      <c r="L74" s="84" t="n">
        <v>0.831734347399401</v>
      </c>
      <c r="M74" s="84" t="n">
        <v>0.906542056074766</v>
      </c>
      <c r="N74" s="84" t="n">
        <v>0.916666666666667</v>
      </c>
      <c r="O74" s="84" t="n">
        <v>1</v>
      </c>
      <c r="P74" s="85">
        <f>AVERAGE(D74:I74)</f>
        <v/>
      </c>
      <c r="Q74" s="85">
        <f>AVERAGE(J74:L74)</f>
        <v/>
      </c>
      <c r="R74" s="85">
        <f>AVERAGE(M74:O74)</f>
        <v/>
      </c>
      <c r="S74" s="85">
        <f>'02_지표정의'!$C$22*P74+'02_지표정의'!$C$23*Q74+'02_지표정의'!$C$24*R74</f>
        <v/>
      </c>
      <c r="T74" s="73">
        <f>IF(OR(AND(B74="gemini",C74="gemma"),AND(B74="qwen3_6",C74="qwen"),AND(B74="mistral",C74="ministral")),1,0)</f>
        <v/>
      </c>
      <c r="U74" s="73">
        <f>IF(LEFT(A74,3)="PAT","특허","보고서")</f>
        <v/>
      </c>
      <c r="V74" s="86">
        <f>COUNTIF($S$2:$S$976,"&lt;"&amp;S74)+(COUNTIF($S$2:$S$976,"="&amp;S74)+1)/2</f>
        <v/>
      </c>
      <c r="W74" s="73">
        <f>IF(C74="qwen",0,COUNTIFS($C$2:$C$976,"&lt;&gt;qwen",$S$2:$S$976,"&lt;"&amp;S74)+1)</f>
        <v/>
      </c>
      <c r="X74" s="73">
        <f>IF(C74="ministral",0,COUNTIFS($C$2:$C$976,"&lt;&gt;ministral",$S$2:$S$976,"&lt;"&amp;S74)+1)</f>
        <v/>
      </c>
      <c r="Y74" s="73">
        <f>IF(C74="gemma",0,COUNTIFS($C$2:$C$976,"&lt;&gt;gemma",$S$2:$S$976,"&lt;"&amp;S74)+1)</f>
        <v/>
      </c>
      <c r="Z74" s="87">
        <f>COUNTIFS($B$2:$B$976,B74,$C$2:$C$976,C74,$S$2:$S$976,"&lt;"&amp;S74)+1</f>
        <v/>
      </c>
      <c r="AA74" s="88">
        <f>ABS(S74-SUMPRODUCT(('05B_가정검정'!$A$5:$A$19=B74)*('05B_가정검정'!$B$5:$B$19=C74)*'05B_가정검정'!$E$5:$E$19))</f>
        <v/>
      </c>
      <c r="AB74" s="88">
        <f>S74-AVERAGEIFS($S$2:$S$976,$B$2:$B$976,B74,$C$2:$C$976,C74)</f>
        <v/>
      </c>
    </row>
    <row r="75" ht="15" customHeight="1" s="68">
      <c r="A75" s="83" t="inlineStr">
        <is>
          <t>PAT-05</t>
        </is>
      </c>
      <c r="B75" s="83" t="inlineStr">
        <is>
          <t>qwen3_6</t>
        </is>
      </c>
      <c r="C75" s="83" t="inlineStr">
        <is>
          <t>ministral</t>
        </is>
      </c>
      <c r="D75" s="84" t="n">
        <v>0.280945757997218</v>
      </c>
      <c r="E75" s="84" t="n">
        <v>0.416058394160584</v>
      </c>
      <c r="F75" s="84" t="n">
        <v>0.161764705882353</v>
      </c>
      <c r="G75" s="84" t="n">
        <v>0.291970802919708</v>
      </c>
      <c r="H75" s="84" t="n">
        <v>0.256537129454711</v>
      </c>
      <c r="I75" s="84" t="n">
        <v>0.444408328502572</v>
      </c>
      <c r="J75" s="84" t="n">
        <v>0.71551607061948</v>
      </c>
      <c r="K75" s="84" t="n">
        <v>0.664548826320886</v>
      </c>
      <c r="L75" s="84" t="n">
        <v>0.84865243221829</v>
      </c>
      <c r="M75" s="84" t="n">
        <v>0.264305177111717</v>
      </c>
      <c r="N75" s="84" t="n">
        <v>0.253424657534247</v>
      </c>
      <c r="O75" s="84" t="n">
        <v>0.526315789473684</v>
      </c>
      <c r="P75" s="85">
        <f>AVERAGE(D75:I75)</f>
        <v/>
      </c>
      <c r="Q75" s="85">
        <f>AVERAGE(J75:L75)</f>
        <v/>
      </c>
      <c r="R75" s="85">
        <f>AVERAGE(M75:O75)</f>
        <v/>
      </c>
      <c r="S75" s="85">
        <f>'02_지표정의'!$C$22*P75+'02_지표정의'!$C$23*Q75+'02_지표정의'!$C$24*R75</f>
        <v/>
      </c>
      <c r="T75" s="73">
        <f>IF(OR(AND(B75="gemini",C75="gemma"),AND(B75="qwen3_6",C75="qwen"),AND(B75="mistral",C75="ministral")),1,0)</f>
        <v/>
      </c>
      <c r="U75" s="73">
        <f>IF(LEFT(A75,3)="PAT","특허","보고서")</f>
        <v/>
      </c>
      <c r="V75" s="86">
        <f>COUNTIF($S$2:$S$976,"&lt;"&amp;S75)+(COUNTIF($S$2:$S$976,"="&amp;S75)+1)/2</f>
        <v/>
      </c>
      <c r="W75" s="73">
        <f>IF(C75="qwen",0,COUNTIFS($C$2:$C$976,"&lt;&gt;qwen",$S$2:$S$976,"&lt;"&amp;S75)+1)</f>
        <v/>
      </c>
      <c r="X75" s="73">
        <f>IF(C75="ministral",0,COUNTIFS($C$2:$C$976,"&lt;&gt;ministral",$S$2:$S$976,"&lt;"&amp;S75)+1)</f>
        <v/>
      </c>
      <c r="Y75" s="73">
        <f>IF(C75="gemma",0,COUNTIFS($C$2:$C$976,"&lt;&gt;gemma",$S$2:$S$976,"&lt;"&amp;S75)+1)</f>
        <v/>
      </c>
      <c r="Z75" s="87">
        <f>COUNTIFS($B$2:$B$976,B75,$C$2:$C$976,C75,$S$2:$S$976,"&lt;"&amp;S75)+1</f>
        <v/>
      </c>
      <c r="AA75" s="88">
        <f>ABS(S75-SUMPRODUCT(('05B_가정검정'!$A$5:$A$19=B75)*('05B_가정검정'!$B$5:$B$19=C75)*'05B_가정검정'!$E$5:$E$19))</f>
        <v/>
      </c>
      <c r="AB75" s="88">
        <f>S75-AVERAGEIFS($S$2:$S$976,$B$2:$B$976,B75,$C$2:$C$976,C75)</f>
        <v/>
      </c>
    </row>
    <row r="76" ht="15" customHeight="1" s="68">
      <c r="A76" s="83" t="inlineStr">
        <is>
          <t>PAT-05</t>
        </is>
      </c>
      <c r="B76" s="83" t="inlineStr">
        <is>
          <t>qwen3_6</t>
        </is>
      </c>
      <c r="C76" s="83" t="inlineStr">
        <is>
          <t>qwen</t>
        </is>
      </c>
      <c r="D76" s="84" t="n">
        <v>0.27262313860252</v>
      </c>
      <c r="E76" s="84" t="n">
        <v>0.44043321299639</v>
      </c>
      <c r="F76" s="84" t="n">
        <v>0.167272727272727</v>
      </c>
      <c r="G76" s="84" t="n">
        <v>0.288808664259928</v>
      </c>
      <c r="H76" s="84" t="n">
        <v>0.345805724616831</v>
      </c>
      <c r="I76" s="84" t="n">
        <v>0.450256331008508</v>
      </c>
      <c r="J76" s="84" t="n">
        <v>0.736773994857734</v>
      </c>
      <c r="K76" s="84" t="n">
        <v>0.713338797598597</v>
      </c>
      <c r="L76" s="84" t="n">
        <v>0.895211096799881</v>
      </c>
      <c r="M76" s="84" t="n">
        <v>0.459715639810427</v>
      </c>
      <c r="N76" s="84" t="n">
        <v>0.486725663716814</v>
      </c>
      <c r="O76" s="84" t="n">
        <v>1</v>
      </c>
      <c r="P76" s="85">
        <f>AVERAGE(D76:I76)</f>
        <v/>
      </c>
      <c r="Q76" s="85">
        <f>AVERAGE(J76:L76)</f>
        <v/>
      </c>
      <c r="R76" s="85">
        <f>AVERAGE(M76:O76)</f>
        <v/>
      </c>
      <c r="S76" s="85">
        <f>'02_지표정의'!$C$22*P76+'02_지표정의'!$C$23*Q76+'02_지표정의'!$C$24*R76</f>
        <v/>
      </c>
      <c r="T76" s="73">
        <f>IF(OR(AND(B76="gemini",C76="gemma"),AND(B76="qwen3_6",C76="qwen"),AND(B76="mistral",C76="ministral")),1,0)</f>
        <v/>
      </c>
      <c r="U76" s="73">
        <f>IF(LEFT(A76,3)="PAT","특허","보고서")</f>
        <v/>
      </c>
      <c r="V76" s="86">
        <f>COUNTIF($S$2:$S$976,"&lt;"&amp;S76)+(COUNTIF($S$2:$S$976,"="&amp;S76)+1)/2</f>
        <v/>
      </c>
      <c r="W76" s="73">
        <f>IF(C76="qwen",0,COUNTIFS($C$2:$C$976,"&lt;&gt;qwen",$S$2:$S$976,"&lt;"&amp;S76)+1)</f>
        <v/>
      </c>
      <c r="X76" s="73">
        <f>IF(C76="ministral",0,COUNTIFS($C$2:$C$976,"&lt;&gt;ministral",$S$2:$S$976,"&lt;"&amp;S76)+1)</f>
        <v/>
      </c>
      <c r="Y76" s="73">
        <f>IF(C76="gemma",0,COUNTIFS($C$2:$C$976,"&lt;&gt;gemma",$S$2:$S$976,"&lt;"&amp;S76)+1)</f>
        <v/>
      </c>
      <c r="Z76" s="87">
        <f>COUNTIFS($B$2:$B$976,B76,$C$2:$C$976,C76,$S$2:$S$976,"&lt;"&amp;S76)+1</f>
        <v/>
      </c>
      <c r="AA76" s="88">
        <f>ABS(S76-SUMPRODUCT(('05B_가정검정'!$A$5:$A$19=B76)*('05B_가정검정'!$B$5:$B$19=C76)*'05B_가정검정'!$E$5:$E$19))</f>
        <v/>
      </c>
      <c r="AB76" s="88">
        <f>S76-AVERAGEIFS($S$2:$S$976,$B$2:$B$976,B76,$C$2:$C$976,C76)</f>
        <v/>
      </c>
    </row>
    <row r="77" ht="15" customHeight="1" s="68">
      <c r="A77" s="83" t="inlineStr">
        <is>
          <t>PAT-06</t>
        </is>
      </c>
      <c r="B77" s="83" t="inlineStr">
        <is>
          <t>chatgpt</t>
        </is>
      </c>
      <c r="C77" s="83" t="inlineStr">
        <is>
          <t>gemma</t>
        </is>
      </c>
      <c r="D77" s="84" t="n">
        <v>0.250336473755047</v>
      </c>
      <c r="E77" s="84" t="n">
        <v>0.263374485596708</v>
      </c>
      <c r="F77" s="84" t="n">
        <v>0.0829875518672199</v>
      </c>
      <c r="G77" s="84" t="n">
        <v>0.197530864197531</v>
      </c>
      <c r="H77" s="84" t="n">
        <v>0.191608487473811</v>
      </c>
      <c r="I77" s="84" t="n">
        <v>0.223187065293255</v>
      </c>
      <c r="J77" s="84" t="n">
        <v>0.69339810398569</v>
      </c>
      <c r="K77" s="84" t="n">
        <v>0.6946016424181209</v>
      </c>
      <c r="L77" s="84" t="n">
        <v>0.84623812225663</v>
      </c>
      <c r="M77" s="84" t="n">
        <v>0.459893048128342</v>
      </c>
      <c r="N77" s="84" t="n">
        <v>0</v>
      </c>
      <c r="O77" s="84" t="n">
        <v>0.526315789473684</v>
      </c>
      <c r="P77" s="85">
        <f>AVERAGE(D77:I77)</f>
        <v/>
      </c>
      <c r="Q77" s="85">
        <f>AVERAGE(J77:L77)</f>
        <v/>
      </c>
      <c r="R77" s="85">
        <f>AVERAGE(M77:O77)</f>
        <v/>
      </c>
      <c r="S77" s="85">
        <f>'02_지표정의'!$C$22*P77+'02_지표정의'!$C$23*Q77+'02_지표정의'!$C$24*R77</f>
        <v/>
      </c>
      <c r="T77" s="73">
        <f>IF(OR(AND(B77="gemini",C77="gemma"),AND(B77="qwen3_6",C77="qwen"),AND(B77="mistral",C77="ministral")),1,0)</f>
        <v/>
      </c>
      <c r="U77" s="73">
        <f>IF(LEFT(A77,3)="PAT","특허","보고서")</f>
        <v/>
      </c>
      <c r="V77" s="86">
        <f>COUNTIF($S$2:$S$976,"&lt;"&amp;S77)+(COUNTIF($S$2:$S$976,"="&amp;S77)+1)/2</f>
        <v/>
      </c>
      <c r="W77" s="73">
        <f>IF(C77="qwen",0,COUNTIFS($C$2:$C$976,"&lt;&gt;qwen",$S$2:$S$976,"&lt;"&amp;S77)+1)</f>
        <v/>
      </c>
      <c r="X77" s="73">
        <f>IF(C77="ministral",0,COUNTIFS($C$2:$C$976,"&lt;&gt;ministral",$S$2:$S$976,"&lt;"&amp;S77)+1)</f>
        <v/>
      </c>
      <c r="Y77" s="73">
        <f>IF(C77="gemma",0,COUNTIFS($C$2:$C$976,"&lt;&gt;gemma",$S$2:$S$976,"&lt;"&amp;S77)+1)</f>
        <v/>
      </c>
      <c r="Z77" s="87">
        <f>COUNTIFS($B$2:$B$976,B77,$C$2:$C$976,C77,$S$2:$S$976,"&lt;"&amp;S77)+1</f>
        <v/>
      </c>
      <c r="AA77" s="88">
        <f>ABS(S77-SUMPRODUCT(('05B_가정검정'!$A$5:$A$19=B77)*('05B_가정검정'!$B$5:$B$19=C77)*'05B_가정검정'!$E$5:$E$19))</f>
        <v/>
      </c>
      <c r="AB77" s="88">
        <f>S77-AVERAGEIFS($S$2:$S$976,$B$2:$B$976,B77,$C$2:$C$976,C77)</f>
        <v/>
      </c>
    </row>
    <row r="78" ht="15" customHeight="1" s="68">
      <c r="A78" s="83" t="inlineStr">
        <is>
          <t>PAT-06</t>
        </is>
      </c>
      <c r="B78" s="83" t="inlineStr">
        <is>
          <t>chatgpt</t>
        </is>
      </c>
      <c r="C78" s="83" t="inlineStr">
        <is>
          <t>ministral</t>
        </is>
      </c>
      <c r="D78" s="84" t="n">
        <v>0.284431137724551</v>
      </c>
      <c r="E78" s="84" t="n">
        <v>0.33</v>
      </c>
      <c r="F78" s="84" t="n">
        <v>0.121212121212121</v>
      </c>
      <c r="G78" s="84" t="n">
        <v>0.25</v>
      </c>
      <c r="H78" s="84" t="n">
        <v>0.156599122990149</v>
      </c>
      <c r="I78" s="84" t="n">
        <v>0.440406459390857</v>
      </c>
      <c r="J78" s="84" t="n">
        <v>0.748371407808228</v>
      </c>
      <c r="K78" s="84" t="n">
        <v>0.765375736195982</v>
      </c>
      <c r="L78" s="84" t="n">
        <v>0.882360024391862</v>
      </c>
      <c r="M78" s="84" t="n">
        <v>0.472668810289389</v>
      </c>
      <c r="N78" s="84" t="n">
        <v>0</v>
      </c>
      <c r="O78" s="84" t="n">
        <v>0.953846153846154</v>
      </c>
      <c r="P78" s="85">
        <f>AVERAGE(D78:I78)</f>
        <v/>
      </c>
      <c r="Q78" s="85">
        <f>AVERAGE(J78:L78)</f>
        <v/>
      </c>
      <c r="R78" s="85">
        <f>AVERAGE(M78:O78)</f>
        <v/>
      </c>
      <c r="S78" s="85">
        <f>'02_지표정의'!$C$22*P78+'02_지표정의'!$C$23*Q78+'02_지표정의'!$C$24*R78</f>
        <v/>
      </c>
      <c r="T78" s="73">
        <f>IF(OR(AND(B78="gemini",C78="gemma"),AND(B78="qwen3_6",C78="qwen"),AND(B78="mistral",C78="ministral")),1,0)</f>
        <v/>
      </c>
      <c r="U78" s="73">
        <f>IF(LEFT(A78,3)="PAT","특허","보고서")</f>
        <v/>
      </c>
      <c r="V78" s="86">
        <f>COUNTIF($S$2:$S$976,"&lt;"&amp;S78)+(COUNTIF($S$2:$S$976,"="&amp;S78)+1)/2</f>
        <v/>
      </c>
      <c r="W78" s="73">
        <f>IF(C78="qwen",0,COUNTIFS($C$2:$C$976,"&lt;&gt;qwen",$S$2:$S$976,"&lt;"&amp;S78)+1)</f>
        <v/>
      </c>
      <c r="X78" s="73">
        <f>IF(C78="ministral",0,COUNTIFS($C$2:$C$976,"&lt;&gt;ministral",$S$2:$S$976,"&lt;"&amp;S78)+1)</f>
        <v/>
      </c>
      <c r="Y78" s="73">
        <f>IF(C78="gemma",0,COUNTIFS($C$2:$C$976,"&lt;&gt;gemma",$S$2:$S$976,"&lt;"&amp;S78)+1)</f>
        <v/>
      </c>
      <c r="Z78" s="87">
        <f>COUNTIFS($B$2:$B$976,B78,$C$2:$C$976,C78,$S$2:$S$976,"&lt;"&amp;S78)+1</f>
        <v/>
      </c>
      <c r="AA78" s="88">
        <f>ABS(S78-SUMPRODUCT(('05B_가정검정'!$A$5:$A$19=B78)*('05B_가정검정'!$B$5:$B$19=C78)*'05B_가정검정'!$E$5:$E$19))</f>
        <v/>
      </c>
      <c r="AB78" s="88">
        <f>S78-AVERAGEIFS($S$2:$S$976,$B$2:$B$976,B78,$C$2:$C$976,C78)</f>
        <v/>
      </c>
    </row>
    <row r="79" ht="15" customHeight="1" s="68">
      <c r="A79" s="83" t="inlineStr">
        <is>
          <t>PAT-06</t>
        </is>
      </c>
      <c r="B79" s="83" t="inlineStr">
        <is>
          <t>chatgpt</t>
        </is>
      </c>
      <c r="C79" s="83" t="inlineStr">
        <is>
          <t>qwen</t>
        </is>
      </c>
      <c r="D79" s="84" t="n">
        <v>0.274881516587678</v>
      </c>
      <c r="E79" s="84" t="n">
        <v>0.412903225806452</v>
      </c>
      <c r="F79" s="84" t="n">
        <v>0.156862745098039</v>
      </c>
      <c r="G79" s="84" t="n">
        <v>0.309677419354839</v>
      </c>
      <c r="H79" s="84" t="n">
        <v>0.241787115962033</v>
      </c>
      <c r="I79" s="84" t="n">
        <v>0.45500754859998</v>
      </c>
      <c r="J79" s="84" t="n">
        <v>0.73837536561201</v>
      </c>
      <c r="K79" s="84" t="n">
        <v>0.727340731869465</v>
      </c>
      <c r="L79" s="84" t="n">
        <v>0.868032441659051</v>
      </c>
      <c r="M79" s="84" t="n">
        <v>0.545454545454545</v>
      </c>
      <c r="N79" s="84" t="n">
        <v>0</v>
      </c>
      <c r="O79" s="84" t="n">
        <v>0.526315789473684</v>
      </c>
      <c r="P79" s="85">
        <f>AVERAGE(D79:I79)</f>
        <v/>
      </c>
      <c r="Q79" s="85">
        <f>AVERAGE(J79:L79)</f>
        <v/>
      </c>
      <c r="R79" s="85">
        <f>AVERAGE(M79:O79)</f>
        <v/>
      </c>
      <c r="S79" s="85">
        <f>'02_지표정의'!$C$22*P79+'02_지표정의'!$C$23*Q79+'02_지표정의'!$C$24*R79</f>
        <v/>
      </c>
      <c r="T79" s="73">
        <f>IF(OR(AND(B79="gemini",C79="gemma"),AND(B79="qwen3_6",C79="qwen"),AND(B79="mistral",C79="ministral")),1,0)</f>
        <v/>
      </c>
      <c r="U79" s="73">
        <f>IF(LEFT(A79,3)="PAT","특허","보고서")</f>
        <v/>
      </c>
      <c r="V79" s="86">
        <f>COUNTIF($S$2:$S$976,"&lt;"&amp;S79)+(COUNTIF($S$2:$S$976,"="&amp;S79)+1)/2</f>
        <v/>
      </c>
      <c r="W79" s="73">
        <f>IF(C79="qwen",0,COUNTIFS($C$2:$C$976,"&lt;&gt;qwen",$S$2:$S$976,"&lt;"&amp;S79)+1)</f>
        <v/>
      </c>
      <c r="X79" s="73">
        <f>IF(C79="ministral",0,COUNTIFS($C$2:$C$976,"&lt;&gt;ministral",$S$2:$S$976,"&lt;"&amp;S79)+1)</f>
        <v/>
      </c>
      <c r="Y79" s="73">
        <f>IF(C79="gemma",0,COUNTIFS($C$2:$C$976,"&lt;&gt;gemma",$S$2:$S$976,"&lt;"&amp;S79)+1)</f>
        <v/>
      </c>
      <c r="Z79" s="87">
        <f>COUNTIFS($B$2:$B$976,B79,$C$2:$C$976,C79,$S$2:$S$976,"&lt;"&amp;S79)+1</f>
        <v/>
      </c>
      <c r="AA79" s="88">
        <f>ABS(S79-SUMPRODUCT(('05B_가정검정'!$A$5:$A$19=B79)*('05B_가정검정'!$B$5:$B$19=C79)*'05B_가정검정'!$E$5:$E$19))</f>
        <v/>
      </c>
      <c r="AB79" s="88">
        <f>S79-AVERAGEIFS($S$2:$S$976,$B$2:$B$976,B79,$C$2:$C$976,C79)</f>
        <v/>
      </c>
    </row>
    <row r="80" ht="15" customHeight="1" s="68">
      <c r="A80" s="83" t="inlineStr">
        <is>
          <t>PAT-06</t>
        </is>
      </c>
      <c r="B80" s="83" t="inlineStr">
        <is>
          <t>claude</t>
        </is>
      </c>
      <c r="C80" s="83" t="inlineStr">
        <is>
          <t>gemma</t>
        </is>
      </c>
      <c r="D80" s="84" t="n">
        <v>0.256830601092896</v>
      </c>
      <c r="E80" s="84" t="n">
        <v>0.253164556962025</v>
      </c>
      <c r="F80" s="84" t="n">
        <v>0.06369426751592359</v>
      </c>
      <c r="G80" s="84" t="n">
        <v>0.170886075949367</v>
      </c>
      <c r="H80" s="84" t="n">
        <v>0.342527239886392</v>
      </c>
      <c r="I80" s="84" t="n">
        <v>0.243417157452973</v>
      </c>
      <c r="J80" s="84" t="n">
        <v>0.67751752360143</v>
      </c>
      <c r="K80" s="84" t="n">
        <v>0.685192030491747</v>
      </c>
      <c r="L80" s="84" t="n">
        <v>0.833354617078009</v>
      </c>
      <c r="M80" s="84" t="n">
        <v>0.469512195121951</v>
      </c>
      <c r="N80" s="84" t="n">
        <v>0.48936170212766</v>
      </c>
      <c r="O80" s="84" t="n">
        <v>1</v>
      </c>
      <c r="P80" s="85">
        <f>AVERAGE(D80:I80)</f>
        <v/>
      </c>
      <c r="Q80" s="85">
        <f>AVERAGE(J80:L80)</f>
        <v/>
      </c>
      <c r="R80" s="85">
        <f>AVERAGE(M80:O80)</f>
        <v/>
      </c>
      <c r="S80" s="85">
        <f>'02_지표정의'!$C$22*P80+'02_지표정의'!$C$23*Q80+'02_지표정의'!$C$24*R80</f>
        <v/>
      </c>
      <c r="T80" s="73">
        <f>IF(OR(AND(B80="gemini",C80="gemma"),AND(B80="qwen3_6",C80="qwen"),AND(B80="mistral",C80="ministral")),1,0)</f>
        <v/>
      </c>
      <c r="U80" s="73">
        <f>IF(LEFT(A80,3)="PAT","특허","보고서")</f>
        <v/>
      </c>
      <c r="V80" s="86">
        <f>COUNTIF($S$2:$S$976,"&lt;"&amp;S80)+(COUNTIF($S$2:$S$976,"="&amp;S80)+1)/2</f>
        <v/>
      </c>
      <c r="W80" s="73">
        <f>IF(C80="qwen",0,COUNTIFS($C$2:$C$976,"&lt;&gt;qwen",$S$2:$S$976,"&lt;"&amp;S80)+1)</f>
        <v/>
      </c>
      <c r="X80" s="73">
        <f>IF(C80="ministral",0,COUNTIFS($C$2:$C$976,"&lt;&gt;ministral",$S$2:$S$976,"&lt;"&amp;S80)+1)</f>
        <v/>
      </c>
      <c r="Y80" s="73">
        <f>IF(C80="gemma",0,COUNTIFS($C$2:$C$976,"&lt;&gt;gemma",$S$2:$S$976,"&lt;"&amp;S80)+1)</f>
        <v/>
      </c>
      <c r="Z80" s="87">
        <f>COUNTIFS($B$2:$B$976,B80,$C$2:$C$976,C80,$S$2:$S$976,"&lt;"&amp;S80)+1</f>
        <v/>
      </c>
      <c r="AA80" s="88">
        <f>ABS(S80-SUMPRODUCT(('05B_가정검정'!$A$5:$A$19=B80)*('05B_가정검정'!$B$5:$B$19=C80)*'05B_가정검정'!$E$5:$E$19))</f>
        <v/>
      </c>
      <c r="AB80" s="88">
        <f>S80-AVERAGEIFS($S$2:$S$976,$B$2:$B$976,B80,$C$2:$C$976,C80)</f>
        <v/>
      </c>
    </row>
    <row r="81" ht="15" customHeight="1" s="68">
      <c r="A81" s="83" t="inlineStr">
        <is>
          <t>PAT-06</t>
        </is>
      </c>
      <c r="B81" s="83" t="inlineStr">
        <is>
          <t>claude</t>
        </is>
      </c>
      <c r="C81" s="83" t="inlineStr">
        <is>
          <t>ministral</t>
        </is>
      </c>
      <c r="D81" s="84" t="n">
        <v>0.308895405669599</v>
      </c>
      <c r="E81" s="84" t="n">
        <v>0.344322344322344</v>
      </c>
      <c r="F81" s="84" t="n">
        <v>0.11070110701107</v>
      </c>
      <c r="G81" s="84" t="n">
        <v>0.256410256410256</v>
      </c>
      <c r="H81" s="84" t="n">
        <v>0.340444273517964</v>
      </c>
      <c r="I81" s="84" t="n">
        <v>0.377675317748903</v>
      </c>
      <c r="J81" s="84" t="n">
        <v>0.72173199345198</v>
      </c>
      <c r="K81" s="84" t="n">
        <v>0.695463042192251</v>
      </c>
      <c r="L81" s="84" t="n">
        <v>0.832679059483616</v>
      </c>
      <c r="M81" s="84" t="n">
        <v>0.491961414790997</v>
      </c>
      <c r="N81" s="84" t="n">
        <v>0.297297297297297</v>
      </c>
      <c r="O81" s="84" t="n">
        <v>0.621052631578947</v>
      </c>
      <c r="P81" s="85">
        <f>AVERAGE(D81:I81)</f>
        <v/>
      </c>
      <c r="Q81" s="85">
        <f>AVERAGE(J81:L81)</f>
        <v/>
      </c>
      <c r="R81" s="85">
        <f>AVERAGE(M81:O81)</f>
        <v/>
      </c>
      <c r="S81" s="85">
        <f>'02_지표정의'!$C$22*P81+'02_지표정의'!$C$23*Q81+'02_지표정의'!$C$24*R81</f>
        <v/>
      </c>
      <c r="T81" s="73">
        <f>IF(OR(AND(B81="gemini",C81="gemma"),AND(B81="qwen3_6",C81="qwen"),AND(B81="mistral",C81="ministral")),1,0)</f>
        <v/>
      </c>
      <c r="U81" s="73">
        <f>IF(LEFT(A81,3)="PAT","특허","보고서")</f>
        <v/>
      </c>
      <c r="V81" s="86">
        <f>COUNTIF($S$2:$S$976,"&lt;"&amp;S81)+(COUNTIF($S$2:$S$976,"="&amp;S81)+1)/2</f>
        <v/>
      </c>
      <c r="W81" s="73">
        <f>IF(C81="qwen",0,COUNTIFS($C$2:$C$976,"&lt;&gt;qwen",$S$2:$S$976,"&lt;"&amp;S81)+1)</f>
        <v/>
      </c>
      <c r="X81" s="73">
        <f>IF(C81="ministral",0,COUNTIFS($C$2:$C$976,"&lt;&gt;ministral",$S$2:$S$976,"&lt;"&amp;S81)+1)</f>
        <v/>
      </c>
      <c r="Y81" s="73">
        <f>IF(C81="gemma",0,COUNTIFS($C$2:$C$976,"&lt;&gt;gemma",$S$2:$S$976,"&lt;"&amp;S81)+1)</f>
        <v/>
      </c>
      <c r="Z81" s="87">
        <f>COUNTIFS($B$2:$B$976,B81,$C$2:$C$976,C81,$S$2:$S$976,"&lt;"&amp;S81)+1</f>
        <v/>
      </c>
      <c r="AA81" s="88">
        <f>ABS(S81-SUMPRODUCT(('05B_가정검정'!$A$5:$A$19=B81)*('05B_가정검정'!$B$5:$B$19=C81)*'05B_가정검정'!$E$5:$E$19))</f>
        <v/>
      </c>
      <c r="AB81" s="88">
        <f>S81-AVERAGEIFS($S$2:$S$976,$B$2:$B$976,B81,$C$2:$C$976,C81)</f>
        <v/>
      </c>
    </row>
    <row r="82" ht="15" customHeight="1" s="68">
      <c r="A82" s="83" t="inlineStr">
        <is>
          <t>PAT-06</t>
        </is>
      </c>
      <c r="B82" s="83" t="inlineStr">
        <is>
          <t>claude</t>
        </is>
      </c>
      <c r="C82" s="83" t="inlineStr">
        <is>
          <t>qwen</t>
        </is>
      </c>
      <c r="D82" s="84" t="n">
        <v>0.275303643724696</v>
      </c>
      <c r="E82" s="84" t="n">
        <v>0.385964912280702</v>
      </c>
      <c r="F82" s="84" t="n">
        <v>0.150442477876106</v>
      </c>
      <c r="G82" s="84" t="n">
        <v>0.271929824561404</v>
      </c>
      <c r="H82" s="84" t="n">
        <v>0.336068061763358</v>
      </c>
      <c r="I82" s="84" t="n">
        <v>0.439308190489103</v>
      </c>
      <c r="J82" s="84" t="n">
        <v>0.719515030260932</v>
      </c>
      <c r="K82" s="84" t="n">
        <v>0.69269018431614</v>
      </c>
      <c r="L82" s="84" t="n">
        <v>0.888389095529541</v>
      </c>
      <c r="M82" s="84" t="n">
        <v>0.597560975609756</v>
      </c>
      <c r="N82" s="84" t="n">
        <v>0.414893617021277</v>
      </c>
      <c r="O82" s="84" t="n">
        <v>1</v>
      </c>
      <c r="P82" s="85">
        <f>AVERAGE(D82:I82)</f>
        <v/>
      </c>
      <c r="Q82" s="85">
        <f>AVERAGE(J82:L82)</f>
        <v/>
      </c>
      <c r="R82" s="85">
        <f>AVERAGE(M82:O82)</f>
        <v/>
      </c>
      <c r="S82" s="85">
        <f>'02_지표정의'!$C$22*P82+'02_지표정의'!$C$23*Q82+'02_지표정의'!$C$24*R82</f>
        <v/>
      </c>
      <c r="T82" s="73">
        <f>IF(OR(AND(B82="gemini",C82="gemma"),AND(B82="qwen3_6",C82="qwen"),AND(B82="mistral",C82="ministral")),1,0)</f>
        <v/>
      </c>
      <c r="U82" s="73">
        <f>IF(LEFT(A82,3)="PAT","특허","보고서")</f>
        <v/>
      </c>
      <c r="V82" s="86">
        <f>COUNTIF($S$2:$S$976,"&lt;"&amp;S82)+(COUNTIF($S$2:$S$976,"="&amp;S82)+1)/2</f>
        <v/>
      </c>
      <c r="W82" s="73">
        <f>IF(C82="qwen",0,COUNTIFS($C$2:$C$976,"&lt;&gt;qwen",$S$2:$S$976,"&lt;"&amp;S82)+1)</f>
        <v/>
      </c>
      <c r="X82" s="73">
        <f>IF(C82="ministral",0,COUNTIFS($C$2:$C$976,"&lt;&gt;ministral",$S$2:$S$976,"&lt;"&amp;S82)+1)</f>
        <v/>
      </c>
      <c r="Y82" s="73">
        <f>IF(C82="gemma",0,COUNTIFS($C$2:$C$976,"&lt;&gt;gemma",$S$2:$S$976,"&lt;"&amp;S82)+1)</f>
        <v/>
      </c>
      <c r="Z82" s="87">
        <f>COUNTIFS($B$2:$B$976,B82,$C$2:$C$976,C82,$S$2:$S$976,"&lt;"&amp;S82)+1</f>
        <v/>
      </c>
      <c r="AA82" s="88">
        <f>ABS(S82-SUMPRODUCT(('05B_가정검정'!$A$5:$A$19=B82)*('05B_가정검정'!$B$5:$B$19=C82)*'05B_가정검정'!$E$5:$E$19))</f>
        <v/>
      </c>
      <c r="AB82" s="88">
        <f>S82-AVERAGEIFS($S$2:$S$976,$B$2:$B$976,B82,$C$2:$C$976,C82)</f>
        <v/>
      </c>
    </row>
    <row r="83" ht="15" customHeight="1" s="68">
      <c r="A83" s="83" t="inlineStr">
        <is>
          <t>PAT-06</t>
        </is>
      </c>
      <c r="B83" s="83" t="inlineStr">
        <is>
          <t>gemini</t>
        </is>
      </c>
      <c r="C83" s="83" t="inlineStr">
        <is>
          <t>gemma</t>
        </is>
      </c>
      <c r="D83" s="84" t="n">
        <v>0.260657734470158</v>
      </c>
      <c r="E83" s="84" t="n">
        <v>0.3046875</v>
      </c>
      <c r="F83" s="84" t="n">
        <v>0.0866141732283465</v>
      </c>
      <c r="G83" s="84" t="n">
        <v>0.1875</v>
      </c>
      <c r="H83" s="84" t="n">
        <v>0.25890340663761</v>
      </c>
      <c r="I83" s="84" t="n">
        <v>0.200211669089619</v>
      </c>
      <c r="J83" s="84" t="n">
        <v>0.720859171583885</v>
      </c>
      <c r="K83" s="84" t="n">
        <v>0.760278085101397</v>
      </c>
      <c r="L83" s="84" t="n">
        <v>0.885335963638483</v>
      </c>
      <c r="M83" s="84" t="n">
        <v>0.595092024539877</v>
      </c>
      <c r="N83" s="84" t="n">
        <v>0.705128205128205</v>
      </c>
      <c r="O83" s="84" t="n">
        <v>1</v>
      </c>
      <c r="P83" s="85">
        <f>AVERAGE(D83:I83)</f>
        <v/>
      </c>
      <c r="Q83" s="85">
        <f>AVERAGE(J83:L83)</f>
        <v/>
      </c>
      <c r="R83" s="85">
        <f>AVERAGE(M83:O83)</f>
        <v/>
      </c>
      <c r="S83" s="85">
        <f>'02_지표정의'!$C$22*P83+'02_지표정의'!$C$23*Q83+'02_지표정의'!$C$24*R83</f>
        <v/>
      </c>
      <c r="T83" s="73">
        <f>IF(OR(AND(B83="gemini",C83="gemma"),AND(B83="qwen3_6",C83="qwen"),AND(B83="mistral",C83="ministral")),1,0)</f>
        <v/>
      </c>
      <c r="U83" s="73">
        <f>IF(LEFT(A83,3)="PAT","특허","보고서")</f>
        <v/>
      </c>
      <c r="V83" s="86">
        <f>COUNTIF($S$2:$S$976,"&lt;"&amp;S83)+(COUNTIF($S$2:$S$976,"="&amp;S83)+1)/2</f>
        <v/>
      </c>
      <c r="W83" s="73">
        <f>IF(C83="qwen",0,COUNTIFS($C$2:$C$976,"&lt;&gt;qwen",$S$2:$S$976,"&lt;"&amp;S83)+1)</f>
        <v/>
      </c>
      <c r="X83" s="73">
        <f>IF(C83="ministral",0,COUNTIFS($C$2:$C$976,"&lt;&gt;ministral",$S$2:$S$976,"&lt;"&amp;S83)+1)</f>
        <v/>
      </c>
      <c r="Y83" s="73">
        <f>IF(C83="gemma",0,COUNTIFS($C$2:$C$976,"&lt;&gt;gemma",$S$2:$S$976,"&lt;"&amp;S83)+1)</f>
        <v/>
      </c>
      <c r="Z83" s="87">
        <f>COUNTIFS($B$2:$B$976,B83,$C$2:$C$976,C83,$S$2:$S$976,"&lt;"&amp;S83)+1</f>
        <v/>
      </c>
      <c r="AA83" s="88">
        <f>ABS(S83-SUMPRODUCT(('05B_가정검정'!$A$5:$A$19=B83)*('05B_가정검정'!$B$5:$B$19=C83)*'05B_가정검정'!$E$5:$E$19))</f>
        <v/>
      </c>
      <c r="AB83" s="88">
        <f>S83-AVERAGEIFS($S$2:$S$976,$B$2:$B$976,B83,$C$2:$C$976,C83)</f>
        <v/>
      </c>
    </row>
    <row r="84" ht="15" customHeight="1" s="68">
      <c r="A84" s="83" t="inlineStr">
        <is>
          <t>PAT-06</t>
        </is>
      </c>
      <c r="B84" s="83" t="inlineStr">
        <is>
          <t>gemini</t>
        </is>
      </c>
      <c r="C84" s="83" t="inlineStr">
        <is>
          <t>ministral</t>
        </is>
      </c>
      <c r="D84" s="84" t="n">
        <v>0.276139410187668</v>
      </c>
      <c r="E84" s="84" t="n">
        <v>0.347417840375587</v>
      </c>
      <c r="F84" s="84" t="n">
        <v>0.132701421800948</v>
      </c>
      <c r="G84" s="84" t="n">
        <v>0.225352112676056</v>
      </c>
      <c r="H84" s="84" t="n">
        <v>0.208078169684793</v>
      </c>
      <c r="I84" s="84" t="n">
        <v>0.328683241287322</v>
      </c>
      <c r="J84" s="84" t="n">
        <v>0.769234840232154</v>
      </c>
      <c r="K84" s="84" t="n">
        <v>0.831445498210981</v>
      </c>
      <c r="L84" s="84" t="n">
        <v>0.928991715736091</v>
      </c>
      <c r="M84" s="84" t="n">
        <v>0.311897106109325</v>
      </c>
      <c r="N84" s="84" t="n">
        <v>0.290540540540541</v>
      </c>
      <c r="O84" s="84" t="n">
        <v>0.6052631578947369</v>
      </c>
      <c r="P84" s="85">
        <f>AVERAGE(D84:I84)</f>
        <v/>
      </c>
      <c r="Q84" s="85">
        <f>AVERAGE(J84:L84)</f>
        <v/>
      </c>
      <c r="R84" s="85">
        <f>AVERAGE(M84:O84)</f>
        <v/>
      </c>
      <c r="S84" s="85">
        <f>'02_지표정의'!$C$22*P84+'02_지표정의'!$C$23*Q84+'02_지표정의'!$C$24*R84</f>
        <v/>
      </c>
      <c r="T84" s="73">
        <f>IF(OR(AND(B84="gemini",C84="gemma"),AND(B84="qwen3_6",C84="qwen"),AND(B84="mistral",C84="ministral")),1,0)</f>
        <v/>
      </c>
      <c r="U84" s="73">
        <f>IF(LEFT(A84,3)="PAT","특허","보고서")</f>
        <v/>
      </c>
      <c r="V84" s="86">
        <f>COUNTIF($S$2:$S$976,"&lt;"&amp;S84)+(COUNTIF($S$2:$S$976,"="&amp;S84)+1)/2</f>
        <v/>
      </c>
      <c r="W84" s="73">
        <f>IF(C84="qwen",0,COUNTIFS($C$2:$C$976,"&lt;&gt;qwen",$S$2:$S$976,"&lt;"&amp;S84)+1)</f>
        <v/>
      </c>
      <c r="X84" s="73">
        <f>IF(C84="ministral",0,COUNTIFS($C$2:$C$976,"&lt;&gt;ministral",$S$2:$S$976,"&lt;"&amp;S84)+1)</f>
        <v/>
      </c>
      <c r="Y84" s="73">
        <f>IF(C84="gemma",0,COUNTIFS($C$2:$C$976,"&lt;&gt;gemma",$S$2:$S$976,"&lt;"&amp;S84)+1)</f>
        <v/>
      </c>
      <c r="Z84" s="87">
        <f>COUNTIFS($B$2:$B$976,B84,$C$2:$C$976,C84,$S$2:$S$976,"&lt;"&amp;S84)+1</f>
        <v/>
      </c>
      <c r="AA84" s="88">
        <f>ABS(S84-SUMPRODUCT(('05B_가정검정'!$A$5:$A$19=B84)*('05B_가정검정'!$B$5:$B$19=C84)*'05B_가정검정'!$E$5:$E$19))</f>
        <v/>
      </c>
      <c r="AB84" s="88">
        <f>S84-AVERAGEIFS($S$2:$S$976,$B$2:$B$976,B84,$C$2:$C$976,C84)</f>
        <v/>
      </c>
    </row>
    <row r="85" ht="15" customHeight="1" s="68">
      <c r="A85" s="83" t="inlineStr">
        <is>
          <t>PAT-06</t>
        </is>
      </c>
      <c r="B85" s="83" t="inlineStr">
        <is>
          <t>gemini</t>
        </is>
      </c>
      <c r="C85" s="83" t="inlineStr">
        <is>
          <t>qwen</t>
        </is>
      </c>
      <c r="D85" s="84" t="n">
        <v>0.286919831223629</v>
      </c>
      <c r="E85" s="84" t="n">
        <v>0.488095238095238</v>
      </c>
      <c r="F85" s="84" t="n">
        <v>0.204819277108434</v>
      </c>
      <c r="G85" s="84" t="n">
        <v>0.357142857142857</v>
      </c>
      <c r="H85" s="84" t="n">
        <v>0.334559340013278</v>
      </c>
      <c r="I85" s="84" t="n">
        <v>0.363341739742004</v>
      </c>
      <c r="J85" s="84" t="n">
        <v>0.764584987810056</v>
      </c>
      <c r="K85" s="84" t="n">
        <v>0.784458565291668</v>
      </c>
      <c r="L85" s="84" t="n">
        <v>0.90580680072546</v>
      </c>
      <c r="M85" s="84" t="n">
        <v>0.708029197080292</v>
      </c>
      <c r="N85" s="84" t="n">
        <v>0.785714285714286</v>
      </c>
      <c r="O85" s="84" t="n">
        <v>1</v>
      </c>
      <c r="P85" s="85">
        <f>AVERAGE(D85:I85)</f>
        <v/>
      </c>
      <c r="Q85" s="85">
        <f>AVERAGE(J85:L85)</f>
        <v/>
      </c>
      <c r="R85" s="85">
        <f>AVERAGE(M85:O85)</f>
        <v/>
      </c>
      <c r="S85" s="85">
        <f>'02_지표정의'!$C$22*P85+'02_지표정의'!$C$23*Q85+'02_지표정의'!$C$24*R85</f>
        <v/>
      </c>
      <c r="T85" s="73">
        <f>IF(OR(AND(B85="gemini",C85="gemma"),AND(B85="qwen3_6",C85="qwen"),AND(B85="mistral",C85="ministral")),1,0)</f>
        <v/>
      </c>
      <c r="U85" s="73">
        <f>IF(LEFT(A85,3)="PAT","특허","보고서")</f>
        <v/>
      </c>
      <c r="V85" s="86">
        <f>COUNTIF($S$2:$S$976,"&lt;"&amp;S85)+(COUNTIF($S$2:$S$976,"="&amp;S85)+1)/2</f>
        <v/>
      </c>
      <c r="W85" s="73">
        <f>IF(C85="qwen",0,COUNTIFS($C$2:$C$976,"&lt;&gt;qwen",$S$2:$S$976,"&lt;"&amp;S85)+1)</f>
        <v/>
      </c>
      <c r="X85" s="73">
        <f>IF(C85="ministral",0,COUNTIFS($C$2:$C$976,"&lt;&gt;ministral",$S$2:$S$976,"&lt;"&amp;S85)+1)</f>
        <v/>
      </c>
      <c r="Y85" s="73">
        <f>IF(C85="gemma",0,COUNTIFS($C$2:$C$976,"&lt;&gt;gemma",$S$2:$S$976,"&lt;"&amp;S85)+1)</f>
        <v/>
      </c>
      <c r="Z85" s="87">
        <f>COUNTIFS($B$2:$B$976,B85,$C$2:$C$976,C85,$S$2:$S$976,"&lt;"&amp;S85)+1</f>
        <v/>
      </c>
      <c r="AA85" s="88">
        <f>ABS(S85-SUMPRODUCT(('05B_가정검정'!$A$5:$A$19=B85)*('05B_가정검정'!$B$5:$B$19=C85)*'05B_가정검정'!$E$5:$E$19))</f>
        <v/>
      </c>
      <c r="AB85" s="88">
        <f>S85-AVERAGEIFS($S$2:$S$976,$B$2:$B$976,B85,$C$2:$C$976,C85)</f>
        <v/>
      </c>
    </row>
    <row r="86" ht="15" customHeight="1" s="68">
      <c r="A86" s="83" t="inlineStr">
        <is>
          <t>PAT-06</t>
        </is>
      </c>
      <c r="B86" s="83" t="inlineStr">
        <is>
          <t>mistral</t>
        </is>
      </c>
      <c r="C86" s="83" t="inlineStr">
        <is>
          <t>gemma</t>
        </is>
      </c>
      <c r="D86" s="84" t="n">
        <v>0.259301014656144</v>
      </c>
      <c r="E86" s="84" t="n">
        <v>0.278195488721805</v>
      </c>
      <c r="F86" s="84" t="n">
        <v>0.0833333333333333</v>
      </c>
      <c r="G86" s="84" t="n">
        <v>0.195488721804511</v>
      </c>
      <c r="H86" s="84" t="n">
        <v>0.312344332217791</v>
      </c>
      <c r="I86" s="84" t="n">
        <v>0.251608659178976</v>
      </c>
      <c r="J86" s="84" t="n">
        <v>0.691942423839827</v>
      </c>
      <c r="K86" s="84" t="n">
        <v>0.649146955625299</v>
      </c>
      <c r="L86" s="84" t="n">
        <v>0.757424618402805</v>
      </c>
      <c r="M86" s="84" t="n">
        <v>0.619631901840491</v>
      </c>
      <c r="N86" s="84" t="n">
        <v>0.705128205128205</v>
      </c>
      <c r="O86" s="84" t="n">
        <v>1</v>
      </c>
      <c r="P86" s="85">
        <f>AVERAGE(D86:I86)</f>
        <v/>
      </c>
      <c r="Q86" s="85">
        <f>AVERAGE(J86:L86)</f>
        <v/>
      </c>
      <c r="R86" s="85">
        <f>AVERAGE(M86:O86)</f>
        <v/>
      </c>
      <c r="S86" s="85">
        <f>'02_지표정의'!$C$22*P86+'02_지표정의'!$C$23*Q86+'02_지표정의'!$C$24*R86</f>
        <v/>
      </c>
      <c r="T86" s="73">
        <f>IF(OR(AND(B86="gemini",C86="gemma"),AND(B86="qwen3_6",C86="qwen"),AND(B86="mistral",C86="ministral")),1,0)</f>
        <v/>
      </c>
      <c r="U86" s="73">
        <f>IF(LEFT(A86,3)="PAT","특허","보고서")</f>
        <v/>
      </c>
      <c r="V86" s="86">
        <f>COUNTIF($S$2:$S$976,"&lt;"&amp;S86)+(COUNTIF($S$2:$S$976,"="&amp;S86)+1)/2</f>
        <v/>
      </c>
      <c r="W86" s="73">
        <f>IF(C86="qwen",0,COUNTIFS($C$2:$C$976,"&lt;&gt;qwen",$S$2:$S$976,"&lt;"&amp;S86)+1)</f>
        <v/>
      </c>
      <c r="X86" s="73">
        <f>IF(C86="ministral",0,COUNTIFS($C$2:$C$976,"&lt;&gt;ministral",$S$2:$S$976,"&lt;"&amp;S86)+1)</f>
        <v/>
      </c>
      <c r="Y86" s="73">
        <f>IF(C86="gemma",0,COUNTIFS($C$2:$C$976,"&lt;&gt;gemma",$S$2:$S$976,"&lt;"&amp;S86)+1)</f>
        <v/>
      </c>
      <c r="Z86" s="87">
        <f>COUNTIFS($B$2:$B$976,B86,$C$2:$C$976,C86,$S$2:$S$976,"&lt;"&amp;S86)+1</f>
        <v/>
      </c>
      <c r="AA86" s="88">
        <f>ABS(S86-SUMPRODUCT(('05B_가정검정'!$A$5:$A$19=B86)*('05B_가정검정'!$B$5:$B$19=C86)*'05B_가정검정'!$E$5:$E$19))</f>
        <v/>
      </c>
      <c r="AB86" s="88">
        <f>S86-AVERAGEIFS($S$2:$S$976,$B$2:$B$976,B86,$C$2:$C$976,C86)</f>
        <v/>
      </c>
    </row>
    <row r="87" ht="15" customHeight="1" s="68">
      <c r="A87" s="83" t="inlineStr">
        <is>
          <t>PAT-06</t>
        </is>
      </c>
      <c r="B87" s="83" t="inlineStr">
        <is>
          <t>mistral</t>
        </is>
      </c>
      <c r="C87" s="83" t="inlineStr">
        <is>
          <t>ministral</t>
        </is>
      </c>
      <c r="D87" s="84" t="n">
        <v>0.320197044334975</v>
      </c>
      <c r="E87" s="84" t="n">
        <v>0.31390134529148</v>
      </c>
      <c r="F87" s="84" t="n">
        <v>0.135746606334842</v>
      </c>
      <c r="G87" s="84" t="n">
        <v>0.251121076233184</v>
      </c>
      <c r="H87" s="84" t="n">
        <v>0.276827776759911</v>
      </c>
      <c r="I87" s="84" t="n">
        <v>0.411663206655244</v>
      </c>
      <c r="J87" s="84" t="n">
        <v>0.693122995522678</v>
      </c>
      <c r="K87" s="84" t="n">
        <v>0.7012635228323409</v>
      </c>
      <c r="L87" s="84" t="n">
        <v>0.789653064283985</v>
      </c>
      <c r="M87" s="84" t="n">
        <v>0.363344051446945</v>
      </c>
      <c r="N87" s="84" t="n">
        <v>0.236486486486487</v>
      </c>
      <c r="O87" s="84" t="n">
        <v>0.6052631578947369</v>
      </c>
      <c r="P87" s="85">
        <f>AVERAGE(D87:I87)</f>
        <v/>
      </c>
      <c r="Q87" s="85">
        <f>AVERAGE(J87:L87)</f>
        <v/>
      </c>
      <c r="R87" s="85">
        <f>AVERAGE(M87:O87)</f>
        <v/>
      </c>
      <c r="S87" s="85">
        <f>'02_지표정의'!$C$22*P87+'02_지표정의'!$C$23*Q87+'02_지표정의'!$C$24*R87</f>
        <v/>
      </c>
      <c r="T87" s="73">
        <f>IF(OR(AND(B87="gemini",C87="gemma"),AND(B87="qwen3_6",C87="qwen"),AND(B87="mistral",C87="ministral")),1,0)</f>
        <v/>
      </c>
      <c r="U87" s="73">
        <f>IF(LEFT(A87,3)="PAT","특허","보고서")</f>
        <v/>
      </c>
      <c r="V87" s="86">
        <f>COUNTIF($S$2:$S$976,"&lt;"&amp;S87)+(COUNTIF($S$2:$S$976,"="&amp;S87)+1)/2</f>
        <v/>
      </c>
      <c r="W87" s="73">
        <f>IF(C87="qwen",0,COUNTIFS($C$2:$C$976,"&lt;&gt;qwen",$S$2:$S$976,"&lt;"&amp;S87)+1)</f>
        <v/>
      </c>
      <c r="X87" s="73">
        <f>IF(C87="ministral",0,COUNTIFS($C$2:$C$976,"&lt;&gt;ministral",$S$2:$S$976,"&lt;"&amp;S87)+1)</f>
        <v/>
      </c>
      <c r="Y87" s="73">
        <f>IF(C87="gemma",0,COUNTIFS($C$2:$C$976,"&lt;&gt;gemma",$S$2:$S$976,"&lt;"&amp;S87)+1)</f>
        <v/>
      </c>
      <c r="Z87" s="87">
        <f>COUNTIFS($B$2:$B$976,B87,$C$2:$C$976,C87,$S$2:$S$976,"&lt;"&amp;S87)+1</f>
        <v/>
      </c>
      <c r="AA87" s="88">
        <f>ABS(S87-SUMPRODUCT(('05B_가정검정'!$A$5:$A$19=B87)*('05B_가정검정'!$B$5:$B$19=C87)*'05B_가정검정'!$E$5:$E$19))</f>
        <v/>
      </c>
      <c r="AB87" s="88">
        <f>S87-AVERAGEIFS($S$2:$S$976,$B$2:$B$976,B87,$C$2:$C$976,C87)</f>
        <v/>
      </c>
    </row>
    <row r="88" ht="15" customHeight="1" s="68">
      <c r="A88" s="83" t="inlineStr">
        <is>
          <t>PAT-06</t>
        </is>
      </c>
      <c r="B88" s="83" t="inlineStr">
        <is>
          <t>mistral</t>
        </is>
      </c>
      <c r="C88" s="83" t="inlineStr">
        <is>
          <t>qwen</t>
        </is>
      </c>
      <c r="D88" s="84" t="n">
        <v>0.324324324324324</v>
      </c>
      <c r="E88" s="84" t="n">
        <v>0.460674157303371</v>
      </c>
      <c r="F88" s="84" t="n">
        <v>0.181818181818182</v>
      </c>
      <c r="G88" s="84" t="n">
        <v>0.382022471910112</v>
      </c>
      <c r="H88" s="84" t="n">
        <v>0.392572190167454</v>
      </c>
      <c r="I88" s="84" t="n">
        <v>0.339525178565641</v>
      </c>
      <c r="J88" s="84" t="n">
        <v>0.7200376872990361</v>
      </c>
      <c r="K88" s="84" t="n">
        <v>0.698054264243042</v>
      </c>
      <c r="L88" s="84" t="n">
        <v>0.881071701561385</v>
      </c>
      <c r="M88" s="84" t="n">
        <v>0.737226277372263</v>
      </c>
      <c r="N88" s="84" t="n">
        <v>0.614285714285714</v>
      </c>
      <c r="O88" s="84" t="n">
        <v>1</v>
      </c>
      <c r="P88" s="85">
        <f>AVERAGE(D88:I88)</f>
        <v/>
      </c>
      <c r="Q88" s="85">
        <f>AVERAGE(J88:L88)</f>
        <v/>
      </c>
      <c r="R88" s="85">
        <f>AVERAGE(M88:O88)</f>
        <v/>
      </c>
      <c r="S88" s="85">
        <f>'02_지표정의'!$C$22*P88+'02_지표정의'!$C$23*Q88+'02_지표정의'!$C$24*R88</f>
        <v/>
      </c>
      <c r="T88" s="73">
        <f>IF(OR(AND(B88="gemini",C88="gemma"),AND(B88="qwen3_6",C88="qwen"),AND(B88="mistral",C88="ministral")),1,0)</f>
        <v/>
      </c>
      <c r="U88" s="73">
        <f>IF(LEFT(A88,3)="PAT","특허","보고서")</f>
        <v/>
      </c>
      <c r="V88" s="86">
        <f>COUNTIF($S$2:$S$976,"&lt;"&amp;S88)+(COUNTIF($S$2:$S$976,"="&amp;S88)+1)/2</f>
        <v/>
      </c>
      <c r="W88" s="73">
        <f>IF(C88="qwen",0,COUNTIFS($C$2:$C$976,"&lt;&gt;qwen",$S$2:$S$976,"&lt;"&amp;S88)+1)</f>
        <v/>
      </c>
      <c r="X88" s="73">
        <f>IF(C88="ministral",0,COUNTIFS($C$2:$C$976,"&lt;&gt;ministral",$S$2:$S$976,"&lt;"&amp;S88)+1)</f>
        <v/>
      </c>
      <c r="Y88" s="73">
        <f>IF(C88="gemma",0,COUNTIFS($C$2:$C$976,"&lt;&gt;gemma",$S$2:$S$976,"&lt;"&amp;S88)+1)</f>
        <v/>
      </c>
      <c r="Z88" s="87">
        <f>COUNTIFS($B$2:$B$976,B88,$C$2:$C$976,C88,$S$2:$S$976,"&lt;"&amp;S88)+1</f>
        <v/>
      </c>
      <c r="AA88" s="88">
        <f>ABS(S88-SUMPRODUCT(('05B_가정검정'!$A$5:$A$19=B88)*('05B_가정검정'!$B$5:$B$19=C88)*'05B_가정검정'!$E$5:$E$19))</f>
        <v/>
      </c>
      <c r="AB88" s="88">
        <f>S88-AVERAGEIFS($S$2:$S$976,$B$2:$B$976,B88,$C$2:$C$976,C88)</f>
        <v/>
      </c>
    </row>
    <row r="89" ht="15" customHeight="1" s="68">
      <c r="A89" s="83" t="inlineStr">
        <is>
          <t>PAT-06</t>
        </is>
      </c>
      <c r="B89" s="83" t="inlineStr">
        <is>
          <t>qwen3_6</t>
        </is>
      </c>
      <c r="C89" s="83" t="inlineStr">
        <is>
          <t>gemma</t>
        </is>
      </c>
      <c r="D89" s="84" t="n">
        <v>0.297734627831715</v>
      </c>
      <c r="E89" s="84" t="n">
        <v>0.304054054054054</v>
      </c>
      <c r="F89" s="84" t="n">
        <v>0.108843537414966</v>
      </c>
      <c r="G89" s="84" t="n">
        <v>0.20945945945946</v>
      </c>
      <c r="H89" s="84" t="n">
        <v>0.326626959198014</v>
      </c>
      <c r="I89" s="84" t="n">
        <v>0.257809227355706</v>
      </c>
      <c r="J89" s="84" t="n">
        <v>0.72590722443485</v>
      </c>
      <c r="K89" s="84" t="n">
        <v>0.665083112963315</v>
      </c>
      <c r="L89" s="84" t="n">
        <v>0.824305321890664</v>
      </c>
      <c r="M89" s="84" t="n">
        <v>0.595092024539877</v>
      </c>
      <c r="N89" s="84" t="n">
        <v>0.705128205128205</v>
      </c>
      <c r="O89" s="84" t="n">
        <v>1</v>
      </c>
      <c r="P89" s="85">
        <f>AVERAGE(D89:I89)</f>
        <v/>
      </c>
      <c r="Q89" s="85">
        <f>AVERAGE(J89:L89)</f>
        <v/>
      </c>
      <c r="R89" s="85">
        <f>AVERAGE(M89:O89)</f>
        <v/>
      </c>
      <c r="S89" s="85">
        <f>'02_지표정의'!$C$22*P89+'02_지표정의'!$C$23*Q89+'02_지표정의'!$C$24*R89</f>
        <v/>
      </c>
      <c r="T89" s="73">
        <f>IF(OR(AND(B89="gemini",C89="gemma"),AND(B89="qwen3_6",C89="qwen"),AND(B89="mistral",C89="ministral")),1,0)</f>
        <v/>
      </c>
      <c r="U89" s="73">
        <f>IF(LEFT(A89,3)="PAT","특허","보고서")</f>
        <v/>
      </c>
      <c r="V89" s="86">
        <f>COUNTIF($S$2:$S$976,"&lt;"&amp;S89)+(COUNTIF($S$2:$S$976,"="&amp;S89)+1)/2</f>
        <v/>
      </c>
      <c r="W89" s="73">
        <f>IF(C89="qwen",0,COUNTIFS($C$2:$C$976,"&lt;&gt;qwen",$S$2:$S$976,"&lt;"&amp;S89)+1)</f>
        <v/>
      </c>
      <c r="X89" s="73">
        <f>IF(C89="ministral",0,COUNTIFS($C$2:$C$976,"&lt;&gt;ministral",$S$2:$S$976,"&lt;"&amp;S89)+1)</f>
        <v/>
      </c>
      <c r="Y89" s="73">
        <f>IF(C89="gemma",0,COUNTIFS($C$2:$C$976,"&lt;&gt;gemma",$S$2:$S$976,"&lt;"&amp;S89)+1)</f>
        <v/>
      </c>
      <c r="Z89" s="87">
        <f>COUNTIFS($B$2:$B$976,B89,$C$2:$C$976,C89,$S$2:$S$976,"&lt;"&amp;S89)+1</f>
        <v/>
      </c>
      <c r="AA89" s="88">
        <f>ABS(S89-SUMPRODUCT(('05B_가정검정'!$A$5:$A$19=B89)*('05B_가정검정'!$B$5:$B$19=C89)*'05B_가정검정'!$E$5:$E$19))</f>
        <v/>
      </c>
      <c r="AB89" s="88">
        <f>S89-AVERAGEIFS($S$2:$S$976,$B$2:$B$976,B89,$C$2:$C$976,C89)</f>
        <v/>
      </c>
    </row>
    <row r="90" ht="15" customHeight="1" s="68">
      <c r="A90" s="83" t="inlineStr">
        <is>
          <t>PAT-06</t>
        </is>
      </c>
      <c r="B90" s="83" t="inlineStr">
        <is>
          <t>qwen3_6</t>
        </is>
      </c>
      <c r="C90" s="83" t="inlineStr">
        <is>
          <t>ministral</t>
        </is>
      </c>
      <c r="D90" s="84" t="n">
        <v>0.288732394366197</v>
      </c>
      <c r="E90" s="84" t="n">
        <v>0.316205533596838</v>
      </c>
      <c r="F90" s="84" t="n">
        <v>0.127490039840638</v>
      </c>
      <c r="G90" s="84" t="n">
        <v>0.237154150197628</v>
      </c>
      <c r="H90" s="84" t="n">
        <v>0.260895102849458</v>
      </c>
      <c r="I90" s="84" t="n">
        <v>0.354016378028752</v>
      </c>
      <c r="J90" s="84" t="n">
        <v>0.721890677596585</v>
      </c>
      <c r="K90" s="84" t="n">
        <v>0.688610710575463</v>
      </c>
      <c r="L90" s="84" t="n">
        <v>0.839594389105954</v>
      </c>
      <c r="M90" s="84" t="n">
        <v>0.311897106109325</v>
      </c>
      <c r="N90" s="84" t="n">
        <v>0.290540540540541</v>
      </c>
      <c r="O90" s="84" t="n">
        <v>0.6052631578947369</v>
      </c>
      <c r="P90" s="85">
        <f>AVERAGE(D90:I90)</f>
        <v/>
      </c>
      <c r="Q90" s="85">
        <f>AVERAGE(J90:L90)</f>
        <v/>
      </c>
      <c r="R90" s="85">
        <f>AVERAGE(M90:O90)</f>
        <v/>
      </c>
      <c r="S90" s="85">
        <f>'02_지표정의'!$C$22*P90+'02_지표정의'!$C$23*Q90+'02_지표정의'!$C$24*R90</f>
        <v/>
      </c>
      <c r="T90" s="73">
        <f>IF(OR(AND(B90="gemini",C90="gemma"),AND(B90="qwen3_6",C90="qwen"),AND(B90="mistral",C90="ministral")),1,0)</f>
        <v/>
      </c>
      <c r="U90" s="73">
        <f>IF(LEFT(A90,3)="PAT","특허","보고서")</f>
        <v/>
      </c>
      <c r="V90" s="86">
        <f>COUNTIF($S$2:$S$976,"&lt;"&amp;S90)+(COUNTIF($S$2:$S$976,"="&amp;S90)+1)/2</f>
        <v/>
      </c>
      <c r="W90" s="73">
        <f>IF(C90="qwen",0,COUNTIFS($C$2:$C$976,"&lt;&gt;qwen",$S$2:$S$976,"&lt;"&amp;S90)+1)</f>
        <v/>
      </c>
      <c r="X90" s="73">
        <f>IF(C90="ministral",0,COUNTIFS($C$2:$C$976,"&lt;&gt;ministral",$S$2:$S$976,"&lt;"&amp;S90)+1)</f>
        <v/>
      </c>
      <c r="Y90" s="73">
        <f>IF(C90="gemma",0,COUNTIFS($C$2:$C$976,"&lt;&gt;gemma",$S$2:$S$976,"&lt;"&amp;S90)+1)</f>
        <v/>
      </c>
      <c r="Z90" s="87">
        <f>COUNTIFS($B$2:$B$976,B90,$C$2:$C$976,C90,$S$2:$S$976,"&lt;"&amp;S90)+1</f>
        <v/>
      </c>
      <c r="AA90" s="88">
        <f>ABS(S90-SUMPRODUCT(('05B_가정검정'!$A$5:$A$19=B90)*('05B_가정검정'!$B$5:$B$19=C90)*'05B_가정검정'!$E$5:$E$19))</f>
        <v/>
      </c>
      <c r="AB90" s="88">
        <f>S90-AVERAGEIFS($S$2:$S$976,$B$2:$B$976,B90,$C$2:$C$976,C90)</f>
        <v/>
      </c>
    </row>
    <row r="91" ht="15" customHeight="1" s="68">
      <c r="A91" s="83" t="inlineStr">
        <is>
          <t>PAT-06</t>
        </is>
      </c>
      <c r="B91" s="83" t="inlineStr">
        <is>
          <t>qwen3_6</t>
        </is>
      </c>
      <c r="C91" s="83" t="inlineStr">
        <is>
          <t>qwen</t>
        </is>
      </c>
      <c r="D91" s="84" t="n">
        <v>0.301101591187271</v>
      </c>
      <c r="E91" s="84" t="n">
        <v>0.432692307692308</v>
      </c>
      <c r="F91" s="84" t="n">
        <v>0.174757281553398</v>
      </c>
      <c r="G91" s="84" t="n">
        <v>0.355769230769231</v>
      </c>
      <c r="H91" s="84" t="n">
        <v>0.41549886707222</v>
      </c>
      <c r="I91" s="84" t="n">
        <v>0.431539130211436</v>
      </c>
      <c r="J91" s="84" t="n">
        <v>0.738670419504914</v>
      </c>
      <c r="K91" s="84" t="n">
        <v>0.700410370334733</v>
      </c>
      <c r="L91" s="84" t="n">
        <v>0.880853035711644</v>
      </c>
      <c r="M91" s="84" t="n">
        <v>0.708029197080292</v>
      </c>
      <c r="N91" s="84" t="n">
        <v>0.785714285714286</v>
      </c>
      <c r="O91" s="84" t="n">
        <v>1</v>
      </c>
      <c r="P91" s="85">
        <f>AVERAGE(D91:I91)</f>
        <v/>
      </c>
      <c r="Q91" s="85">
        <f>AVERAGE(J91:L91)</f>
        <v/>
      </c>
      <c r="R91" s="85">
        <f>AVERAGE(M91:O91)</f>
        <v/>
      </c>
      <c r="S91" s="85">
        <f>'02_지표정의'!$C$22*P91+'02_지표정의'!$C$23*Q91+'02_지표정의'!$C$24*R91</f>
        <v/>
      </c>
      <c r="T91" s="73">
        <f>IF(OR(AND(B91="gemini",C91="gemma"),AND(B91="qwen3_6",C91="qwen"),AND(B91="mistral",C91="ministral")),1,0)</f>
        <v/>
      </c>
      <c r="U91" s="73">
        <f>IF(LEFT(A91,3)="PAT","특허","보고서")</f>
        <v/>
      </c>
      <c r="V91" s="86">
        <f>COUNTIF($S$2:$S$976,"&lt;"&amp;S91)+(COUNTIF($S$2:$S$976,"="&amp;S91)+1)/2</f>
        <v/>
      </c>
      <c r="W91" s="73">
        <f>IF(C91="qwen",0,COUNTIFS($C$2:$C$976,"&lt;&gt;qwen",$S$2:$S$976,"&lt;"&amp;S91)+1)</f>
        <v/>
      </c>
      <c r="X91" s="73">
        <f>IF(C91="ministral",0,COUNTIFS($C$2:$C$976,"&lt;&gt;ministral",$S$2:$S$976,"&lt;"&amp;S91)+1)</f>
        <v/>
      </c>
      <c r="Y91" s="73">
        <f>IF(C91="gemma",0,COUNTIFS($C$2:$C$976,"&lt;&gt;gemma",$S$2:$S$976,"&lt;"&amp;S91)+1)</f>
        <v/>
      </c>
      <c r="Z91" s="87">
        <f>COUNTIFS($B$2:$B$976,B91,$C$2:$C$976,C91,$S$2:$S$976,"&lt;"&amp;S91)+1</f>
        <v/>
      </c>
      <c r="AA91" s="88">
        <f>ABS(S91-SUMPRODUCT(('05B_가정검정'!$A$5:$A$19=B91)*('05B_가정검정'!$B$5:$B$19=C91)*'05B_가정검정'!$E$5:$E$19))</f>
        <v/>
      </c>
      <c r="AB91" s="88">
        <f>S91-AVERAGEIFS($S$2:$S$976,$B$2:$B$976,B91,$C$2:$C$976,C91)</f>
        <v/>
      </c>
    </row>
    <row r="92" ht="15" customHeight="1" s="68">
      <c r="A92" s="83" t="inlineStr">
        <is>
          <t>PAT-07</t>
        </is>
      </c>
      <c r="B92" s="83" t="inlineStr">
        <is>
          <t>chatgpt</t>
        </is>
      </c>
      <c r="C92" s="83" t="inlineStr">
        <is>
          <t>gemma</t>
        </is>
      </c>
      <c r="D92" s="84" t="n">
        <v>0.225274725274725</v>
      </c>
      <c r="E92" s="84" t="n">
        <v>0.269230769230769</v>
      </c>
      <c r="F92" s="84" t="n">
        <v>0.087378640776699</v>
      </c>
      <c r="G92" s="84" t="n">
        <v>0.221153846153846</v>
      </c>
      <c r="H92" s="84" t="n">
        <v>0.21740170082581</v>
      </c>
      <c r="I92" s="84" t="n">
        <v>0.22371446414222</v>
      </c>
      <c r="J92" s="84" t="n">
        <v>0.720908117567858</v>
      </c>
      <c r="K92" s="84" t="n">
        <v>0.674250243190437</v>
      </c>
      <c r="L92" s="84" t="n">
        <v>0.847972575839707</v>
      </c>
      <c r="M92" s="84" t="n">
        <v>0.583815028901734</v>
      </c>
      <c r="N92" s="84" t="n">
        <v>0.07526881720430111</v>
      </c>
      <c r="O92" s="84" t="n">
        <v>1</v>
      </c>
      <c r="P92" s="85">
        <f>AVERAGE(D92:I92)</f>
        <v/>
      </c>
      <c r="Q92" s="85">
        <f>AVERAGE(J92:L92)</f>
        <v/>
      </c>
      <c r="R92" s="85">
        <f>AVERAGE(M92:O92)</f>
        <v/>
      </c>
      <c r="S92" s="85">
        <f>'02_지표정의'!$C$22*P92+'02_지표정의'!$C$23*Q92+'02_지표정의'!$C$24*R92</f>
        <v/>
      </c>
      <c r="T92" s="73">
        <f>IF(OR(AND(B92="gemini",C92="gemma"),AND(B92="qwen3_6",C92="qwen"),AND(B92="mistral",C92="ministral")),1,0)</f>
        <v/>
      </c>
      <c r="U92" s="73">
        <f>IF(LEFT(A92,3)="PAT","특허","보고서")</f>
        <v/>
      </c>
      <c r="V92" s="86">
        <f>COUNTIF($S$2:$S$976,"&lt;"&amp;S92)+(COUNTIF($S$2:$S$976,"="&amp;S92)+1)/2</f>
        <v/>
      </c>
      <c r="W92" s="73">
        <f>IF(C92="qwen",0,COUNTIFS($C$2:$C$976,"&lt;&gt;qwen",$S$2:$S$976,"&lt;"&amp;S92)+1)</f>
        <v/>
      </c>
      <c r="X92" s="73">
        <f>IF(C92="ministral",0,COUNTIFS($C$2:$C$976,"&lt;&gt;ministral",$S$2:$S$976,"&lt;"&amp;S92)+1)</f>
        <v/>
      </c>
      <c r="Y92" s="73">
        <f>IF(C92="gemma",0,COUNTIFS($C$2:$C$976,"&lt;&gt;gemma",$S$2:$S$976,"&lt;"&amp;S92)+1)</f>
        <v/>
      </c>
      <c r="Z92" s="87">
        <f>COUNTIFS($B$2:$B$976,B92,$C$2:$C$976,C92,$S$2:$S$976,"&lt;"&amp;S92)+1</f>
        <v/>
      </c>
      <c r="AA92" s="88">
        <f>ABS(S92-SUMPRODUCT(('05B_가정검정'!$A$5:$A$19=B92)*('05B_가정검정'!$B$5:$B$19=C92)*'05B_가정검정'!$E$5:$E$19))</f>
        <v/>
      </c>
      <c r="AB92" s="88">
        <f>S92-AVERAGEIFS($S$2:$S$976,$B$2:$B$976,B92,$C$2:$C$976,C92)</f>
        <v/>
      </c>
    </row>
    <row r="93" ht="15" customHeight="1" s="68">
      <c r="A93" s="83" t="inlineStr">
        <is>
          <t>PAT-07</t>
        </is>
      </c>
      <c r="B93" s="83" t="inlineStr">
        <is>
          <t>chatgpt</t>
        </is>
      </c>
      <c r="C93" s="83" t="inlineStr">
        <is>
          <t>ministral</t>
        </is>
      </c>
      <c r="D93" s="84" t="n">
        <v>0.248743718592965</v>
      </c>
      <c r="E93" s="84" t="n">
        <v>0.205714285714286</v>
      </c>
      <c r="F93" s="84" t="n">
        <v>0.0689655172413793</v>
      </c>
      <c r="G93" s="84" t="n">
        <v>0.188571428571429</v>
      </c>
      <c r="H93" s="84" t="n">
        <v>0.103159230733975</v>
      </c>
      <c r="I93" s="84" t="n">
        <v>0.352011407893963</v>
      </c>
      <c r="J93" s="84" t="n">
        <v>0.720014897509531</v>
      </c>
      <c r="K93" s="84" t="n">
        <v>0.756060818171727</v>
      </c>
      <c r="L93" s="84" t="n">
        <v>0.888225617821283</v>
      </c>
      <c r="M93" s="84" t="n">
        <v>0.405204460966543</v>
      </c>
      <c r="N93" s="84" t="n">
        <v>0.123287671232877</v>
      </c>
      <c r="O93" s="84" t="n">
        <v>1</v>
      </c>
      <c r="P93" s="85">
        <f>AVERAGE(D93:I93)</f>
        <v/>
      </c>
      <c r="Q93" s="85">
        <f>AVERAGE(J93:L93)</f>
        <v/>
      </c>
      <c r="R93" s="85">
        <f>AVERAGE(M93:O93)</f>
        <v/>
      </c>
      <c r="S93" s="85">
        <f>'02_지표정의'!$C$22*P93+'02_지표정의'!$C$23*Q93+'02_지표정의'!$C$24*R93</f>
        <v/>
      </c>
      <c r="T93" s="73">
        <f>IF(OR(AND(B93="gemini",C93="gemma"),AND(B93="qwen3_6",C93="qwen"),AND(B93="mistral",C93="ministral")),1,0)</f>
        <v/>
      </c>
      <c r="U93" s="73">
        <f>IF(LEFT(A93,3)="PAT","특허","보고서")</f>
        <v/>
      </c>
      <c r="V93" s="86">
        <f>COUNTIF($S$2:$S$976,"&lt;"&amp;S93)+(COUNTIF($S$2:$S$976,"="&amp;S93)+1)/2</f>
        <v/>
      </c>
      <c r="W93" s="73">
        <f>IF(C93="qwen",0,COUNTIFS($C$2:$C$976,"&lt;&gt;qwen",$S$2:$S$976,"&lt;"&amp;S93)+1)</f>
        <v/>
      </c>
      <c r="X93" s="73">
        <f>IF(C93="ministral",0,COUNTIFS($C$2:$C$976,"&lt;&gt;ministral",$S$2:$S$976,"&lt;"&amp;S93)+1)</f>
        <v/>
      </c>
      <c r="Y93" s="73">
        <f>IF(C93="gemma",0,COUNTIFS($C$2:$C$976,"&lt;&gt;gemma",$S$2:$S$976,"&lt;"&amp;S93)+1)</f>
        <v/>
      </c>
      <c r="Z93" s="87">
        <f>COUNTIFS($B$2:$B$976,B93,$C$2:$C$976,C93,$S$2:$S$976,"&lt;"&amp;S93)+1</f>
        <v/>
      </c>
      <c r="AA93" s="88">
        <f>ABS(S93-SUMPRODUCT(('05B_가정검정'!$A$5:$A$19=B93)*('05B_가정검정'!$B$5:$B$19=C93)*'05B_가정검정'!$E$5:$E$19))</f>
        <v/>
      </c>
      <c r="AB93" s="88">
        <f>S93-AVERAGEIFS($S$2:$S$976,$B$2:$B$976,B93,$C$2:$C$976,C93)</f>
        <v/>
      </c>
    </row>
    <row r="94" ht="15" customHeight="1" s="68">
      <c r="A94" s="83" t="inlineStr">
        <is>
          <t>PAT-07</t>
        </is>
      </c>
      <c r="B94" s="83" t="inlineStr">
        <is>
          <t>chatgpt</t>
        </is>
      </c>
      <c r="C94" s="83" t="inlineStr">
        <is>
          <t>qwen</t>
        </is>
      </c>
      <c r="D94" s="84" t="n">
        <v>0.349809885931559</v>
      </c>
      <c r="E94" s="84" t="n">
        <v>0.427586206896552</v>
      </c>
      <c r="F94" s="84" t="n">
        <v>0.167832167832168</v>
      </c>
      <c r="G94" s="84" t="n">
        <v>0.372413793103448</v>
      </c>
      <c r="H94" s="84" t="n">
        <v>0.319160390637615</v>
      </c>
      <c r="I94" s="84" t="n">
        <v>0.447059322484845</v>
      </c>
      <c r="J94" s="84" t="n">
        <v>0.733093480244881</v>
      </c>
      <c r="K94" s="84" t="n">
        <v>0.712851820881048</v>
      </c>
      <c r="L94" s="84" t="n">
        <v>0.86351904822151</v>
      </c>
      <c r="M94" s="84" t="n">
        <v>0.491329479768786</v>
      </c>
      <c r="N94" s="84" t="n">
        <v>0.204301075268817</v>
      </c>
      <c r="O94" s="84" t="n">
        <v>1</v>
      </c>
      <c r="P94" s="85">
        <f>AVERAGE(D94:I94)</f>
        <v/>
      </c>
      <c r="Q94" s="85">
        <f>AVERAGE(J94:L94)</f>
        <v/>
      </c>
      <c r="R94" s="85">
        <f>AVERAGE(M94:O94)</f>
        <v/>
      </c>
      <c r="S94" s="85">
        <f>'02_지표정의'!$C$22*P94+'02_지표정의'!$C$23*Q94+'02_지표정의'!$C$24*R94</f>
        <v/>
      </c>
      <c r="T94" s="73">
        <f>IF(OR(AND(B94="gemini",C94="gemma"),AND(B94="qwen3_6",C94="qwen"),AND(B94="mistral",C94="ministral")),1,0)</f>
        <v/>
      </c>
      <c r="U94" s="73">
        <f>IF(LEFT(A94,3)="PAT","특허","보고서")</f>
        <v/>
      </c>
      <c r="V94" s="86">
        <f>COUNTIF($S$2:$S$976,"&lt;"&amp;S94)+(COUNTIF($S$2:$S$976,"="&amp;S94)+1)/2</f>
        <v/>
      </c>
      <c r="W94" s="73">
        <f>IF(C94="qwen",0,COUNTIFS($C$2:$C$976,"&lt;&gt;qwen",$S$2:$S$976,"&lt;"&amp;S94)+1)</f>
        <v/>
      </c>
      <c r="X94" s="73">
        <f>IF(C94="ministral",0,COUNTIFS($C$2:$C$976,"&lt;&gt;ministral",$S$2:$S$976,"&lt;"&amp;S94)+1)</f>
        <v/>
      </c>
      <c r="Y94" s="73">
        <f>IF(C94="gemma",0,COUNTIFS($C$2:$C$976,"&lt;&gt;gemma",$S$2:$S$976,"&lt;"&amp;S94)+1)</f>
        <v/>
      </c>
      <c r="Z94" s="87">
        <f>COUNTIFS($B$2:$B$976,B94,$C$2:$C$976,C94,$S$2:$S$976,"&lt;"&amp;S94)+1</f>
        <v/>
      </c>
      <c r="AA94" s="88">
        <f>ABS(S94-SUMPRODUCT(('05B_가정검정'!$A$5:$A$19=B94)*('05B_가정검정'!$B$5:$B$19=C94)*'05B_가정검정'!$E$5:$E$19))</f>
        <v/>
      </c>
      <c r="AB94" s="88">
        <f>S94-AVERAGEIFS($S$2:$S$976,$B$2:$B$976,B94,$C$2:$C$976,C94)</f>
        <v/>
      </c>
    </row>
    <row r="95" ht="15" customHeight="1" s="68">
      <c r="A95" s="83" t="inlineStr">
        <is>
          <t>PAT-07</t>
        </is>
      </c>
      <c r="B95" s="83" t="inlineStr">
        <is>
          <t>claude</t>
        </is>
      </c>
      <c r="C95" s="83" t="inlineStr">
        <is>
          <t>gemma</t>
        </is>
      </c>
      <c r="D95" s="84" t="n">
        <v>0.291390728476821</v>
      </c>
      <c r="E95" s="84" t="n">
        <v>0.395759717314488</v>
      </c>
      <c r="F95" s="84" t="n">
        <v>0.170818505338078</v>
      </c>
      <c r="G95" s="84" t="n">
        <v>0.261484098939929</v>
      </c>
      <c r="H95" s="84" t="n">
        <v>0.373677541573064</v>
      </c>
      <c r="I95" s="84" t="n">
        <v>0.29186807555707</v>
      </c>
      <c r="J95" s="84" t="n">
        <v>0.706907919359966</v>
      </c>
      <c r="K95" s="84" t="n">
        <v>0.643685918549862</v>
      </c>
      <c r="L95" s="84" t="n">
        <v>0.843458272550868</v>
      </c>
      <c r="M95" s="84" t="n">
        <v>0.6490066225165561</v>
      </c>
      <c r="N95" s="84" t="n">
        <v>0.652777777777778</v>
      </c>
      <c r="O95" s="84" t="n">
        <v>1</v>
      </c>
      <c r="P95" s="85">
        <f>AVERAGE(D95:I95)</f>
        <v/>
      </c>
      <c r="Q95" s="85">
        <f>AVERAGE(J95:L95)</f>
        <v/>
      </c>
      <c r="R95" s="85">
        <f>AVERAGE(M95:O95)</f>
        <v/>
      </c>
      <c r="S95" s="85">
        <f>'02_지표정의'!$C$22*P95+'02_지표정의'!$C$23*Q95+'02_지표정의'!$C$24*R95</f>
        <v/>
      </c>
      <c r="T95" s="73">
        <f>IF(OR(AND(B95="gemini",C95="gemma"),AND(B95="qwen3_6",C95="qwen"),AND(B95="mistral",C95="ministral")),1,0)</f>
        <v/>
      </c>
      <c r="U95" s="73">
        <f>IF(LEFT(A95,3)="PAT","특허","보고서")</f>
        <v/>
      </c>
      <c r="V95" s="86">
        <f>COUNTIF($S$2:$S$976,"&lt;"&amp;S95)+(COUNTIF($S$2:$S$976,"="&amp;S95)+1)/2</f>
        <v/>
      </c>
      <c r="W95" s="73">
        <f>IF(C95="qwen",0,COUNTIFS($C$2:$C$976,"&lt;&gt;qwen",$S$2:$S$976,"&lt;"&amp;S95)+1)</f>
        <v/>
      </c>
      <c r="X95" s="73">
        <f>IF(C95="ministral",0,COUNTIFS($C$2:$C$976,"&lt;&gt;ministral",$S$2:$S$976,"&lt;"&amp;S95)+1)</f>
        <v/>
      </c>
      <c r="Y95" s="73">
        <f>IF(C95="gemma",0,COUNTIFS($C$2:$C$976,"&lt;&gt;gemma",$S$2:$S$976,"&lt;"&amp;S95)+1)</f>
        <v/>
      </c>
      <c r="Z95" s="87">
        <f>COUNTIFS($B$2:$B$976,B95,$C$2:$C$976,C95,$S$2:$S$976,"&lt;"&amp;S95)+1</f>
        <v/>
      </c>
      <c r="AA95" s="88">
        <f>ABS(S95-SUMPRODUCT(('05B_가정검정'!$A$5:$A$19=B95)*('05B_가정검정'!$B$5:$B$19=C95)*'05B_가정검정'!$E$5:$E$19))</f>
        <v/>
      </c>
      <c r="AB95" s="88">
        <f>S95-AVERAGEIFS($S$2:$S$976,$B$2:$B$976,B95,$C$2:$C$976,C95)</f>
        <v/>
      </c>
    </row>
    <row r="96" ht="15" customHeight="1" s="68">
      <c r="A96" s="83" t="inlineStr">
        <is>
          <t>PAT-07</t>
        </is>
      </c>
      <c r="B96" s="83" t="inlineStr">
        <is>
          <t>claude</t>
        </is>
      </c>
      <c r="C96" s="83" t="inlineStr">
        <is>
          <t>ministral</t>
        </is>
      </c>
      <c r="D96" s="84" t="n">
        <v>0.288</v>
      </c>
      <c r="E96" s="84" t="n">
        <v>0.211764705882353</v>
      </c>
      <c r="F96" s="84" t="n">
        <v>0.06619385342789599</v>
      </c>
      <c r="G96" s="84" t="n">
        <v>0.169411764705882</v>
      </c>
      <c r="H96" s="84" t="n">
        <v>0.178245333344834</v>
      </c>
      <c r="I96" s="84" t="n">
        <v>0.358177452695371</v>
      </c>
      <c r="J96" s="84" t="n">
        <v>0.702675429839012</v>
      </c>
      <c r="K96" s="84" t="n">
        <v>0.704215529094625</v>
      </c>
      <c r="L96" s="84" t="n">
        <v>0.847885813777136</v>
      </c>
      <c r="M96" s="84" t="n">
        <v>0.397769516728625</v>
      </c>
      <c r="N96" s="84" t="n">
        <v>0.404109589041096</v>
      </c>
      <c r="O96" s="84" t="n">
        <v>1</v>
      </c>
      <c r="P96" s="85">
        <f>AVERAGE(D96:I96)</f>
        <v/>
      </c>
      <c r="Q96" s="85">
        <f>AVERAGE(J96:L96)</f>
        <v/>
      </c>
      <c r="R96" s="85">
        <f>AVERAGE(M96:O96)</f>
        <v/>
      </c>
      <c r="S96" s="85">
        <f>'02_지표정의'!$C$22*P96+'02_지표정의'!$C$23*Q96+'02_지표정의'!$C$24*R96</f>
        <v/>
      </c>
      <c r="T96" s="73">
        <f>IF(OR(AND(B96="gemini",C96="gemma"),AND(B96="qwen3_6",C96="qwen"),AND(B96="mistral",C96="ministral")),1,0)</f>
        <v/>
      </c>
      <c r="U96" s="73">
        <f>IF(LEFT(A96,3)="PAT","특허","보고서")</f>
        <v/>
      </c>
      <c r="V96" s="86">
        <f>COUNTIF($S$2:$S$976,"&lt;"&amp;S96)+(COUNTIF($S$2:$S$976,"="&amp;S96)+1)/2</f>
        <v/>
      </c>
      <c r="W96" s="73">
        <f>IF(C96="qwen",0,COUNTIFS($C$2:$C$976,"&lt;&gt;qwen",$S$2:$S$976,"&lt;"&amp;S96)+1)</f>
        <v/>
      </c>
      <c r="X96" s="73">
        <f>IF(C96="ministral",0,COUNTIFS($C$2:$C$976,"&lt;&gt;ministral",$S$2:$S$976,"&lt;"&amp;S96)+1)</f>
        <v/>
      </c>
      <c r="Y96" s="73">
        <f>IF(C96="gemma",0,COUNTIFS($C$2:$C$976,"&lt;&gt;gemma",$S$2:$S$976,"&lt;"&amp;S96)+1)</f>
        <v/>
      </c>
      <c r="Z96" s="87">
        <f>COUNTIFS($B$2:$B$976,B96,$C$2:$C$976,C96,$S$2:$S$976,"&lt;"&amp;S96)+1</f>
        <v/>
      </c>
      <c r="AA96" s="88">
        <f>ABS(S96-SUMPRODUCT(('05B_가정검정'!$A$5:$A$19=B96)*('05B_가정검정'!$B$5:$B$19=C96)*'05B_가정검정'!$E$5:$E$19))</f>
        <v/>
      </c>
      <c r="AB96" s="88">
        <f>S96-AVERAGEIFS($S$2:$S$976,$B$2:$B$976,B96,$C$2:$C$976,C96)</f>
        <v/>
      </c>
    </row>
    <row r="97" ht="15" customHeight="1" s="68">
      <c r="A97" s="83" t="inlineStr">
        <is>
          <t>PAT-07</t>
        </is>
      </c>
      <c r="B97" s="83" t="inlineStr">
        <is>
          <t>claude</t>
        </is>
      </c>
      <c r="C97" s="83" t="inlineStr">
        <is>
          <t>qwen</t>
        </is>
      </c>
      <c r="D97" s="84" t="n">
        <v>0.283040935672515</v>
      </c>
      <c r="E97" s="84" t="n">
        <v>0.436363636363636</v>
      </c>
      <c r="F97" s="84" t="n">
        <v>0.165137614678899</v>
      </c>
      <c r="G97" s="84" t="n">
        <v>0.290909090909091</v>
      </c>
      <c r="H97" s="84" t="n">
        <v>0.314627944660187</v>
      </c>
      <c r="I97" s="84" t="n">
        <v>0.40885882556473</v>
      </c>
      <c r="J97" s="84" t="n">
        <v>0.731058133534064</v>
      </c>
      <c r="K97" s="84" t="n">
        <v>0.653270834969878</v>
      </c>
      <c r="L97" s="84" t="n">
        <v>0.851182916737018</v>
      </c>
      <c r="M97" s="84" t="n">
        <v>0.765765765765766</v>
      </c>
      <c r="N97" s="84" t="n">
        <v>0.790322580645161</v>
      </c>
      <c r="O97" s="84" t="n">
        <v>1</v>
      </c>
      <c r="P97" s="85">
        <f>AVERAGE(D97:I97)</f>
        <v/>
      </c>
      <c r="Q97" s="85">
        <f>AVERAGE(J97:L97)</f>
        <v/>
      </c>
      <c r="R97" s="85">
        <f>AVERAGE(M97:O97)</f>
        <v/>
      </c>
      <c r="S97" s="85">
        <f>'02_지표정의'!$C$22*P97+'02_지표정의'!$C$23*Q97+'02_지표정의'!$C$24*R97</f>
        <v/>
      </c>
      <c r="T97" s="73">
        <f>IF(OR(AND(B97="gemini",C97="gemma"),AND(B97="qwen3_6",C97="qwen"),AND(B97="mistral",C97="ministral")),1,0)</f>
        <v/>
      </c>
      <c r="U97" s="73">
        <f>IF(LEFT(A97,3)="PAT","특허","보고서")</f>
        <v/>
      </c>
      <c r="V97" s="86">
        <f>COUNTIF($S$2:$S$976,"&lt;"&amp;S97)+(COUNTIF($S$2:$S$976,"="&amp;S97)+1)/2</f>
        <v/>
      </c>
      <c r="W97" s="73">
        <f>IF(C97="qwen",0,COUNTIFS($C$2:$C$976,"&lt;&gt;qwen",$S$2:$S$976,"&lt;"&amp;S97)+1)</f>
        <v/>
      </c>
      <c r="X97" s="73">
        <f>IF(C97="ministral",0,COUNTIFS($C$2:$C$976,"&lt;&gt;ministral",$S$2:$S$976,"&lt;"&amp;S97)+1)</f>
        <v/>
      </c>
      <c r="Y97" s="73">
        <f>IF(C97="gemma",0,COUNTIFS($C$2:$C$976,"&lt;&gt;gemma",$S$2:$S$976,"&lt;"&amp;S97)+1)</f>
        <v/>
      </c>
      <c r="Z97" s="87">
        <f>COUNTIFS($B$2:$B$976,B97,$C$2:$C$976,C97,$S$2:$S$976,"&lt;"&amp;S97)+1</f>
        <v/>
      </c>
      <c r="AA97" s="88">
        <f>ABS(S97-SUMPRODUCT(('05B_가정검정'!$A$5:$A$19=B97)*('05B_가정검정'!$B$5:$B$19=C97)*'05B_가정검정'!$E$5:$E$19))</f>
        <v/>
      </c>
      <c r="AB97" s="88">
        <f>S97-AVERAGEIFS($S$2:$S$976,$B$2:$B$976,B97,$C$2:$C$976,C97)</f>
        <v/>
      </c>
    </row>
    <row r="98" ht="15" customHeight="1" s="68">
      <c r="A98" s="83" t="inlineStr">
        <is>
          <t>PAT-07</t>
        </is>
      </c>
      <c r="B98" s="83" t="inlineStr">
        <is>
          <t>gemini</t>
        </is>
      </c>
      <c r="C98" s="83" t="inlineStr">
        <is>
          <t>gemma</t>
        </is>
      </c>
      <c r="D98" s="84" t="n">
        <v>0.26270136307311</v>
      </c>
      <c r="E98" s="84" t="n">
        <v>0.328638497652582</v>
      </c>
      <c r="F98" s="84" t="n">
        <v>0.0947867298578199</v>
      </c>
      <c r="G98" s="84" t="n">
        <v>0.215962441314554</v>
      </c>
      <c r="H98" s="84" t="n">
        <v>0.295606476218002</v>
      </c>
      <c r="I98" s="84" t="n">
        <v>0.203735664083461</v>
      </c>
      <c r="J98" s="84" t="n">
        <v>0.7488495549248</v>
      </c>
      <c r="K98" s="84" t="n">
        <v>0.759495302640982</v>
      </c>
      <c r="L98" s="84" t="n">
        <v>0.893083710475064</v>
      </c>
      <c r="M98" s="84" t="n">
        <v>0.642384105960265</v>
      </c>
      <c r="N98" s="84" t="n">
        <v>0.763888888888889</v>
      </c>
      <c r="O98" s="84" t="n">
        <v>1</v>
      </c>
      <c r="P98" s="85">
        <f>AVERAGE(D98:I98)</f>
        <v/>
      </c>
      <c r="Q98" s="85">
        <f>AVERAGE(J98:L98)</f>
        <v/>
      </c>
      <c r="R98" s="85">
        <f>AVERAGE(M98:O98)</f>
        <v/>
      </c>
      <c r="S98" s="85">
        <f>'02_지표정의'!$C$22*P98+'02_지표정의'!$C$23*Q98+'02_지표정의'!$C$24*R98</f>
        <v/>
      </c>
      <c r="T98" s="73">
        <f>IF(OR(AND(B98="gemini",C98="gemma"),AND(B98="qwen3_6",C98="qwen"),AND(B98="mistral",C98="ministral")),1,0)</f>
        <v/>
      </c>
      <c r="U98" s="73">
        <f>IF(LEFT(A98,3)="PAT","특허","보고서")</f>
        <v/>
      </c>
      <c r="V98" s="86">
        <f>COUNTIF($S$2:$S$976,"&lt;"&amp;S98)+(COUNTIF($S$2:$S$976,"="&amp;S98)+1)/2</f>
        <v/>
      </c>
      <c r="W98" s="73">
        <f>IF(C98="qwen",0,COUNTIFS($C$2:$C$976,"&lt;&gt;qwen",$S$2:$S$976,"&lt;"&amp;S98)+1)</f>
        <v/>
      </c>
      <c r="X98" s="73">
        <f>IF(C98="ministral",0,COUNTIFS($C$2:$C$976,"&lt;&gt;ministral",$S$2:$S$976,"&lt;"&amp;S98)+1)</f>
        <v/>
      </c>
      <c r="Y98" s="73">
        <f>IF(C98="gemma",0,COUNTIFS($C$2:$C$976,"&lt;&gt;gemma",$S$2:$S$976,"&lt;"&amp;S98)+1)</f>
        <v/>
      </c>
      <c r="Z98" s="87">
        <f>COUNTIFS($B$2:$B$976,B98,$C$2:$C$976,C98,$S$2:$S$976,"&lt;"&amp;S98)+1</f>
        <v/>
      </c>
      <c r="AA98" s="88">
        <f>ABS(S98-SUMPRODUCT(('05B_가정검정'!$A$5:$A$19=B98)*('05B_가정검정'!$B$5:$B$19=C98)*'05B_가정검정'!$E$5:$E$19))</f>
        <v/>
      </c>
      <c r="AB98" s="88">
        <f>S98-AVERAGEIFS($S$2:$S$976,$B$2:$B$976,B98,$C$2:$C$976,C98)</f>
        <v/>
      </c>
    </row>
    <row r="99" ht="15" customHeight="1" s="68">
      <c r="A99" s="83" t="inlineStr">
        <is>
          <t>PAT-07</t>
        </is>
      </c>
      <c r="B99" s="83" t="inlineStr">
        <is>
          <t>gemini</t>
        </is>
      </c>
      <c r="C99" s="83" t="inlineStr">
        <is>
          <t>ministral</t>
        </is>
      </c>
      <c r="D99" s="84" t="n">
        <v>0.228571428571429</v>
      </c>
      <c r="E99" s="84" t="n">
        <v>0.185915492957747</v>
      </c>
      <c r="F99" s="84" t="n">
        <v>0.0623229461756374</v>
      </c>
      <c r="G99" s="84" t="n">
        <v>0.157746478873239</v>
      </c>
      <c r="H99" s="84" t="n">
        <v>0.138739758543416</v>
      </c>
      <c r="I99" s="84" t="n">
        <v>0.251076404158472</v>
      </c>
      <c r="J99" s="84" t="n">
        <v>0.709546225585281</v>
      </c>
      <c r="K99" s="84" t="n">
        <v>0.806842322224063</v>
      </c>
      <c r="L99" s="84" t="n">
        <v>0.909628873200802</v>
      </c>
      <c r="M99" s="84" t="n">
        <v>0.360594795539034</v>
      </c>
      <c r="N99" s="84" t="n">
        <v>0.376712328767123</v>
      </c>
      <c r="O99" s="84" t="n">
        <v>1</v>
      </c>
      <c r="P99" s="85">
        <f>AVERAGE(D99:I99)</f>
        <v/>
      </c>
      <c r="Q99" s="85">
        <f>AVERAGE(J99:L99)</f>
        <v/>
      </c>
      <c r="R99" s="85">
        <f>AVERAGE(M99:O99)</f>
        <v/>
      </c>
      <c r="S99" s="85">
        <f>'02_지표정의'!$C$22*P99+'02_지표정의'!$C$23*Q99+'02_지표정의'!$C$24*R99</f>
        <v/>
      </c>
      <c r="T99" s="73">
        <f>IF(OR(AND(B99="gemini",C99="gemma"),AND(B99="qwen3_6",C99="qwen"),AND(B99="mistral",C99="ministral")),1,0)</f>
        <v/>
      </c>
      <c r="U99" s="73">
        <f>IF(LEFT(A99,3)="PAT","특허","보고서")</f>
        <v/>
      </c>
      <c r="V99" s="86">
        <f>COUNTIF($S$2:$S$976,"&lt;"&amp;S99)+(COUNTIF($S$2:$S$976,"="&amp;S99)+1)/2</f>
        <v/>
      </c>
      <c r="W99" s="73">
        <f>IF(C99="qwen",0,COUNTIFS($C$2:$C$976,"&lt;&gt;qwen",$S$2:$S$976,"&lt;"&amp;S99)+1)</f>
        <v/>
      </c>
      <c r="X99" s="73">
        <f>IF(C99="ministral",0,COUNTIFS($C$2:$C$976,"&lt;&gt;ministral",$S$2:$S$976,"&lt;"&amp;S99)+1)</f>
        <v/>
      </c>
      <c r="Y99" s="73">
        <f>IF(C99="gemma",0,COUNTIFS($C$2:$C$976,"&lt;&gt;gemma",$S$2:$S$976,"&lt;"&amp;S99)+1)</f>
        <v/>
      </c>
      <c r="Z99" s="87">
        <f>COUNTIFS($B$2:$B$976,B99,$C$2:$C$976,C99,$S$2:$S$976,"&lt;"&amp;S99)+1</f>
        <v/>
      </c>
      <c r="AA99" s="88">
        <f>ABS(S99-SUMPRODUCT(('05B_가정검정'!$A$5:$A$19=B99)*('05B_가정검정'!$B$5:$B$19=C99)*'05B_가정검정'!$E$5:$E$19))</f>
        <v/>
      </c>
      <c r="AB99" s="88">
        <f>S99-AVERAGEIFS($S$2:$S$976,$B$2:$B$976,B99,$C$2:$C$976,C99)</f>
        <v/>
      </c>
    </row>
    <row r="100" ht="15" customHeight="1" s="68">
      <c r="A100" s="83" t="inlineStr">
        <is>
          <t>PAT-07</t>
        </is>
      </c>
      <c r="B100" s="83" t="inlineStr">
        <is>
          <t>gemini</t>
        </is>
      </c>
      <c r="C100" s="83" t="inlineStr">
        <is>
          <t>qwen</t>
        </is>
      </c>
      <c r="D100" s="84" t="n">
        <v>0.294214876033058</v>
      </c>
      <c r="E100" s="84" t="n">
        <v>0.52</v>
      </c>
      <c r="F100" s="84" t="n">
        <v>0.216216216216216</v>
      </c>
      <c r="G100" s="84" t="n">
        <v>0.413333333333333</v>
      </c>
      <c r="H100" s="84" t="n">
        <v>0.411532264816935</v>
      </c>
      <c r="I100" s="84" t="n">
        <v>0.406272743327219</v>
      </c>
      <c r="J100" s="84" t="n">
        <v>0.760131211710263</v>
      </c>
      <c r="K100" s="84" t="n">
        <v>0.726565222798278</v>
      </c>
      <c r="L100" s="84" t="n">
        <v>0.854078044765741</v>
      </c>
      <c r="M100" s="84" t="n">
        <v>0.906542056074766</v>
      </c>
      <c r="N100" s="84" t="n">
        <v>0.916666666666667</v>
      </c>
      <c r="O100" s="84" t="n">
        <v>1</v>
      </c>
      <c r="P100" s="85">
        <f>AVERAGE(D100:I100)</f>
        <v/>
      </c>
      <c r="Q100" s="85">
        <f>AVERAGE(J100:L100)</f>
        <v/>
      </c>
      <c r="R100" s="85">
        <f>AVERAGE(M100:O100)</f>
        <v/>
      </c>
      <c r="S100" s="85">
        <f>'02_지표정의'!$C$22*P100+'02_지표정의'!$C$23*Q100+'02_지표정의'!$C$24*R100</f>
        <v/>
      </c>
      <c r="T100" s="73">
        <f>IF(OR(AND(B100="gemini",C100="gemma"),AND(B100="qwen3_6",C100="qwen"),AND(B100="mistral",C100="ministral")),1,0)</f>
        <v/>
      </c>
      <c r="U100" s="73">
        <f>IF(LEFT(A100,3)="PAT","특허","보고서")</f>
        <v/>
      </c>
      <c r="V100" s="86">
        <f>COUNTIF($S$2:$S$976,"&lt;"&amp;S100)+(COUNTIF($S$2:$S$976,"="&amp;S100)+1)/2</f>
        <v/>
      </c>
      <c r="W100" s="73">
        <f>IF(C100="qwen",0,COUNTIFS($C$2:$C$976,"&lt;&gt;qwen",$S$2:$S$976,"&lt;"&amp;S100)+1)</f>
        <v/>
      </c>
      <c r="X100" s="73">
        <f>IF(C100="ministral",0,COUNTIFS($C$2:$C$976,"&lt;&gt;ministral",$S$2:$S$976,"&lt;"&amp;S100)+1)</f>
        <v/>
      </c>
      <c r="Y100" s="73">
        <f>IF(C100="gemma",0,COUNTIFS($C$2:$C$976,"&lt;&gt;gemma",$S$2:$S$976,"&lt;"&amp;S100)+1)</f>
        <v/>
      </c>
      <c r="Z100" s="87">
        <f>COUNTIFS($B$2:$B$976,B100,$C$2:$C$976,C100,$S$2:$S$976,"&lt;"&amp;S100)+1</f>
        <v/>
      </c>
      <c r="AA100" s="88">
        <f>ABS(S100-SUMPRODUCT(('05B_가정검정'!$A$5:$A$19=B100)*('05B_가정검정'!$B$5:$B$19=C100)*'05B_가정검정'!$E$5:$E$19))</f>
        <v/>
      </c>
      <c r="AB100" s="88">
        <f>S100-AVERAGEIFS($S$2:$S$976,$B$2:$B$976,B100,$C$2:$C$976,C100)</f>
        <v/>
      </c>
    </row>
    <row r="101" ht="15" customHeight="1" s="68">
      <c r="A101" s="83" t="inlineStr">
        <is>
          <t>PAT-07</t>
        </is>
      </c>
      <c r="B101" s="83" t="inlineStr">
        <is>
          <t>mistral</t>
        </is>
      </c>
      <c r="C101" s="83" t="inlineStr">
        <is>
          <t>gemma</t>
        </is>
      </c>
      <c r="D101" s="84" t="n">
        <v>0.285714285714286</v>
      </c>
      <c r="E101" s="84" t="n">
        <v>0.373983739837398</v>
      </c>
      <c r="F101" s="84" t="n">
        <v>0.114754098360656</v>
      </c>
      <c r="G101" s="84" t="n">
        <v>0.219512195121951</v>
      </c>
      <c r="H101" s="84" t="n">
        <v>0.290776706589844</v>
      </c>
      <c r="I101" s="84" t="n">
        <v>0.264548183612646</v>
      </c>
      <c r="J101" s="84" t="n">
        <v>0.718110584741206</v>
      </c>
      <c r="K101" s="84" t="n">
        <v>0.664802022281876</v>
      </c>
      <c r="L101" s="84" t="n">
        <v>0.857062131260911</v>
      </c>
      <c r="M101" s="84" t="n">
        <v>0.695364238410596</v>
      </c>
      <c r="N101" s="84" t="n">
        <v>0.597222222222222</v>
      </c>
      <c r="O101" s="84" t="n">
        <v>1</v>
      </c>
      <c r="P101" s="85">
        <f>AVERAGE(D101:I101)</f>
        <v/>
      </c>
      <c r="Q101" s="85">
        <f>AVERAGE(J101:L101)</f>
        <v/>
      </c>
      <c r="R101" s="85">
        <f>AVERAGE(M101:O101)</f>
        <v/>
      </c>
      <c r="S101" s="85">
        <f>'02_지표정의'!$C$22*P101+'02_지표정의'!$C$23*Q101+'02_지표정의'!$C$24*R101</f>
        <v/>
      </c>
      <c r="T101" s="73">
        <f>IF(OR(AND(B101="gemini",C101="gemma"),AND(B101="qwen3_6",C101="qwen"),AND(B101="mistral",C101="ministral")),1,0)</f>
        <v/>
      </c>
      <c r="U101" s="73">
        <f>IF(LEFT(A101,3)="PAT","특허","보고서")</f>
        <v/>
      </c>
      <c r="V101" s="86">
        <f>COUNTIF($S$2:$S$976,"&lt;"&amp;S101)+(COUNTIF($S$2:$S$976,"="&amp;S101)+1)/2</f>
        <v/>
      </c>
      <c r="W101" s="73">
        <f>IF(C101="qwen",0,COUNTIFS($C$2:$C$976,"&lt;&gt;qwen",$S$2:$S$976,"&lt;"&amp;S101)+1)</f>
        <v/>
      </c>
      <c r="X101" s="73">
        <f>IF(C101="ministral",0,COUNTIFS($C$2:$C$976,"&lt;&gt;ministral",$S$2:$S$976,"&lt;"&amp;S101)+1)</f>
        <v/>
      </c>
      <c r="Y101" s="73">
        <f>IF(C101="gemma",0,COUNTIFS($C$2:$C$976,"&lt;&gt;gemma",$S$2:$S$976,"&lt;"&amp;S101)+1)</f>
        <v/>
      </c>
      <c r="Z101" s="87">
        <f>COUNTIFS($B$2:$B$976,B101,$C$2:$C$976,C101,$S$2:$S$976,"&lt;"&amp;S101)+1</f>
        <v/>
      </c>
      <c r="AA101" s="88">
        <f>ABS(S101-SUMPRODUCT(('05B_가정검정'!$A$5:$A$19=B101)*('05B_가정검정'!$B$5:$B$19=C101)*'05B_가정검정'!$E$5:$E$19))</f>
        <v/>
      </c>
      <c r="AB101" s="88">
        <f>S101-AVERAGEIFS($S$2:$S$976,$B$2:$B$976,B101,$C$2:$C$976,C101)</f>
        <v/>
      </c>
    </row>
    <row r="102" ht="15" customHeight="1" s="68">
      <c r="A102" s="83" t="inlineStr">
        <is>
          <t>PAT-07</t>
        </is>
      </c>
      <c r="B102" s="83" t="inlineStr">
        <is>
          <t>mistral</t>
        </is>
      </c>
      <c r="C102" s="83" t="inlineStr">
        <is>
          <t>ministral</t>
        </is>
      </c>
      <c r="D102" s="84" t="n">
        <v>0.319644839067703</v>
      </c>
      <c r="E102" s="84" t="n">
        <v>0.242268041237113</v>
      </c>
      <c r="F102" s="84" t="n">
        <v>0.0984455958549223</v>
      </c>
      <c r="G102" s="84" t="n">
        <v>0.180412371134021</v>
      </c>
      <c r="H102" s="84" t="n">
        <v>0.159723488152459</v>
      </c>
      <c r="I102" s="84" t="n">
        <v>0.347616804485623</v>
      </c>
      <c r="J102" s="84" t="n">
        <v>0.721986791938468</v>
      </c>
      <c r="K102" s="84" t="n">
        <v>0.736333081217913</v>
      </c>
      <c r="L102" s="84" t="n">
        <v>0.853649786176641</v>
      </c>
      <c r="M102" s="84" t="n">
        <v>0.390334572490706</v>
      </c>
      <c r="N102" s="84" t="n">
        <v>0.383561643835616</v>
      </c>
      <c r="O102" s="84" t="n">
        <v>1</v>
      </c>
      <c r="P102" s="85">
        <f>AVERAGE(D102:I102)</f>
        <v/>
      </c>
      <c r="Q102" s="85">
        <f>AVERAGE(J102:L102)</f>
        <v/>
      </c>
      <c r="R102" s="85">
        <f>AVERAGE(M102:O102)</f>
        <v/>
      </c>
      <c r="S102" s="85">
        <f>'02_지표정의'!$C$22*P102+'02_지표정의'!$C$23*Q102+'02_지표정의'!$C$24*R102</f>
        <v/>
      </c>
      <c r="T102" s="73">
        <f>IF(OR(AND(B102="gemini",C102="gemma"),AND(B102="qwen3_6",C102="qwen"),AND(B102="mistral",C102="ministral")),1,0)</f>
        <v/>
      </c>
      <c r="U102" s="73">
        <f>IF(LEFT(A102,3)="PAT","특허","보고서")</f>
        <v/>
      </c>
      <c r="V102" s="86">
        <f>COUNTIF($S$2:$S$976,"&lt;"&amp;S102)+(COUNTIF($S$2:$S$976,"="&amp;S102)+1)/2</f>
        <v/>
      </c>
      <c r="W102" s="73">
        <f>IF(C102="qwen",0,COUNTIFS($C$2:$C$976,"&lt;&gt;qwen",$S$2:$S$976,"&lt;"&amp;S102)+1)</f>
        <v/>
      </c>
      <c r="X102" s="73">
        <f>IF(C102="ministral",0,COUNTIFS($C$2:$C$976,"&lt;&gt;ministral",$S$2:$S$976,"&lt;"&amp;S102)+1)</f>
        <v/>
      </c>
      <c r="Y102" s="73">
        <f>IF(C102="gemma",0,COUNTIFS($C$2:$C$976,"&lt;&gt;gemma",$S$2:$S$976,"&lt;"&amp;S102)+1)</f>
        <v/>
      </c>
      <c r="Z102" s="87">
        <f>COUNTIFS($B$2:$B$976,B102,$C$2:$C$976,C102,$S$2:$S$976,"&lt;"&amp;S102)+1</f>
        <v/>
      </c>
      <c r="AA102" s="88">
        <f>ABS(S102-SUMPRODUCT(('05B_가정검정'!$A$5:$A$19=B102)*('05B_가정검정'!$B$5:$B$19=C102)*'05B_가정검정'!$E$5:$E$19))</f>
        <v/>
      </c>
      <c r="AB102" s="88">
        <f>S102-AVERAGEIFS($S$2:$S$976,$B$2:$B$976,B102,$C$2:$C$976,C102)</f>
        <v/>
      </c>
    </row>
    <row r="103" ht="15" customHeight="1" s="68">
      <c r="A103" s="83" t="inlineStr">
        <is>
          <t>PAT-07</t>
        </is>
      </c>
      <c r="B103" s="83" t="inlineStr">
        <is>
          <t>mistral</t>
        </is>
      </c>
      <c r="C103" s="83" t="inlineStr">
        <is>
          <t>qwen</t>
        </is>
      </c>
      <c r="D103" s="84" t="n">
        <v>0.389857369255151</v>
      </c>
      <c r="E103" s="84" t="n">
        <v>0.459016393442623</v>
      </c>
      <c r="F103" s="84" t="n">
        <v>0.187845303867403</v>
      </c>
      <c r="G103" s="84" t="n">
        <v>0.327868852459016</v>
      </c>
      <c r="H103" s="84" t="n">
        <v>0.397584087103133</v>
      </c>
      <c r="I103" s="84" t="n">
        <v>0.346917590033213</v>
      </c>
      <c r="J103" s="84" t="n">
        <v>0.735552833356288</v>
      </c>
      <c r="K103" s="84" t="n">
        <v>0.661429619890637</v>
      </c>
      <c r="L103" s="84" t="n">
        <v>0.84531589670601</v>
      </c>
      <c r="M103" s="84" t="n">
        <v>0.747899159663866</v>
      </c>
      <c r="N103" s="84" t="n">
        <v>0.742424242424242</v>
      </c>
      <c r="O103" s="84" t="n">
        <v>1</v>
      </c>
      <c r="P103" s="85">
        <f>AVERAGE(D103:I103)</f>
        <v/>
      </c>
      <c r="Q103" s="85">
        <f>AVERAGE(J103:L103)</f>
        <v/>
      </c>
      <c r="R103" s="85">
        <f>AVERAGE(M103:O103)</f>
        <v/>
      </c>
      <c r="S103" s="85">
        <f>'02_지표정의'!$C$22*P103+'02_지표정의'!$C$23*Q103+'02_지표정의'!$C$24*R103</f>
        <v/>
      </c>
      <c r="T103" s="73">
        <f>IF(OR(AND(B103="gemini",C103="gemma"),AND(B103="qwen3_6",C103="qwen"),AND(B103="mistral",C103="ministral")),1,0)</f>
        <v/>
      </c>
      <c r="U103" s="73">
        <f>IF(LEFT(A103,3)="PAT","특허","보고서")</f>
        <v/>
      </c>
      <c r="V103" s="86">
        <f>COUNTIF($S$2:$S$976,"&lt;"&amp;S103)+(COUNTIF($S$2:$S$976,"="&amp;S103)+1)/2</f>
        <v/>
      </c>
      <c r="W103" s="73">
        <f>IF(C103="qwen",0,COUNTIFS($C$2:$C$976,"&lt;&gt;qwen",$S$2:$S$976,"&lt;"&amp;S103)+1)</f>
        <v/>
      </c>
      <c r="X103" s="73">
        <f>IF(C103="ministral",0,COUNTIFS($C$2:$C$976,"&lt;&gt;ministral",$S$2:$S$976,"&lt;"&amp;S103)+1)</f>
        <v/>
      </c>
      <c r="Y103" s="73">
        <f>IF(C103="gemma",0,COUNTIFS($C$2:$C$976,"&lt;&gt;gemma",$S$2:$S$976,"&lt;"&amp;S103)+1)</f>
        <v/>
      </c>
      <c r="Z103" s="87">
        <f>COUNTIFS($B$2:$B$976,B103,$C$2:$C$976,C103,$S$2:$S$976,"&lt;"&amp;S103)+1</f>
        <v/>
      </c>
      <c r="AA103" s="88">
        <f>ABS(S103-SUMPRODUCT(('05B_가정검정'!$A$5:$A$19=B103)*('05B_가정검정'!$B$5:$B$19=C103)*'05B_가정검정'!$E$5:$E$19))</f>
        <v/>
      </c>
      <c r="AB103" s="88">
        <f>S103-AVERAGEIFS($S$2:$S$976,$B$2:$B$976,B103,$C$2:$C$976,C103)</f>
        <v/>
      </c>
    </row>
    <row r="104" ht="15" customHeight="1" s="68">
      <c r="A104" s="83" t="inlineStr">
        <is>
          <t>PAT-07</t>
        </is>
      </c>
      <c r="B104" s="83" t="inlineStr">
        <is>
          <t>qwen3_6</t>
        </is>
      </c>
      <c r="C104" s="83" t="inlineStr">
        <is>
          <t>gemma</t>
        </is>
      </c>
      <c r="D104" s="84" t="n">
        <v>0.289920724801812</v>
      </c>
      <c r="E104" s="84" t="n">
        <v>0.381742738589212</v>
      </c>
      <c r="F104" s="84" t="n">
        <v>0.150627615062762</v>
      </c>
      <c r="G104" s="84" t="n">
        <v>0.273858921161826</v>
      </c>
      <c r="H104" s="84" t="n">
        <v>0.343852934522678</v>
      </c>
      <c r="I104" s="84" t="n">
        <v>0.287753834506069</v>
      </c>
      <c r="J104" s="84" t="n">
        <v>0.729149833994745</v>
      </c>
      <c r="K104" s="84" t="n">
        <v>0.790286119679164</v>
      </c>
      <c r="L104" s="84" t="n">
        <v>0.901169196956163</v>
      </c>
      <c r="M104" s="84" t="n">
        <v>0.642384105960265</v>
      </c>
      <c r="N104" s="84" t="n">
        <v>0.763888888888889</v>
      </c>
      <c r="O104" s="84" t="n">
        <v>1</v>
      </c>
      <c r="P104" s="85">
        <f>AVERAGE(D104:I104)</f>
        <v/>
      </c>
      <c r="Q104" s="85">
        <f>AVERAGE(J104:L104)</f>
        <v/>
      </c>
      <c r="R104" s="85">
        <f>AVERAGE(M104:O104)</f>
        <v/>
      </c>
      <c r="S104" s="85">
        <f>'02_지표정의'!$C$22*P104+'02_지표정의'!$C$23*Q104+'02_지표정의'!$C$24*R104</f>
        <v/>
      </c>
      <c r="T104" s="73">
        <f>IF(OR(AND(B104="gemini",C104="gemma"),AND(B104="qwen3_6",C104="qwen"),AND(B104="mistral",C104="ministral")),1,0)</f>
        <v/>
      </c>
      <c r="U104" s="73">
        <f>IF(LEFT(A104,3)="PAT","특허","보고서")</f>
        <v/>
      </c>
      <c r="V104" s="86">
        <f>COUNTIF($S$2:$S$976,"&lt;"&amp;S104)+(COUNTIF($S$2:$S$976,"="&amp;S104)+1)/2</f>
        <v/>
      </c>
      <c r="W104" s="73">
        <f>IF(C104="qwen",0,COUNTIFS($C$2:$C$976,"&lt;&gt;qwen",$S$2:$S$976,"&lt;"&amp;S104)+1)</f>
        <v/>
      </c>
      <c r="X104" s="73">
        <f>IF(C104="ministral",0,COUNTIFS($C$2:$C$976,"&lt;&gt;ministral",$S$2:$S$976,"&lt;"&amp;S104)+1)</f>
        <v/>
      </c>
      <c r="Y104" s="73">
        <f>IF(C104="gemma",0,COUNTIFS($C$2:$C$976,"&lt;&gt;gemma",$S$2:$S$976,"&lt;"&amp;S104)+1)</f>
        <v/>
      </c>
      <c r="Z104" s="87">
        <f>COUNTIFS($B$2:$B$976,B104,$C$2:$C$976,C104,$S$2:$S$976,"&lt;"&amp;S104)+1</f>
        <v/>
      </c>
      <c r="AA104" s="88">
        <f>ABS(S104-SUMPRODUCT(('05B_가정검정'!$A$5:$A$19=B104)*('05B_가정검정'!$B$5:$B$19=C104)*'05B_가정검정'!$E$5:$E$19))</f>
        <v/>
      </c>
      <c r="AB104" s="88">
        <f>S104-AVERAGEIFS($S$2:$S$976,$B$2:$B$976,B104,$C$2:$C$976,C104)</f>
        <v/>
      </c>
    </row>
    <row r="105" ht="15" customHeight="1" s="68">
      <c r="A105" s="83" t="inlineStr">
        <is>
          <t>PAT-07</t>
        </is>
      </c>
      <c r="B105" s="83" t="inlineStr">
        <is>
          <t>qwen3_6</t>
        </is>
      </c>
      <c r="C105" s="83" t="inlineStr">
        <is>
          <t>ministral</t>
        </is>
      </c>
      <c r="D105" s="84" t="n">
        <v>0.258675078864353</v>
      </c>
      <c r="E105" s="84" t="n">
        <v>0.193211488250653</v>
      </c>
      <c r="F105" s="84" t="n">
        <v>0.078740157480315</v>
      </c>
      <c r="G105" s="84" t="n">
        <v>0.156657963446475</v>
      </c>
      <c r="H105" s="84" t="n">
        <v>0.160979874840803</v>
      </c>
      <c r="I105" s="84" t="n">
        <v>0.255505306506123</v>
      </c>
      <c r="J105" s="84" t="n">
        <v>0.715282679965126</v>
      </c>
      <c r="K105" s="84" t="n">
        <v>0.768463282719113</v>
      </c>
      <c r="L105" s="84" t="n">
        <v>0.885371442384484</v>
      </c>
      <c r="M105" s="84" t="n">
        <v>0.360594795539034</v>
      </c>
      <c r="N105" s="84" t="n">
        <v>0.376712328767123</v>
      </c>
      <c r="O105" s="84" t="n">
        <v>1</v>
      </c>
      <c r="P105" s="85">
        <f>AVERAGE(D105:I105)</f>
        <v/>
      </c>
      <c r="Q105" s="85">
        <f>AVERAGE(J105:L105)</f>
        <v/>
      </c>
      <c r="R105" s="85">
        <f>AVERAGE(M105:O105)</f>
        <v/>
      </c>
      <c r="S105" s="85">
        <f>'02_지표정의'!$C$22*P105+'02_지표정의'!$C$23*Q105+'02_지표정의'!$C$24*R105</f>
        <v/>
      </c>
      <c r="T105" s="73">
        <f>IF(OR(AND(B105="gemini",C105="gemma"),AND(B105="qwen3_6",C105="qwen"),AND(B105="mistral",C105="ministral")),1,0)</f>
        <v/>
      </c>
      <c r="U105" s="73">
        <f>IF(LEFT(A105,3)="PAT","특허","보고서")</f>
        <v/>
      </c>
      <c r="V105" s="86">
        <f>COUNTIF($S$2:$S$976,"&lt;"&amp;S105)+(COUNTIF($S$2:$S$976,"="&amp;S105)+1)/2</f>
        <v/>
      </c>
      <c r="W105" s="73">
        <f>IF(C105="qwen",0,COUNTIFS($C$2:$C$976,"&lt;&gt;qwen",$S$2:$S$976,"&lt;"&amp;S105)+1)</f>
        <v/>
      </c>
      <c r="X105" s="73">
        <f>IF(C105="ministral",0,COUNTIFS($C$2:$C$976,"&lt;&gt;ministral",$S$2:$S$976,"&lt;"&amp;S105)+1)</f>
        <v/>
      </c>
      <c r="Y105" s="73">
        <f>IF(C105="gemma",0,COUNTIFS($C$2:$C$976,"&lt;&gt;gemma",$S$2:$S$976,"&lt;"&amp;S105)+1)</f>
        <v/>
      </c>
      <c r="Z105" s="87">
        <f>COUNTIFS($B$2:$B$976,B105,$C$2:$C$976,C105,$S$2:$S$976,"&lt;"&amp;S105)+1</f>
        <v/>
      </c>
      <c r="AA105" s="88">
        <f>ABS(S105-SUMPRODUCT(('05B_가정검정'!$A$5:$A$19=B105)*('05B_가정검정'!$B$5:$B$19=C105)*'05B_가정검정'!$E$5:$E$19))</f>
        <v/>
      </c>
      <c r="AB105" s="88">
        <f>S105-AVERAGEIFS($S$2:$S$976,$B$2:$B$976,B105,$C$2:$C$976,C105)</f>
        <v/>
      </c>
    </row>
    <row r="106" ht="15" customHeight="1" s="68">
      <c r="A106" s="83" t="inlineStr">
        <is>
          <t>PAT-07</t>
        </is>
      </c>
      <c r="B106" s="83" t="inlineStr">
        <is>
          <t>qwen3_6</t>
        </is>
      </c>
      <c r="C106" s="83" t="inlineStr">
        <is>
          <t>qwen</t>
        </is>
      </c>
      <c r="D106" s="84" t="n">
        <v>0.340675477239354</v>
      </c>
      <c r="E106" s="84" t="n">
        <v>0.51685393258427</v>
      </c>
      <c r="F106" s="84" t="n">
        <v>0.238636363636364</v>
      </c>
      <c r="G106" s="84" t="n">
        <v>0.393258426966292</v>
      </c>
      <c r="H106" s="84" t="n">
        <v>0.471881510824589</v>
      </c>
      <c r="I106" s="84" t="n">
        <v>0.488375711171021</v>
      </c>
      <c r="J106" s="84" t="n">
        <v>0.798273732977552</v>
      </c>
      <c r="K106" s="84" t="n">
        <v>0.7760061130852171</v>
      </c>
      <c r="L106" s="84" t="n">
        <v>0.8737558784300949</v>
      </c>
      <c r="M106" s="84" t="n">
        <v>0.906542056074766</v>
      </c>
      <c r="N106" s="84" t="n">
        <v>0.916666666666667</v>
      </c>
      <c r="O106" s="84" t="n">
        <v>1</v>
      </c>
      <c r="P106" s="85">
        <f>AVERAGE(D106:I106)</f>
        <v/>
      </c>
      <c r="Q106" s="85">
        <f>AVERAGE(J106:L106)</f>
        <v/>
      </c>
      <c r="R106" s="85">
        <f>AVERAGE(M106:O106)</f>
        <v/>
      </c>
      <c r="S106" s="85">
        <f>'02_지표정의'!$C$22*P106+'02_지표정의'!$C$23*Q106+'02_지표정의'!$C$24*R106</f>
        <v/>
      </c>
      <c r="T106" s="73">
        <f>IF(OR(AND(B106="gemini",C106="gemma"),AND(B106="qwen3_6",C106="qwen"),AND(B106="mistral",C106="ministral")),1,0)</f>
        <v/>
      </c>
      <c r="U106" s="73">
        <f>IF(LEFT(A106,3)="PAT","특허","보고서")</f>
        <v/>
      </c>
      <c r="V106" s="86">
        <f>COUNTIF($S$2:$S$976,"&lt;"&amp;S106)+(COUNTIF($S$2:$S$976,"="&amp;S106)+1)/2</f>
        <v/>
      </c>
      <c r="W106" s="73">
        <f>IF(C106="qwen",0,COUNTIFS($C$2:$C$976,"&lt;&gt;qwen",$S$2:$S$976,"&lt;"&amp;S106)+1)</f>
        <v/>
      </c>
      <c r="X106" s="73">
        <f>IF(C106="ministral",0,COUNTIFS($C$2:$C$976,"&lt;&gt;ministral",$S$2:$S$976,"&lt;"&amp;S106)+1)</f>
        <v/>
      </c>
      <c r="Y106" s="73">
        <f>IF(C106="gemma",0,COUNTIFS($C$2:$C$976,"&lt;&gt;gemma",$S$2:$S$976,"&lt;"&amp;S106)+1)</f>
        <v/>
      </c>
      <c r="Z106" s="87">
        <f>COUNTIFS($B$2:$B$976,B106,$C$2:$C$976,C106,$S$2:$S$976,"&lt;"&amp;S106)+1</f>
        <v/>
      </c>
      <c r="AA106" s="88">
        <f>ABS(S106-SUMPRODUCT(('05B_가정검정'!$A$5:$A$19=B106)*('05B_가정검정'!$B$5:$B$19=C106)*'05B_가정검정'!$E$5:$E$19))</f>
        <v/>
      </c>
      <c r="AB106" s="88">
        <f>S106-AVERAGEIFS($S$2:$S$976,$B$2:$B$976,B106,$C$2:$C$976,C106)</f>
        <v/>
      </c>
    </row>
    <row r="107" ht="15" customHeight="1" s="68">
      <c r="A107" s="83" t="inlineStr">
        <is>
          <t>PAT-08</t>
        </is>
      </c>
      <c r="B107" s="83" t="inlineStr">
        <is>
          <t>chatgpt</t>
        </is>
      </c>
      <c r="C107" s="83" t="inlineStr">
        <is>
          <t>gemma</t>
        </is>
      </c>
      <c r="D107" s="84" t="n">
        <v>0.22312925170068</v>
      </c>
      <c r="E107" s="84" t="n">
        <v>0.304347826086957</v>
      </c>
      <c r="F107" s="84" t="n">
        <v>0.0964912280701755</v>
      </c>
      <c r="G107" s="84" t="n">
        <v>0.243478260869565</v>
      </c>
      <c r="H107" s="84" t="n">
        <v>0.183749841357999</v>
      </c>
      <c r="I107" s="84" t="n">
        <v>0.355322459654024</v>
      </c>
      <c r="J107" s="84" t="n">
        <v>0.6790972759866259</v>
      </c>
      <c r="K107" s="84" t="n">
        <v>0.679909360213697</v>
      </c>
      <c r="L107" s="84" t="n">
        <v>0.85858538299543</v>
      </c>
      <c r="M107" s="84" t="n">
        <v>0.459893048128342</v>
      </c>
      <c r="N107" s="84" t="n">
        <v>0</v>
      </c>
      <c r="O107" s="84" t="n">
        <v>0.526315789473684</v>
      </c>
      <c r="P107" s="85">
        <f>AVERAGE(D107:I107)</f>
        <v/>
      </c>
      <c r="Q107" s="85">
        <f>AVERAGE(J107:L107)</f>
        <v/>
      </c>
      <c r="R107" s="85">
        <f>AVERAGE(M107:O107)</f>
        <v/>
      </c>
      <c r="S107" s="85">
        <f>'02_지표정의'!$C$22*P107+'02_지표정의'!$C$23*Q107+'02_지표정의'!$C$24*R107</f>
        <v/>
      </c>
      <c r="T107" s="73">
        <f>IF(OR(AND(B107="gemini",C107="gemma"),AND(B107="qwen3_6",C107="qwen"),AND(B107="mistral",C107="ministral")),1,0)</f>
        <v/>
      </c>
      <c r="U107" s="73">
        <f>IF(LEFT(A107,3)="PAT","특허","보고서")</f>
        <v/>
      </c>
      <c r="V107" s="86">
        <f>COUNTIF($S$2:$S$976,"&lt;"&amp;S107)+(COUNTIF($S$2:$S$976,"="&amp;S107)+1)/2</f>
        <v/>
      </c>
      <c r="W107" s="73">
        <f>IF(C107="qwen",0,COUNTIFS($C$2:$C$976,"&lt;&gt;qwen",$S$2:$S$976,"&lt;"&amp;S107)+1)</f>
        <v/>
      </c>
      <c r="X107" s="73">
        <f>IF(C107="ministral",0,COUNTIFS($C$2:$C$976,"&lt;&gt;ministral",$S$2:$S$976,"&lt;"&amp;S107)+1)</f>
        <v/>
      </c>
      <c r="Y107" s="73">
        <f>IF(C107="gemma",0,COUNTIFS($C$2:$C$976,"&lt;&gt;gemma",$S$2:$S$976,"&lt;"&amp;S107)+1)</f>
        <v/>
      </c>
      <c r="Z107" s="87">
        <f>COUNTIFS($B$2:$B$976,B107,$C$2:$C$976,C107,$S$2:$S$976,"&lt;"&amp;S107)+1</f>
        <v/>
      </c>
      <c r="AA107" s="88">
        <f>ABS(S107-SUMPRODUCT(('05B_가정검정'!$A$5:$A$19=B107)*('05B_가정검정'!$B$5:$B$19=C107)*'05B_가정검정'!$E$5:$E$19))</f>
        <v/>
      </c>
      <c r="AB107" s="88">
        <f>S107-AVERAGEIFS($S$2:$S$976,$B$2:$B$976,B107,$C$2:$C$976,C107)</f>
        <v/>
      </c>
    </row>
    <row r="108" ht="15" customHeight="1" s="68">
      <c r="A108" s="83" t="inlineStr">
        <is>
          <t>PAT-08</t>
        </is>
      </c>
      <c r="B108" s="83" t="inlineStr">
        <is>
          <t>chatgpt</t>
        </is>
      </c>
      <c r="C108" s="83" t="inlineStr">
        <is>
          <t>ministral</t>
        </is>
      </c>
      <c r="D108" s="84" t="n">
        <v>0.292379471228616</v>
      </c>
      <c r="E108" s="84" t="n">
        <v>0.261111111111111</v>
      </c>
      <c r="F108" s="84" t="n">
        <v>0.139664804469274</v>
      </c>
      <c r="G108" s="84" t="n">
        <v>0.25</v>
      </c>
      <c r="H108" s="84" t="n">
        <v>0.137604027059054</v>
      </c>
      <c r="I108" s="84" t="n">
        <v>0.570738994892535</v>
      </c>
      <c r="J108" s="84" t="n">
        <v>0.7219701204758801</v>
      </c>
      <c r="K108" s="84" t="n">
        <v>0.721607169225101</v>
      </c>
      <c r="L108" s="84" t="n">
        <v>0.860390904194467</v>
      </c>
      <c r="M108" s="84" t="n">
        <v>0.443298969072165</v>
      </c>
      <c r="N108" s="84" t="n">
        <v>0</v>
      </c>
      <c r="O108" s="84" t="n">
        <v>0.526315789473684</v>
      </c>
      <c r="P108" s="85">
        <f>AVERAGE(D108:I108)</f>
        <v/>
      </c>
      <c r="Q108" s="85">
        <f>AVERAGE(J108:L108)</f>
        <v/>
      </c>
      <c r="R108" s="85">
        <f>AVERAGE(M108:O108)</f>
        <v/>
      </c>
      <c r="S108" s="85">
        <f>'02_지표정의'!$C$22*P108+'02_지표정의'!$C$23*Q108+'02_지표정의'!$C$24*R108</f>
        <v/>
      </c>
      <c r="T108" s="73">
        <f>IF(OR(AND(B108="gemini",C108="gemma"),AND(B108="qwen3_6",C108="qwen"),AND(B108="mistral",C108="ministral")),1,0)</f>
        <v/>
      </c>
      <c r="U108" s="73">
        <f>IF(LEFT(A108,3)="PAT","특허","보고서")</f>
        <v/>
      </c>
      <c r="V108" s="86">
        <f>COUNTIF($S$2:$S$976,"&lt;"&amp;S108)+(COUNTIF($S$2:$S$976,"="&amp;S108)+1)/2</f>
        <v/>
      </c>
      <c r="W108" s="73">
        <f>IF(C108="qwen",0,COUNTIFS($C$2:$C$976,"&lt;&gt;qwen",$S$2:$S$976,"&lt;"&amp;S108)+1)</f>
        <v/>
      </c>
      <c r="X108" s="73">
        <f>IF(C108="ministral",0,COUNTIFS($C$2:$C$976,"&lt;&gt;ministral",$S$2:$S$976,"&lt;"&amp;S108)+1)</f>
        <v/>
      </c>
      <c r="Y108" s="73">
        <f>IF(C108="gemma",0,COUNTIFS($C$2:$C$976,"&lt;&gt;gemma",$S$2:$S$976,"&lt;"&amp;S108)+1)</f>
        <v/>
      </c>
      <c r="Z108" s="87">
        <f>COUNTIFS($B$2:$B$976,B108,$C$2:$C$976,C108,$S$2:$S$976,"&lt;"&amp;S108)+1</f>
        <v/>
      </c>
      <c r="AA108" s="88">
        <f>ABS(S108-SUMPRODUCT(('05B_가정검정'!$A$5:$A$19=B108)*('05B_가정검정'!$B$5:$B$19=C108)*'05B_가정검정'!$E$5:$E$19))</f>
        <v/>
      </c>
      <c r="AB108" s="88">
        <f>S108-AVERAGEIFS($S$2:$S$976,$B$2:$B$976,B108,$C$2:$C$976,C108)</f>
        <v/>
      </c>
    </row>
    <row r="109" ht="15" customHeight="1" s="68">
      <c r="A109" s="83" t="inlineStr">
        <is>
          <t>PAT-08</t>
        </is>
      </c>
      <c r="B109" s="83" t="inlineStr">
        <is>
          <t>chatgpt</t>
        </is>
      </c>
      <c r="C109" s="83" t="inlineStr">
        <is>
          <t>qwen</t>
        </is>
      </c>
      <c r="D109" s="84" t="n">
        <v>0.253846153846154</v>
      </c>
      <c r="E109" s="84" t="n">
        <v>0.467836257309942</v>
      </c>
      <c r="F109" s="84" t="n">
        <v>0.177514792899408</v>
      </c>
      <c r="G109" s="84" t="n">
        <v>0.385964912280702</v>
      </c>
      <c r="H109" s="84" t="n">
        <v>0.290466200905293</v>
      </c>
      <c r="I109" s="84" t="n">
        <v>0.470348791824612</v>
      </c>
      <c r="J109" s="84" t="n">
        <v>0.758474952179833</v>
      </c>
      <c r="K109" s="84" t="n">
        <v>0.634159622302865</v>
      </c>
      <c r="L109" s="84" t="n">
        <v>0.818003667090892</v>
      </c>
      <c r="M109" s="84" t="n">
        <v>0.454545454545455</v>
      </c>
      <c r="N109" s="84" t="n">
        <v>0.01</v>
      </c>
      <c r="O109" s="84" t="n">
        <v>0.526315789473684</v>
      </c>
      <c r="P109" s="85">
        <f>AVERAGE(D109:I109)</f>
        <v/>
      </c>
      <c r="Q109" s="85">
        <f>AVERAGE(J109:L109)</f>
        <v/>
      </c>
      <c r="R109" s="85">
        <f>AVERAGE(M109:O109)</f>
        <v/>
      </c>
      <c r="S109" s="85">
        <f>'02_지표정의'!$C$22*P109+'02_지표정의'!$C$23*Q109+'02_지표정의'!$C$24*R109</f>
        <v/>
      </c>
      <c r="T109" s="73">
        <f>IF(OR(AND(B109="gemini",C109="gemma"),AND(B109="qwen3_6",C109="qwen"),AND(B109="mistral",C109="ministral")),1,0)</f>
        <v/>
      </c>
      <c r="U109" s="73">
        <f>IF(LEFT(A109,3)="PAT","특허","보고서")</f>
        <v/>
      </c>
      <c r="V109" s="86">
        <f>COUNTIF($S$2:$S$976,"&lt;"&amp;S109)+(COUNTIF($S$2:$S$976,"="&amp;S109)+1)/2</f>
        <v/>
      </c>
      <c r="W109" s="73">
        <f>IF(C109="qwen",0,COUNTIFS($C$2:$C$976,"&lt;&gt;qwen",$S$2:$S$976,"&lt;"&amp;S109)+1)</f>
        <v/>
      </c>
      <c r="X109" s="73">
        <f>IF(C109="ministral",0,COUNTIFS($C$2:$C$976,"&lt;&gt;ministral",$S$2:$S$976,"&lt;"&amp;S109)+1)</f>
        <v/>
      </c>
      <c r="Y109" s="73">
        <f>IF(C109="gemma",0,COUNTIFS($C$2:$C$976,"&lt;&gt;gemma",$S$2:$S$976,"&lt;"&amp;S109)+1)</f>
        <v/>
      </c>
      <c r="Z109" s="87">
        <f>COUNTIFS($B$2:$B$976,B109,$C$2:$C$976,C109,$S$2:$S$976,"&lt;"&amp;S109)+1</f>
        <v/>
      </c>
      <c r="AA109" s="88">
        <f>ABS(S109-SUMPRODUCT(('05B_가정검정'!$A$5:$A$19=B109)*('05B_가정검정'!$B$5:$B$19=C109)*'05B_가정검정'!$E$5:$E$19))</f>
        <v/>
      </c>
      <c r="AB109" s="88">
        <f>S109-AVERAGEIFS($S$2:$S$976,$B$2:$B$976,B109,$C$2:$C$976,C109)</f>
        <v/>
      </c>
    </row>
    <row r="110" ht="15" customHeight="1" s="68">
      <c r="A110" s="83" t="inlineStr">
        <is>
          <t>PAT-08</t>
        </is>
      </c>
      <c r="B110" s="83" t="inlineStr">
        <is>
          <t>claude</t>
        </is>
      </c>
      <c r="C110" s="83" t="inlineStr">
        <is>
          <t>gemma</t>
        </is>
      </c>
      <c r="D110" s="84" t="n">
        <v>0.233009708737864</v>
      </c>
      <c r="E110" s="84" t="n">
        <v>0.307262569832402</v>
      </c>
      <c r="F110" s="84" t="n">
        <v>0.0786516853932584</v>
      </c>
      <c r="G110" s="84" t="n">
        <v>0.212290502793296</v>
      </c>
      <c r="H110" s="84" t="n">
        <v>0.323176513174597</v>
      </c>
      <c r="I110" s="84" t="n">
        <v>0.330589507312129</v>
      </c>
      <c r="J110" s="84" t="n">
        <v>0.673896936703331</v>
      </c>
      <c r="K110" s="84" t="n">
        <v>0.693079285267766</v>
      </c>
      <c r="L110" s="84" t="n">
        <v>0.840592113941303</v>
      </c>
      <c r="M110" s="84" t="n">
        <v>0.527272727272727</v>
      </c>
      <c r="N110" s="84" t="n">
        <v>0.365853658536585</v>
      </c>
      <c r="O110" s="84" t="n">
        <v>1</v>
      </c>
      <c r="P110" s="85">
        <f>AVERAGE(D110:I110)</f>
        <v/>
      </c>
      <c r="Q110" s="85">
        <f>AVERAGE(J110:L110)</f>
        <v/>
      </c>
      <c r="R110" s="85">
        <f>AVERAGE(M110:O110)</f>
        <v/>
      </c>
      <c r="S110" s="85">
        <f>'02_지표정의'!$C$22*P110+'02_지표정의'!$C$23*Q110+'02_지표정의'!$C$24*R110</f>
        <v/>
      </c>
      <c r="T110" s="73">
        <f>IF(OR(AND(B110="gemini",C110="gemma"),AND(B110="qwen3_6",C110="qwen"),AND(B110="mistral",C110="ministral")),1,0)</f>
        <v/>
      </c>
      <c r="U110" s="73">
        <f>IF(LEFT(A110,3)="PAT","특허","보고서")</f>
        <v/>
      </c>
      <c r="V110" s="86">
        <f>COUNTIF($S$2:$S$976,"&lt;"&amp;S110)+(COUNTIF($S$2:$S$976,"="&amp;S110)+1)/2</f>
        <v/>
      </c>
      <c r="W110" s="73">
        <f>IF(C110="qwen",0,COUNTIFS($C$2:$C$976,"&lt;&gt;qwen",$S$2:$S$976,"&lt;"&amp;S110)+1)</f>
        <v/>
      </c>
      <c r="X110" s="73">
        <f>IF(C110="ministral",0,COUNTIFS($C$2:$C$976,"&lt;&gt;ministral",$S$2:$S$976,"&lt;"&amp;S110)+1)</f>
        <v/>
      </c>
      <c r="Y110" s="73">
        <f>IF(C110="gemma",0,COUNTIFS($C$2:$C$976,"&lt;&gt;gemma",$S$2:$S$976,"&lt;"&amp;S110)+1)</f>
        <v/>
      </c>
      <c r="Z110" s="87">
        <f>COUNTIFS($B$2:$B$976,B110,$C$2:$C$976,C110,$S$2:$S$976,"&lt;"&amp;S110)+1</f>
        <v/>
      </c>
      <c r="AA110" s="88">
        <f>ABS(S110-SUMPRODUCT(('05B_가정검정'!$A$5:$A$19=B110)*('05B_가정검정'!$B$5:$B$19=C110)*'05B_가정검정'!$E$5:$E$19))</f>
        <v/>
      </c>
      <c r="AB110" s="88">
        <f>S110-AVERAGEIFS($S$2:$S$976,$B$2:$B$976,B110,$C$2:$C$976,C110)</f>
        <v/>
      </c>
    </row>
    <row r="111" ht="15" customHeight="1" s="68">
      <c r="A111" s="83" t="inlineStr">
        <is>
          <t>PAT-08</t>
        </is>
      </c>
      <c r="B111" s="83" t="inlineStr">
        <is>
          <t>claude</t>
        </is>
      </c>
      <c r="C111" s="83" t="inlineStr">
        <is>
          <t>ministral</t>
        </is>
      </c>
      <c r="D111" s="84" t="n">
        <v>0.288184438040346</v>
      </c>
      <c r="E111" s="84" t="n">
        <v>0.360655737704918</v>
      </c>
      <c r="F111" s="84" t="n">
        <v>0.131687242798354</v>
      </c>
      <c r="G111" s="84" t="n">
        <v>0.237704918032787</v>
      </c>
      <c r="H111" s="84" t="n">
        <v>0.252007926433529</v>
      </c>
      <c r="I111" s="84" t="n">
        <v>0.5642470989841</v>
      </c>
      <c r="J111" s="84" t="n">
        <v>0.725520518680091</v>
      </c>
      <c r="K111" s="84" t="n">
        <v>0.7151216189273431</v>
      </c>
      <c r="L111" s="84" t="n">
        <v>0.835310740447232</v>
      </c>
      <c r="M111" s="84" t="n">
        <v>0.474226804123711</v>
      </c>
      <c r="N111" s="84" t="n">
        <v>0.585185185185185</v>
      </c>
      <c r="O111" s="84" t="n">
        <v>1</v>
      </c>
      <c r="P111" s="85">
        <f>AVERAGE(D111:I111)</f>
        <v/>
      </c>
      <c r="Q111" s="85">
        <f>AVERAGE(J111:L111)</f>
        <v/>
      </c>
      <c r="R111" s="85">
        <f>AVERAGE(M111:O111)</f>
        <v/>
      </c>
      <c r="S111" s="85">
        <f>'02_지표정의'!$C$22*P111+'02_지표정의'!$C$23*Q111+'02_지표정의'!$C$24*R111</f>
        <v/>
      </c>
      <c r="T111" s="73">
        <f>IF(OR(AND(B111="gemini",C111="gemma"),AND(B111="qwen3_6",C111="qwen"),AND(B111="mistral",C111="ministral")),1,0)</f>
        <v/>
      </c>
      <c r="U111" s="73">
        <f>IF(LEFT(A111,3)="PAT","특허","보고서")</f>
        <v/>
      </c>
      <c r="V111" s="86">
        <f>COUNTIF($S$2:$S$976,"&lt;"&amp;S111)+(COUNTIF($S$2:$S$976,"="&amp;S111)+1)/2</f>
        <v/>
      </c>
      <c r="W111" s="73">
        <f>IF(C111="qwen",0,COUNTIFS($C$2:$C$976,"&lt;&gt;qwen",$S$2:$S$976,"&lt;"&amp;S111)+1)</f>
        <v/>
      </c>
      <c r="X111" s="73">
        <f>IF(C111="ministral",0,COUNTIFS($C$2:$C$976,"&lt;&gt;ministral",$S$2:$S$976,"&lt;"&amp;S111)+1)</f>
        <v/>
      </c>
      <c r="Y111" s="73">
        <f>IF(C111="gemma",0,COUNTIFS($C$2:$C$976,"&lt;&gt;gemma",$S$2:$S$976,"&lt;"&amp;S111)+1)</f>
        <v/>
      </c>
      <c r="Z111" s="87">
        <f>COUNTIFS($B$2:$B$976,B111,$C$2:$C$976,C111,$S$2:$S$976,"&lt;"&amp;S111)+1</f>
        <v/>
      </c>
      <c r="AA111" s="88">
        <f>ABS(S111-SUMPRODUCT(('05B_가정검정'!$A$5:$A$19=B111)*('05B_가정검정'!$B$5:$B$19=C111)*'05B_가정검정'!$E$5:$E$19))</f>
        <v/>
      </c>
      <c r="AB111" s="88">
        <f>S111-AVERAGEIFS($S$2:$S$976,$B$2:$B$976,B111,$C$2:$C$976,C111)</f>
        <v/>
      </c>
    </row>
    <row r="112" ht="15" customHeight="1" s="68">
      <c r="A112" s="83" t="inlineStr">
        <is>
          <t>PAT-08</t>
        </is>
      </c>
      <c r="B112" s="83" t="inlineStr">
        <is>
          <t>claude</t>
        </is>
      </c>
      <c r="C112" s="83" t="inlineStr">
        <is>
          <t>qwen</t>
        </is>
      </c>
      <c r="D112" s="84" t="n">
        <v>0.230936819172113</v>
      </c>
      <c r="E112" s="84" t="n">
        <v>0.408026755852843</v>
      </c>
      <c r="F112" s="84" t="n">
        <v>0.114478114478115</v>
      </c>
      <c r="G112" s="84" t="n">
        <v>0.260869565217391</v>
      </c>
      <c r="H112" s="84" t="n">
        <v>0.209137581270065</v>
      </c>
      <c r="I112" s="84" t="n">
        <v>0.535277431274653</v>
      </c>
      <c r="J112" s="84" t="n">
        <v>0.723838247850594</v>
      </c>
      <c r="K112" s="84" t="n">
        <v>0.660080207854077</v>
      </c>
      <c r="L112" s="84" t="n">
        <v>0.867030739298838</v>
      </c>
      <c r="M112" s="84" t="n">
        <v>0.664285714285714</v>
      </c>
      <c r="N112" s="84" t="n">
        <v>0.597560975609756</v>
      </c>
      <c r="O112" s="84" t="n">
        <v>1</v>
      </c>
      <c r="P112" s="85">
        <f>AVERAGE(D112:I112)</f>
        <v/>
      </c>
      <c r="Q112" s="85">
        <f>AVERAGE(J112:L112)</f>
        <v/>
      </c>
      <c r="R112" s="85">
        <f>AVERAGE(M112:O112)</f>
        <v/>
      </c>
      <c r="S112" s="85">
        <f>'02_지표정의'!$C$22*P112+'02_지표정의'!$C$23*Q112+'02_지표정의'!$C$24*R112</f>
        <v/>
      </c>
      <c r="T112" s="73">
        <f>IF(OR(AND(B112="gemini",C112="gemma"),AND(B112="qwen3_6",C112="qwen"),AND(B112="mistral",C112="ministral")),1,0)</f>
        <v/>
      </c>
      <c r="U112" s="73">
        <f>IF(LEFT(A112,3)="PAT","특허","보고서")</f>
        <v/>
      </c>
      <c r="V112" s="86">
        <f>COUNTIF($S$2:$S$976,"&lt;"&amp;S112)+(COUNTIF($S$2:$S$976,"="&amp;S112)+1)/2</f>
        <v/>
      </c>
      <c r="W112" s="73">
        <f>IF(C112="qwen",0,COUNTIFS($C$2:$C$976,"&lt;&gt;qwen",$S$2:$S$976,"&lt;"&amp;S112)+1)</f>
        <v/>
      </c>
      <c r="X112" s="73">
        <f>IF(C112="ministral",0,COUNTIFS($C$2:$C$976,"&lt;&gt;ministral",$S$2:$S$976,"&lt;"&amp;S112)+1)</f>
        <v/>
      </c>
      <c r="Y112" s="73">
        <f>IF(C112="gemma",0,COUNTIFS($C$2:$C$976,"&lt;&gt;gemma",$S$2:$S$976,"&lt;"&amp;S112)+1)</f>
        <v/>
      </c>
      <c r="Z112" s="87">
        <f>COUNTIFS($B$2:$B$976,B112,$C$2:$C$976,C112,$S$2:$S$976,"&lt;"&amp;S112)+1</f>
        <v/>
      </c>
      <c r="AA112" s="88">
        <f>ABS(S112-SUMPRODUCT(('05B_가정검정'!$A$5:$A$19=B112)*('05B_가정검정'!$B$5:$B$19=C112)*'05B_가정검정'!$E$5:$E$19))</f>
        <v/>
      </c>
      <c r="AB112" s="88">
        <f>S112-AVERAGEIFS($S$2:$S$976,$B$2:$B$976,B112,$C$2:$C$976,C112)</f>
        <v/>
      </c>
    </row>
    <row r="113" ht="15" customHeight="1" s="68">
      <c r="A113" s="83" t="inlineStr">
        <is>
          <t>PAT-08</t>
        </is>
      </c>
      <c r="B113" s="83" t="inlineStr">
        <is>
          <t>gemini</t>
        </is>
      </c>
      <c r="C113" s="83" t="inlineStr">
        <is>
          <t>gemma</t>
        </is>
      </c>
      <c r="D113" s="84" t="n">
        <v>0.241463414634146</v>
      </c>
      <c r="E113" s="84" t="n">
        <v>0.366533864541833</v>
      </c>
      <c r="F113" s="84" t="n">
        <v>0.112449799196787</v>
      </c>
      <c r="G113" s="84" t="n">
        <v>0.231075697211155</v>
      </c>
      <c r="H113" s="84" t="n">
        <v>0.26392895052106</v>
      </c>
      <c r="I113" s="84" t="n">
        <v>0.338729128892627</v>
      </c>
      <c r="J113" s="84" t="n">
        <v>0.7208096028886189</v>
      </c>
      <c r="K113" s="84" t="n">
        <v>0.783544385382658</v>
      </c>
      <c r="L113" s="84" t="n">
        <v>0.895468736820262</v>
      </c>
      <c r="M113" s="84" t="n">
        <v>0.587878787878788</v>
      </c>
      <c r="N113" s="84" t="n">
        <v>0.69620253164557</v>
      </c>
      <c r="O113" s="84" t="n">
        <v>1</v>
      </c>
      <c r="P113" s="85">
        <f>AVERAGE(D113:I113)</f>
        <v/>
      </c>
      <c r="Q113" s="85">
        <f>AVERAGE(J113:L113)</f>
        <v/>
      </c>
      <c r="R113" s="85">
        <f>AVERAGE(M113:O113)</f>
        <v/>
      </c>
      <c r="S113" s="85">
        <f>'02_지표정의'!$C$22*P113+'02_지표정의'!$C$23*Q113+'02_지표정의'!$C$24*R113</f>
        <v/>
      </c>
      <c r="T113" s="73">
        <f>IF(OR(AND(B113="gemini",C113="gemma"),AND(B113="qwen3_6",C113="qwen"),AND(B113="mistral",C113="ministral")),1,0)</f>
        <v/>
      </c>
      <c r="U113" s="73">
        <f>IF(LEFT(A113,3)="PAT","특허","보고서")</f>
        <v/>
      </c>
      <c r="V113" s="86">
        <f>COUNTIF($S$2:$S$976,"&lt;"&amp;S113)+(COUNTIF($S$2:$S$976,"="&amp;S113)+1)/2</f>
        <v/>
      </c>
      <c r="W113" s="73">
        <f>IF(C113="qwen",0,COUNTIFS($C$2:$C$976,"&lt;&gt;qwen",$S$2:$S$976,"&lt;"&amp;S113)+1)</f>
        <v/>
      </c>
      <c r="X113" s="73">
        <f>IF(C113="ministral",0,COUNTIFS($C$2:$C$976,"&lt;&gt;ministral",$S$2:$S$976,"&lt;"&amp;S113)+1)</f>
        <v/>
      </c>
      <c r="Y113" s="73">
        <f>IF(C113="gemma",0,COUNTIFS($C$2:$C$976,"&lt;&gt;gemma",$S$2:$S$976,"&lt;"&amp;S113)+1)</f>
        <v/>
      </c>
      <c r="Z113" s="87">
        <f>COUNTIFS($B$2:$B$976,B113,$C$2:$C$976,C113,$S$2:$S$976,"&lt;"&amp;S113)+1</f>
        <v/>
      </c>
      <c r="AA113" s="88">
        <f>ABS(S113-SUMPRODUCT(('05B_가정검정'!$A$5:$A$19=B113)*('05B_가정검정'!$B$5:$B$19=C113)*'05B_가정검정'!$E$5:$E$19))</f>
        <v/>
      </c>
      <c r="AB113" s="88">
        <f>S113-AVERAGEIFS($S$2:$S$976,$B$2:$B$976,B113,$C$2:$C$976,C113)</f>
        <v/>
      </c>
    </row>
    <row r="114" ht="15" customHeight="1" s="68">
      <c r="A114" s="83" t="inlineStr">
        <is>
          <t>PAT-08</t>
        </is>
      </c>
      <c r="B114" s="83" t="inlineStr">
        <is>
          <t>gemini</t>
        </is>
      </c>
      <c r="C114" s="83" t="inlineStr">
        <is>
          <t>ministral</t>
        </is>
      </c>
      <c r="D114" s="84" t="n">
        <v>0.31043956043956</v>
      </c>
      <c r="E114" s="84" t="n">
        <v>0.283464566929134</v>
      </c>
      <c r="F114" s="84" t="n">
        <v>0.100263852242744</v>
      </c>
      <c r="G114" s="84" t="n">
        <v>0.204724409448819</v>
      </c>
      <c r="H114" s="84" t="n">
        <v>0.182690609979831</v>
      </c>
      <c r="I114" s="84" t="n">
        <v>0.494426267365409</v>
      </c>
      <c r="J114" s="84" t="n">
        <v>0.7378143515236401</v>
      </c>
      <c r="K114" s="84" t="n">
        <v>0.817037220141038</v>
      </c>
      <c r="L114" s="84" t="n">
        <v>0.911686476350519</v>
      </c>
      <c r="M114" s="84" t="n">
        <v>0.333333333333333</v>
      </c>
      <c r="N114" s="84" t="n">
        <v>0.407407407407407</v>
      </c>
      <c r="O114" s="84" t="n">
        <v>1</v>
      </c>
      <c r="P114" s="85">
        <f>AVERAGE(D114:I114)</f>
        <v/>
      </c>
      <c r="Q114" s="85">
        <f>AVERAGE(J114:L114)</f>
        <v/>
      </c>
      <c r="R114" s="85">
        <f>AVERAGE(M114:O114)</f>
        <v/>
      </c>
      <c r="S114" s="85">
        <f>'02_지표정의'!$C$22*P114+'02_지표정의'!$C$23*Q114+'02_지표정의'!$C$24*R114</f>
        <v/>
      </c>
      <c r="T114" s="73">
        <f>IF(OR(AND(B114="gemini",C114="gemma"),AND(B114="qwen3_6",C114="qwen"),AND(B114="mistral",C114="ministral")),1,0)</f>
        <v/>
      </c>
      <c r="U114" s="73">
        <f>IF(LEFT(A114,3)="PAT","특허","보고서")</f>
        <v/>
      </c>
      <c r="V114" s="86">
        <f>COUNTIF($S$2:$S$976,"&lt;"&amp;S114)+(COUNTIF($S$2:$S$976,"="&amp;S114)+1)/2</f>
        <v/>
      </c>
      <c r="W114" s="73">
        <f>IF(C114="qwen",0,COUNTIFS($C$2:$C$976,"&lt;&gt;qwen",$S$2:$S$976,"&lt;"&amp;S114)+1)</f>
        <v/>
      </c>
      <c r="X114" s="73">
        <f>IF(C114="ministral",0,COUNTIFS($C$2:$C$976,"&lt;&gt;ministral",$S$2:$S$976,"&lt;"&amp;S114)+1)</f>
        <v/>
      </c>
      <c r="Y114" s="73">
        <f>IF(C114="gemma",0,COUNTIFS($C$2:$C$976,"&lt;&gt;gemma",$S$2:$S$976,"&lt;"&amp;S114)+1)</f>
        <v/>
      </c>
      <c r="Z114" s="87">
        <f>COUNTIFS($B$2:$B$976,B114,$C$2:$C$976,C114,$S$2:$S$976,"&lt;"&amp;S114)+1</f>
        <v/>
      </c>
      <c r="AA114" s="88">
        <f>ABS(S114-SUMPRODUCT(('05B_가정검정'!$A$5:$A$19=B114)*('05B_가정검정'!$B$5:$B$19=C114)*'05B_가정검정'!$E$5:$E$19))</f>
        <v/>
      </c>
      <c r="AB114" s="88">
        <f>S114-AVERAGEIFS($S$2:$S$976,$B$2:$B$976,B114,$C$2:$C$976,C114)</f>
        <v/>
      </c>
    </row>
    <row r="115" ht="15" customHeight="1" s="68">
      <c r="A115" s="83" t="inlineStr">
        <is>
          <t>PAT-08</t>
        </is>
      </c>
      <c r="B115" s="83" t="inlineStr">
        <is>
          <t>gemini</t>
        </is>
      </c>
      <c r="C115" s="83" t="inlineStr">
        <is>
          <t>qwen</t>
        </is>
      </c>
      <c r="D115" s="84" t="n">
        <v>0.284297520661157</v>
      </c>
      <c r="E115" s="84" t="n">
        <v>0.552083333333333</v>
      </c>
      <c r="F115" s="84" t="n">
        <v>0.2</v>
      </c>
      <c r="G115" s="84" t="n">
        <v>0.34375</v>
      </c>
      <c r="H115" s="84" t="n">
        <v>0.417895323294149</v>
      </c>
      <c r="I115" s="84" t="n">
        <v>0.450235048412872</v>
      </c>
      <c r="J115" s="84" t="n">
        <v>0.790680537947932</v>
      </c>
      <c r="K115" s="84" t="n">
        <v>0.786717615494574</v>
      </c>
      <c r="L115" s="84" t="n">
        <v>0.898076215480079</v>
      </c>
      <c r="M115" s="84" t="n">
        <v>0.906542056074766</v>
      </c>
      <c r="N115" s="84" t="n">
        <v>0.916666666666667</v>
      </c>
      <c r="O115" s="84" t="n">
        <v>1</v>
      </c>
      <c r="P115" s="85">
        <f>AVERAGE(D115:I115)</f>
        <v/>
      </c>
      <c r="Q115" s="85">
        <f>AVERAGE(J115:L115)</f>
        <v/>
      </c>
      <c r="R115" s="85">
        <f>AVERAGE(M115:O115)</f>
        <v/>
      </c>
      <c r="S115" s="85">
        <f>'02_지표정의'!$C$22*P115+'02_지표정의'!$C$23*Q115+'02_지표정의'!$C$24*R115</f>
        <v/>
      </c>
      <c r="T115" s="73">
        <f>IF(OR(AND(B115="gemini",C115="gemma"),AND(B115="qwen3_6",C115="qwen"),AND(B115="mistral",C115="ministral")),1,0)</f>
        <v/>
      </c>
      <c r="U115" s="73">
        <f>IF(LEFT(A115,3)="PAT","특허","보고서")</f>
        <v/>
      </c>
      <c r="V115" s="86">
        <f>COUNTIF($S$2:$S$976,"&lt;"&amp;S115)+(COUNTIF($S$2:$S$976,"="&amp;S115)+1)/2</f>
        <v/>
      </c>
      <c r="W115" s="73">
        <f>IF(C115="qwen",0,COUNTIFS($C$2:$C$976,"&lt;&gt;qwen",$S$2:$S$976,"&lt;"&amp;S115)+1)</f>
        <v/>
      </c>
      <c r="X115" s="73">
        <f>IF(C115="ministral",0,COUNTIFS($C$2:$C$976,"&lt;&gt;ministral",$S$2:$S$976,"&lt;"&amp;S115)+1)</f>
        <v/>
      </c>
      <c r="Y115" s="73">
        <f>IF(C115="gemma",0,COUNTIFS($C$2:$C$976,"&lt;&gt;gemma",$S$2:$S$976,"&lt;"&amp;S115)+1)</f>
        <v/>
      </c>
      <c r="Z115" s="87">
        <f>COUNTIFS($B$2:$B$976,B115,$C$2:$C$976,C115,$S$2:$S$976,"&lt;"&amp;S115)+1</f>
        <v/>
      </c>
      <c r="AA115" s="88">
        <f>ABS(S115-SUMPRODUCT(('05B_가정검정'!$A$5:$A$19=B115)*('05B_가정검정'!$B$5:$B$19=C115)*'05B_가정검정'!$E$5:$E$19))</f>
        <v/>
      </c>
      <c r="AB115" s="88">
        <f>S115-AVERAGEIFS($S$2:$S$976,$B$2:$B$976,B115,$C$2:$C$976,C115)</f>
        <v/>
      </c>
    </row>
    <row r="116" ht="15" customHeight="1" s="68">
      <c r="A116" s="83" t="inlineStr">
        <is>
          <t>PAT-08</t>
        </is>
      </c>
      <c r="B116" s="83" t="inlineStr">
        <is>
          <t>mistral</t>
        </is>
      </c>
      <c r="C116" s="83" t="inlineStr">
        <is>
          <t>gemma</t>
        </is>
      </c>
      <c r="D116" s="84" t="n">
        <v>0.260303687635575</v>
      </c>
      <c r="E116" s="84" t="n">
        <v>0.326241134751773</v>
      </c>
      <c r="F116" s="84" t="n">
        <v>0.1</v>
      </c>
      <c r="G116" s="84" t="n">
        <v>0.25531914893617</v>
      </c>
      <c r="H116" s="84" t="n">
        <v>0.345540570679389</v>
      </c>
      <c r="I116" s="84" t="n">
        <v>0.348563155538714</v>
      </c>
      <c r="J116" s="84" t="n">
        <v>0.718924592042682</v>
      </c>
      <c r="K116" s="84" t="n">
        <v>0.704865009642248</v>
      </c>
      <c r="L116" s="84" t="n">
        <v>0.833445451472547</v>
      </c>
      <c r="M116" s="84" t="n">
        <v>0.612121212121212</v>
      </c>
      <c r="N116" s="84" t="n">
        <v>0.632911392405063</v>
      </c>
      <c r="O116" s="84" t="n">
        <v>1</v>
      </c>
      <c r="P116" s="85">
        <f>AVERAGE(D116:I116)</f>
        <v/>
      </c>
      <c r="Q116" s="85">
        <f>AVERAGE(J116:L116)</f>
        <v/>
      </c>
      <c r="R116" s="85">
        <f>AVERAGE(M116:O116)</f>
        <v/>
      </c>
      <c r="S116" s="85">
        <f>'02_지표정의'!$C$22*P116+'02_지표정의'!$C$23*Q116+'02_지표정의'!$C$24*R116</f>
        <v/>
      </c>
      <c r="T116" s="73">
        <f>IF(OR(AND(B116="gemini",C116="gemma"),AND(B116="qwen3_6",C116="qwen"),AND(B116="mistral",C116="ministral")),1,0)</f>
        <v/>
      </c>
      <c r="U116" s="73">
        <f>IF(LEFT(A116,3)="PAT","특허","보고서")</f>
        <v/>
      </c>
      <c r="V116" s="86">
        <f>COUNTIF($S$2:$S$976,"&lt;"&amp;S116)+(COUNTIF($S$2:$S$976,"="&amp;S116)+1)/2</f>
        <v/>
      </c>
      <c r="W116" s="73">
        <f>IF(C116="qwen",0,COUNTIFS($C$2:$C$976,"&lt;&gt;qwen",$S$2:$S$976,"&lt;"&amp;S116)+1)</f>
        <v/>
      </c>
      <c r="X116" s="73">
        <f>IF(C116="ministral",0,COUNTIFS($C$2:$C$976,"&lt;&gt;ministral",$S$2:$S$976,"&lt;"&amp;S116)+1)</f>
        <v/>
      </c>
      <c r="Y116" s="73">
        <f>IF(C116="gemma",0,COUNTIFS($C$2:$C$976,"&lt;&gt;gemma",$S$2:$S$976,"&lt;"&amp;S116)+1)</f>
        <v/>
      </c>
      <c r="Z116" s="87">
        <f>COUNTIFS($B$2:$B$976,B116,$C$2:$C$976,C116,$S$2:$S$976,"&lt;"&amp;S116)+1</f>
        <v/>
      </c>
      <c r="AA116" s="88">
        <f>ABS(S116-SUMPRODUCT(('05B_가정검정'!$A$5:$A$19=B116)*('05B_가정검정'!$B$5:$B$19=C116)*'05B_가정검정'!$E$5:$E$19))</f>
        <v/>
      </c>
      <c r="AB116" s="88">
        <f>S116-AVERAGEIFS($S$2:$S$976,$B$2:$B$976,B116,$C$2:$C$976,C116)</f>
        <v/>
      </c>
    </row>
    <row r="117" ht="15" customHeight="1" s="68">
      <c r="A117" s="83" t="inlineStr">
        <is>
          <t>PAT-08</t>
        </is>
      </c>
      <c r="B117" s="83" t="inlineStr">
        <is>
          <t>mistral</t>
        </is>
      </c>
      <c r="C117" s="83" t="inlineStr">
        <is>
          <t>ministral</t>
        </is>
      </c>
      <c r="D117" s="84" t="n">
        <v>0.337349397590361</v>
      </c>
      <c r="E117" s="84" t="n">
        <v>0.393203883495146</v>
      </c>
      <c r="F117" s="84" t="n">
        <v>0.151219512195122</v>
      </c>
      <c r="G117" s="84" t="n">
        <v>0.257281553398058</v>
      </c>
      <c r="H117" s="84" t="n">
        <v>0.246345847845861</v>
      </c>
      <c r="I117" s="84" t="n">
        <v>0.492935265010258</v>
      </c>
      <c r="J117" s="84" t="n">
        <v>0.728131449872957</v>
      </c>
      <c r="K117" s="84" t="n">
        <v>0.719992410162874</v>
      </c>
      <c r="L117" s="84" t="n">
        <v>0.844849640546721</v>
      </c>
      <c r="M117" s="84" t="n">
        <v>0.40893470790378</v>
      </c>
      <c r="N117" s="84" t="n">
        <v>0.355555555555556</v>
      </c>
      <c r="O117" s="84" t="n">
        <v>1</v>
      </c>
      <c r="P117" s="85">
        <f>AVERAGE(D117:I117)</f>
        <v/>
      </c>
      <c r="Q117" s="85">
        <f>AVERAGE(J117:L117)</f>
        <v/>
      </c>
      <c r="R117" s="85">
        <f>AVERAGE(M117:O117)</f>
        <v/>
      </c>
      <c r="S117" s="85">
        <f>'02_지표정의'!$C$22*P117+'02_지표정의'!$C$23*Q117+'02_지표정의'!$C$24*R117</f>
        <v/>
      </c>
      <c r="T117" s="73">
        <f>IF(OR(AND(B117="gemini",C117="gemma"),AND(B117="qwen3_6",C117="qwen"),AND(B117="mistral",C117="ministral")),1,0)</f>
        <v/>
      </c>
      <c r="U117" s="73">
        <f>IF(LEFT(A117,3)="PAT","특허","보고서")</f>
        <v/>
      </c>
      <c r="V117" s="86">
        <f>COUNTIF($S$2:$S$976,"&lt;"&amp;S117)+(COUNTIF($S$2:$S$976,"="&amp;S117)+1)/2</f>
        <v/>
      </c>
      <c r="W117" s="73">
        <f>IF(C117="qwen",0,COUNTIFS($C$2:$C$976,"&lt;&gt;qwen",$S$2:$S$976,"&lt;"&amp;S117)+1)</f>
        <v/>
      </c>
      <c r="X117" s="73">
        <f>IF(C117="ministral",0,COUNTIFS($C$2:$C$976,"&lt;&gt;ministral",$S$2:$S$976,"&lt;"&amp;S117)+1)</f>
        <v/>
      </c>
      <c r="Y117" s="73">
        <f>IF(C117="gemma",0,COUNTIFS($C$2:$C$976,"&lt;&gt;gemma",$S$2:$S$976,"&lt;"&amp;S117)+1)</f>
        <v/>
      </c>
      <c r="Z117" s="87">
        <f>COUNTIFS($B$2:$B$976,B117,$C$2:$C$976,C117,$S$2:$S$976,"&lt;"&amp;S117)+1</f>
        <v/>
      </c>
      <c r="AA117" s="88">
        <f>ABS(S117-SUMPRODUCT(('05B_가정검정'!$A$5:$A$19=B117)*('05B_가정검정'!$B$5:$B$19=C117)*'05B_가정검정'!$E$5:$E$19))</f>
        <v/>
      </c>
      <c r="AB117" s="88">
        <f>S117-AVERAGEIFS($S$2:$S$976,$B$2:$B$976,B117,$C$2:$C$976,C117)</f>
        <v/>
      </c>
    </row>
    <row r="118" ht="15" customHeight="1" s="68">
      <c r="A118" s="83" t="inlineStr">
        <is>
          <t>PAT-08</t>
        </is>
      </c>
      <c r="B118" s="83" t="inlineStr">
        <is>
          <t>mistral</t>
        </is>
      </c>
      <c r="C118" s="83" t="inlineStr">
        <is>
          <t>qwen</t>
        </is>
      </c>
      <c r="D118" s="84" t="n">
        <v>0.308345120226308</v>
      </c>
      <c r="E118" s="84" t="n">
        <v>0.457399103139013</v>
      </c>
      <c r="F118" s="84" t="n">
        <v>0.144796380090498</v>
      </c>
      <c r="G118" s="84" t="n">
        <v>0.349775784753363</v>
      </c>
      <c r="H118" s="84" t="n">
        <v>0.321510925736143</v>
      </c>
      <c r="I118" s="84" t="n">
        <v>0.500190377128257</v>
      </c>
      <c r="J118" s="84" t="n">
        <v>0.740993378101691</v>
      </c>
      <c r="K118" s="84" t="n">
        <v>0.6251983319261331</v>
      </c>
      <c r="L118" s="84" t="n">
        <v>0.845065718455793</v>
      </c>
      <c r="M118" s="84" t="n">
        <v>0.659259259259259</v>
      </c>
      <c r="N118" s="84" t="n">
        <v>0.6621621621621619</v>
      </c>
      <c r="O118" s="84" t="n">
        <v>1</v>
      </c>
      <c r="P118" s="85">
        <f>AVERAGE(D118:I118)</f>
        <v/>
      </c>
      <c r="Q118" s="85">
        <f>AVERAGE(J118:L118)</f>
        <v/>
      </c>
      <c r="R118" s="85">
        <f>AVERAGE(M118:O118)</f>
        <v/>
      </c>
      <c r="S118" s="85">
        <f>'02_지표정의'!$C$22*P118+'02_지표정의'!$C$23*Q118+'02_지표정의'!$C$24*R118</f>
        <v/>
      </c>
      <c r="T118" s="73">
        <f>IF(OR(AND(B118="gemini",C118="gemma"),AND(B118="qwen3_6",C118="qwen"),AND(B118="mistral",C118="ministral")),1,0)</f>
        <v/>
      </c>
      <c r="U118" s="73">
        <f>IF(LEFT(A118,3)="PAT","특허","보고서")</f>
        <v/>
      </c>
      <c r="V118" s="86">
        <f>COUNTIF($S$2:$S$976,"&lt;"&amp;S118)+(COUNTIF($S$2:$S$976,"="&amp;S118)+1)/2</f>
        <v/>
      </c>
      <c r="W118" s="73">
        <f>IF(C118="qwen",0,COUNTIFS($C$2:$C$976,"&lt;&gt;qwen",$S$2:$S$976,"&lt;"&amp;S118)+1)</f>
        <v/>
      </c>
      <c r="X118" s="73">
        <f>IF(C118="ministral",0,COUNTIFS($C$2:$C$976,"&lt;&gt;ministral",$S$2:$S$976,"&lt;"&amp;S118)+1)</f>
        <v/>
      </c>
      <c r="Y118" s="73">
        <f>IF(C118="gemma",0,COUNTIFS($C$2:$C$976,"&lt;&gt;gemma",$S$2:$S$976,"&lt;"&amp;S118)+1)</f>
        <v/>
      </c>
      <c r="Z118" s="87">
        <f>COUNTIFS($B$2:$B$976,B118,$C$2:$C$976,C118,$S$2:$S$976,"&lt;"&amp;S118)+1</f>
        <v/>
      </c>
      <c r="AA118" s="88">
        <f>ABS(S118-SUMPRODUCT(('05B_가정검정'!$A$5:$A$19=B118)*('05B_가정검정'!$B$5:$B$19=C118)*'05B_가정검정'!$E$5:$E$19))</f>
        <v/>
      </c>
      <c r="AB118" s="88">
        <f>S118-AVERAGEIFS($S$2:$S$976,$B$2:$B$976,B118,$C$2:$C$976,C118)</f>
        <v/>
      </c>
    </row>
    <row r="119" ht="15" customHeight="1" s="68">
      <c r="A119" s="83" t="inlineStr">
        <is>
          <t>PAT-08</t>
        </is>
      </c>
      <c r="B119" s="83" t="inlineStr">
        <is>
          <t>qwen3_6</t>
        </is>
      </c>
      <c r="C119" s="83" t="inlineStr">
        <is>
          <t>gemma</t>
        </is>
      </c>
      <c r="D119" s="84" t="n">
        <v>0.237179487179487</v>
      </c>
      <c r="E119" s="84" t="n">
        <v>0.323024054982818</v>
      </c>
      <c r="F119" s="84" t="n">
        <v>0.110726643598616</v>
      </c>
      <c r="G119" s="84" t="n">
        <v>0.247422680412371</v>
      </c>
      <c r="H119" s="84" t="n">
        <v>0.318770476836628</v>
      </c>
      <c r="I119" s="84" t="n">
        <v>0.308802416192488</v>
      </c>
      <c r="J119" s="84" t="n">
        <v>0.715173112828306</v>
      </c>
      <c r="K119" s="84" t="n">
        <v>0.695780341135007</v>
      </c>
      <c r="L119" s="84" t="n">
        <v>0.830980052791135</v>
      </c>
      <c r="M119" s="84" t="n">
        <v>0.587878787878788</v>
      </c>
      <c r="N119" s="84" t="n">
        <v>0.69620253164557</v>
      </c>
      <c r="O119" s="84" t="n">
        <v>1</v>
      </c>
      <c r="P119" s="85">
        <f>AVERAGE(D119:I119)</f>
        <v/>
      </c>
      <c r="Q119" s="85">
        <f>AVERAGE(J119:L119)</f>
        <v/>
      </c>
      <c r="R119" s="85">
        <f>AVERAGE(M119:O119)</f>
        <v/>
      </c>
      <c r="S119" s="85">
        <f>'02_지표정의'!$C$22*P119+'02_지표정의'!$C$23*Q119+'02_지표정의'!$C$24*R119</f>
        <v/>
      </c>
      <c r="T119" s="73">
        <f>IF(OR(AND(B119="gemini",C119="gemma"),AND(B119="qwen3_6",C119="qwen"),AND(B119="mistral",C119="ministral")),1,0)</f>
        <v/>
      </c>
      <c r="U119" s="73">
        <f>IF(LEFT(A119,3)="PAT","특허","보고서")</f>
        <v/>
      </c>
      <c r="V119" s="86">
        <f>COUNTIF($S$2:$S$976,"&lt;"&amp;S119)+(COUNTIF($S$2:$S$976,"="&amp;S119)+1)/2</f>
        <v/>
      </c>
      <c r="W119" s="73">
        <f>IF(C119="qwen",0,COUNTIFS($C$2:$C$976,"&lt;&gt;qwen",$S$2:$S$976,"&lt;"&amp;S119)+1)</f>
        <v/>
      </c>
      <c r="X119" s="73">
        <f>IF(C119="ministral",0,COUNTIFS($C$2:$C$976,"&lt;&gt;ministral",$S$2:$S$976,"&lt;"&amp;S119)+1)</f>
        <v/>
      </c>
      <c r="Y119" s="73">
        <f>IF(C119="gemma",0,COUNTIFS($C$2:$C$976,"&lt;&gt;gemma",$S$2:$S$976,"&lt;"&amp;S119)+1)</f>
        <v/>
      </c>
      <c r="Z119" s="87">
        <f>COUNTIFS($B$2:$B$976,B119,$C$2:$C$976,C119,$S$2:$S$976,"&lt;"&amp;S119)+1</f>
        <v/>
      </c>
      <c r="AA119" s="88">
        <f>ABS(S119-SUMPRODUCT(('05B_가정검정'!$A$5:$A$19=B119)*('05B_가정검정'!$B$5:$B$19=C119)*'05B_가정검정'!$E$5:$E$19))</f>
        <v/>
      </c>
      <c r="AB119" s="88">
        <f>S119-AVERAGEIFS($S$2:$S$976,$B$2:$B$976,B119,$C$2:$C$976,C119)</f>
        <v/>
      </c>
    </row>
    <row r="120" ht="15" customHeight="1" s="68">
      <c r="A120" s="83" t="inlineStr">
        <is>
          <t>PAT-08</t>
        </is>
      </c>
      <c r="B120" s="83" t="inlineStr">
        <is>
          <t>qwen3_6</t>
        </is>
      </c>
      <c r="C120" s="83" t="inlineStr">
        <is>
          <t>ministral</t>
        </is>
      </c>
      <c r="D120" s="84" t="n">
        <v>0.291469194312796</v>
      </c>
      <c r="E120" s="84" t="n">
        <v>0.332541567695962</v>
      </c>
      <c r="F120" s="84" t="n">
        <v>0.119331742243437</v>
      </c>
      <c r="G120" s="84" t="n">
        <v>0.237529691211401</v>
      </c>
      <c r="H120" s="84" t="n">
        <v>0.235506032156951</v>
      </c>
      <c r="I120" s="84" t="n">
        <v>0.531416538811857</v>
      </c>
      <c r="J120" s="84" t="n">
        <v>0.722572319355068</v>
      </c>
      <c r="K120" s="84" t="n">
        <v>0.725985339051587</v>
      </c>
      <c r="L120" s="84" t="n">
        <v>0.85772780346596</v>
      </c>
      <c r="M120" s="84" t="n">
        <v>0.333333333333333</v>
      </c>
      <c r="N120" s="84" t="n">
        <v>0.407407407407407</v>
      </c>
      <c r="O120" s="84" t="n">
        <v>1</v>
      </c>
      <c r="P120" s="85">
        <f>AVERAGE(D120:I120)</f>
        <v/>
      </c>
      <c r="Q120" s="85">
        <f>AVERAGE(J120:L120)</f>
        <v/>
      </c>
      <c r="R120" s="85">
        <f>AVERAGE(M120:O120)</f>
        <v/>
      </c>
      <c r="S120" s="85">
        <f>'02_지표정의'!$C$22*P120+'02_지표정의'!$C$23*Q120+'02_지표정의'!$C$24*R120</f>
        <v/>
      </c>
      <c r="T120" s="73">
        <f>IF(OR(AND(B120="gemini",C120="gemma"),AND(B120="qwen3_6",C120="qwen"),AND(B120="mistral",C120="ministral")),1,0)</f>
        <v/>
      </c>
      <c r="U120" s="73">
        <f>IF(LEFT(A120,3)="PAT","특허","보고서")</f>
        <v/>
      </c>
      <c r="V120" s="86">
        <f>COUNTIF($S$2:$S$976,"&lt;"&amp;S120)+(COUNTIF($S$2:$S$976,"="&amp;S120)+1)/2</f>
        <v/>
      </c>
      <c r="W120" s="73">
        <f>IF(C120="qwen",0,COUNTIFS($C$2:$C$976,"&lt;&gt;qwen",$S$2:$S$976,"&lt;"&amp;S120)+1)</f>
        <v/>
      </c>
      <c r="X120" s="73">
        <f>IF(C120="ministral",0,COUNTIFS($C$2:$C$976,"&lt;&gt;ministral",$S$2:$S$976,"&lt;"&amp;S120)+1)</f>
        <v/>
      </c>
      <c r="Y120" s="73">
        <f>IF(C120="gemma",0,COUNTIFS($C$2:$C$976,"&lt;&gt;gemma",$S$2:$S$976,"&lt;"&amp;S120)+1)</f>
        <v/>
      </c>
      <c r="Z120" s="87">
        <f>COUNTIFS($B$2:$B$976,B120,$C$2:$C$976,C120,$S$2:$S$976,"&lt;"&amp;S120)+1</f>
        <v/>
      </c>
      <c r="AA120" s="88">
        <f>ABS(S120-SUMPRODUCT(('05B_가정검정'!$A$5:$A$19=B120)*('05B_가정검정'!$B$5:$B$19=C120)*'05B_가정검정'!$E$5:$E$19))</f>
        <v/>
      </c>
      <c r="AB120" s="88">
        <f>S120-AVERAGEIFS($S$2:$S$976,$B$2:$B$976,B120,$C$2:$C$976,C120)</f>
        <v/>
      </c>
    </row>
    <row r="121" ht="15" customHeight="1" s="68">
      <c r="A121" s="83" t="inlineStr">
        <is>
          <t>PAT-08</t>
        </is>
      </c>
      <c r="B121" s="83" t="inlineStr">
        <is>
          <t>qwen3_6</t>
        </is>
      </c>
      <c r="C121" s="83" t="inlineStr">
        <is>
          <t>qwen</t>
        </is>
      </c>
      <c r="D121" s="84" t="n">
        <v>0.263522884882108</v>
      </c>
      <c r="E121" s="84" t="n">
        <v>0.456896551724138</v>
      </c>
      <c r="F121" s="84" t="n">
        <v>0.156521739130435</v>
      </c>
      <c r="G121" s="84" t="n">
        <v>0.344827586206897</v>
      </c>
      <c r="H121" s="84" t="n">
        <v>0.391633567930505</v>
      </c>
      <c r="I121" s="84" t="n">
        <v>0.438384381768377</v>
      </c>
      <c r="J121" s="84" t="n">
        <v>0.731892817667213</v>
      </c>
      <c r="K121" s="84" t="n">
        <v>0.640217817620927</v>
      </c>
      <c r="L121" s="84" t="n">
        <v>0.875447081061948</v>
      </c>
      <c r="M121" s="84" t="n">
        <v>0.906542056074766</v>
      </c>
      <c r="N121" s="84" t="n">
        <v>0.916666666666667</v>
      </c>
      <c r="O121" s="84" t="n">
        <v>1</v>
      </c>
      <c r="P121" s="85">
        <f>AVERAGE(D121:I121)</f>
        <v/>
      </c>
      <c r="Q121" s="85">
        <f>AVERAGE(J121:L121)</f>
        <v/>
      </c>
      <c r="R121" s="85">
        <f>AVERAGE(M121:O121)</f>
        <v/>
      </c>
      <c r="S121" s="85">
        <f>'02_지표정의'!$C$22*P121+'02_지표정의'!$C$23*Q121+'02_지표정의'!$C$24*R121</f>
        <v/>
      </c>
      <c r="T121" s="73">
        <f>IF(OR(AND(B121="gemini",C121="gemma"),AND(B121="qwen3_6",C121="qwen"),AND(B121="mistral",C121="ministral")),1,0)</f>
        <v/>
      </c>
      <c r="U121" s="73">
        <f>IF(LEFT(A121,3)="PAT","특허","보고서")</f>
        <v/>
      </c>
      <c r="V121" s="86">
        <f>COUNTIF($S$2:$S$976,"&lt;"&amp;S121)+(COUNTIF($S$2:$S$976,"="&amp;S121)+1)/2</f>
        <v/>
      </c>
      <c r="W121" s="73">
        <f>IF(C121="qwen",0,COUNTIFS($C$2:$C$976,"&lt;&gt;qwen",$S$2:$S$976,"&lt;"&amp;S121)+1)</f>
        <v/>
      </c>
      <c r="X121" s="73">
        <f>IF(C121="ministral",0,COUNTIFS($C$2:$C$976,"&lt;&gt;ministral",$S$2:$S$976,"&lt;"&amp;S121)+1)</f>
        <v/>
      </c>
      <c r="Y121" s="73">
        <f>IF(C121="gemma",0,COUNTIFS($C$2:$C$976,"&lt;&gt;gemma",$S$2:$S$976,"&lt;"&amp;S121)+1)</f>
        <v/>
      </c>
      <c r="Z121" s="87">
        <f>COUNTIFS($B$2:$B$976,B121,$C$2:$C$976,C121,$S$2:$S$976,"&lt;"&amp;S121)+1</f>
        <v/>
      </c>
      <c r="AA121" s="88">
        <f>ABS(S121-SUMPRODUCT(('05B_가정검정'!$A$5:$A$19=B121)*('05B_가정검정'!$B$5:$B$19=C121)*'05B_가정검정'!$E$5:$E$19))</f>
        <v/>
      </c>
      <c r="AB121" s="88">
        <f>S121-AVERAGEIFS($S$2:$S$976,$B$2:$B$976,B121,$C$2:$C$976,C121)</f>
        <v/>
      </c>
    </row>
    <row r="122" ht="15" customHeight="1" s="68">
      <c r="A122" s="83" t="inlineStr">
        <is>
          <t>PAT-09</t>
        </is>
      </c>
      <c r="B122" s="83" t="inlineStr">
        <is>
          <t>chatgpt</t>
        </is>
      </c>
      <c r="C122" s="83" t="inlineStr">
        <is>
          <t>gemma</t>
        </is>
      </c>
      <c r="D122" s="84" t="n">
        <v>0.231966053748232</v>
      </c>
      <c r="E122" s="84" t="n">
        <v>0.267857142857143</v>
      </c>
      <c r="F122" s="84" t="n">
        <v>0.0900900900900901</v>
      </c>
      <c r="G122" s="84" t="n">
        <v>0.232142857142857</v>
      </c>
      <c r="H122" s="84" t="n">
        <v>0.223884999295672</v>
      </c>
      <c r="I122" s="84" t="n">
        <v>0.20558491194379</v>
      </c>
      <c r="J122" s="84" t="n">
        <v>0.711672821249912</v>
      </c>
      <c r="K122" s="84" t="n">
        <v>0.634324564503034</v>
      </c>
      <c r="L122" s="84" t="n">
        <v>0.810015634646164</v>
      </c>
      <c r="M122" s="84" t="n">
        <v>0.497076023391813</v>
      </c>
      <c r="N122" s="84" t="n">
        <v>0.206521739130435</v>
      </c>
      <c r="O122" s="84" t="n">
        <v>1</v>
      </c>
      <c r="P122" s="85">
        <f>AVERAGE(D122:I122)</f>
        <v/>
      </c>
      <c r="Q122" s="85">
        <f>AVERAGE(J122:L122)</f>
        <v/>
      </c>
      <c r="R122" s="85">
        <f>AVERAGE(M122:O122)</f>
        <v/>
      </c>
      <c r="S122" s="85">
        <f>'02_지표정의'!$C$22*P122+'02_지표정의'!$C$23*Q122+'02_지표정의'!$C$24*R122</f>
        <v/>
      </c>
      <c r="T122" s="73">
        <f>IF(OR(AND(B122="gemini",C122="gemma"),AND(B122="qwen3_6",C122="qwen"),AND(B122="mistral",C122="ministral")),1,0)</f>
        <v/>
      </c>
      <c r="U122" s="73">
        <f>IF(LEFT(A122,3)="PAT","특허","보고서")</f>
        <v/>
      </c>
      <c r="V122" s="86">
        <f>COUNTIF($S$2:$S$976,"&lt;"&amp;S122)+(COUNTIF($S$2:$S$976,"="&amp;S122)+1)/2</f>
        <v/>
      </c>
      <c r="W122" s="73">
        <f>IF(C122="qwen",0,COUNTIFS($C$2:$C$976,"&lt;&gt;qwen",$S$2:$S$976,"&lt;"&amp;S122)+1)</f>
        <v/>
      </c>
      <c r="X122" s="73">
        <f>IF(C122="ministral",0,COUNTIFS($C$2:$C$976,"&lt;&gt;ministral",$S$2:$S$976,"&lt;"&amp;S122)+1)</f>
        <v/>
      </c>
      <c r="Y122" s="73">
        <f>IF(C122="gemma",0,COUNTIFS($C$2:$C$976,"&lt;&gt;gemma",$S$2:$S$976,"&lt;"&amp;S122)+1)</f>
        <v/>
      </c>
      <c r="Z122" s="87">
        <f>COUNTIFS($B$2:$B$976,B122,$C$2:$C$976,C122,$S$2:$S$976,"&lt;"&amp;S122)+1</f>
        <v/>
      </c>
      <c r="AA122" s="88">
        <f>ABS(S122-SUMPRODUCT(('05B_가정검정'!$A$5:$A$19=B122)*('05B_가정검정'!$B$5:$B$19=C122)*'05B_가정검정'!$E$5:$E$19))</f>
        <v/>
      </c>
      <c r="AB122" s="88">
        <f>S122-AVERAGEIFS($S$2:$S$976,$B$2:$B$976,B122,$C$2:$C$976,C122)</f>
        <v/>
      </c>
    </row>
    <row r="123" ht="15" customHeight="1" s="68">
      <c r="A123" s="83" t="inlineStr">
        <is>
          <t>PAT-09</t>
        </is>
      </c>
      <c r="B123" s="83" t="inlineStr">
        <is>
          <t>chatgpt</t>
        </is>
      </c>
      <c r="C123" s="83" t="inlineStr">
        <is>
          <t>ministral</t>
        </is>
      </c>
      <c r="D123" s="84" t="n">
        <v>0.339563862928349</v>
      </c>
      <c r="E123" s="84" t="n">
        <v>0.3125</v>
      </c>
      <c r="F123" s="84" t="n">
        <v>0.133858267716535</v>
      </c>
      <c r="G123" s="84" t="n">
        <v>0.2421875</v>
      </c>
      <c r="H123" s="84" t="n">
        <v>0.159934731509456</v>
      </c>
      <c r="I123" s="84" t="n">
        <v>0.369564691056011</v>
      </c>
      <c r="J123" s="84" t="n">
        <v>0.6896615809591981</v>
      </c>
      <c r="K123" s="84" t="n">
        <v>0.692082836933732</v>
      </c>
      <c r="L123" s="84" t="n">
        <v>0.8324305028434</v>
      </c>
      <c r="M123" s="84" t="n">
        <v>0.371428571428571</v>
      </c>
      <c r="N123" s="84" t="n">
        <v>0</v>
      </c>
      <c r="O123" s="84" t="n">
        <v>0.526315789473684</v>
      </c>
      <c r="P123" s="85">
        <f>AVERAGE(D123:I123)</f>
        <v/>
      </c>
      <c r="Q123" s="85">
        <f>AVERAGE(J123:L123)</f>
        <v/>
      </c>
      <c r="R123" s="85">
        <f>AVERAGE(M123:O123)</f>
        <v/>
      </c>
      <c r="S123" s="85">
        <f>'02_지표정의'!$C$22*P123+'02_지표정의'!$C$23*Q123+'02_지표정의'!$C$24*R123</f>
        <v/>
      </c>
      <c r="T123" s="73">
        <f>IF(OR(AND(B123="gemini",C123="gemma"),AND(B123="qwen3_6",C123="qwen"),AND(B123="mistral",C123="ministral")),1,0)</f>
        <v/>
      </c>
      <c r="U123" s="73">
        <f>IF(LEFT(A123,3)="PAT","특허","보고서")</f>
        <v/>
      </c>
      <c r="V123" s="86">
        <f>COUNTIF($S$2:$S$976,"&lt;"&amp;S123)+(COUNTIF($S$2:$S$976,"="&amp;S123)+1)/2</f>
        <v/>
      </c>
      <c r="W123" s="73">
        <f>IF(C123="qwen",0,COUNTIFS($C$2:$C$976,"&lt;&gt;qwen",$S$2:$S$976,"&lt;"&amp;S123)+1)</f>
        <v/>
      </c>
      <c r="X123" s="73">
        <f>IF(C123="ministral",0,COUNTIFS($C$2:$C$976,"&lt;&gt;ministral",$S$2:$S$976,"&lt;"&amp;S123)+1)</f>
        <v/>
      </c>
      <c r="Y123" s="73">
        <f>IF(C123="gemma",0,COUNTIFS($C$2:$C$976,"&lt;&gt;gemma",$S$2:$S$976,"&lt;"&amp;S123)+1)</f>
        <v/>
      </c>
      <c r="Z123" s="87">
        <f>COUNTIFS($B$2:$B$976,B123,$C$2:$C$976,C123,$S$2:$S$976,"&lt;"&amp;S123)+1</f>
        <v/>
      </c>
      <c r="AA123" s="88">
        <f>ABS(S123-SUMPRODUCT(('05B_가정검정'!$A$5:$A$19=B123)*('05B_가정검정'!$B$5:$B$19=C123)*'05B_가정검정'!$E$5:$E$19))</f>
        <v/>
      </c>
      <c r="AB123" s="88">
        <f>S123-AVERAGEIFS($S$2:$S$976,$B$2:$B$976,B123,$C$2:$C$976,C123)</f>
        <v/>
      </c>
    </row>
    <row r="124" ht="15" customHeight="1" s="68">
      <c r="A124" s="83" t="inlineStr">
        <is>
          <t>PAT-09</t>
        </is>
      </c>
      <c r="B124" s="83" t="inlineStr">
        <is>
          <t>chatgpt</t>
        </is>
      </c>
      <c r="C124" s="83" t="inlineStr">
        <is>
          <t>qwen</t>
        </is>
      </c>
      <c r="D124" s="84" t="n">
        <v>0.29984544049459</v>
      </c>
      <c r="E124" s="84" t="n">
        <v>0.368932038834951</v>
      </c>
      <c r="F124" s="84" t="n">
        <v>0.147058823529412</v>
      </c>
      <c r="G124" s="84" t="n">
        <v>0.281553398058252</v>
      </c>
      <c r="H124" s="84" t="n">
        <v>0.24878842835782</v>
      </c>
      <c r="I124" s="84" t="n">
        <v>0.32620317599847</v>
      </c>
      <c r="J124" s="84" t="n">
        <v>0.723263582540178</v>
      </c>
      <c r="K124" s="84" t="n">
        <v>0.629410445239696</v>
      </c>
      <c r="L124" s="84" t="n">
        <v>0.844263000450673</v>
      </c>
      <c r="M124" s="84" t="n">
        <v>0.461988304093567</v>
      </c>
      <c r="N124" s="84" t="n">
        <v>0</v>
      </c>
      <c r="O124" s="84" t="n">
        <v>1</v>
      </c>
      <c r="P124" s="85">
        <f>AVERAGE(D124:I124)</f>
        <v/>
      </c>
      <c r="Q124" s="85">
        <f>AVERAGE(J124:L124)</f>
        <v/>
      </c>
      <c r="R124" s="85">
        <f>AVERAGE(M124:O124)</f>
        <v/>
      </c>
      <c r="S124" s="85">
        <f>'02_지표정의'!$C$22*P124+'02_지표정의'!$C$23*Q124+'02_지표정의'!$C$24*R124</f>
        <v/>
      </c>
      <c r="T124" s="73">
        <f>IF(OR(AND(B124="gemini",C124="gemma"),AND(B124="qwen3_6",C124="qwen"),AND(B124="mistral",C124="ministral")),1,0)</f>
        <v/>
      </c>
      <c r="U124" s="73">
        <f>IF(LEFT(A124,3)="PAT","특허","보고서")</f>
        <v/>
      </c>
      <c r="V124" s="86">
        <f>COUNTIF($S$2:$S$976,"&lt;"&amp;S124)+(COUNTIF($S$2:$S$976,"="&amp;S124)+1)/2</f>
        <v/>
      </c>
      <c r="W124" s="73">
        <f>IF(C124="qwen",0,COUNTIFS($C$2:$C$976,"&lt;&gt;qwen",$S$2:$S$976,"&lt;"&amp;S124)+1)</f>
        <v/>
      </c>
      <c r="X124" s="73">
        <f>IF(C124="ministral",0,COUNTIFS($C$2:$C$976,"&lt;&gt;ministral",$S$2:$S$976,"&lt;"&amp;S124)+1)</f>
        <v/>
      </c>
      <c r="Y124" s="73">
        <f>IF(C124="gemma",0,COUNTIFS($C$2:$C$976,"&lt;&gt;gemma",$S$2:$S$976,"&lt;"&amp;S124)+1)</f>
        <v/>
      </c>
      <c r="Z124" s="87">
        <f>COUNTIFS($B$2:$B$976,B124,$C$2:$C$976,C124,$S$2:$S$976,"&lt;"&amp;S124)+1</f>
        <v/>
      </c>
      <c r="AA124" s="88">
        <f>ABS(S124-SUMPRODUCT(('05B_가정검정'!$A$5:$A$19=B124)*('05B_가정검정'!$B$5:$B$19=C124)*'05B_가정검정'!$E$5:$E$19))</f>
        <v/>
      </c>
      <c r="AB124" s="88">
        <f>S124-AVERAGEIFS($S$2:$S$976,$B$2:$B$976,B124,$C$2:$C$976,C124)</f>
        <v/>
      </c>
    </row>
    <row r="125" ht="15" customHeight="1" s="68">
      <c r="A125" s="83" t="inlineStr">
        <is>
          <t>PAT-09</t>
        </is>
      </c>
      <c r="B125" s="83" t="inlineStr">
        <is>
          <t>claude</t>
        </is>
      </c>
      <c r="C125" s="83" t="inlineStr">
        <is>
          <t>gemma</t>
        </is>
      </c>
      <c r="D125" s="84" t="n">
        <v>0.223506743737958</v>
      </c>
      <c r="E125" s="84" t="n">
        <v>0.253968253968254</v>
      </c>
      <c r="F125" s="84" t="n">
        <v>0.0830670926517572</v>
      </c>
      <c r="G125" s="84" t="n">
        <v>0.171428571428572</v>
      </c>
      <c r="H125" s="84" t="n">
        <v>0.317068661266401</v>
      </c>
      <c r="I125" s="84" t="n">
        <v>0.154654135268443</v>
      </c>
      <c r="J125" s="84" t="n">
        <v>0.682102649406131</v>
      </c>
      <c r="K125" s="84" t="n">
        <v>0.627299053912961</v>
      </c>
      <c r="L125" s="84" t="n">
        <v>0.832490080784516</v>
      </c>
      <c r="M125" s="84" t="n">
        <v>0.664285714285714</v>
      </c>
      <c r="N125" s="84" t="n">
        <v>0.597560975609756</v>
      </c>
      <c r="O125" s="84" t="n">
        <v>1</v>
      </c>
      <c r="P125" s="85">
        <f>AVERAGE(D125:I125)</f>
        <v/>
      </c>
      <c r="Q125" s="85">
        <f>AVERAGE(J125:L125)</f>
        <v/>
      </c>
      <c r="R125" s="85">
        <f>AVERAGE(M125:O125)</f>
        <v/>
      </c>
      <c r="S125" s="85">
        <f>'02_지표정의'!$C$22*P125+'02_지표정의'!$C$23*Q125+'02_지표정의'!$C$24*R125</f>
        <v/>
      </c>
      <c r="T125" s="73">
        <f>IF(OR(AND(B125="gemini",C125="gemma"),AND(B125="qwen3_6",C125="qwen"),AND(B125="mistral",C125="ministral")),1,0)</f>
        <v/>
      </c>
      <c r="U125" s="73">
        <f>IF(LEFT(A125,3)="PAT","특허","보고서")</f>
        <v/>
      </c>
      <c r="V125" s="86">
        <f>COUNTIF($S$2:$S$976,"&lt;"&amp;S125)+(COUNTIF($S$2:$S$976,"="&amp;S125)+1)/2</f>
        <v/>
      </c>
      <c r="W125" s="73">
        <f>IF(C125="qwen",0,COUNTIFS($C$2:$C$976,"&lt;&gt;qwen",$S$2:$S$976,"&lt;"&amp;S125)+1)</f>
        <v/>
      </c>
      <c r="X125" s="73">
        <f>IF(C125="ministral",0,COUNTIFS($C$2:$C$976,"&lt;&gt;ministral",$S$2:$S$976,"&lt;"&amp;S125)+1)</f>
        <v/>
      </c>
      <c r="Y125" s="73">
        <f>IF(C125="gemma",0,COUNTIFS($C$2:$C$976,"&lt;&gt;gemma",$S$2:$S$976,"&lt;"&amp;S125)+1)</f>
        <v/>
      </c>
      <c r="Z125" s="87">
        <f>COUNTIFS($B$2:$B$976,B125,$C$2:$C$976,C125,$S$2:$S$976,"&lt;"&amp;S125)+1</f>
        <v/>
      </c>
      <c r="AA125" s="88">
        <f>ABS(S125-SUMPRODUCT(('05B_가정검정'!$A$5:$A$19=B125)*('05B_가정검정'!$B$5:$B$19=C125)*'05B_가정검정'!$E$5:$E$19))</f>
        <v/>
      </c>
      <c r="AB125" s="88">
        <f>S125-AVERAGEIFS($S$2:$S$976,$B$2:$B$976,B125,$C$2:$C$976,C125)</f>
        <v/>
      </c>
    </row>
    <row r="126" ht="15" customHeight="1" s="68">
      <c r="A126" s="83" t="inlineStr">
        <is>
          <t>PAT-09</t>
        </is>
      </c>
      <c r="B126" s="83" t="inlineStr">
        <is>
          <t>claude</t>
        </is>
      </c>
      <c r="C126" s="83" t="inlineStr">
        <is>
          <t>ministral</t>
        </is>
      </c>
      <c r="D126" s="84" t="n">
        <v>0.302158273381295</v>
      </c>
      <c r="E126" s="84" t="n">
        <v>0.39193083573487</v>
      </c>
      <c r="F126" s="84" t="n">
        <v>0.127536231884058</v>
      </c>
      <c r="G126" s="84" t="n">
        <v>0.242074927953891</v>
      </c>
      <c r="H126" s="84" t="n">
        <v>0.288619325843688</v>
      </c>
      <c r="I126" s="84" t="n">
        <v>0.344438751299526</v>
      </c>
      <c r="J126" s="84" t="n">
        <v>0.722461653244078</v>
      </c>
      <c r="K126" s="84" t="n">
        <v>0.686345471714517</v>
      </c>
      <c r="L126" s="84" t="n">
        <v>0.838533736237709</v>
      </c>
      <c r="M126" s="84" t="n">
        <v>0.358441558441558</v>
      </c>
      <c r="N126" s="84" t="n">
        <v>0.208588957055215</v>
      </c>
      <c r="O126" s="84" t="n">
        <v>0.526315789473684</v>
      </c>
      <c r="P126" s="85">
        <f>AVERAGE(D126:I126)</f>
        <v/>
      </c>
      <c r="Q126" s="85">
        <f>AVERAGE(J126:L126)</f>
        <v/>
      </c>
      <c r="R126" s="85">
        <f>AVERAGE(M126:O126)</f>
        <v/>
      </c>
      <c r="S126" s="85">
        <f>'02_지표정의'!$C$22*P126+'02_지표정의'!$C$23*Q126+'02_지표정의'!$C$24*R126</f>
        <v/>
      </c>
      <c r="T126" s="73">
        <f>IF(OR(AND(B126="gemini",C126="gemma"),AND(B126="qwen3_6",C126="qwen"),AND(B126="mistral",C126="ministral")),1,0)</f>
        <v/>
      </c>
      <c r="U126" s="73">
        <f>IF(LEFT(A126,3)="PAT","특허","보고서")</f>
        <v/>
      </c>
      <c r="V126" s="86">
        <f>COUNTIF($S$2:$S$976,"&lt;"&amp;S126)+(COUNTIF($S$2:$S$976,"="&amp;S126)+1)/2</f>
        <v/>
      </c>
      <c r="W126" s="73">
        <f>IF(C126="qwen",0,COUNTIFS($C$2:$C$976,"&lt;&gt;qwen",$S$2:$S$976,"&lt;"&amp;S126)+1)</f>
        <v/>
      </c>
      <c r="X126" s="73">
        <f>IF(C126="ministral",0,COUNTIFS($C$2:$C$976,"&lt;&gt;ministral",$S$2:$S$976,"&lt;"&amp;S126)+1)</f>
        <v/>
      </c>
      <c r="Y126" s="73">
        <f>IF(C126="gemma",0,COUNTIFS($C$2:$C$976,"&lt;&gt;gemma",$S$2:$S$976,"&lt;"&amp;S126)+1)</f>
        <v/>
      </c>
      <c r="Z126" s="87">
        <f>COUNTIFS($B$2:$B$976,B126,$C$2:$C$976,C126,$S$2:$S$976,"&lt;"&amp;S126)+1</f>
        <v/>
      </c>
      <c r="AA126" s="88">
        <f>ABS(S126-SUMPRODUCT(('05B_가정검정'!$A$5:$A$19=B126)*('05B_가정검정'!$B$5:$B$19=C126)*'05B_가정검정'!$E$5:$E$19))</f>
        <v/>
      </c>
      <c r="AB126" s="88">
        <f>S126-AVERAGEIFS($S$2:$S$976,$B$2:$B$976,B126,$C$2:$C$976,C126)</f>
        <v/>
      </c>
    </row>
    <row r="127" ht="15" customHeight="1" s="68">
      <c r="A127" s="83" t="inlineStr">
        <is>
          <t>PAT-09</t>
        </is>
      </c>
      <c r="B127" s="83" t="inlineStr">
        <is>
          <t>claude</t>
        </is>
      </c>
      <c r="C127" s="83" t="inlineStr">
        <is>
          <t>qwen</t>
        </is>
      </c>
      <c r="D127" s="84" t="n">
        <v>0.314928425357873</v>
      </c>
      <c r="E127" s="84" t="n">
        <v>0.498316498316498</v>
      </c>
      <c r="F127" s="84" t="n">
        <v>0.183050847457627</v>
      </c>
      <c r="G127" s="84" t="n">
        <v>0.323232323232323</v>
      </c>
      <c r="H127" s="84" t="n">
        <v>0.370012056132419</v>
      </c>
      <c r="I127" s="84" t="n">
        <v>0.441714334416363</v>
      </c>
      <c r="J127" s="84" t="n">
        <v>0.730505121658147</v>
      </c>
      <c r="K127" s="84" t="n">
        <v>0.619516374572159</v>
      </c>
      <c r="L127" s="84" t="n">
        <v>0.822050295151685</v>
      </c>
      <c r="M127" s="84" t="n">
        <v>0.8</v>
      </c>
      <c r="N127" s="84" t="n">
        <v>0.829268292682927</v>
      </c>
      <c r="O127" s="84" t="n">
        <v>1</v>
      </c>
      <c r="P127" s="85">
        <f>AVERAGE(D127:I127)</f>
        <v/>
      </c>
      <c r="Q127" s="85">
        <f>AVERAGE(J127:L127)</f>
        <v/>
      </c>
      <c r="R127" s="85">
        <f>AVERAGE(M127:O127)</f>
        <v/>
      </c>
      <c r="S127" s="85">
        <f>'02_지표정의'!$C$22*P127+'02_지표정의'!$C$23*Q127+'02_지표정의'!$C$24*R127</f>
        <v/>
      </c>
      <c r="T127" s="73">
        <f>IF(OR(AND(B127="gemini",C127="gemma"),AND(B127="qwen3_6",C127="qwen"),AND(B127="mistral",C127="ministral")),1,0)</f>
        <v/>
      </c>
      <c r="U127" s="73">
        <f>IF(LEFT(A127,3)="PAT","특허","보고서")</f>
        <v/>
      </c>
      <c r="V127" s="86">
        <f>COUNTIF($S$2:$S$976,"&lt;"&amp;S127)+(COUNTIF($S$2:$S$976,"="&amp;S127)+1)/2</f>
        <v/>
      </c>
      <c r="W127" s="73">
        <f>IF(C127="qwen",0,COUNTIFS($C$2:$C$976,"&lt;&gt;qwen",$S$2:$S$976,"&lt;"&amp;S127)+1)</f>
        <v/>
      </c>
      <c r="X127" s="73">
        <f>IF(C127="ministral",0,COUNTIFS($C$2:$C$976,"&lt;&gt;ministral",$S$2:$S$976,"&lt;"&amp;S127)+1)</f>
        <v/>
      </c>
      <c r="Y127" s="73">
        <f>IF(C127="gemma",0,COUNTIFS($C$2:$C$976,"&lt;&gt;gemma",$S$2:$S$976,"&lt;"&amp;S127)+1)</f>
        <v/>
      </c>
      <c r="Z127" s="87">
        <f>COUNTIFS($B$2:$B$976,B127,$C$2:$C$976,C127,$S$2:$S$976,"&lt;"&amp;S127)+1</f>
        <v/>
      </c>
      <c r="AA127" s="88">
        <f>ABS(S127-SUMPRODUCT(('05B_가정검정'!$A$5:$A$19=B127)*('05B_가정검정'!$B$5:$B$19=C127)*'05B_가정검정'!$E$5:$E$19))</f>
        <v/>
      </c>
      <c r="AB127" s="88">
        <f>S127-AVERAGEIFS($S$2:$S$976,$B$2:$B$976,B127,$C$2:$C$976,C127)</f>
        <v/>
      </c>
    </row>
    <row r="128" ht="15" customHeight="1" s="68">
      <c r="A128" s="83" t="inlineStr">
        <is>
          <t>PAT-09</t>
        </is>
      </c>
      <c r="B128" s="83" t="inlineStr">
        <is>
          <t>gemini</t>
        </is>
      </c>
      <c r="C128" s="83" t="inlineStr">
        <is>
          <t>gemma</t>
        </is>
      </c>
      <c r="D128" s="84" t="n">
        <v>0.258706467661692</v>
      </c>
      <c r="E128" s="84" t="n">
        <v>0.279835390946502</v>
      </c>
      <c r="F128" s="84" t="n">
        <v>0.0912863070539419</v>
      </c>
      <c r="G128" s="84" t="n">
        <v>0.213991769547325</v>
      </c>
      <c r="H128" s="84" t="n">
        <v>0.299364700726531</v>
      </c>
      <c r="I128" s="84" t="n">
        <v>0.151125472900516</v>
      </c>
      <c r="J128" s="84" t="n">
        <v>0.746145064432121</v>
      </c>
      <c r="K128" s="84" t="n">
        <v>0.796742124406057</v>
      </c>
      <c r="L128" s="84" t="n">
        <v>0.908289646464703</v>
      </c>
      <c r="M128" s="84" t="n">
        <v>0.906542056074766</v>
      </c>
      <c r="N128" s="84" t="n">
        <v>0.916666666666667</v>
      </c>
      <c r="O128" s="84" t="n">
        <v>1</v>
      </c>
      <c r="P128" s="85">
        <f>AVERAGE(D128:I128)</f>
        <v/>
      </c>
      <c r="Q128" s="85">
        <f>AVERAGE(J128:L128)</f>
        <v/>
      </c>
      <c r="R128" s="85">
        <f>AVERAGE(M128:O128)</f>
        <v/>
      </c>
      <c r="S128" s="85">
        <f>'02_지표정의'!$C$22*P128+'02_지표정의'!$C$23*Q128+'02_지표정의'!$C$24*R128</f>
        <v/>
      </c>
      <c r="T128" s="73">
        <f>IF(OR(AND(B128="gemini",C128="gemma"),AND(B128="qwen3_6",C128="qwen"),AND(B128="mistral",C128="ministral")),1,0)</f>
        <v/>
      </c>
      <c r="U128" s="73">
        <f>IF(LEFT(A128,3)="PAT","특허","보고서")</f>
        <v/>
      </c>
      <c r="V128" s="86">
        <f>COUNTIF($S$2:$S$976,"&lt;"&amp;S128)+(COUNTIF($S$2:$S$976,"="&amp;S128)+1)/2</f>
        <v/>
      </c>
      <c r="W128" s="73">
        <f>IF(C128="qwen",0,COUNTIFS($C$2:$C$976,"&lt;&gt;qwen",$S$2:$S$976,"&lt;"&amp;S128)+1)</f>
        <v/>
      </c>
      <c r="X128" s="73">
        <f>IF(C128="ministral",0,COUNTIFS($C$2:$C$976,"&lt;&gt;ministral",$S$2:$S$976,"&lt;"&amp;S128)+1)</f>
        <v/>
      </c>
      <c r="Y128" s="73">
        <f>IF(C128="gemma",0,COUNTIFS($C$2:$C$976,"&lt;&gt;gemma",$S$2:$S$976,"&lt;"&amp;S128)+1)</f>
        <v/>
      </c>
      <c r="Z128" s="87">
        <f>COUNTIFS($B$2:$B$976,B128,$C$2:$C$976,C128,$S$2:$S$976,"&lt;"&amp;S128)+1</f>
        <v/>
      </c>
      <c r="AA128" s="88">
        <f>ABS(S128-SUMPRODUCT(('05B_가정검정'!$A$5:$A$19=B128)*('05B_가정검정'!$B$5:$B$19=C128)*'05B_가정검정'!$E$5:$E$19))</f>
        <v/>
      </c>
      <c r="AB128" s="88">
        <f>S128-AVERAGEIFS($S$2:$S$976,$B$2:$B$976,B128,$C$2:$C$976,C128)</f>
        <v/>
      </c>
    </row>
    <row r="129" ht="15" customHeight="1" s="68">
      <c r="A129" s="83" t="inlineStr">
        <is>
          <t>PAT-09</t>
        </is>
      </c>
      <c r="B129" s="83" t="inlineStr">
        <is>
          <t>gemini</t>
        </is>
      </c>
      <c r="C129" s="83" t="inlineStr">
        <is>
          <t>ministral</t>
        </is>
      </c>
      <c r="D129" s="84" t="n">
        <v>0.284167794316644</v>
      </c>
      <c r="E129" s="84" t="n">
        <v>0.334545454545455</v>
      </c>
      <c r="F129" s="84" t="n">
        <v>0.10989010989011</v>
      </c>
      <c r="G129" s="84" t="n">
        <v>0.210909090909091</v>
      </c>
      <c r="H129" s="84" t="n">
        <v>0.20623221596632</v>
      </c>
      <c r="I129" s="84" t="n">
        <v>0.258341429920941</v>
      </c>
      <c r="J129" s="84" t="n">
        <v>0.7594339779556259</v>
      </c>
      <c r="K129" s="84" t="n">
        <v>0.742691502034113</v>
      </c>
      <c r="L129" s="84" t="n">
        <v>0.876711887883809</v>
      </c>
      <c r="M129" s="84" t="n">
        <v>0.251948051948052</v>
      </c>
      <c r="N129" s="84" t="n">
        <v>0.226993865030675</v>
      </c>
      <c r="O129" s="84" t="n">
        <v>0.526315789473684</v>
      </c>
      <c r="P129" s="85">
        <f>AVERAGE(D129:I129)</f>
        <v/>
      </c>
      <c r="Q129" s="85">
        <f>AVERAGE(J129:L129)</f>
        <v/>
      </c>
      <c r="R129" s="85">
        <f>AVERAGE(M129:O129)</f>
        <v/>
      </c>
      <c r="S129" s="85">
        <f>'02_지표정의'!$C$22*P129+'02_지표정의'!$C$23*Q129+'02_지표정의'!$C$24*R129</f>
        <v/>
      </c>
      <c r="T129" s="73">
        <f>IF(OR(AND(B129="gemini",C129="gemma"),AND(B129="qwen3_6",C129="qwen"),AND(B129="mistral",C129="ministral")),1,0)</f>
        <v/>
      </c>
      <c r="U129" s="73">
        <f>IF(LEFT(A129,3)="PAT","특허","보고서")</f>
        <v/>
      </c>
      <c r="V129" s="86">
        <f>COUNTIF($S$2:$S$976,"&lt;"&amp;S129)+(COUNTIF($S$2:$S$976,"="&amp;S129)+1)/2</f>
        <v/>
      </c>
      <c r="W129" s="73">
        <f>IF(C129="qwen",0,COUNTIFS($C$2:$C$976,"&lt;&gt;qwen",$S$2:$S$976,"&lt;"&amp;S129)+1)</f>
        <v/>
      </c>
      <c r="X129" s="73">
        <f>IF(C129="ministral",0,COUNTIFS($C$2:$C$976,"&lt;&gt;ministral",$S$2:$S$976,"&lt;"&amp;S129)+1)</f>
        <v/>
      </c>
      <c r="Y129" s="73">
        <f>IF(C129="gemma",0,COUNTIFS($C$2:$C$976,"&lt;&gt;gemma",$S$2:$S$976,"&lt;"&amp;S129)+1)</f>
        <v/>
      </c>
      <c r="Z129" s="87">
        <f>COUNTIFS($B$2:$B$976,B129,$C$2:$C$976,C129,$S$2:$S$976,"&lt;"&amp;S129)+1</f>
        <v/>
      </c>
      <c r="AA129" s="88">
        <f>ABS(S129-SUMPRODUCT(('05B_가정검정'!$A$5:$A$19=B129)*('05B_가정검정'!$B$5:$B$19=C129)*'05B_가정검정'!$E$5:$E$19))</f>
        <v/>
      </c>
      <c r="AB129" s="88">
        <f>S129-AVERAGEIFS($S$2:$S$976,$B$2:$B$976,B129,$C$2:$C$976,C129)</f>
        <v/>
      </c>
    </row>
    <row r="130" ht="15" customHeight="1" s="68">
      <c r="A130" s="83" t="inlineStr">
        <is>
          <t>PAT-09</t>
        </is>
      </c>
      <c r="B130" s="83" t="inlineStr">
        <is>
          <t>gemini</t>
        </is>
      </c>
      <c r="C130" s="83" t="inlineStr">
        <is>
          <t>qwen</t>
        </is>
      </c>
      <c r="D130" s="84" t="n">
        <v>0.336021505376344</v>
      </c>
      <c r="E130" s="84" t="n">
        <v>0.391111111111111</v>
      </c>
      <c r="F130" s="84" t="n">
        <v>0.10762331838565</v>
      </c>
      <c r="G130" s="84" t="n">
        <v>0.266666666666667</v>
      </c>
      <c r="H130" s="84" t="n">
        <v>0.33545248761242</v>
      </c>
      <c r="I130" s="84" t="n">
        <v>0.315429616025415</v>
      </c>
      <c r="J130" s="84" t="n">
        <v>0.774133472398309</v>
      </c>
      <c r="K130" s="84" t="n">
        <v>0.750918220325036</v>
      </c>
      <c r="L130" s="84" t="n">
        <v>0.867717193991658</v>
      </c>
      <c r="M130" s="84" t="n">
        <v>0.702898550724638</v>
      </c>
      <c r="N130" s="84" t="n">
        <v>0.679012345679012</v>
      </c>
      <c r="O130" s="84" t="n">
        <v>1</v>
      </c>
      <c r="P130" s="85">
        <f>AVERAGE(D130:I130)</f>
        <v/>
      </c>
      <c r="Q130" s="85">
        <f>AVERAGE(J130:L130)</f>
        <v/>
      </c>
      <c r="R130" s="85">
        <f>AVERAGE(M130:O130)</f>
        <v/>
      </c>
      <c r="S130" s="85">
        <f>'02_지표정의'!$C$22*P130+'02_지표정의'!$C$23*Q130+'02_지표정의'!$C$24*R130</f>
        <v/>
      </c>
      <c r="T130" s="73">
        <f>IF(OR(AND(B130="gemini",C130="gemma"),AND(B130="qwen3_6",C130="qwen"),AND(B130="mistral",C130="ministral")),1,0)</f>
        <v/>
      </c>
      <c r="U130" s="73">
        <f>IF(LEFT(A130,3)="PAT","특허","보고서")</f>
        <v/>
      </c>
      <c r="V130" s="86">
        <f>COUNTIF($S$2:$S$976,"&lt;"&amp;S130)+(COUNTIF($S$2:$S$976,"="&amp;S130)+1)/2</f>
        <v/>
      </c>
      <c r="W130" s="73">
        <f>IF(C130="qwen",0,COUNTIFS($C$2:$C$976,"&lt;&gt;qwen",$S$2:$S$976,"&lt;"&amp;S130)+1)</f>
        <v/>
      </c>
      <c r="X130" s="73">
        <f>IF(C130="ministral",0,COUNTIFS($C$2:$C$976,"&lt;&gt;ministral",$S$2:$S$976,"&lt;"&amp;S130)+1)</f>
        <v/>
      </c>
      <c r="Y130" s="73">
        <f>IF(C130="gemma",0,COUNTIFS($C$2:$C$976,"&lt;&gt;gemma",$S$2:$S$976,"&lt;"&amp;S130)+1)</f>
        <v/>
      </c>
      <c r="Z130" s="87">
        <f>COUNTIFS($B$2:$B$976,B130,$C$2:$C$976,C130,$S$2:$S$976,"&lt;"&amp;S130)+1</f>
        <v/>
      </c>
      <c r="AA130" s="88">
        <f>ABS(S130-SUMPRODUCT(('05B_가정검정'!$A$5:$A$19=B130)*('05B_가정검정'!$B$5:$B$19=C130)*'05B_가정검정'!$E$5:$E$19))</f>
        <v/>
      </c>
      <c r="AB130" s="88">
        <f>S130-AVERAGEIFS($S$2:$S$976,$B$2:$B$976,B130,$C$2:$C$976,C130)</f>
        <v/>
      </c>
    </row>
    <row r="131" ht="15" customHeight="1" s="68">
      <c r="A131" s="83" t="inlineStr">
        <is>
          <t>PAT-09</t>
        </is>
      </c>
      <c r="B131" s="83" t="inlineStr">
        <is>
          <t>mistral</t>
        </is>
      </c>
      <c r="C131" s="83" t="inlineStr">
        <is>
          <t>gemma</t>
        </is>
      </c>
      <c r="D131" s="84" t="n">
        <v>0.275609756097561</v>
      </c>
      <c r="E131" s="84" t="n">
        <v>0.289752650176679</v>
      </c>
      <c r="F131" s="84" t="n">
        <v>0.0854092526690392</v>
      </c>
      <c r="G131" s="84" t="n">
        <v>0.190812720848057</v>
      </c>
      <c r="H131" s="84" t="n">
        <v>0.321211596865917</v>
      </c>
      <c r="I131" s="84" t="n">
        <v>0.175439314831166</v>
      </c>
      <c r="J131" s="84" t="n">
        <v>0.702283116525513</v>
      </c>
      <c r="K131" s="84" t="n">
        <v>0.669000817667876</v>
      </c>
      <c r="L131" s="84" t="n">
        <v>0.857824250653164</v>
      </c>
      <c r="M131" s="84" t="n">
        <v>0.747899159663866</v>
      </c>
      <c r="N131" s="84" t="n">
        <v>0.742424242424242</v>
      </c>
      <c r="O131" s="84" t="n">
        <v>1</v>
      </c>
      <c r="P131" s="85">
        <f>AVERAGE(D131:I131)</f>
        <v/>
      </c>
      <c r="Q131" s="85">
        <f>AVERAGE(J131:L131)</f>
        <v/>
      </c>
      <c r="R131" s="85">
        <f>AVERAGE(M131:O131)</f>
        <v/>
      </c>
      <c r="S131" s="85">
        <f>'02_지표정의'!$C$22*P131+'02_지표정의'!$C$23*Q131+'02_지표정의'!$C$24*R131</f>
        <v/>
      </c>
      <c r="T131" s="73">
        <f>IF(OR(AND(B131="gemini",C131="gemma"),AND(B131="qwen3_6",C131="qwen"),AND(B131="mistral",C131="ministral")),1,0)</f>
        <v/>
      </c>
      <c r="U131" s="73">
        <f>IF(LEFT(A131,3)="PAT","특허","보고서")</f>
        <v/>
      </c>
      <c r="V131" s="86">
        <f>COUNTIF($S$2:$S$976,"&lt;"&amp;S131)+(COUNTIF($S$2:$S$976,"="&amp;S131)+1)/2</f>
        <v/>
      </c>
      <c r="W131" s="73">
        <f>IF(C131="qwen",0,COUNTIFS($C$2:$C$976,"&lt;&gt;qwen",$S$2:$S$976,"&lt;"&amp;S131)+1)</f>
        <v/>
      </c>
      <c r="X131" s="73">
        <f>IF(C131="ministral",0,COUNTIFS($C$2:$C$976,"&lt;&gt;ministral",$S$2:$S$976,"&lt;"&amp;S131)+1)</f>
        <v/>
      </c>
      <c r="Y131" s="73">
        <f>IF(C131="gemma",0,COUNTIFS($C$2:$C$976,"&lt;&gt;gemma",$S$2:$S$976,"&lt;"&amp;S131)+1)</f>
        <v/>
      </c>
      <c r="Z131" s="87">
        <f>COUNTIFS($B$2:$B$976,B131,$C$2:$C$976,C131,$S$2:$S$976,"&lt;"&amp;S131)+1</f>
        <v/>
      </c>
      <c r="AA131" s="88">
        <f>ABS(S131-SUMPRODUCT(('05B_가정검정'!$A$5:$A$19=B131)*('05B_가정검정'!$B$5:$B$19=C131)*'05B_가정검정'!$E$5:$E$19))</f>
        <v/>
      </c>
      <c r="AB131" s="88">
        <f>S131-AVERAGEIFS($S$2:$S$976,$B$2:$B$976,B131,$C$2:$C$976,C131)</f>
        <v/>
      </c>
    </row>
    <row r="132" ht="15" customHeight="1" s="68">
      <c r="A132" s="83" t="inlineStr">
        <is>
          <t>PAT-09</t>
        </is>
      </c>
      <c r="B132" s="83" t="inlineStr">
        <is>
          <t>mistral</t>
        </is>
      </c>
      <c r="C132" s="83" t="inlineStr">
        <is>
          <t>ministral</t>
        </is>
      </c>
      <c r="D132" s="84" t="n">
        <v>0.381456953642384</v>
      </c>
      <c r="E132" s="84" t="n">
        <v>0.419047619047619</v>
      </c>
      <c r="F132" s="84" t="n">
        <v>0.153354632587859</v>
      </c>
      <c r="G132" s="84" t="n">
        <v>0.228571428571429</v>
      </c>
      <c r="H132" s="84" t="n">
        <v>0.247111003443468</v>
      </c>
      <c r="I132" s="84" t="n">
        <v>0.371016581389892</v>
      </c>
      <c r="J132" s="84" t="n">
        <v>0.730930142449088</v>
      </c>
      <c r="K132" s="84" t="n">
        <v>0.715536041247224</v>
      </c>
      <c r="L132" s="84" t="n">
        <v>0.84019294888651</v>
      </c>
      <c r="M132" s="84" t="n">
        <v>0.293506493506494</v>
      </c>
      <c r="N132" s="84" t="n">
        <v>0.202453987730061</v>
      </c>
      <c r="O132" s="84" t="n">
        <v>0.526315789473684</v>
      </c>
      <c r="P132" s="85">
        <f>AVERAGE(D132:I132)</f>
        <v/>
      </c>
      <c r="Q132" s="85">
        <f>AVERAGE(J132:L132)</f>
        <v/>
      </c>
      <c r="R132" s="85">
        <f>AVERAGE(M132:O132)</f>
        <v/>
      </c>
      <c r="S132" s="85">
        <f>'02_지표정의'!$C$22*P132+'02_지표정의'!$C$23*Q132+'02_지표정의'!$C$24*R132</f>
        <v/>
      </c>
      <c r="T132" s="73">
        <f>IF(OR(AND(B132="gemini",C132="gemma"),AND(B132="qwen3_6",C132="qwen"),AND(B132="mistral",C132="ministral")),1,0)</f>
        <v/>
      </c>
      <c r="U132" s="73">
        <f>IF(LEFT(A132,3)="PAT","특허","보고서")</f>
        <v/>
      </c>
      <c r="V132" s="86">
        <f>COUNTIF($S$2:$S$976,"&lt;"&amp;S132)+(COUNTIF($S$2:$S$976,"="&amp;S132)+1)/2</f>
        <v/>
      </c>
      <c r="W132" s="73">
        <f>IF(C132="qwen",0,COUNTIFS($C$2:$C$976,"&lt;&gt;qwen",$S$2:$S$976,"&lt;"&amp;S132)+1)</f>
        <v/>
      </c>
      <c r="X132" s="73">
        <f>IF(C132="ministral",0,COUNTIFS($C$2:$C$976,"&lt;&gt;ministral",$S$2:$S$976,"&lt;"&amp;S132)+1)</f>
        <v/>
      </c>
      <c r="Y132" s="73">
        <f>IF(C132="gemma",0,COUNTIFS($C$2:$C$976,"&lt;&gt;gemma",$S$2:$S$976,"&lt;"&amp;S132)+1)</f>
        <v/>
      </c>
      <c r="Z132" s="87">
        <f>COUNTIFS($B$2:$B$976,B132,$C$2:$C$976,C132,$S$2:$S$976,"&lt;"&amp;S132)+1</f>
        <v/>
      </c>
      <c r="AA132" s="88">
        <f>ABS(S132-SUMPRODUCT(('05B_가정검정'!$A$5:$A$19=B132)*('05B_가정검정'!$B$5:$B$19=C132)*'05B_가정검정'!$E$5:$E$19))</f>
        <v/>
      </c>
      <c r="AB132" s="88">
        <f>S132-AVERAGEIFS($S$2:$S$976,$B$2:$B$976,B132,$C$2:$C$976,C132)</f>
        <v/>
      </c>
    </row>
    <row r="133" ht="15" customHeight="1" s="68">
      <c r="A133" s="83" t="inlineStr">
        <is>
          <t>PAT-09</t>
        </is>
      </c>
      <c r="B133" s="83" t="inlineStr">
        <is>
          <t>mistral</t>
        </is>
      </c>
      <c r="C133" s="83" t="inlineStr">
        <is>
          <t>qwen</t>
        </is>
      </c>
      <c r="D133" s="84" t="n">
        <v>0.305263157894737</v>
      </c>
      <c r="E133" s="84" t="n">
        <v>0.437735849056604</v>
      </c>
      <c r="F133" s="84" t="n">
        <v>0.144486692015209</v>
      </c>
      <c r="G133" s="84" t="n">
        <v>0.241509433962264</v>
      </c>
      <c r="H133" s="84" t="n">
        <v>0.328519845928676</v>
      </c>
      <c r="I133" s="84" t="n">
        <v>0.294327104364871</v>
      </c>
      <c r="J133" s="84" t="n">
        <v>0.723518148123605</v>
      </c>
      <c r="K133" s="84" t="n">
        <v>0.639166012894664</v>
      </c>
      <c r="L133" s="84" t="n">
        <v>0.844725509628752</v>
      </c>
      <c r="M133" s="84" t="n">
        <v>0.572463768115942</v>
      </c>
      <c r="N133" s="84" t="n">
        <v>0.530864197530864</v>
      </c>
      <c r="O133" s="84" t="n">
        <v>1</v>
      </c>
      <c r="P133" s="85">
        <f>AVERAGE(D133:I133)</f>
        <v/>
      </c>
      <c r="Q133" s="85">
        <f>AVERAGE(J133:L133)</f>
        <v/>
      </c>
      <c r="R133" s="85">
        <f>AVERAGE(M133:O133)</f>
        <v/>
      </c>
      <c r="S133" s="85">
        <f>'02_지표정의'!$C$22*P133+'02_지표정의'!$C$23*Q133+'02_지표정의'!$C$24*R133</f>
        <v/>
      </c>
      <c r="T133" s="73">
        <f>IF(OR(AND(B133="gemini",C133="gemma"),AND(B133="qwen3_6",C133="qwen"),AND(B133="mistral",C133="ministral")),1,0)</f>
        <v/>
      </c>
      <c r="U133" s="73">
        <f>IF(LEFT(A133,3)="PAT","특허","보고서")</f>
        <v/>
      </c>
      <c r="V133" s="86">
        <f>COUNTIF($S$2:$S$976,"&lt;"&amp;S133)+(COUNTIF($S$2:$S$976,"="&amp;S133)+1)/2</f>
        <v/>
      </c>
      <c r="W133" s="73">
        <f>IF(C133="qwen",0,COUNTIFS($C$2:$C$976,"&lt;&gt;qwen",$S$2:$S$976,"&lt;"&amp;S133)+1)</f>
        <v/>
      </c>
      <c r="X133" s="73">
        <f>IF(C133="ministral",0,COUNTIFS($C$2:$C$976,"&lt;&gt;ministral",$S$2:$S$976,"&lt;"&amp;S133)+1)</f>
        <v/>
      </c>
      <c r="Y133" s="73">
        <f>IF(C133="gemma",0,COUNTIFS($C$2:$C$976,"&lt;&gt;gemma",$S$2:$S$976,"&lt;"&amp;S133)+1)</f>
        <v/>
      </c>
      <c r="Z133" s="87">
        <f>COUNTIFS($B$2:$B$976,B133,$C$2:$C$976,C133,$S$2:$S$976,"&lt;"&amp;S133)+1</f>
        <v/>
      </c>
      <c r="AA133" s="88">
        <f>ABS(S133-SUMPRODUCT(('05B_가정검정'!$A$5:$A$19=B133)*('05B_가정검정'!$B$5:$B$19=C133)*'05B_가정검정'!$E$5:$E$19))</f>
        <v/>
      </c>
      <c r="AB133" s="88">
        <f>S133-AVERAGEIFS($S$2:$S$976,$B$2:$B$976,B133,$C$2:$C$976,C133)</f>
        <v/>
      </c>
    </row>
    <row r="134" ht="15" customHeight="1" s="68">
      <c r="A134" s="83" t="inlineStr">
        <is>
          <t>PAT-09</t>
        </is>
      </c>
      <c r="B134" s="83" t="inlineStr">
        <is>
          <t>qwen3_6</t>
        </is>
      </c>
      <c r="C134" s="83" t="inlineStr">
        <is>
          <t>gemma</t>
        </is>
      </c>
      <c r="D134" s="84" t="n">
        <v>0.255367231638418</v>
      </c>
      <c r="E134" s="84" t="n">
        <v>0.31095406360424</v>
      </c>
      <c r="F134" s="84" t="n">
        <v>0.099644128113879</v>
      </c>
      <c r="G134" s="84" t="n">
        <v>0.23321554770318</v>
      </c>
      <c r="H134" s="84" t="n">
        <v>0.351142183266431</v>
      </c>
      <c r="I134" s="84" t="n">
        <v>0.149709853249929</v>
      </c>
      <c r="J134" s="84" t="n">
        <v>0.688771514654075</v>
      </c>
      <c r="K134" s="84" t="n">
        <v>0.677716382295986</v>
      </c>
      <c r="L134" s="84" t="n">
        <v>0.8691014941833189</v>
      </c>
      <c r="M134" s="84" t="n">
        <v>0.906542056074766</v>
      </c>
      <c r="N134" s="84" t="n">
        <v>0.916666666666667</v>
      </c>
      <c r="O134" s="84" t="n">
        <v>1</v>
      </c>
      <c r="P134" s="85">
        <f>AVERAGE(D134:I134)</f>
        <v/>
      </c>
      <c r="Q134" s="85">
        <f>AVERAGE(J134:L134)</f>
        <v/>
      </c>
      <c r="R134" s="85">
        <f>AVERAGE(M134:O134)</f>
        <v/>
      </c>
      <c r="S134" s="85">
        <f>'02_지표정의'!$C$22*P134+'02_지표정의'!$C$23*Q134+'02_지표정의'!$C$24*R134</f>
        <v/>
      </c>
      <c r="T134" s="73">
        <f>IF(OR(AND(B134="gemini",C134="gemma"),AND(B134="qwen3_6",C134="qwen"),AND(B134="mistral",C134="ministral")),1,0)</f>
        <v/>
      </c>
      <c r="U134" s="73">
        <f>IF(LEFT(A134,3)="PAT","특허","보고서")</f>
        <v/>
      </c>
      <c r="V134" s="86">
        <f>COUNTIF($S$2:$S$976,"&lt;"&amp;S134)+(COUNTIF($S$2:$S$976,"="&amp;S134)+1)/2</f>
        <v/>
      </c>
      <c r="W134" s="73">
        <f>IF(C134="qwen",0,COUNTIFS($C$2:$C$976,"&lt;&gt;qwen",$S$2:$S$976,"&lt;"&amp;S134)+1)</f>
        <v/>
      </c>
      <c r="X134" s="73">
        <f>IF(C134="ministral",0,COUNTIFS($C$2:$C$976,"&lt;&gt;ministral",$S$2:$S$976,"&lt;"&amp;S134)+1)</f>
        <v/>
      </c>
      <c r="Y134" s="73">
        <f>IF(C134="gemma",0,COUNTIFS($C$2:$C$976,"&lt;&gt;gemma",$S$2:$S$976,"&lt;"&amp;S134)+1)</f>
        <v/>
      </c>
      <c r="Z134" s="87">
        <f>COUNTIFS($B$2:$B$976,B134,$C$2:$C$976,C134,$S$2:$S$976,"&lt;"&amp;S134)+1</f>
        <v/>
      </c>
      <c r="AA134" s="88">
        <f>ABS(S134-SUMPRODUCT(('05B_가정검정'!$A$5:$A$19=B134)*('05B_가정검정'!$B$5:$B$19=C134)*'05B_가정검정'!$E$5:$E$19))</f>
        <v/>
      </c>
      <c r="AB134" s="88">
        <f>S134-AVERAGEIFS($S$2:$S$976,$B$2:$B$976,B134,$C$2:$C$976,C134)</f>
        <v/>
      </c>
    </row>
    <row r="135" ht="15" customHeight="1" s="68">
      <c r="A135" s="83" t="inlineStr">
        <is>
          <t>PAT-09</t>
        </is>
      </c>
      <c r="B135" s="83" t="inlineStr">
        <is>
          <t>qwen3_6</t>
        </is>
      </c>
      <c r="C135" s="83" t="inlineStr">
        <is>
          <t>ministral</t>
        </is>
      </c>
      <c r="D135" s="84" t="n">
        <v>0.321951219512195</v>
      </c>
      <c r="E135" s="84" t="n">
        <v>0.412698412698413</v>
      </c>
      <c r="F135" s="84" t="n">
        <v>0.140575079872205</v>
      </c>
      <c r="G135" s="84" t="n">
        <v>0.279365079365079</v>
      </c>
      <c r="H135" s="84" t="n">
        <v>0.263935770873043</v>
      </c>
      <c r="I135" s="84" t="n">
        <v>0.333494701031184</v>
      </c>
      <c r="J135" s="84" t="n">
        <v>0.725641729736179</v>
      </c>
      <c r="K135" s="84" t="n">
        <v>0.728672090738287</v>
      </c>
      <c r="L135" s="84" t="n">
        <v>0.845667191742995</v>
      </c>
      <c r="M135" s="84" t="n">
        <v>0.251948051948052</v>
      </c>
      <c r="N135" s="84" t="n">
        <v>0.226993865030675</v>
      </c>
      <c r="O135" s="84" t="n">
        <v>0.526315789473684</v>
      </c>
      <c r="P135" s="85">
        <f>AVERAGE(D135:I135)</f>
        <v/>
      </c>
      <c r="Q135" s="85">
        <f>AVERAGE(J135:L135)</f>
        <v/>
      </c>
      <c r="R135" s="85">
        <f>AVERAGE(M135:O135)</f>
        <v/>
      </c>
      <c r="S135" s="85">
        <f>'02_지표정의'!$C$22*P135+'02_지표정의'!$C$23*Q135+'02_지표정의'!$C$24*R135</f>
        <v/>
      </c>
      <c r="T135" s="73">
        <f>IF(OR(AND(B135="gemini",C135="gemma"),AND(B135="qwen3_6",C135="qwen"),AND(B135="mistral",C135="ministral")),1,0)</f>
        <v/>
      </c>
      <c r="U135" s="73">
        <f>IF(LEFT(A135,3)="PAT","특허","보고서")</f>
        <v/>
      </c>
      <c r="V135" s="86">
        <f>COUNTIF($S$2:$S$976,"&lt;"&amp;S135)+(COUNTIF($S$2:$S$976,"="&amp;S135)+1)/2</f>
        <v/>
      </c>
      <c r="W135" s="73">
        <f>IF(C135="qwen",0,COUNTIFS($C$2:$C$976,"&lt;&gt;qwen",$S$2:$S$976,"&lt;"&amp;S135)+1)</f>
        <v/>
      </c>
      <c r="X135" s="73">
        <f>IF(C135="ministral",0,COUNTIFS($C$2:$C$976,"&lt;&gt;ministral",$S$2:$S$976,"&lt;"&amp;S135)+1)</f>
        <v/>
      </c>
      <c r="Y135" s="73">
        <f>IF(C135="gemma",0,COUNTIFS($C$2:$C$976,"&lt;&gt;gemma",$S$2:$S$976,"&lt;"&amp;S135)+1)</f>
        <v/>
      </c>
      <c r="Z135" s="87">
        <f>COUNTIFS($B$2:$B$976,B135,$C$2:$C$976,C135,$S$2:$S$976,"&lt;"&amp;S135)+1</f>
        <v/>
      </c>
      <c r="AA135" s="88">
        <f>ABS(S135-SUMPRODUCT(('05B_가정검정'!$A$5:$A$19=B135)*('05B_가정검정'!$B$5:$B$19=C135)*'05B_가정검정'!$E$5:$E$19))</f>
        <v/>
      </c>
      <c r="AB135" s="88">
        <f>S135-AVERAGEIFS($S$2:$S$976,$B$2:$B$976,B135,$C$2:$C$976,C135)</f>
        <v/>
      </c>
    </row>
    <row r="136" ht="15" customHeight="1" s="68">
      <c r="A136" s="83" t="inlineStr">
        <is>
          <t>PAT-09</t>
        </is>
      </c>
      <c r="B136" s="83" t="inlineStr">
        <is>
          <t>qwen3_6</t>
        </is>
      </c>
      <c r="C136" s="83" t="inlineStr">
        <is>
          <t>qwen</t>
        </is>
      </c>
      <c r="D136" s="84" t="n">
        <v>0.322424242424242</v>
      </c>
      <c r="E136" s="84" t="n">
        <v>0.513207547169811</v>
      </c>
      <c r="F136" s="84" t="n">
        <v>0.20532319391635</v>
      </c>
      <c r="G136" s="84" t="n">
        <v>0.286792452830189</v>
      </c>
      <c r="H136" s="84" t="n">
        <v>0.405353667780039</v>
      </c>
      <c r="I136" s="84" t="n">
        <v>0.426646930964704</v>
      </c>
      <c r="J136" s="84" t="n">
        <v>0.714211831712447</v>
      </c>
      <c r="K136" s="84" t="n">
        <v>0.658260754681842</v>
      </c>
      <c r="L136" s="84" t="n">
        <v>0.864755832561542</v>
      </c>
      <c r="M136" s="84" t="n">
        <v>0.702898550724638</v>
      </c>
      <c r="N136" s="84" t="n">
        <v>0.679012345679012</v>
      </c>
      <c r="O136" s="84" t="n">
        <v>1</v>
      </c>
      <c r="P136" s="85">
        <f>AVERAGE(D136:I136)</f>
        <v/>
      </c>
      <c r="Q136" s="85">
        <f>AVERAGE(J136:L136)</f>
        <v/>
      </c>
      <c r="R136" s="85">
        <f>AVERAGE(M136:O136)</f>
        <v/>
      </c>
      <c r="S136" s="85">
        <f>'02_지표정의'!$C$22*P136+'02_지표정의'!$C$23*Q136+'02_지표정의'!$C$24*R136</f>
        <v/>
      </c>
      <c r="T136" s="73">
        <f>IF(OR(AND(B136="gemini",C136="gemma"),AND(B136="qwen3_6",C136="qwen"),AND(B136="mistral",C136="ministral")),1,0)</f>
        <v/>
      </c>
      <c r="U136" s="73">
        <f>IF(LEFT(A136,3)="PAT","특허","보고서")</f>
        <v/>
      </c>
      <c r="V136" s="86">
        <f>COUNTIF($S$2:$S$976,"&lt;"&amp;S136)+(COUNTIF($S$2:$S$976,"="&amp;S136)+1)/2</f>
        <v/>
      </c>
      <c r="W136" s="73">
        <f>IF(C136="qwen",0,COUNTIFS($C$2:$C$976,"&lt;&gt;qwen",$S$2:$S$976,"&lt;"&amp;S136)+1)</f>
        <v/>
      </c>
      <c r="X136" s="73">
        <f>IF(C136="ministral",0,COUNTIFS($C$2:$C$976,"&lt;&gt;ministral",$S$2:$S$976,"&lt;"&amp;S136)+1)</f>
        <v/>
      </c>
      <c r="Y136" s="73">
        <f>IF(C136="gemma",0,COUNTIFS($C$2:$C$976,"&lt;&gt;gemma",$S$2:$S$976,"&lt;"&amp;S136)+1)</f>
        <v/>
      </c>
      <c r="Z136" s="87">
        <f>COUNTIFS($B$2:$B$976,B136,$C$2:$C$976,C136,$S$2:$S$976,"&lt;"&amp;S136)+1</f>
        <v/>
      </c>
      <c r="AA136" s="88">
        <f>ABS(S136-SUMPRODUCT(('05B_가정검정'!$A$5:$A$19=B136)*('05B_가정검정'!$B$5:$B$19=C136)*'05B_가정검정'!$E$5:$E$19))</f>
        <v/>
      </c>
      <c r="AB136" s="88">
        <f>S136-AVERAGEIFS($S$2:$S$976,$B$2:$B$976,B136,$C$2:$C$976,C136)</f>
        <v/>
      </c>
    </row>
    <row r="137" ht="15" customHeight="1" s="68">
      <c r="A137" s="83" t="inlineStr">
        <is>
          <t>PAT-10</t>
        </is>
      </c>
      <c r="B137" s="83" t="inlineStr">
        <is>
          <t>chatgpt</t>
        </is>
      </c>
      <c r="C137" s="83" t="inlineStr">
        <is>
          <t>gemma</t>
        </is>
      </c>
      <c r="D137" s="84" t="n">
        <v>0.218181818181818</v>
      </c>
      <c r="E137" s="84" t="n">
        <v>0.303571428571429</v>
      </c>
      <c r="F137" s="84" t="n">
        <v>0.117117117117117</v>
      </c>
      <c r="G137" s="84" t="n">
        <v>0.285714285714286</v>
      </c>
      <c r="H137" s="84" t="n">
        <v>0.216413965527639</v>
      </c>
      <c r="I137" s="84" t="n">
        <v>0.212061348660592</v>
      </c>
      <c r="J137" s="84" t="n">
        <v>0.702837914863923</v>
      </c>
      <c r="K137" s="84" t="n">
        <v>0.623846701642187</v>
      </c>
      <c r="L137" s="84" t="n">
        <v>0.784896304114536</v>
      </c>
      <c r="M137" s="84" t="n">
        <v>0.562913907284768</v>
      </c>
      <c r="N137" s="84" t="n">
        <v>0.231707317073171</v>
      </c>
      <c r="O137" s="84" t="n">
        <v>1</v>
      </c>
      <c r="P137" s="85">
        <f>AVERAGE(D137:I137)</f>
        <v/>
      </c>
      <c r="Q137" s="85">
        <f>AVERAGE(J137:L137)</f>
        <v/>
      </c>
      <c r="R137" s="85">
        <f>AVERAGE(M137:O137)</f>
        <v/>
      </c>
      <c r="S137" s="85">
        <f>'02_지표정의'!$C$22*P137+'02_지표정의'!$C$23*Q137+'02_지표정의'!$C$24*R137</f>
        <v/>
      </c>
      <c r="T137" s="73">
        <f>IF(OR(AND(B137="gemini",C137="gemma"),AND(B137="qwen3_6",C137="qwen"),AND(B137="mistral",C137="ministral")),1,0)</f>
        <v/>
      </c>
      <c r="U137" s="73">
        <f>IF(LEFT(A137,3)="PAT","특허","보고서")</f>
        <v/>
      </c>
      <c r="V137" s="86">
        <f>COUNTIF($S$2:$S$976,"&lt;"&amp;S137)+(COUNTIF($S$2:$S$976,"="&amp;S137)+1)/2</f>
        <v/>
      </c>
      <c r="W137" s="73">
        <f>IF(C137="qwen",0,COUNTIFS($C$2:$C$976,"&lt;&gt;qwen",$S$2:$S$976,"&lt;"&amp;S137)+1)</f>
        <v/>
      </c>
      <c r="X137" s="73">
        <f>IF(C137="ministral",0,COUNTIFS($C$2:$C$976,"&lt;&gt;ministral",$S$2:$S$976,"&lt;"&amp;S137)+1)</f>
        <v/>
      </c>
      <c r="Y137" s="73">
        <f>IF(C137="gemma",0,COUNTIFS($C$2:$C$976,"&lt;&gt;gemma",$S$2:$S$976,"&lt;"&amp;S137)+1)</f>
        <v/>
      </c>
      <c r="Z137" s="87">
        <f>COUNTIFS($B$2:$B$976,B137,$C$2:$C$976,C137,$S$2:$S$976,"&lt;"&amp;S137)+1</f>
        <v/>
      </c>
      <c r="AA137" s="88">
        <f>ABS(S137-SUMPRODUCT(('05B_가정검정'!$A$5:$A$19=B137)*('05B_가정검정'!$B$5:$B$19=C137)*'05B_가정검정'!$E$5:$E$19))</f>
        <v/>
      </c>
      <c r="AB137" s="88">
        <f>S137-AVERAGEIFS($S$2:$S$976,$B$2:$B$976,B137,$C$2:$C$976,C137)</f>
        <v/>
      </c>
    </row>
    <row r="138" ht="15" customHeight="1" s="68">
      <c r="A138" s="83" t="inlineStr">
        <is>
          <t>PAT-10</t>
        </is>
      </c>
      <c r="B138" s="83" t="inlineStr">
        <is>
          <t>chatgpt</t>
        </is>
      </c>
      <c r="C138" s="83" t="inlineStr">
        <is>
          <t>ministral</t>
        </is>
      </c>
      <c r="D138" s="84" t="n">
        <v>0.241112828438949</v>
      </c>
      <c r="E138" s="84" t="n">
        <v>0.309148264984227</v>
      </c>
      <c r="F138" s="84" t="n">
        <v>0.146031746031746</v>
      </c>
      <c r="G138" s="84" t="n">
        <v>0.246056782334385</v>
      </c>
      <c r="H138" s="84" t="n">
        <v>0.147360766497233</v>
      </c>
      <c r="I138" s="84" t="n">
        <v>0.240288423789652</v>
      </c>
      <c r="J138" s="84" t="n">
        <v>0.6975595066086711</v>
      </c>
      <c r="K138" s="84" t="n">
        <v>0.640180642765293</v>
      </c>
      <c r="L138" s="84" t="n">
        <v>0.787096040060746</v>
      </c>
      <c r="M138" s="84" t="n">
        <v>0.448559670781893</v>
      </c>
      <c r="N138" s="84" t="n">
        <v>0.0252100840336135</v>
      </c>
      <c r="O138" s="84" t="n">
        <v>1</v>
      </c>
      <c r="P138" s="85">
        <f>AVERAGE(D138:I138)</f>
        <v/>
      </c>
      <c r="Q138" s="85">
        <f>AVERAGE(J138:L138)</f>
        <v/>
      </c>
      <c r="R138" s="85">
        <f>AVERAGE(M138:O138)</f>
        <v/>
      </c>
      <c r="S138" s="85">
        <f>'02_지표정의'!$C$22*P138+'02_지표정의'!$C$23*Q138+'02_지표정의'!$C$24*R138</f>
        <v/>
      </c>
      <c r="T138" s="73">
        <f>IF(OR(AND(B138="gemini",C138="gemma"),AND(B138="qwen3_6",C138="qwen"),AND(B138="mistral",C138="ministral")),1,0)</f>
        <v/>
      </c>
      <c r="U138" s="73">
        <f>IF(LEFT(A138,3)="PAT","특허","보고서")</f>
        <v/>
      </c>
      <c r="V138" s="86">
        <f>COUNTIF($S$2:$S$976,"&lt;"&amp;S138)+(COUNTIF($S$2:$S$976,"="&amp;S138)+1)/2</f>
        <v/>
      </c>
      <c r="W138" s="73">
        <f>IF(C138="qwen",0,COUNTIFS($C$2:$C$976,"&lt;&gt;qwen",$S$2:$S$976,"&lt;"&amp;S138)+1)</f>
        <v/>
      </c>
      <c r="X138" s="73">
        <f>IF(C138="ministral",0,COUNTIFS($C$2:$C$976,"&lt;&gt;ministral",$S$2:$S$976,"&lt;"&amp;S138)+1)</f>
        <v/>
      </c>
      <c r="Y138" s="73">
        <f>IF(C138="gemma",0,COUNTIFS($C$2:$C$976,"&lt;&gt;gemma",$S$2:$S$976,"&lt;"&amp;S138)+1)</f>
        <v/>
      </c>
      <c r="Z138" s="87">
        <f>COUNTIFS($B$2:$B$976,B138,$C$2:$C$976,C138,$S$2:$S$976,"&lt;"&amp;S138)+1</f>
        <v/>
      </c>
      <c r="AA138" s="88">
        <f>ABS(S138-SUMPRODUCT(('05B_가정검정'!$A$5:$A$19=B138)*('05B_가정검정'!$B$5:$B$19=C138)*'05B_가정검정'!$E$5:$E$19))</f>
        <v/>
      </c>
      <c r="AB138" s="88">
        <f>S138-AVERAGEIFS($S$2:$S$976,$B$2:$B$976,B138,$C$2:$C$976,C138)</f>
        <v/>
      </c>
    </row>
    <row r="139" ht="15" customHeight="1" s="68">
      <c r="A139" s="83" t="inlineStr">
        <is>
          <t>PAT-10</t>
        </is>
      </c>
      <c r="B139" s="83" t="inlineStr">
        <is>
          <t>chatgpt</t>
        </is>
      </c>
      <c r="C139" s="83" t="inlineStr">
        <is>
          <t>qwen</t>
        </is>
      </c>
      <c r="D139" s="84" t="n">
        <v>0.275261324041812</v>
      </c>
      <c r="E139" s="84" t="n">
        <v>0.489795918367347</v>
      </c>
      <c r="F139" s="84" t="n">
        <v>0.268041237113402</v>
      </c>
      <c r="G139" s="84" t="n">
        <v>0.377551020408163</v>
      </c>
      <c r="H139" s="84" t="n">
        <v>0.253390060684084</v>
      </c>
      <c r="I139" s="84" t="n">
        <v>0.38607955036246</v>
      </c>
      <c r="J139" s="84" t="n">
        <v>0.718561171691973</v>
      </c>
      <c r="K139" s="84" t="n">
        <v>0.557808041203429</v>
      </c>
      <c r="L139" s="84" t="n">
        <v>0.79309502084784</v>
      </c>
      <c r="M139" s="84" t="n">
        <v>0.562913907284768</v>
      </c>
      <c r="N139" s="84" t="n">
        <v>0.231707317073171</v>
      </c>
      <c r="O139" s="84" t="n">
        <v>1</v>
      </c>
      <c r="P139" s="85">
        <f>AVERAGE(D139:I139)</f>
        <v/>
      </c>
      <c r="Q139" s="85">
        <f>AVERAGE(J139:L139)</f>
        <v/>
      </c>
      <c r="R139" s="85">
        <f>AVERAGE(M139:O139)</f>
        <v/>
      </c>
      <c r="S139" s="85">
        <f>'02_지표정의'!$C$22*P139+'02_지표정의'!$C$23*Q139+'02_지표정의'!$C$24*R139</f>
        <v/>
      </c>
      <c r="T139" s="73">
        <f>IF(OR(AND(B139="gemini",C139="gemma"),AND(B139="qwen3_6",C139="qwen"),AND(B139="mistral",C139="ministral")),1,0)</f>
        <v/>
      </c>
      <c r="U139" s="73">
        <f>IF(LEFT(A139,3)="PAT","특허","보고서")</f>
        <v/>
      </c>
      <c r="V139" s="86">
        <f>COUNTIF($S$2:$S$976,"&lt;"&amp;S139)+(COUNTIF($S$2:$S$976,"="&amp;S139)+1)/2</f>
        <v/>
      </c>
      <c r="W139" s="73">
        <f>IF(C139="qwen",0,COUNTIFS($C$2:$C$976,"&lt;&gt;qwen",$S$2:$S$976,"&lt;"&amp;S139)+1)</f>
        <v/>
      </c>
      <c r="X139" s="73">
        <f>IF(C139="ministral",0,COUNTIFS($C$2:$C$976,"&lt;&gt;ministral",$S$2:$S$976,"&lt;"&amp;S139)+1)</f>
        <v/>
      </c>
      <c r="Y139" s="73">
        <f>IF(C139="gemma",0,COUNTIFS($C$2:$C$976,"&lt;&gt;gemma",$S$2:$S$976,"&lt;"&amp;S139)+1)</f>
        <v/>
      </c>
      <c r="Z139" s="87">
        <f>COUNTIFS($B$2:$B$976,B139,$C$2:$C$976,C139,$S$2:$S$976,"&lt;"&amp;S139)+1</f>
        <v/>
      </c>
      <c r="AA139" s="88">
        <f>ABS(S139-SUMPRODUCT(('05B_가정검정'!$A$5:$A$19=B139)*('05B_가정검정'!$B$5:$B$19=C139)*'05B_가정검정'!$E$5:$E$19))</f>
        <v/>
      </c>
      <c r="AB139" s="88">
        <f>S139-AVERAGEIFS($S$2:$S$976,$B$2:$B$976,B139,$C$2:$C$976,C139)</f>
        <v/>
      </c>
    </row>
    <row r="140" ht="15" customHeight="1" s="68">
      <c r="A140" s="83" t="inlineStr">
        <is>
          <t>PAT-10</t>
        </is>
      </c>
      <c r="B140" s="83" t="inlineStr">
        <is>
          <t>claude</t>
        </is>
      </c>
      <c r="C140" s="83" t="inlineStr">
        <is>
          <t>gemma</t>
        </is>
      </c>
      <c r="D140" s="84" t="n">
        <v>0.203323558162268</v>
      </c>
      <c r="E140" s="84" t="n">
        <v>0.255591054313099</v>
      </c>
      <c r="F140" s="84" t="n">
        <v>0.0836012861736334</v>
      </c>
      <c r="G140" s="84" t="n">
        <v>0.185303514376997</v>
      </c>
      <c r="H140" s="84" t="n">
        <v>0.294941308114838</v>
      </c>
      <c r="I140" s="84" t="n">
        <v>0.188256978653305</v>
      </c>
      <c r="J140" s="84" t="n">
        <v>0.681170843091689</v>
      </c>
      <c r="K140" s="84" t="n">
        <v>0.63916998293865</v>
      </c>
      <c r="L140" s="84" t="n">
        <v>0.830031890926022</v>
      </c>
      <c r="M140" s="84" t="n">
        <v>0.702479338842975</v>
      </c>
      <c r="N140" s="84" t="n">
        <v>0.73134328358209</v>
      </c>
      <c r="O140" s="84" t="n">
        <v>1</v>
      </c>
      <c r="P140" s="85">
        <f>AVERAGE(D140:I140)</f>
        <v/>
      </c>
      <c r="Q140" s="85">
        <f>AVERAGE(J140:L140)</f>
        <v/>
      </c>
      <c r="R140" s="85">
        <f>AVERAGE(M140:O140)</f>
        <v/>
      </c>
      <c r="S140" s="85">
        <f>'02_지표정의'!$C$22*P140+'02_지표정의'!$C$23*Q140+'02_지표정의'!$C$24*R140</f>
        <v/>
      </c>
      <c r="T140" s="73">
        <f>IF(OR(AND(B140="gemini",C140="gemma"),AND(B140="qwen3_6",C140="qwen"),AND(B140="mistral",C140="ministral")),1,0)</f>
        <v/>
      </c>
      <c r="U140" s="73">
        <f>IF(LEFT(A140,3)="PAT","특허","보고서")</f>
        <v/>
      </c>
      <c r="V140" s="86">
        <f>COUNTIF($S$2:$S$976,"&lt;"&amp;S140)+(COUNTIF($S$2:$S$976,"="&amp;S140)+1)/2</f>
        <v/>
      </c>
      <c r="W140" s="73">
        <f>IF(C140="qwen",0,COUNTIFS($C$2:$C$976,"&lt;&gt;qwen",$S$2:$S$976,"&lt;"&amp;S140)+1)</f>
        <v/>
      </c>
      <c r="X140" s="73">
        <f>IF(C140="ministral",0,COUNTIFS($C$2:$C$976,"&lt;&gt;ministral",$S$2:$S$976,"&lt;"&amp;S140)+1)</f>
        <v/>
      </c>
      <c r="Y140" s="73">
        <f>IF(C140="gemma",0,COUNTIFS($C$2:$C$976,"&lt;&gt;gemma",$S$2:$S$976,"&lt;"&amp;S140)+1)</f>
        <v/>
      </c>
      <c r="Z140" s="87">
        <f>COUNTIFS($B$2:$B$976,B140,$C$2:$C$976,C140,$S$2:$S$976,"&lt;"&amp;S140)+1</f>
        <v/>
      </c>
      <c r="AA140" s="88">
        <f>ABS(S140-SUMPRODUCT(('05B_가정검정'!$A$5:$A$19=B140)*('05B_가정검정'!$B$5:$B$19=C140)*'05B_가정검정'!$E$5:$E$19))</f>
        <v/>
      </c>
      <c r="AB140" s="88">
        <f>S140-AVERAGEIFS($S$2:$S$976,$B$2:$B$976,B140,$C$2:$C$976,C140)</f>
        <v/>
      </c>
    </row>
    <row r="141" ht="15" customHeight="1" s="68">
      <c r="A141" s="83" t="inlineStr">
        <is>
          <t>PAT-10</t>
        </is>
      </c>
      <c r="B141" s="83" t="inlineStr">
        <is>
          <t>claude</t>
        </is>
      </c>
      <c r="C141" s="83" t="inlineStr">
        <is>
          <t>ministral</t>
        </is>
      </c>
      <c r="D141" s="84" t="n">
        <v>0.192079207920792</v>
      </c>
      <c r="E141" s="84" t="n">
        <v>0.344827586206897</v>
      </c>
      <c r="F141" s="84" t="n">
        <v>0.163366336633663</v>
      </c>
      <c r="G141" s="84" t="n">
        <v>0.231527093596059</v>
      </c>
      <c r="H141" s="84" t="n">
        <v>0.206441765663898</v>
      </c>
      <c r="I141" s="84" t="n">
        <v>0.220910971812929</v>
      </c>
      <c r="J141" s="84" t="n">
        <v>0.698169920959878</v>
      </c>
      <c r="K141" s="84" t="n">
        <v>0.630459159572189</v>
      </c>
      <c r="L141" s="84" t="n">
        <v>0.823623787345249</v>
      </c>
      <c r="M141" s="84" t="n">
        <v>0.419753086419753</v>
      </c>
      <c r="N141" s="84" t="n">
        <v>0.352941176470588</v>
      </c>
      <c r="O141" s="84" t="n">
        <v>1</v>
      </c>
      <c r="P141" s="85">
        <f>AVERAGE(D141:I141)</f>
        <v/>
      </c>
      <c r="Q141" s="85">
        <f>AVERAGE(J141:L141)</f>
        <v/>
      </c>
      <c r="R141" s="85">
        <f>AVERAGE(M141:O141)</f>
        <v/>
      </c>
      <c r="S141" s="85">
        <f>'02_지표정의'!$C$22*P141+'02_지표정의'!$C$23*Q141+'02_지표정의'!$C$24*R141</f>
        <v/>
      </c>
      <c r="T141" s="73">
        <f>IF(OR(AND(B141="gemini",C141="gemma"),AND(B141="qwen3_6",C141="qwen"),AND(B141="mistral",C141="ministral")),1,0)</f>
        <v/>
      </c>
      <c r="U141" s="73">
        <f>IF(LEFT(A141,3)="PAT","특허","보고서")</f>
        <v/>
      </c>
      <c r="V141" s="86">
        <f>COUNTIF($S$2:$S$976,"&lt;"&amp;S141)+(COUNTIF($S$2:$S$976,"="&amp;S141)+1)/2</f>
        <v/>
      </c>
      <c r="W141" s="73">
        <f>IF(C141="qwen",0,COUNTIFS($C$2:$C$976,"&lt;&gt;qwen",$S$2:$S$976,"&lt;"&amp;S141)+1)</f>
        <v/>
      </c>
      <c r="X141" s="73">
        <f>IF(C141="ministral",0,COUNTIFS($C$2:$C$976,"&lt;&gt;ministral",$S$2:$S$976,"&lt;"&amp;S141)+1)</f>
        <v/>
      </c>
      <c r="Y141" s="73">
        <f>IF(C141="gemma",0,COUNTIFS($C$2:$C$976,"&lt;&gt;gemma",$S$2:$S$976,"&lt;"&amp;S141)+1)</f>
        <v/>
      </c>
      <c r="Z141" s="87">
        <f>COUNTIFS($B$2:$B$976,B141,$C$2:$C$976,C141,$S$2:$S$976,"&lt;"&amp;S141)+1</f>
        <v/>
      </c>
      <c r="AA141" s="88">
        <f>ABS(S141-SUMPRODUCT(('05B_가정검정'!$A$5:$A$19=B141)*('05B_가정검정'!$B$5:$B$19=C141)*'05B_가정검정'!$E$5:$E$19))</f>
        <v/>
      </c>
      <c r="AB141" s="88">
        <f>S141-AVERAGEIFS($S$2:$S$976,$B$2:$B$976,B141,$C$2:$C$976,C141)</f>
        <v/>
      </c>
    </row>
    <row r="142" ht="15" customHeight="1" s="68">
      <c r="A142" s="83" t="inlineStr">
        <is>
          <t>PAT-10</t>
        </is>
      </c>
      <c r="B142" s="83" t="inlineStr">
        <is>
          <t>claude</t>
        </is>
      </c>
      <c r="C142" s="83" t="inlineStr">
        <is>
          <t>qwen</t>
        </is>
      </c>
      <c r="D142" s="84" t="n">
        <v>0.224119530416222</v>
      </c>
      <c r="E142" s="84" t="n">
        <v>0.498245614035088</v>
      </c>
      <c r="F142" s="84" t="n">
        <v>0.254416961130742</v>
      </c>
      <c r="G142" s="84" t="n">
        <v>0.336842105263158</v>
      </c>
      <c r="H142" s="84" t="n">
        <v>0.312359043443385</v>
      </c>
      <c r="I142" s="84" t="n">
        <v>0.385545689956147</v>
      </c>
      <c r="J142" s="84" t="n">
        <v>0.724893182802131</v>
      </c>
      <c r="K142" s="84" t="n">
        <v>0.589764907553766</v>
      </c>
      <c r="L142" s="84" t="n">
        <v>0.818306240879565</v>
      </c>
      <c r="M142" s="84" t="n">
        <v>0.702479338842975</v>
      </c>
      <c r="N142" s="84" t="n">
        <v>0.73134328358209</v>
      </c>
      <c r="O142" s="84" t="n">
        <v>1</v>
      </c>
      <c r="P142" s="85">
        <f>AVERAGE(D142:I142)</f>
        <v/>
      </c>
      <c r="Q142" s="85">
        <f>AVERAGE(J142:L142)</f>
        <v/>
      </c>
      <c r="R142" s="85">
        <f>AVERAGE(M142:O142)</f>
        <v/>
      </c>
      <c r="S142" s="85">
        <f>'02_지표정의'!$C$22*P142+'02_지표정의'!$C$23*Q142+'02_지표정의'!$C$24*R142</f>
        <v/>
      </c>
      <c r="T142" s="73">
        <f>IF(OR(AND(B142="gemini",C142="gemma"),AND(B142="qwen3_6",C142="qwen"),AND(B142="mistral",C142="ministral")),1,0)</f>
        <v/>
      </c>
      <c r="U142" s="73">
        <f>IF(LEFT(A142,3)="PAT","특허","보고서")</f>
        <v/>
      </c>
      <c r="V142" s="86">
        <f>COUNTIF($S$2:$S$976,"&lt;"&amp;S142)+(COUNTIF($S$2:$S$976,"="&amp;S142)+1)/2</f>
        <v/>
      </c>
      <c r="W142" s="73">
        <f>IF(C142="qwen",0,COUNTIFS($C$2:$C$976,"&lt;&gt;qwen",$S$2:$S$976,"&lt;"&amp;S142)+1)</f>
        <v/>
      </c>
      <c r="X142" s="73">
        <f>IF(C142="ministral",0,COUNTIFS($C$2:$C$976,"&lt;&gt;ministral",$S$2:$S$976,"&lt;"&amp;S142)+1)</f>
        <v/>
      </c>
      <c r="Y142" s="73">
        <f>IF(C142="gemma",0,COUNTIFS($C$2:$C$976,"&lt;&gt;gemma",$S$2:$S$976,"&lt;"&amp;S142)+1)</f>
        <v/>
      </c>
      <c r="Z142" s="87">
        <f>COUNTIFS($B$2:$B$976,B142,$C$2:$C$976,C142,$S$2:$S$976,"&lt;"&amp;S142)+1</f>
        <v/>
      </c>
      <c r="AA142" s="88">
        <f>ABS(S142-SUMPRODUCT(('05B_가정검정'!$A$5:$A$19=B142)*('05B_가정검정'!$B$5:$B$19=C142)*'05B_가정검정'!$E$5:$E$19))</f>
        <v/>
      </c>
      <c r="AB142" s="88">
        <f>S142-AVERAGEIFS($S$2:$S$976,$B$2:$B$976,B142,$C$2:$C$976,C142)</f>
        <v/>
      </c>
    </row>
    <row r="143" ht="15" customHeight="1" s="68">
      <c r="A143" s="83" t="inlineStr">
        <is>
          <t>PAT-10</t>
        </is>
      </c>
      <c r="B143" s="83" t="inlineStr">
        <is>
          <t>gemini</t>
        </is>
      </c>
      <c r="C143" s="83" t="inlineStr">
        <is>
          <t>gemma</t>
        </is>
      </c>
      <c r="D143" s="84" t="n">
        <v>0.227330779054917</v>
      </c>
      <c r="E143" s="84" t="n">
        <v>0.296296296296296</v>
      </c>
      <c r="F143" s="84" t="n">
        <v>0.116182572614108</v>
      </c>
      <c r="G143" s="84" t="n">
        <v>0.238683127572017</v>
      </c>
      <c r="H143" s="84" t="n">
        <v>0.32916551208689</v>
      </c>
      <c r="I143" s="84" t="n">
        <v>0.14198326099392</v>
      </c>
      <c r="J143" s="84" t="n">
        <v>0.741985576190584</v>
      </c>
      <c r="K143" s="84" t="n">
        <v>0.752846425322373</v>
      </c>
      <c r="L143" s="84" t="n">
        <v>0.872299123652214</v>
      </c>
      <c r="M143" s="84" t="n">
        <v>0.906542056074766</v>
      </c>
      <c r="N143" s="84" t="n">
        <v>0.916666666666667</v>
      </c>
      <c r="O143" s="84" t="n">
        <v>1</v>
      </c>
      <c r="P143" s="85">
        <f>AVERAGE(D143:I143)</f>
        <v/>
      </c>
      <c r="Q143" s="85">
        <f>AVERAGE(J143:L143)</f>
        <v/>
      </c>
      <c r="R143" s="85">
        <f>AVERAGE(M143:O143)</f>
        <v/>
      </c>
      <c r="S143" s="85">
        <f>'02_지표정의'!$C$22*P143+'02_지표정의'!$C$23*Q143+'02_지표정의'!$C$24*R143</f>
        <v/>
      </c>
      <c r="T143" s="73">
        <f>IF(OR(AND(B143="gemini",C143="gemma"),AND(B143="qwen3_6",C143="qwen"),AND(B143="mistral",C143="ministral")),1,0)</f>
        <v/>
      </c>
      <c r="U143" s="73">
        <f>IF(LEFT(A143,3)="PAT","특허","보고서")</f>
        <v/>
      </c>
      <c r="V143" s="86">
        <f>COUNTIF($S$2:$S$976,"&lt;"&amp;S143)+(COUNTIF($S$2:$S$976,"="&amp;S143)+1)/2</f>
        <v/>
      </c>
      <c r="W143" s="73">
        <f>IF(C143="qwen",0,COUNTIFS($C$2:$C$976,"&lt;&gt;qwen",$S$2:$S$976,"&lt;"&amp;S143)+1)</f>
        <v/>
      </c>
      <c r="X143" s="73">
        <f>IF(C143="ministral",0,COUNTIFS($C$2:$C$976,"&lt;&gt;ministral",$S$2:$S$976,"&lt;"&amp;S143)+1)</f>
        <v/>
      </c>
      <c r="Y143" s="73">
        <f>IF(C143="gemma",0,COUNTIFS($C$2:$C$976,"&lt;&gt;gemma",$S$2:$S$976,"&lt;"&amp;S143)+1)</f>
        <v/>
      </c>
      <c r="Z143" s="87">
        <f>COUNTIFS($B$2:$B$976,B143,$C$2:$C$976,C143,$S$2:$S$976,"&lt;"&amp;S143)+1</f>
        <v/>
      </c>
      <c r="AA143" s="88">
        <f>ABS(S143-SUMPRODUCT(('05B_가정검정'!$A$5:$A$19=B143)*('05B_가정검정'!$B$5:$B$19=C143)*'05B_가정검정'!$E$5:$E$19))</f>
        <v/>
      </c>
      <c r="AB143" s="88">
        <f>S143-AVERAGEIFS($S$2:$S$976,$B$2:$B$976,B143,$C$2:$C$976,C143)</f>
        <v/>
      </c>
    </row>
    <row r="144" ht="15" customHeight="1" s="68">
      <c r="A144" s="83" t="inlineStr">
        <is>
          <t>PAT-10</t>
        </is>
      </c>
      <c r="B144" s="83" t="inlineStr">
        <is>
          <t>gemini</t>
        </is>
      </c>
      <c r="C144" s="83" t="inlineStr">
        <is>
          <t>ministral</t>
        </is>
      </c>
      <c r="D144" s="84" t="n">
        <v>0.212987012987013</v>
      </c>
      <c r="E144" s="84" t="n">
        <v>0.285714285714286</v>
      </c>
      <c r="F144" s="84" t="n">
        <v>0.119760479041916</v>
      </c>
      <c r="G144" s="84" t="n">
        <v>0.220238095238095</v>
      </c>
      <c r="H144" s="84" t="n">
        <v>0.208152285044433</v>
      </c>
      <c r="I144" s="84" t="n">
        <v>0.196371815722157</v>
      </c>
      <c r="J144" s="84" t="n">
        <v>0.738346604245101</v>
      </c>
      <c r="K144" s="84" t="n">
        <v>0.7418856644702569</v>
      </c>
      <c r="L144" s="84" t="n">
        <v>0.872965766453735</v>
      </c>
      <c r="M144" s="84" t="n">
        <v>0.39917695473251</v>
      </c>
      <c r="N144" s="84" t="n">
        <v>0.46218487394958</v>
      </c>
      <c r="O144" s="84" t="n">
        <v>1</v>
      </c>
      <c r="P144" s="85">
        <f>AVERAGE(D144:I144)</f>
        <v/>
      </c>
      <c r="Q144" s="85">
        <f>AVERAGE(J144:L144)</f>
        <v/>
      </c>
      <c r="R144" s="85">
        <f>AVERAGE(M144:O144)</f>
        <v/>
      </c>
      <c r="S144" s="85">
        <f>'02_지표정의'!$C$22*P144+'02_지표정의'!$C$23*Q144+'02_지표정의'!$C$24*R144</f>
        <v/>
      </c>
      <c r="T144" s="73">
        <f>IF(OR(AND(B144="gemini",C144="gemma"),AND(B144="qwen3_6",C144="qwen"),AND(B144="mistral",C144="ministral")),1,0)</f>
        <v/>
      </c>
      <c r="U144" s="73">
        <f>IF(LEFT(A144,3)="PAT","특허","보고서")</f>
        <v/>
      </c>
      <c r="V144" s="86">
        <f>COUNTIF($S$2:$S$976,"&lt;"&amp;S144)+(COUNTIF($S$2:$S$976,"="&amp;S144)+1)/2</f>
        <v/>
      </c>
      <c r="W144" s="73">
        <f>IF(C144="qwen",0,COUNTIFS($C$2:$C$976,"&lt;&gt;qwen",$S$2:$S$976,"&lt;"&amp;S144)+1)</f>
        <v/>
      </c>
      <c r="X144" s="73">
        <f>IF(C144="ministral",0,COUNTIFS($C$2:$C$976,"&lt;&gt;ministral",$S$2:$S$976,"&lt;"&amp;S144)+1)</f>
        <v/>
      </c>
      <c r="Y144" s="73">
        <f>IF(C144="gemma",0,COUNTIFS($C$2:$C$976,"&lt;&gt;gemma",$S$2:$S$976,"&lt;"&amp;S144)+1)</f>
        <v/>
      </c>
      <c r="Z144" s="87">
        <f>COUNTIFS($B$2:$B$976,B144,$C$2:$C$976,C144,$S$2:$S$976,"&lt;"&amp;S144)+1</f>
        <v/>
      </c>
      <c r="AA144" s="88">
        <f>ABS(S144-SUMPRODUCT(('05B_가정검정'!$A$5:$A$19=B144)*('05B_가정검정'!$B$5:$B$19=C144)*'05B_가정검정'!$E$5:$E$19))</f>
        <v/>
      </c>
      <c r="AB144" s="88">
        <f>S144-AVERAGEIFS($S$2:$S$976,$B$2:$B$976,B144,$C$2:$C$976,C144)</f>
        <v/>
      </c>
    </row>
    <row r="145" ht="15" customHeight="1" s="68">
      <c r="A145" s="83" t="inlineStr">
        <is>
          <t>PAT-10</t>
        </is>
      </c>
      <c r="B145" s="83" t="inlineStr">
        <is>
          <t>gemini</t>
        </is>
      </c>
      <c r="C145" s="83" t="inlineStr">
        <is>
          <t>qwen</t>
        </is>
      </c>
      <c r="D145" s="84" t="n">
        <v>0.278335724533716</v>
      </c>
      <c r="E145" s="84" t="n">
        <v>0.493023255813954</v>
      </c>
      <c r="F145" s="84" t="n">
        <v>0.244131455399061</v>
      </c>
      <c r="G145" s="84" t="n">
        <v>0.372093023255814</v>
      </c>
      <c r="H145" s="84" t="n">
        <v>0.392402417401643</v>
      </c>
      <c r="I145" s="84" t="n">
        <v>0.327059688390287</v>
      </c>
      <c r="J145" s="84" t="n">
        <v>0.766241110802408</v>
      </c>
      <c r="K145" s="84" t="n">
        <v>0.71022166924749</v>
      </c>
      <c r="L145" s="84" t="n">
        <v>0.853990256466624</v>
      </c>
      <c r="M145" s="84" t="n">
        <v>0.906542056074766</v>
      </c>
      <c r="N145" s="84" t="n">
        <v>0.916666666666667</v>
      </c>
      <c r="O145" s="84" t="n">
        <v>1</v>
      </c>
      <c r="P145" s="85">
        <f>AVERAGE(D145:I145)</f>
        <v/>
      </c>
      <c r="Q145" s="85">
        <f>AVERAGE(J145:L145)</f>
        <v/>
      </c>
      <c r="R145" s="85">
        <f>AVERAGE(M145:O145)</f>
        <v/>
      </c>
      <c r="S145" s="85">
        <f>'02_지표정의'!$C$22*P145+'02_지표정의'!$C$23*Q145+'02_지표정의'!$C$24*R145</f>
        <v/>
      </c>
      <c r="T145" s="73">
        <f>IF(OR(AND(B145="gemini",C145="gemma"),AND(B145="qwen3_6",C145="qwen"),AND(B145="mistral",C145="ministral")),1,0)</f>
        <v/>
      </c>
      <c r="U145" s="73">
        <f>IF(LEFT(A145,3)="PAT","특허","보고서")</f>
        <v/>
      </c>
      <c r="V145" s="86">
        <f>COUNTIF($S$2:$S$976,"&lt;"&amp;S145)+(COUNTIF($S$2:$S$976,"="&amp;S145)+1)/2</f>
        <v/>
      </c>
      <c r="W145" s="73">
        <f>IF(C145="qwen",0,COUNTIFS($C$2:$C$976,"&lt;&gt;qwen",$S$2:$S$976,"&lt;"&amp;S145)+1)</f>
        <v/>
      </c>
      <c r="X145" s="73">
        <f>IF(C145="ministral",0,COUNTIFS($C$2:$C$976,"&lt;&gt;ministral",$S$2:$S$976,"&lt;"&amp;S145)+1)</f>
        <v/>
      </c>
      <c r="Y145" s="73">
        <f>IF(C145="gemma",0,COUNTIFS($C$2:$C$976,"&lt;&gt;gemma",$S$2:$S$976,"&lt;"&amp;S145)+1)</f>
        <v/>
      </c>
      <c r="Z145" s="87">
        <f>COUNTIFS($B$2:$B$976,B145,$C$2:$C$976,C145,$S$2:$S$976,"&lt;"&amp;S145)+1</f>
        <v/>
      </c>
      <c r="AA145" s="88">
        <f>ABS(S145-SUMPRODUCT(('05B_가정검정'!$A$5:$A$19=B145)*('05B_가정검정'!$B$5:$B$19=C145)*'05B_가정검정'!$E$5:$E$19))</f>
        <v/>
      </c>
      <c r="AB145" s="88">
        <f>S145-AVERAGEIFS($S$2:$S$976,$B$2:$B$976,B145,$C$2:$C$976,C145)</f>
        <v/>
      </c>
    </row>
    <row r="146" ht="15" customHeight="1" s="68">
      <c r="A146" s="83" t="inlineStr">
        <is>
          <t>PAT-10</t>
        </is>
      </c>
      <c r="B146" s="83" t="inlineStr">
        <is>
          <t>mistral</t>
        </is>
      </c>
      <c r="C146" s="83" t="inlineStr">
        <is>
          <t>gemma</t>
        </is>
      </c>
      <c r="D146" s="84" t="n">
        <v>0.257062146892655</v>
      </c>
      <c r="E146" s="84" t="n">
        <v>0.322869955156951</v>
      </c>
      <c r="F146" s="84" t="n">
        <v>0.108597285067873</v>
      </c>
      <c r="G146" s="84" t="n">
        <v>0.224215246636771</v>
      </c>
      <c r="H146" s="84" t="n">
        <v>0.261593464821133</v>
      </c>
      <c r="I146" s="84" t="n">
        <v>0.221967994701864</v>
      </c>
      <c r="J146" s="84" t="n">
        <v>0.688281336285431</v>
      </c>
      <c r="K146" s="84" t="n">
        <v>0.6523449347336731</v>
      </c>
      <c r="L146" s="84" t="n">
        <v>0.811449768574749</v>
      </c>
      <c r="M146" s="84" t="n">
        <v>0.747899159663866</v>
      </c>
      <c r="N146" s="84" t="n">
        <v>0.742424242424242</v>
      </c>
      <c r="O146" s="84" t="n">
        <v>1</v>
      </c>
      <c r="P146" s="85">
        <f>AVERAGE(D146:I146)</f>
        <v/>
      </c>
      <c r="Q146" s="85">
        <f>AVERAGE(J146:L146)</f>
        <v/>
      </c>
      <c r="R146" s="85">
        <f>AVERAGE(M146:O146)</f>
        <v/>
      </c>
      <c r="S146" s="85">
        <f>'02_지표정의'!$C$22*P146+'02_지표정의'!$C$23*Q146+'02_지표정의'!$C$24*R146</f>
        <v/>
      </c>
      <c r="T146" s="73">
        <f>IF(OR(AND(B146="gemini",C146="gemma"),AND(B146="qwen3_6",C146="qwen"),AND(B146="mistral",C146="ministral")),1,0)</f>
        <v/>
      </c>
      <c r="U146" s="73">
        <f>IF(LEFT(A146,3)="PAT","특허","보고서")</f>
        <v/>
      </c>
      <c r="V146" s="86">
        <f>COUNTIF($S$2:$S$976,"&lt;"&amp;S146)+(COUNTIF($S$2:$S$976,"="&amp;S146)+1)/2</f>
        <v/>
      </c>
      <c r="W146" s="73">
        <f>IF(C146="qwen",0,COUNTIFS($C$2:$C$976,"&lt;&gt;qwen",$S$2:$S$976,"&lt;"&amp;S146)+1)</f>
        <v/>
      </c>
      <c r="X146" s="73">
        <f>IF(C146="ministral",0,COUNTIFS($C$2:$C$976,"&lt;&gt;ministral",$S$2:$S$976,"&lt;"&amp;S146)+1)</f>
        <v/>
      </c>
      <c r="Y146" s="73">
        <f>IF(C146="gemma",0,COUNTIFS($C$2:$C$976,"&lt;&gt;gemma",$S$2:$S$976,"&lt;"&amp;S146)+1)</f>
        <v/>
      </c>
      <c r="Z146" s="87">
        <f>COUNTIFS($B$2:$B$976,B146,$C$2:$C$976,C146,$S$2:$S$976,"&lt;"&amp;S146)+1</f>
        <v/>
      </c>
      <c r="AA146" s="88">
        <f>ABS(S146-SUMPRODUCT(('05B_가정검정'!$A$5:$A$19=B146)*('05B_가정검정'!$B$5:$B$19=C146)*'05B_가정검정'!$E$5:$E$19))</f>
        <v/>
      </c>
      <c r="AB146" s="88">
        <f>S146-AVERAGEIFS($S$2:$S$976,$B$2:$B$976,B146,$C$2:$C$976,C146)</f>
        <v/>
      </c>
    </row>
    <row r="147" ht="15" customHeight="1" s="68">
      <c r="A147" s="83" t="inlineStr">
        <is>
          <t>PAT-10</t>
        </is>
      </c>
      <c r="B147" s="83" t="inlineStr">
        <is>
          <t>mistral</t>
        </is>
      </c>
      <c r="C147" s="83" t="inlineStr">
        <is>
          <t>ministral</t>
        </is>
      </c>
      <c r="D147" s="84" t="n">
        <v>0.296402877697842</v>
      </c>
      <c r="E147" s="84" t="n">
        <v>0.284810126582279</v>
      </c>
      <c r="F147" s="84" t="n">
        <v>0.146496815286624</v>
      </c>
      <c r="G147" s="84" t="n">
        <v>0.253164556962025</v>
      </c>
      <c r="H147" s="84" t="n">
        <v>0.175420622325324</v>
      </c>
      <c r="I147" s="84" t="n">
        <v>0.262441387946912</v>
      </c>
      <c r="J147" s="84" t="n">
        <v>0.724558968424427</v>
      </c>
      <c r="K147" s="84" t="n">
        <v>0.644180421108238</v>
      </c>
      <c r="L147" s="84" t="n">
        <v>0.817796251816667</v>
      </c>
      <c r="M147" s="84" t="n">
        <v>0.423868312757202</v>
      </c>
      <c r="N147" s="84" t="n">
        <v>0.369747899159664</v>
      </c>
      <c r="O147" s="84" t="n">
        <v>1</v>
      </c>
      <c r="P147" s="85">
        <f>AVERAGE(D147:I147)</f>
        <v/>
      </c>
      <c r="Q147" s="85">
        <f>AVERAGE(J147:L147)</f>
        <v/>
      </c>
      <c r="R147" s="85">
        <f>AVERAGE(M147:O147)</f>
        <v/>
      </c>
      <c r="S147" s="85">
        <f>'02_지표정의'!$C$22*P147+'02_지표정의'!$C$23*Q147+'02_지표정의'!$C$24*R147</f>
        <v/>
      </c>
      <c r="T147" s="73">
        <f>IF(OR(AND(B147="gemini",C147="gemma"),AND(B147="qwen3_6",C147="qwen"),AND(B147="mistral",C147="ministral")),1,0)</f>
        <v/>
      </c>
      <c r="U147" s="73">
        <f>IF(LEFT(A147,3)="PAT","특허","보고서")</f>
        <v/>
      </c>
      <c r="V147" s="86">
        <f>COUNTIF($S$2:$S$976,"&lt;"&amp;S147)+(COUNTIF($S$2:$S$976,"="&amp;S147)+1)/2</f>
        <v/>
      </c>
      <c r="W147" s="73">
        <f>IF(C147="qwen",0,COUNTIFS($C$2:$C$976,"&lt;&gt;qwen",$S$2:$S$976,"&lt;"&amp;S147)+1)</f>
        <v/>
      </c>
      <c r="X147" s="73">
        <f>IF(C147="ministral",0,COUNTIFS($C$2:$C$976,"&lt;&gt;ministral",$S$2:$S$976,"&lt;"&amp;S147)+1)</f>
        <v/>
      </c>
      <c r="Y147" s="73">
        <f>IF(C147="gemma",0,COUNTIFS($C$2:$C$976,"&lt;&gt;gemma",$S$2:$S$976,"&lt;"&amp;S147)+1)</f>
        <v/>
      </c>
      <c r="Z147" s="87">
        <f>COUNTIFS($B$2:$B$976,B147,$C$2:$C$976,C147,$S$2:$S$976,"&lt;"&amp;S147)+1</f>
        <v/>
      </c>
      <c r="AA147" s="88">
        <f>ABS(S147-SUMPRODUCT(('05B_가정검정'!$A$5:$A$19=B147)*('05B_가정검정'!$B$5:$B$19=C147)*'05B_가정검정'!$E$5:$E$19))</f>
        <v/>
      </c>
      <c r="AB147" s="88">
        <f>S147-AVERAGEIFS($S$2:$S$976,$B$2:$B$976,B147,$C$2:$C$976,C147)</f>
        <v/>
      </c>
    </row>
    <row r="148" ht="15" customHeight="1" s="68">
      <c r="A148" s="83" t="inlineStr">
        <is>
          <t>PAT-10</t>
        </is>
      </c>
      <c r="B148" s="83" t="inlineStr">
        <is>
          <t>mistral</t>
        </is>
      </c>
      <c r="C148" s="83" t="inlineStr">
        <is>
          <t>qwen</t>
        </is>
      </c>
      <c r="D148" s="84" t="n">
        <v>0.266881028938907</v>
      </c>
      <c r="E148" s="84" t="n">
        <v>0.461538461538462</v>
      </c>
      <c r="F148" s="84" t="n">
        <v>0.207253886010363</v>
      </c>
      <c r="G148" s="84" t="n">
        <v>0.317948717948718</v>
      </c>
      <c r="H148" s="84" t="n">
        <v>0.294116497033392</v>
      </c>
      <c r="I148" s="84" t="n">
        <v>0.34524453268048</v>
      </c>
      <c r="J148" s="84" t="n">
        <v>0.7176135133061931</v>
      </c>
      <c r="K148" s="84" t="n">
        <v>0.590829026171649</v>
      </c>
      <c r="L148" s="84" t="n">
        <v>0.772638670265914</v>
      </c>
      <c r="M148" s="84" t="n">
        <v>0.747899159663866</v>
      </c>
      <c r="N148" s="84" t="n">
        <v>0.742424242424242</v>
      </c>
      <c r="O148" s="84" t="n">
        <v>1</v>
      </c>
      <c r="P148" s="85">
        <f>AVERAGE(D148:I148)</f>
        <v/>
      </c>
      <c r="Q148" s="85">
        <f>AVERAGE(J148:L148)</f>
        <v/>
      </c>
      <c r="R148" s="85">
        <f>AVERAGE(M148:O148)</f>
        <v/>
      </c>
      <c r="S148" s="85">
        <f>'02_지표정의'!$C$22*P148+'02_지표정의'!$C$23*Q148+'02_지표정의'!$C$24*R148</f>
        <v/>
      </c>
      <c r="T148" s="73">
        <f>IF(OR(AND(B148="gemini",C148="gemma"),AND(B148="qwen3_6",C148="qwen"),AND(B148="mistral",C148="ministral")),1,0)</f>
        <v/>
      </c>
      <c r="U148" s="73">
        <f>IF(LEFT(A148,3)="PAT","특허","보고서")</f>
        <v/>
      </c>
      <c r="V148" s="86">
        <f>COUNTIF($S$2:$S$976,"&lt;"&amp;S148)+(COUNTIF($S$2:$S$976,"="&amp;S148)+1)/2</f>
        <v/>
      </c>
      <c r="W148" s="73">
        <f>IF(C148="qwen",0,COUNTIFS($C$2:$C$976,"&lt;&gt;qwen",$S$2:$S$976,"&lt;"&amp;S148)+1)</f>
        <v/>
      </c>
      <c r="X148" s="73">
        <f>IF(C148="ministral",0,COUNTIFS($C$2:$C$976,"&lt;&gt;ministral",$S$2:$S$976,"&lt;"&amp;S148)+1)</f>
        <v/>
      </c>
      <c r="Y148" s="73">
        <f>IF(C148="gemma",0,COUNTIFS($C$2:$C$976,"&lt;&gt;gemma",$S$2:$S$976,"&lt;"&amp;S148)+1)</f>
        <v/>
      </c>
      <c r="Z148" s="87">
        <f>COUNTIFS($B$2:$B$976,B148,$C$2:$C$976,C148,$S$2:$S$976,"&lt;"&amp;S148)+1</f>
        <v/>
      </c>
      <c r="AA148" s="88">
        <f>ABS(S148-SUMPRODUCT(('05B_가정검정'!$A$5:$A$19=B148)*('05B_가정검정'!$B$5:$B$19=C148)*'05B_가정검정'!$E$5:$E$19))</f>
        <v/>
      </c>
      <c r="AB148" s="88">
        <f>S148-AVERAGEIFS($S$2:$S$976,$B$2:$B$976,B148,$C$2:$C$976,C148)</f>
        <v/>
      </c>
    </row>
    <row r="149" ht="15" customHeight="1" s="68">
      <c r="A149" s="83" t="inlineStr">
        <is>
          <t>PAT-10</t>
        </is>
      </c>
      <c r="B149" s="83" t="inlineStr">
        <is>
          <t>qwen3_6</t>
        </is>
      </c>
      <c r="C149" s="83" t="inlineStr">
        <is>
          <t>gemma</t>
        </is>
      </c>
      <c r="D149" s="84" t="n">
        <v>0.234741784037559</v>
      </c>
      <c r="E149" s="84" t="n">
        <v>0.332129963898917</v>
      </c>
      <c r="F149" s="84" t="n">
        <v>0.123636363636364</v>
      </c>
      <c r="G149" s="84" t="n">
        <v>0.259927797833935</v>
      </c>
      <c r="H149" s="84" t="n">
        <v>0.349602955263546</v>
      </c>
      <c r="I149" s="84" t="n">
        <v>0.157245293769049</v>
      </c>
      <c r="J149" s="84" t="n">
        <v>0.695436180131721</v>
      </c>
      <c r="K149" s="84" t="n">
        <v>0.666411952079588</v>
      </c>
      <c r="L149" s="84" t="n">
        <v>0.862912583846454</v>
      </c>
      <c r="M149" s="84" t="n">
        <v>0.906542056074766</v>
      </c>
      <c r="N149" s="84" t="n">
        <v>0.916666666666667</v>
      </c>
      <c r="O149" s="84" t="n">
        <v>1</v>
      </c>
      <c r="P149" s="85">
        <f>AVERAGE(D149:I149)</f>
        <v/>
      </c>
      <c r="Q149" s="85">
        <f>AVERAGE(J149:L149)</f>
        <v/>
      </c>
      <c r="R149" s="85">
        <f>AVERAGE(M149:O149)</f>
        <v/>
      </c>
      <c r="S149" s="85">
        <f>'02_지표정의'!$C$22*P149+'02_지표정의'!$C$23*Q149+'02_지표정의'!$C$24*R149</f>
        <v/>
      </c>
      <c r="T149" s="73">
        <f>IF(OR(AND(B149="gemini",C149="gemma"),AND(B149="qwen3_6",C149="qwen"),AND(B149="mistral",C149="ministral")),1,0)</f>
        <v/>
      </c>
      <c r="U149" s="73">
        <f>IF(LEFT(A149,3)="PAT","특허","보고서")</f>
        <v/>
      </c>
      <c r="V149" s="86">
        <f>COUNTIF($S$2:$S$976,"&lt;"&amp;S149)+(COUNTIF($S$2:$S$976,"="&amp;S149)+1)/2</f>
        <v/>
      </c>
      <c r="W149" s="73">
        <f>IF(C149="qwen",0,COUNTIFS($C$2:$C$976,"&lt;&gt;qwen",$S$2:$S$976,"&lt;"&amp;S149)+1)</f>
        <v/>
      </c>
      <c r="X149" s="73">
        <f>IF(C149="ministral",0,COUNTIFS($C$2:$C$976,"&lt;&gt;ministral",$S$2:$S$976,"&lt;"&amp;S149)+1)</f>
        <v/>
      </c>
      <c r="Y149" s="73">
        <f>IF(C149="gemma",0,COUNTIFS($C$2:$C$976,"&lt;&gt;gemma",$S$2:$S$976,"&lt;"&amp;S149)+1)</f>
        <v/>
      </c>
      <c r="Z149" s="87">
        <f>COUNTIFS($B$2:$B$976,B149,$C$2:$C$976,C149,$S$2:$S$976,"&lt;"&amp;S149)+1</f>
        <v/>
      </c>
      <c r="AA149" s="88">
        <f>ABS(S149-SUMPRODUCT(('05B_가정검정'!$A$5:$A$19=B149)*('05B_가정검정'!$B$5:$B$19=C149)*'05B_가정검정'!$E$5:$E$19))</f>
        <v/>
      </c>
      <c r="AB149" s="88">
        <f>S149-AVERAGEIFS($S$2:$S$976,$B$2:$B$976,B149,$C$2:$C$976,C149)</f>
        <v/>
      </c>
    </row>
    <row r="150" ht="15" customHeight="1" s="68">
      <c r="A150" s="83" t="inlineStr">
        <is>
          <t>PAT-10</t>
        </is>
      </c>
      <c r="B150" s="83" t="inlineStr">
        <is>
          <t>qwen3_6</t>
        </is>
      </c>
      <c r="C150" s="83" t="inlineStr">
        <is>
          <t>ministral</t>
        </is>
      </c>
      <c r="D150" s="84" t="n">
        <v>0.216924910607867</v>
      </c>
      <c r="E150" s="84" t="n">
        <v>0.335135135135135</v>
      </c>
      <c r="F150" s="84" t="n">
        <v>0.179347826086957</v>
      </c>
      <c r="G150" s="84" t="n">
        <v>0.27027027027027</v>
      </c>
      <c r="H150" s="84" t="n">
        <v>0.227178694338358</v>
      </c>
      <c r="I150" s="84" t="n">
        <v>0.217652220035955</v>
      </c>
      <c r="J150" s="84" t="n">
        <v>0.694266279948614</v>
      </c>
      <c r="K150" s="84" t="n">
        <v>0.6201692317559721</v>
      </c>
      <c r="L150" s="84" t="n">
        <v>0.828992651963892</v>
      </c>
      <c r="M150" s="84" t="n">
        <v>0.39917695473251</v>
      </c>
      <c r="N150" s="84" t="n">
        <v>0.46218487394958</v>
      </c>
      <c r="O150" s="84" t="n">
        <v>1</v>
      </c>
      <c r="P150" s="85">
        <f>AVERAGE(D150:I150)</f>
        <v/>
      </c>
      <c r="Q150" s="85">
        <f>AVERAGE(J150:L150)</f>
        <v/>
      </c>
      <c r="R150" s="85">
        <f>AVERAGE(M150:O150)</f>
        <v/>
      </c>
      <c r="S150" s="85">
        <f>'02_지표정의'!$C$22*P150+'02_지표정의'!$C$23*Q150+'02_지표정의'!$C$24*R150</f>
        <v/>
      </c>
      <c r="T150" s="73">
        <f>IF(OR(AND(B150="gemini",C150="gemma"),AND(B150="qwen3_6",C150="qwen"),AND(B150="mistral",C150="ministral")),1,0)</f>
        <v/>
      </c>
      <c r="U150" s="73">
        <f>IF(LEFT(A150,3)="PAT","특허","보고서")</f>
        <v/>
      </c>
      <c r="V150" s="86">
        <f>COUNTIF($S$2:$S$976,"&lt;"&amp;S150)+(COUNTIF($S$2:$S$976,"="&amp;S150)+1)/2</f>
        <v/>
      </c>
      <c r="W150" s="73">
        <f>IF(C150="qwen",0,COUNTIFS($C$2:$C$976,"&lt;&gt;qwen",$S$2:$S$976,"&lt;"&amp;S150)+1)</f>
        <v/>
      </c>
      <c r="X150" s="73">
        <f>IF(C150="ministral",0,COUNTIFS($C$2:$C$976,"&lt;&gt;ministral",$S$2:$S$976,"&lt;"&amp;S150)+1)</f>
        <v/>
      </c>
      <c r="Y150" s="73">
        <f>IF(C150="gemma",0,COUNTIFS($C$2:$C$976,"&lt;&gt;gemma",$S$2:$S$976,"&lt;"&amp;S150)+1)</f>
        <v/>
      </c>
      <c r="Z150" s="87">
        <f>COUNTIFS($B$2:$B$976,B150,$C$2:$C$976,C150,$S$2:$S$976,"&lt;"&amp;S150)+1</f>
        <v/>
      </c>
      <c r="AA150" s="88">
        <f>ABS(S150-SUMPRODUCT(('05B_가정검정'!$A$5:$A$19=B150)*('05B_가정검정'!$B$5:$B$19=C150)*'05B_가정검정'!$E$5:$E$19))</f>
        <v/>
      </c>
      <c r="AB150" s="88">
        <f>S150-AVERAGEIFS($S$2:$S$976,$B$2:$B$976,B150,$C$2:$C$976,C150)</f>
        <v/>
      </c>
    </row>
    <row r="151" ht="15" customHeight="1" s="68">
      <c r="A151" s="83" t="inlineStr">
        <is>
          <t>PAT-10</t>
        </is>
      </c>
      <c r="B151" s="83" t="inlineStr">
        <is>
          <t>qwen3_6</t>
        </is>
      </c>
      <c r="C151" s="83" t="inlineStr">
        <is>
          <t>qwen</t>
        </is>
      </c>
      <c r="D151" s="84" t="n">
        <v>0.326370757180157</v>
      </c>
      <c r="E151" s="84" t="n">
        <v>0.5783132530120479</v>
      </c>
      <c r="F151" s="84" t="n">
        <v>0.267206477732794</v>
      </c>
      <c r="G151" s="84" t="n">
        <v>0.36144578313253</v>
      </c>
      <c r="H151" s="84" t="n">
        <v>0.450681047564654</v>
      </c>
      <c r="I151" s="84" t="n">
        <v>0.435369010416958</v>
      </c>
      <c r="J151" s="84" t="n">
        <v>0.729780292529035</v>
      </c>
      <c r="K151" s="84" t="n">
        <v>0.630446673038936</v>
      </c>
      <c r="L151" s="84" t="n">
        <v>0.855251131416834</v>
      </c>
      <c r="M151" s="84" t="n">
        <v>0.906542056074766</v>
      </c>
      <c r="N151" s="84" t="n">
        <v>0.916666666666667</v>
      </c>
      <c r="O151" s="84" t="n">
        <v>1</v>
      </c>
      <c r="P151" s="85">
        <f>AVERAGE(D151:I151)</f>
        <v/>
      </c>
      <c r="Q151" s="85">
        <f>AVERAGE(J151:L151)</f>
        <v/>
      </c>
      <c r="R151" s="85">
        <f>AVERAGE(M151:O151)</f>
        <v/>
      </c>
      <c r="S151" s="85">
        <f>'02_지표정의'!$C$22*P151+'02_지표정의'!$C$23*Q151+'02_지표정의'!$C$24*R151</f>
        <v/>
      </c>
      <c r="T151" s="73">
        <f>IF(OR(AND(B151="gemini",C151="gemma"),AND(B151="qwen3_6",C151="qwen"),AND(B151="mistral",C151="ministral")),1,0)</f>
        <v/>
      </c>
      <c r="U151" s="73">
        <f>IF(LEFT(A151,3)="PAT","특허","보고서")</f>
        <v/>
      </c>
      <c r="V151" s="86">
        <f>COUNTIF($S$2:$S$976,"&lt;"&amp;S151)+(COUNTIF($S$2:$S$976,"="&amp;S151)+1)/2</f>
        <v/>
      </c>
      <c r="W151" s="73">
        <f>IF(C151="qwen",0,COUNTIFS($C$2:$C$976,"&lt;&gt;qwen",$S$2:$S$976,"&lt;"&amp;S151)+1)</f>
        <v/>
      </c>
      <c r="X151" s="73">
        <f>IF(C151="ministral",0,COUNTIFS($C$2:$C$976,"&lt;&gt;ministral",$S$2:$S$976,"&lt;"&amp;S151)+1)</f>
        <v/>
      </c>
      <c r="Y151" s="73">
        <f>IF(C151="gemma",0,COUNTIFS($C$2:$C$976,"&lt;&gt;gemma",$S$2:$S$976,"&lt;"&amp;S151)+1)</f>
        <v/>
      </c>
      <c r="Z151" s="87">
        <f>COUNTIFS($B$2:$B$976,B151,$C$2:$C$976,C151,$S$2:$S$976,"&lt;"&amp;S151)+1</f>
        <v/>
      </c>
      <c r="AA151" s="88">
        <f>ABS(S151-SUMPRODUCT(('05B_가정검정'!$A$5:$A$19=B151)*('05B_가정검정'!$B$5:$B$19=C151)*'05B_가정검정'!$E$5:$E$19))</f>
        <v/>
      </c>
      <c r="AB151" s="88">
        <f>S151-AVERAGEIFS($S$2:$S$976,$B$2:$B$976,B151,$C$2:$C$976,C151)</f>
        <v/>
      </c>
    </row>
    <row r="152" ht="15" customHeight="1" s="68">
      <c r="A152" s="83" t="inlineStr">
        <is>
          <t>PAT-11</t>
        </is>
      </c>
      <c r="B152" s="83" t="inlineStr">
        <is>
          <t>chatgpt</t>
        </is>
      </c>
      <c r="C152" s="83" t="inlineStr">
        <is>
          <t>gemma</t>
        </is>
      </c>
      <c r="D152" s="84" t="n">
        <v>0.232984293193717</v>
      </c>
      <c r="E152" s="84" t="n">
        <v>0.373056994818653</v>
      </c>
      <c r="F152" s="84" t="n">
        <v>0.157068062827225</v>
      </c>
      <c r="G152" s="84" t="n">
        <v>0.352331606217617</v>
      </c>
      <c r="H152" s="84" t="n">
        <v>0.223597675560508</v>
      </c>
      <c r="I152" s="84" t="n">
        <v>0.227727745630802</v>
      </c>
      <c r="J152" s="84" t="n">
        <v>0.706350023398584</v>
      </c>
      <c r="K152" s="84" t="n">
        <v>0.698473956997653</v>
      </c>
      <c r="L152" s="84" t="n">
        <v>0.852609377370014</v>
      </c>
      <c r="M152" s="84" t="n">
        <v>0.414634146341463</v>
      </c>
      <c r="N152" s="84" t="n">
        <v>0.00917431192660545</v>
      </c>
      <c r="O152" s="84" t="n">
        <v>0.526315789473684</v>
      </c>
      <c r="P152" s="85">
        <f>AVERAGE(D152:I152)</f>
        <v/>
      </c>
      <c r="Q152" s="85">
        <f>AVERAGE(J152:L152)</f>
        <v/>
      </c>
      <c r="R152" s="85">
        <f>AVERAGE(M152:O152)</f>
        <v/>
      </c>
      <c r="S152" s="85">
        <f>'02_지표정의'!$C$22*P152+'02_지표정의'!$C$23*Q152+'02_지표정의'!$C$24*R152</f>
        <v/>
      </c>
      <c r="T152" s="73">
        <f>IF(OR(AND(B152="gemini",C152="gemma"),AND(B152="qwen3_6",C152="qwen"),AND(B152="mistral",C152="ministral")),1,0)</f>
        <v/>
      </c>
      <c r="U152" s="73">
        <f>IF(LEFT(A152,3)="PAT","특허","보고서")</f>
        <v/>
      </c>
      <c r="V152" s="86">
        <f>COUNTIF($S$2:$S$976,"&lt;"&amp;S152)+(COUNTIF($S$2:$S$976,"="&amp;S152)+1)/2</f>
        <v/>
      </c>
      <c r="W152" s="73">
        <f>IF(C152="qwen",0,COUNTIFS($C$2:$C$976,"&lt;&gt;qwen",$S$2:$S$976,"&lt;"&amp;S152)+1)</f>
        <v/>
      </c>
      <c r="X152" s="73">
        <f>IF(C152="ministral",0,COUNTIFS($C$2:$C$976,"&lt;&gt;ministral",$S$2:$S$976,"&lt;"&amp;S152)+1)</f>
        <v/>
      </c>
      <c r="Y152" s="73">
        <f>IF(C152="gemma",0,COUNTIFS($C$2:$C$976,"&lt;&gt;gemma",$S$2:$S$976,"&lt;"&amp;S152)+1)</f>
        <v/>
      </c>
      <c r="Z152" s="87">
        <f>COUNTIFS($B$2:$B$976,B152,$C$2:$C$976,C152,$S$2:$S$976,"&lt;"&amp;S152)+1</f>
        <v/>
      </c>
      <c r="AA152" s="88">
        <f>ABS(S152-SUMPRODUCT(('05B_가정검정'!$A$5:$A$19=B152)*('05B_가정검정'!$B$5:$B$19=C152)*'05B_가정검정'!$E$5:$E$19))</f>
        <v/>
      </c>
      <c r="AB152" s="88">
        <f>S152-AVERAGEIFS($S$2:$S$976,$B$2:$B$976,B152,$C$2:$C$976,C152)</f>
        <v/>
      </c>
    </row>
    <row r="153" ht="15" customHeight="1" s="68">
      <c r="A153" s="83" t="inlineStr">
        <is>
          <t>PAT-11</t>
        </is>
      </c>
      <c r="B153" s="83" t="inlineStr">
        <is>
          <t>chatgpt</t>
        </is>
      </c>
      <c r="C153" s="83" t="inlineStr">
        <is>
          <t>ministral</t>
        </is>
      </c>
      <c r="D153" s="84" t="n">
        <v>0.314720812182741</v>
      </c>
      <c r="E153" s="84" t="n">
        <v>0.359832635983264</v>
      </c>
      <c r="F153" s="84" t="n">
        <v>0.210970464135021</v>
      </c>
      <c r="G153" s="84" t="n">
        <v>0.309623430962343</v>
      </c>
      <c r="H153" s="84" t="n">
        <v>0.177328613202914</v>
      </c>
      <c r="I153" s="84" t="n">
        <v>0.379200985181554</v>
      </c>
      <c r="J153" s="84" t="n">
        <v>0.740008924281198</v>
      </c>
      <c r="K153" s="84" t="n">
        <v>0.693800683358436</v>
      </c>
      <c r="L153" s="84" t="n">
        <v>0.8472866579782929</v>
      </c>
      <c r="M153" s="84" t="n">
        <v>0.436213991769547</v>
      </c>
      <c r="N153" s="84" t="n">
        <v>0</v>
      </c>
      <c r="O153" s="84" t="n">
        <v>0.526315789473684</v>
      </c>
      <c r="P153" s="85">
        <f>AVERAGE(D153:I153)</f>
        <v/>
      </c>
      <c r="Q153" s="85">
        <f>AVERAGE(J153:L153)</f>
        <v/>
      </c>
      <c r="R153" s="85">
        <f>AVERAGE(M153:O153)</f>
        <v/>
      </c>
      <c r="S153" s="85">
        <f>'02_지표정의'!$C$22*P153+'02_지표정의'!$C$23*Q153+'02_지표정의'!$C$24*R153</f>
        <v/>
      </c>
      <c r="T153" s="73">
        <f>IF(OR(AND(B153="gemini",C153="gemma"),AND(B153="qwen3_6",C153="qwen"),AND(B153="mistral",C153="ministral")),1,0)</f>
        <v/>
      </c>
      <c r="U153" s="73">
        <f>IF(LEFT(A153,3)="PAT","특허","보고서")</f>
        <v/>
      </c>
      <c r="V153" s="86">
        <f>COUNTIF($S$2:$S$976,"&lt;"&amp;S153)+(COUNTIF($S$2:$S$976,"="&amp;S153)+1)/2</f>
        <v/>
      </c>
      <c r="W153" s="73">
        <f>IF(C153="qwen",0,COUNTIFS($C$2:$C$976,"&lt;&gt;qwen",$S$2:$S$976,"&lt;"&amp;S153)+1)</f>
        <v/>
      </c>
      <c r="X153" s="73">
        <f>IF(C153="ministral",0,COUNTIFS($C$2:$C$976,"&lt;&gt;ministral",$S$2:$S$976,"&lt;"&amp;S153)+1)</f>
        <v/>
      </c>
      <c r="Y153" s="73">
        <f>IF(C153="gemma",0,COUNTIFS($C$2:$C$976,"&lt;&gt;gemma",$S$2:$S$976,"&lt;"&amp;S153)+1)</f>
        <v/>
      </c>
      <c r="Z153" s="87">
        <f>COUNTIFS($B$2:$B$976,B153,$C$2:$C$976,C153,$S$2:$S$976,"&lt;"&amp;S153)+1</f>
        <v/>
      </c>
      <c r="AA153" s="88">
        <f>ABS(S153-SUMPRODUCT(('05B_가정검정'!$A$5:$A$19=B153)*('05B_가정검정'!$B$5:$B$19=C153)*'05B_가정검정'!$E$5:$E$19))</f>
        <v/>
      </c>
      <c r="AB153" s="88">
        <f>S153-AVERAGEIFS($S$2:$S$976,$B$2:$B$976,B153,$C$2:$C$976,C153)</f>
        <v/>
      </c>
    </row>
    <row r="154" ht="15" customHeight="1" s="68">
      <c r="A154" s="83" t="inlineStr">
        <is>
          <t>PAT-11</t>
        </is>
      </c>
      <c r="B154" s="83" t="inlineStr">
        <is>
          <t>chatgpt</t>
        </is>
      </c>
      <c r="C154" s="83" t="inlineStr">
        <is>
          <t>qwen</t>
        </is>
      </c>
      <c r="D154" s="84" t="n">
        <v>0.268562401263823</v>
      </c>
      <c r="E154" s="84" t="n">
        <v>0.542372881355932</v>
      </c>
      <c r="F154" s="84" t="n">
        <v>0.354285714285714</v>
      </c>
      <c r="G154" s="84" t="n">
        <v>0.418079096045198</v>
      </c>
      <c r="H154" s="84" t="n">
        <v>0.27743763316149</v>
      </c>
      <c r="I154" s="84" t="n">
        <v>0.491873793753706</v>
      </c>
      <c r="J154" s="84" t="n">
        <v>0.744158924091731</v>
      </c>
      <c r="K154" s="84" t="n">
        <v>0.689049260400011</v>
      </c>
      <c r="L154" s="84" t="n">
        <v>0.858722188319658</v>
      </c>
      <c r="M154" s="84" t="n">
        <v>0.361990950226244</v>
      </c>
      <c r="N154" s="84" t="n">
        <v>0</v>
      </c>
      <c r="O154" s="84" t="n">
        <v>0.526315789473684</v>
      </c>
      <c r="P154" s="85">
        <f>AVERAGE(D154:I154)</f>
        <v/>
      </c>
      <c r="Q154" s="85">
        <f>AVERAGE(J154:L154)</f>
        <v/>
      </c>
      <c r="R154" s="85">
        <f>AVERAGE(M154:O154)</f>
        <v/>
      </c>
      <c r="S154" s="85">
        <f>'02_지표정의'!$C$22*P154+'02_지표정의'!$C$23*Q154+'02_지표정의'!$C$24*R154</f>
        <v/>
      </c>
      <c r="T154" s="73">
        <f>IF(OR(AND(B154="gemini",C154="gemma"),AND(B154="qwen3_6",C154="qwen"),AND(B154="mistral",C154="ministral")),1,0)</f>
        <v/>
      </c>
      <c r="U154" s="73">
        <f>IF(LEFT(A154,3)="PAT","특허","보고서")</f>
        <v/>
      </c>
      <c r="V154" s="86">
        <f>COUNTIF($S$2:$S$976,"&lt;"&amp;S154)+(COUNTIF($S$2:$S$976,"="&amp;S154)+1)/2</f>
        <v/>
      </c>
      <c r="W154" s="73">
        <f>IF(C154="qwen",0,COUNTIFS($C$2:$C$976,"&lt;&gt;qwen",$S$2:$S$976,"&lt;"&amp;S154)+1)</f>
        <v/>
      </c>
      <c r="X154" s="73">
        <f>IF(C154="ministral",0,COUNTIFS($C$2:$C$976,"&lt;&gt;ministral",$S$2:$S$976,"&lt;"&amp;S154)+1)</f>
        <v/>
      </c>
      <c r="Y154" s="73">
        <f>IF(C154="gemma",0,COUNTIFS($C$2:$C$976,"&lt;&gt;gemma",$S$2:$S$976,"&lt;"&amp;S154)+1)</f>
        <v/>
      </c>
      <c r="Z154" s="87">
        <f>COUNTIFS($B$2:$B$976,B154,$C$2:$C$976,C154,$S$2:$S$976,"&lt;"&amp;S154)+1</f>
        <v/>
      </c>
      <c r="AA154" s="88">
        <f>ABS(S154-SUMPRODUCT(('05B_가정검정'!$A$5:$A$19=B154)*('05B_가정검정'!$B$5:$B$19=C154)*'05B_가정검정'!$E$5:$E$19))</f>
        <v/>
      </c>
      <c r="AB154" s="88">
        <f>S154-AVERAGEIFS($S$2:$S$976,$B$2:$B$976,B154,$C$2:$C$976,C154)</f>
        <v/>
      </c>
    </row>
    <row r="155" ht="15" customHeight="1" s="68">
      <c r="A155" s="83" t="inlineStr">
        <is>
          <t>PAT-11</t>
        </is>
      </c>
      <c r="B155" s="83" t="inlineStr">
        <is>
          <t>claude</t>
        </is>
      </c>
      <c r="C155" s="83" t="inlineStr">
        <is>
          <t>gemma</t>
        </is>
      </c>
      <c r="D155" s="84" t="n">
        <v>0.265060240963855</v>
      </c>
      <c r="E155" s="84" t="n">
        <v>0.364285714285714</v>
      </c>
      <c r="F155" s="84" t="n">
        <v>0.151079136690648</v>
      </c>
      <c r="G155" s="84" t="n">
        <v>0.278571428571429</v>
      </c>
      <c r="H155" s="84" t="n">
        <v>0.316884685155903</v>
      </c>
      <c r="I155" s="84" t="n">
        <v>0.242844676974472</v>
      </c>
      <c r="J155" s="84" t="n">
        <v>0.71189287247545</v>
      </c>
      <c r="K155" s="84" t="n">
        <v>0.658185510896319</v>
      </c>
      <c r="L155" s="84" t="n">
        <v>0.858187439255431</v>
      </c>
      <c r="M155" s="84" t="n">
        <v>0.567073170731707</v>
      </c>
      <c r="N155" s="84" t="n">
        <v>0.521276595744681</v>
      </c>
      <c r="O155" s="84" t="n">
        <v>1</v>
      </c>
      <c r="P155" s="85">
        <f>AVERAGE(D155:I155)</f>
        <v/>
      </c>
      <c r="Q155" s="85">
        <f>AVERAGE(J155:L155)</f>
        <v/>
      </c>
      <c r="R155" s="85">
        <f>AVERAGE(M155:O155)</f>
        <v/>
      </c>
      <c r="S155" s="85">
        <f>'02_지표정의'!$C$22*P155+'02_지표정의'!$C$23*Q155+'02_지표정의'!$C$24*R155</f>
        <v/>
      </c>
      <c r="T155" s="73">
        <f>IF(OR(AND(B155="gemini",C155="gemma"),AND(B155="qwen3_6",C155="qwen"),AND(B155="mistral",C155="ministral")),1,0)</f>
        <v/>
      </c>
      <c r="U155" s="73">
        <f>IF(LEFT(A155,3)="PAT","특허","보고서")</f>
        <v/>
      </c>
      <c r="V155" s="86">
        <f>COUNTIF($S$2:$S$976,"&lt;"&amp;S155)+(COUNTIF($S$2:$S$976,"="&amp;S155)+1)/2</f>
        <v/>
      </c>
      <c r="W155" s="73">
        <f>IF(C155="qwen",0,COUNTIFS($C$2:$C$976,"&lt;&gt;qwen",$S$2:$S$976,"&lt;"&amp;S155)+1)</f>
        <v/>
      </c>
      <c r="X155" s="73">
        <f>IF(C155="ministral",0,COUNTIFS($C$2:$C$976,"&lt;&gt;ministral",$S$2:$S$976,"&lt;"&amp;S155)+1)</f>
        <v/>
      </c>
      <c r="Y155" s="73">
        <f>IF(C155="gemma",0,COUNTIFS($C$2:$C$976,"&lt;&gt;gemma",$S$2:$S$976,"&lt;"&amp;S155)+1)</f>
        <v/>
      </c>
      <c r="Z155" s="87">
        <f>COUNTIFS($B$2:$B$976,B155,$C$2:$C$976,C155,$S$2:$S$976,"&lt;"&amp;S155)+1</f>
        <v/>
      </c>
      <c r="AA155" s="88">
        <f>ABS(S155-SUMPRODUCT(('05B_가정검정'!$A$5:$A$19=B155)*('05B_가정검정'!$B$5:$B$19=C155)*'05B_가정검정'!$E$5:$E$19))</f>
        <v/>
      </c>
      <c r="AB155" s="88">
        <f>S155-AVERAGEIFS($S$2:$S$976,$B$2:$B$976,B155,$C$2:$C$976,C155)</f>
        <v/>
      </c>
    </row>
    <row r="156" ht="15" customHeight="1" s="68">
      <c r="A156" s="83" t="inlineStr">
        <is>
          <t>PAT-11</t>
        </is>
      </c>
      <c r="B156" s="83" t="inlineStr">
        <is>
          <t>claude</t>
        </is>
      </c>
      <c r="C156" s="83" t="inlineStr">
        <is>
          <t>ministral</t>
        </is>
      </c>
      <c r="D156" s="84" t="n">
        <v>0.246713852376138</v>
      </c>
      <c r="E156" s="84" t="n">
        <v>0.337423312883436</v>
      </c>
      <c r="F156" s="84" t="n">
        <v>0.17283950617284</v>
      </c>
      <c r="G156" s="84" t="n">
        <v>0.282208588957055</v>
      </c>
      <c r="H156" s="84" t="n">
        <v>0.236522757655791</v>
      </c>
      <c r="I156" s="84" t="n">
        <v>0.298522647320631</v>
      </c>
      <c r="J156" s="84" t="n">
        <v>0.701004140189959</v>
      </c>
      <c r="K156" s="84" t="n">
        <v>0.6228141086394861</v>
      </c>
      <c r="L156" s="84" t="n">
        <v>0.816484150615797</v>
      </c>
      <c r="M156" s="84" t="n">
        <v>0.563786008230453</v>
      </c>
      <c r="N156" s="84" t="n">
        <v>0.504201680672269</v>
      </c>
      <c r="O156" s="84" t="n">
        <v>1</v>
      </c>
      <c r="P156" s="85">
        <f>AVERAGE(D156:I156)</f>
        <v/>
      </c>
      <c r="Q156" s="85">
        <f>AVERAGE(J156:L156)</f>
        <v/>
      </c>
      <c r="R156" s="85">
        <f>AVERAGE(M156:O156)</f>
        <v/>
      </c>
      <c r="S156" s="85">
        <f>'02_지표정의'!$C$22*P156+'02_지표정의'!$C$23*Q156+'02_지표정의'!$C$24*R156</f>
        <v/>
      </c>
      <c r="T156" s="73">
        <f>IF(OR(AND(B156="gemini",C156="gemma"),AND(B156="qwen3_6",C156="qwen"),AND(B156="mistral",C156="ministral")),1,0)</f>
        <v/>
      </c>
      <c r="U156" s="73">
        <f>IF(LEFT(A156,3)="PAT","특허","보고서")</f>
        <v/>
      </c>
      <c r="V156" s="86">
        <f>COUNTIF($S$2:$S$976,"&lt;"&amp;S156)+(COUNTIF($S$2:$S$976,"="&amp;S156)+1)/2</f>
        <v/>
      </c>
      <c r="W156" s="73">
        <f>IF(C156="qwen",0,COUNTIFS($C$2:$C$976,"&lt;&gt;qwen",$S$2:$S$976,"&lt;"&amp;S156)+1)</f>
        <v/>
      </c>
      <c r="X156" s="73">
        <f>IF(C156="ministral",0,COUNTIFS($C$2:$C$976,"&lt;&gt;ministral",$S$2:$S$976,"&lt;"&amp;S156)+1)</f>
        <v/>
      </c>
      <c r="Y156" s="73">
        <f>IF(C156="gemma",0,COUNTIFS($C$2:$C$976,"&lt;&gt;gemma",$S$2:$S$976,"&lt;"&amp;S156)+1)</f>
        <v/>
      </c>
      <c r="Z156" s="87">
        <f>COUNTIFS($B$2:$B$976,B156,$C$2:$C$976,C156,$S$2:$S$976,"&lt;"&amp;S156)+1</f>
        <v/>
      </c>
      <c r="AA156" s="88">
        <f>ABS(S156-SUMPRODUCT(('05B_가정검정'!$A$5:$A$19=B156)*('05B_가정검정'!$B$5:$B$19=C156)*'05B_가정검정'!$E$5:$E$19))</f>
        <v/>
      </c>
      <c r="AB156" s="88">
        <f>S156-AVERAGEIFS($S$2:$S$976,$B$2:$B$976,B156,$C$2:$C$976,C156)</f>
        <v/>
      </c>
    </row>
    <row r="157" ht="15" customHeight="1" s="68">
      <c r="A157" s="83" t="inlineStr">
        <is>
          <t>PAT-11</t>
        </is>
      </c>
      <c r="B157" s="83" t="inlineStr">
        <is>
          <t>claude</t>
        </is>
      </c>
      <c r="C157" s="83" t="inlineStr">
        <is>
          <t>qwen</t>
        </is>
      </c>
      <c r="D157" s="84" t="n">
        <v>0.26188166828322</v>
      </c>
      <c r="E157" s="84" t="n">
        <v>0.522727272727273</v>
      </c>
      <c r="F157" s="84" t="n">
        <v>0.32824427480916</v>
      </c>
      <c r="G157" s="84" t="n">
        <v>0.401515151515152</v>
      </c>
      <c r="H157" s="84" t="n">
        <v>0.303018054090508</v>
      </c>
      <c r="I157" s="84" t="n">
        <v>0.450559046877413</v>
      </c>
      <c r="J157" s="84" t="n">
        <v>0.714309189287631</v>
      </c>
      <c r="K157" s="84" t="n">
        <v>0.646274904853874</v>
      </c>
      <c r="L157" s="84" t="n">
        <v>0.850749407084348</v>
      </c>
      <c r="M157" s="84" t="n">
        <v>0.579185520361991</v>
      </c>
      <c r="N157" s="84" t="n">
        <v>0.601694915254237</v>
      </c>
      <c r="O157" s="84" t="n">
        <v>1</v>
      </c>
      <c r="P157" s="85">
        <f>AVERAGE(D157:I157)</f>
        <v/>
      </c>
      <c r="Q157" s="85">
        <f>AVERAGE(J157:L157)</f>
        <v/>
      </c>
      <c r="R157" s="85">
        <f>AVERAGE(M157:O157)</f>
        <v/>
      </c>
      <c r="S157" s="85">
        <f>'02_지표정의'!$C$22*P157+'02_지표정의'!$C$23*Q157+'02_지표정의'!$C$24*R157</f>
        <v/>
      </c>
      <c r="T157" s="73">
        <f>IF(OR(AND(B157="gemini",C157="gemma"),AND(B157="qwen3_6",C157="qwen"),AND(B157="mistral",C157="ministral")),1,0)</f>
        <v/>
      </c>
      <c r="U157" s="73">
        <f>IF(LEFT(A157,3)="PAT","특허","보고서")</f>
        <v/>
      </c>
      <c r="V157" s="86">
        <f>COUNTIF($S$2:$S$976,"&lt;"&amp;S157)+(COUNTIF($S$2:$S$976,"="&amp;S157)+1)/2</f>
        <v/>
      </c>
      <c r="W157" s="73">
        <f>IF(C157="qwen",0,COUNTIFS($C$2:$C$976,"&lt;&gt;qwen",$S$2:$S$976,"&lt;"&amp;S157)+1)</f>
        <v/>
      </c>
      <c r="X157" s="73">
        <f>IF(C157="ministral",0,COUNTIFS($C$2:$C$976,"&lt;&gt;ministral",$S$2:$S$976,"&lt;"&amp;S157)+1)</f>
        <v/>
      </c>
      <c r="Y157" s="73">
        <f>IF(C157="gemma",0,COUNTIFS($C$2:$C$976,"&lt;&gt;gemma",$S$2:$S$976,"&lt;"&amp;S157)+1)</f>
        <v/>
      </c>
      <c r="Z157" s="87">
        <f>COUNTIFS($B$2:$B$976,B157,$C$2:$C$976,C157,$S$2:$S$976,"&lt;"&amp;S157)+1</f>
        <v/>
      </c>
      <c r="AA157" s="88">
        <f>ABS(S157-SUMPRODUCT(('05B_가정검정'!$A$5:$A$19=B157)*('05B_가정검정'!$B$5:$B$19=C157)*'05B_가정검정'!$E$5:$E$19))</f>
        <v/>
      </c>
      <c r="AB157" s="88">
        <f>S157-AVERAGEIFS($S$2:$S$976,$B$2:$B$976,B157,$C$2:$C$976,C157)</f>
        <v/>
      </c>
    </row>
    <row r="158" ht="15" customHeight="1" s="68">
      <c r="A158" s="83" t="inlineStr">
        <is>
          <t>PAT-11</t>
        </is>
      </c>
      <c r="B158" s="83" t="inlineStr">
        <is>
          <t>gemini</t>
        </is>
      </c>
      <c r="C158" s="83" t="inlineStr">
        <is>
          <t>gemma</t>
        </is>
      </c>
      <c r="D158" s="84" t="n">
        <v>0.264423076923077</v>
      </c>
      <c r="E158" s="84" t="n">
        <v>0.450261780104712</v>
      </c>
      <c r="F158" s="84" t="n">
        <v>0.201058201058201</v>
      </c>
      <c r="G158" s="84" t="n">
        <v>0.397905759162304</v>
      </c>
      <c r="H158" s="84" t="n">
        <v>0.295581959744787</v>
      </c>
      <c r="I158" s="84" t="n">
        <v>0.21821577503249</v>
      </c>
      <c r="J158" s="84" t="n">
        <v>0.75022897849806</v>
      </c>
      <c r="K158" s="84" t="n">
        <v>0.727620869303697</v>
      </c>
      <c r="L158" s="84" t="n">
        <v>0.869474935094446</v>
      </c>
      <c r="M158" s="84" t="n">
        <v>0.906542056074766</v>
      </c>
      <c r="N158" s="84" t="n">
        <v>0.916666666666667</v>
      </c>
      <c r="O158" s="84" t="n">
        <v>1</v>
      </c>
      <c r="P158" s="85">
        <f>AVERAGE(D158:I158)</f>
        <v/>
      </c>
      <c r="Q158" s="85">
        <f>AVERAGE(J158:L158)</f>
        <v/>
      </c>
      <c r="R158" s="85">
        <f>AVERAGE(M158:O158)</f>
        <v/>
      </c>
      <c r="S158" s="85">
        <f>'02_지표정의'!$C$22*P158+'02_지표정의'!$C$23*Q158+'02_지표정의'!$C$24*R158</f>
        <v/>
      </c>
      <c r="T158" s="73">
        <f>IF(OR(AND(B158="gemini",C158="gemma"),AND(B158="qwen3_6",C158="qwen"),AND(B158="mistral",C158="ministral")),1,0)</f>
        <v/>
      </c>
      <c r="U158" s="73">
        <f>IF(LEFT(A158,3)="PAT","특허","보고서")</f>
        <v/>
      </c>
      <c r="V158" s="86">
        <f>COUNTIF($S$2:$S$976,"&lt;"&amp;S158)+(COUNTIF($S$2:$S$976,"="&amp;S158)+1)/2</f>
        <v/>
      </c>
      <c r="W158" s="73">
        <f>IF(C158="qwen",0,COUNTIFS($C$2:$C$976,"&lt;&gt;qwen",$S$2:$S$976,"&lt;"&amp;S158)+1)</f>
        <v/>
      </c>
      <c r="X158" s="73">
        <f>IF(C158="ministral",0,COUNTIFS($C$2:$C$976,"&lt;&gt;ministral",$S$2:$S$976,"&lt;"&amp;S158)+1)</f>
        <v/>
      </c>
      <c r="Y158" s="73">
        <f>IF(C158="gemma",0,COUNTIFS($C$2:$C$976,"&lt;&gt;gemma",$S$2:$S$976,"&lt;"&amp;S158)+1)</f>
        <v/>
      </c>
      <c r="Z158" s="87">
        <f>COUNTIFS($B$2:$B$976,B158,$C$2:$C$976,C158,$S$2:$S$976,"&lt;"&amp;S158)+1</f>
        <v/>
      </c>
      <c r="AA158" s="88">
        <f>ABS(S158-SUMPRODUCT(('05B_가정검정'!$A$5:$A$19=B158)*('05B_가정검정'!$B$5:$B$19=C158)*'05B_가정검정'!$E$5:$E$19))</f>
        <v/>
      </c>
      <c r="AB158" s="88">
        <f>S158-AVERAGEIFS($S$2:$S$976,$B$2:$B$976,B158,$C$2:$C$976,C158)</f>
        <v/>
      </c>
    </row>
    <row r="159" ht="15" customHeight="1" s="68">
      <c r="A159" s="83" t="inlineStr">
        <is>
          <t>PAT-11</t>
        </is>
      </c>
      <c r="B159" s="83" t="inlineStr">
        <is>
          <t>gemini</t>
        </is>
      </c>
      <c r="C159" s="83" t="inlineStr">
        <is>
          <t>ministral</t>
        </is>
      </c>
      <c r="D159" s="84" t="n">
        <v>0.279210925644917</v>
      </c>
      <c r="E159" s="84" t="n">
        <v>0.329113924050633</v>
      </c>
      <c r="F159" s="84" t="n">
        <v>0.161702127659575</v>
      </c>
      <c r="G159" s="84" t="n">
        <v>0.286919831223629</v>
      </c>
      <c r="H159" s="84" t="n">
        <v>0.202206298509111</v>
      </c>
      <c r="I159" s="84" t="n">
        <v>0.298551391102528</v>
      </c>
      <c r="J159" s="84" t="n">
        <v>0.750721435406105</v>
      </c>
      <c r="K159" s="84" t="n">
        <v>0.724963745877801</v>
      </c>
      <c r="L159" s="84" t="n">
        <v>0.867674315436832</v>
      </c>
      <c r="M159" s="84" t="n">
        <v>0.39917695473251</v>
      </c>
      <c r="N159" s="84" t="n">
        <v>0.46218487394958</v>
      </c>
      <c r="O159" s="84" t="n">
        <v>1</v>
      </c>
      <c r="P159" s="85">
        <f>AVERAGE(D159:I159)</f>
        <v/>
      </c>
      <c r="Q159" s="85">
        <f>AVERAGE(J159:L159)</f>
        <v/>
      </c>
      <c r="R159" s="85">
        <f>AVERAGE(M159:O159)</f>
        <v/>
      </c>
      <c r="S159" s="85">
        <f>'02_지표정의'!$C$22*P159+'02_지표정의'!$C$23*Q159+'02_지표정의'!$C$24*R159</f>
        <v/>
      </c>
      <c r="T159" s="73">
        <f>IF(OR(AND(B159="gemini",C159="gemma"),AND(B159="qwen3_6",C159="qwen"),AND(B159="mistral",C159="ministral")),1,0)</f>
        <v/>
      </c>
      <c r="U159" s="73">
        <f>IF(LEFT(A159,3)="PAT","특허","보고서")</f>
        <v/>
      </c>
      <c r="V159" s="86">
        <f>COUNTIF($S$2:$S$976,"&lt;"&amp;S159)+(COUNTIF($S$2:$S$976,"="&amp;S159)+1)/2</f>
        <v/>
      </c>
      <c r="W159" s="73">
        <f>IF(C159="qwen",0,COUNTIFS($C$2:$C$976,"&lt;&gt;qwen",$S$2:$S$976,"&lt;"&amp;S159)+1)</f>
        <v/>
      </c>
      <c r="X159" s="73">
        <f>IF(C159="ministral",0,COUNTIFS($C$2:$C$976,"&lt;&gt;ministral",$S$2:$S$976,"&lt;"&amp;S159)+1)</f>
        <v/>
      </c>
      <c r="Y159" s="73">
        <f>IF(C159="gemma",0,COUNTIFS($C$2:$C$976,"&lt;&gt;gemma",$S$2:$S$976,"&lt;"&amp;S159)+1)</f>
        <v/>
      </c>
      <c r="Z159" s="87">
        <f>COUNTIFS($B$2:$B$976,B159,$C$2:$C$976,C159,$S$2:$S$976,"&lt;"&amp;S159)+1</f>
        <v/>
      </c>
      <c r="AA159" s="88">
        <f>ABS(S159-SUMPRODUCT(('05B_가정검정'!$A$5:$A$19=B159)*('05B_가정검정'!$B$5:$B$19=C159)*'05B_가정검정'!$E$5:$E$19))</f>
        <v/>
      </c>
      <c r="AB159" s="88">
        <f>S159-AVERAGEIFS($S$2:$S$976,$B$2:$B$976,B159,$C$2:$C$976,C159)</f>
        <v/>
      </c>
    </row>
    <row r="160" ht="15" customHeight="1" s="68">
      <c r="A160" s="83" t="inlineStr">
        <is>
          <t>PAT-11</t>
        </is>
      </c>
      <c r="B160" s="83" t="inlineStr">
        <is>
          <t>gemini</t>
        </is>
      </c>
      <c r="C160" s="83" t="inlineStr">
        <is>
          <t>qwen</t>
        </is>
      </c>
      <c r="D160" s="84" t="n">
        <v>0.30527817403709</v>
      </c>
      <c r="E160" s="84" t="n">
        <v>0.468571428571429</v>
      </c>
      <c r="F160" s="84" t="n">
        <v>0.265895953757226</v>
      </c>
      <c r="G160" s="84" t="n">
        <v>0.411428571428571</v>
      </c>
      <c r="H160" s="84" t="n">
        <v>0.360339689676222</v>
      </c>
      <c r="I160" s="84" t="n">
        <v>0.410879749116165</v>
      </c>
      <c r="J160" s="84" t="n">
        <v>0.781427711325606</v>
      </c>
      <c r="K160" s="84" t="n">
        <v>0.762643215622357</v>
      </c>
      <c r="L160" s="84" t="n">
        <v>0.886855592858121</v>
      </c>
      <c r="M160" s="84" t="n">
        <v>0.438914027149321</v>
      </c>
      <c r="N160" s="84" t="n">
        <v>0.466101694915254</v>
      </c>
      <c r="O160" s="84" t="n">
        <v>1</v>
      </c>
      <c r="P160" s="85">
        <f>AVERAGE(D160:I160)</f>
        <v/>
      </c>
      <c r="Q160" s="85">
        <f>AVERAGE(J160:L160)</f>
        <v/>
      </c>
      <c r="R160" s="85">
        <f>AVERAGE(M160:O160)</f>
        <v/>
      </c>
      <c r="S160" s="85">
        <f>'02_지표정의'!$C$22*P160+'02_지표정의'!$C$23*Q160+'02_지표정의'!$C$24*R160</f>
        <v/>
      </c>
      <c r="T160" s="73">
        <f>IF(OR(AND(B160="gemini",C160="gemma"),AND(B160="qwen3_6",C160="qwen"),AND(B160="mistral",C160="ministral")),1,0)</f>
        <v/>
      </c>
      <c r="U160" s="73">
        <f>IF(LEFT(A160,3)="PAT","특허","보고서")</f>
        <v/>
      </c>
      <c r="V160" s="86">
        <f>COUNTIF($S$2:$S$976,"&lt;"&amp;S160)+(COUNTIF($S$2:$S$976,"="&amp;S160)+1)/2</f>
        <v/>
      </c>
      <c r="W160" s="73">
        <f>IF(C160="qwen",0,COUNTIFS($C$2:$C$976,"&lt;&gt;qwen",$S$2:$S$976,"&lt;"&amp;S160)+1)</f>
        <v/>
      </c>
      <c r="X160" s="73">
        <f>IF(C160="ministral",0,COUNTIFS($C$2:$C$976,"&lt;&gt;ministral",$S$2:$S$976,"&lt;"&amp;S160)+1)</f>
        <v/>
      </c>
      <c r="Y160" s="73">
        <f>IF(C160="gemma",0,COUNTIFS($C$2:$C$976,"&lt;&gt;gemma",$S$2:$S$976,"&lt;"&amp;S160)+1)</f>
        <v/>
      </c>
      <c r="Z160" s="87">
        <f>COUNTIFS($B$2:$B$976,B160,$C$2:$C$976,C160,$S$2:$S$976,"&lt;"&amp;S160)+1</f>
        <v/>
      </c>
      <c r="AA160" s="88">
        <f>ABS(S160-SUMPRODUCT(('05B_가정검정'!$A$5:$A$19=B160)*('05B_가정검정'!$B$5:$B$19=C160)*'05B_가정검정'!$E$5:$E$19))</f>
        <v/>
      </c>
      <c r="AB160" s="88">
        <f>S160-AVERAGEIFS($S$2:$S$976,$B$2:$B$976,B160,$C$2:$C$976,C160)</f>
        <v/>
      </c>
    </row>
    <row r="161" ht="15" customHeight="1" s="68">
      <c r="A161" s="83" t="inlineStr">
        <is>
          <t>PAT-11</t>
        </is>
      </c>
      <c r="B161" s="83" t="inlineStr">
        <is>
          <t>mistral</t>
        </is>
      </c>
      <c r="C161" s="83" t="inlineStr">
        <is>
          <t>gemma</t>
        </is>
      </c>
      <c r="D161" s="84" t="n">
        <v>0.250639386189258</v>
      </c>
      <c r="E161" s="84" t="n">
        <v>0.39</v>
      </c>
      <c r="F161" s="84" t="n">
        <v>0.181818181818182</v>
      </c>
      <c r="G161" s="84" t="n">
        <v>0.34</v>
      </c>
      <c r="H161" s="84" t="n">
        <v>0.260589742494672</v>
      </c>
      <c r="I161" s="84" t="n">
        <v>0.16431880081279</v>
      </c>
      <c r="J161" s="84" t="n">
        <v>0.716271665101656</v>
      </c>
      <c r="K161" s="84" t="n">
        <v>0.652786464786831</v>
      </c>
      <c r="L161" s="84" t="n">
        <v>0.834988968993619</v>
      </c>
      <c r="M161" s="84" t="n">
        <v>0.659259259259259</v>
      </c>
      <c r="N161" s="84" t="n">
        <v>0.6621621621621619</v>
      </c>
      <c r="O161" s="84" t="n">
        <v>1</v>
      </c>
      <c r="P161" s="85">
        <f>AVERAGE(D161:I161)</f>
        <v/>
      </c>
      <c r="Q161" s="85">
        <f>AVERAGE(J161:L161)</f>
        <v/>
      </c>
      <c r="R161" s="85">
        <f>AVERAGE(M161:O161)</f>
        <v/>
      </c>
      <c r="S161" s="85">
        <f>'02_지표정의'!$C$22*P161+'02_지표정의'!$C$23*Q161+'02_지표정의'!$C$24*R161</f>
        <v/>
      </c>
      <c r="T161" s="73">
        <f>IF(OR(AND(B161="gemini",C161="gemma"),AND(B161="qwen3_6",C161="qwen"),AND(B161="mistral",C161="ministral")),1,0)</f>
        <v/>
      </c>
      <c r="U161" s="73">
        <f>IF(LEFT(A161,3)="PAT","특허","보고서")</f>
        <v/>
      </c>
      <c r="V161" s="86">
        <f>COUNTIF($S$2:$S$976,"&lt;"&amp;S161)+(COUNTIF($S$2:$S$976,"="&amp;S161)+1)/2</f>
        <v/>
      </c>
      <c r="W161" s="73">
        <f>IF(C161="qwen",0,COUNTIFS($C$2:$C$976,"&lt;&gt;qwen",$S$2:$S$976,"&lt;"&amp;S161)+1)</f>
        <v/>
      </c>
      <c r="X161" s="73">
        <f>IF(C161="ministral",0,COUNTIFS($C$2:$C$976,"&lt;&gt;ministral",$S$2:$S$976,"&lt;"&amp;S161)+1)</f>
        <v/>
      </c>
      <c r="Y161" s="73">
        <f>IF(C161="gemma",0,COUNTIFS($C$2:$C$976,"&lt;&gt;gemma",$S$2:$S$976,"&lt;"&amp;S161)+1)</f>
        <v/>
      </c>
      <c r="Z161" s="87">
        <f>COUNTIFS($B$2:$B$976,B161,$C$2:$C$976,C161,$S$2:$S$976,"&lt;"&amp;S161)+1</f>
        <v/>
      </c>
      <c r="AA161" s="88">
        <f>ABS(S161-SUMPRODUCT(('05B_가정검정'!$A$5:$A$19=B161)*('05B_가정검정'!$B$5:$B$19=C161)*'05B_가정검정'!$E$5:$E$19))</f>
        <v/>
      </c>
      <c r="AB161" s="88">
        <f>S161-AVERAGEIFS($S$2:$S$976,$B$2:$B$976,B161,$C$2:$C$976,C161)</f>
        <v/>
      </c>
    </row>
    <row r="162" ht="15" customHeight="1" s="68">
      <c r="A162" s="83" t="inlineStr">
        <is>
          <t>PAT-11</t>
        </is>
      </c>
      <c r="B162" s="83" t="inlineStr">
        <is>
          <t>mistral</t>
        </is>
      </c>
      <c r="C162" s="83" t="inlineStr">
        <is>
          <t>ministral</t>
        </is>
      </c>
      <c r="D162" s="84" t="n">
        <v>0.377668308702791</v>
      </c>
      <c r="E162" s="84" t="n">
        <v>0.349593495934959</v>
      </c>
      <c r="F162" s="84" t="n">
        <v>0.19672131147541</v>
      </c>
      <c r="G162" s="84" t="n">
        <v>0.300813008130081</v>
      </c>
      <c r="H162" s="84" t="n">
        <v>0.213411983911169</v>
      </c>
      <c r="I162" s="84" t="n">
        <v>0.334078721048186</v>
      </c>
      <c r="J162" s="84" t="n">
        <v>0.745541800129993</v>
      </c>
      <c r="K162" s="84" t="n">
        <v>0.761282768291025</v>
      </c>
      <c r="L162" s="84" t="n">
        <v>0.885967959349115</v>
      </c>
      <c r="M162" s="84" t="n">
        <v>0.444444444444444</v>
      </c>
      <c r="N162" s="84" t="n">
        <v>0.336134453781513</v>
      </c>
      <c r="O162" s="84" t="n">
        <v>1</v>
      </c>
      <c r="P162" s="85">
        <f>AVERAGE(D162:I162)</f>
        <v/>
      </c>
      <c r="Q162" s="85">
        <f>AVERAGE(J162:L162)</f>
        <v/>
      </c>
      <c r="R162" s="85">
        <f>AVERAGE(M162:O162)</f>
        <v/>
      </c>
      <c r="S162" s="85">
        <f>'02_지표정의'!$C$22*P162+'02_지표정의'!$C$23*Q162+'02_지표정의'!$C$24*R162</f>
        <v/>
      </c>
      <c r="T162" s="73">
        <f>IF(OR(AND(B162="gemini",C162="gemma"),AND(B162="qwen3_6",C162="qwen"),AND(B162="mistral",C162="ministral")),1,0)</f>
        <v/>
      </c>
      <c r="U162" s="73">
        <f>IF(LEFT(A162,3)="PAT","특허","보고서")</f>
        <v/>
      </c>
      <c r="V162" s="86">
        <f>COUNTIF($S$2:$S$976,"&lt;"&amp;S162)+(COUNTIF($S$2:$S$976,"="&amp;S162)+1)/2</f>
        <v/>
      </c>
      <c r="W162" s="73">
        <f>IF(C162="qwen",0,COUNTIFS($C$2:$C$976,"&lt;&gt;qwen",$S$2:$S$976,"&lt;"&amp;S162)+1)</f>
        <v/>
      </c>
      <c r="X162" s="73">
        <f>IF(C162="ministral",0,COUNTIFS($C$2:$C$976,"&lt;&gt;ministral",$S$2:$S$976,"&lt;"&amp;S162)+1)</f>
        <v/>
      </c>
      <c r="Y162" s="73">
        <f>IF(C162="gemma",0,COUNTIFS($C$2:$C$976,"&lt;&gt;gemma",$S$2:$S$976,"&lt;"&amp;S162)+1)</f>
        <v/>
      </c>
      <c r="Z162" s="87">
        <f>COUNTIFS($B$2:$B$976,B162,$C$2:$C$976,C162,$S$2:$S$976,"&lt;"&amp;S162)+1</f>
        <v/>
      </c>
      <c r="AA162" s="88">
        <f>ABS(S162-SUMPRODUCT(('05B_가정검정'!$A$5:$A$19=B162)*('05B_가정검정'!$B$5:$B$19=C162)*'05B_가정검정'!$E$5:$E$19))</f>
        <v/>
      </c>
      <c r="AB162" s="88">
        <f>S162-AVERAGEIFS($S$2:$S$976,$B$2:$B$976,B162,$C$2:$C$976,C162)</f>
        <v/>
      </c>
    </row>
    <row r="163" ht="15" customHeight="1" s="68">
      <c r="A163" s="83" t="inlineStr">
        <is>
          <t>PAT-11</t>
        </is>
      </c>
      <c r="B163" s="83" t="inlineStr">
        <is>
          <t>mistral</t>
        </is>
      </c>
      <c r="C163" s="83" t="inlineStr">
        <is>
          <t>qwen</t>
        </is>
      </c>
      <c r="D163" s="84" t="n">
        <v>0.270353302611367</v>
      </c>
      <c r="E163" s="84" t="n">
        <v>0.5</v>
      </c>
      <c r="F163" s="84" t="n">
        <v>0.307692307692308</v>
      </c>
      <c r="G163" s="84" t="n">
        <v>0.456521739130435</v>
      </c>
      <c r="H163" s="84" t="n">
        <v>0.314577010090866</v>
      </c>
      <c r="I163" s="84" t="n">
        <v>0.331986557048769</v>
      </c>
      <c r="J163" s="84" t="n">
        <v>0.747850248669608</v>
      </c>
      <c r="K163" s="84" t="n">
        <v>0.673904184335009</v>
      </c>
      <c r="L163" s="84" t="n">
        <v>0.855555102598621</v>
      </c>
      <c r="M163" s="84" t="n">
        <v>0.46606334841629</v>
      </c>
      <c r="N163" s="84" t="n">
        <v>0.423728813559322</v>
      </c>
      <c r="O163" s="84" t="n">
        <v>1</v>
      </c>
      <c r="P163" s="85">
        <f>AVERAGE(D163:I163)</f>
        <v/>
      </c>
      <c r="Q163" s="85">
        <f>AVERAGE(J163:L163)</f>
        <v/>
      </c>
      <c r="R163" s="85">
        <f>AVERAGE(M163:O163)</f>
        <v/>
      </c>
      <c r="S163" s="85">
        <f>'02_지표정의'!$C$22*P163+'02_지표정의'!$C$23*Q163+'02_지표정의'!$C$24*R163</f>
        <v/>
      </c>
      <c r="T163" s="73">
        <f>IF(OR(AND(B163="gemini",C163="gemma"),AND(B163="qwen3_6",C163="qwen"),AND(B163="mistral",C163="ministral")),1,0)</f>
        <v/>
      </c>
      <c r="U163" s="73">
        <f>IF(LEFT(A163,3)="PAT","특허","보고서")</f>
        <v/>
      </c>
      <c r="V163" s="86">
        <f>COUNTIF($S$2:$S$976,"&lt;"&amp;S163)+(COUNTIF($S$2:$S$976,"="&amp;S163)+1)/2</f>
        <v/>
      </c>
      <c r="W163" s="73">
        <f>IF(C163="qwen",0,COUNTIFS($C$2:$C$976,"&lt;&gt;qwen",$S$2:$S$976,"&lt;"&amp;S163)+1)</f>
        <v/>
      </c>
      <c r="X163" s="73">
        <f>IF(C163="ministral",0,COUNTIFS($C$2:$C$976,"&lt;&gt;ministral",$S$2:$S$976,"&lt;"&amp;S163)+1)</f>
        <v/>
      </c>
      <c r="Y163" s="73">
        <f>IF(C163="gemma",0,COUNTIFS($C$2:$C$976,"&lt;&gt;gemma",$S$2:$S$976,"&lt;"&amp;S163)+1)</f>
        <v/>
      </c>
      <c r="Z163" s="87">
        <f>COUNTIFS($B$2:$B$976,B163,$C$2:$C$976,C163,$S$2:$S$976,"&lt;"&amp;S163)+1</f>
        <v/>
      </c>
      <c r="AA163" s="88">
        <f>ABS(S163-SUMPRODUCT(('05B_가정검정'!$A$5:$A$19=B163)*('05B_가정검정'!$B$5:$B$19=C163)*'05B_가정검정'!$E$5:$E$19))</f>
        <v/>
      </c>
      <c r="AB163" s="88">
        <f>S163-AVERAGEIFS($S$2:$S$976,$B$2:$B$976,B163,$C$2:$C$976,C163)</f>
        <v/>
      </c>
    </row>
    <row r="164" ht="15" customHeight="1" s="68">
      <c r="A164" s="83" t="inlineStr">
        <is>
          <t>PAT-11</t>
        </is>
      </c>
      <c r="B164" s="83" t="inlineStr">
        <is>
          <t>qwen3_6</t>
        </is>
      </c>
      <c r="C164" s="83" t="inlineStr">
        <is>
          <t>gemma</t>
        </is>
      </c>
      <c r="D164" s="84" t="n">
        <v>0.255458515283843</v>
      </c>
      <c r="E164" s="84" t="n">
        <v>0.393013100436681</v>
      </c>
      <c r="F164" s="84" t="n">
        <v>0.167400881057269</v>
      </c>
      <c r="G164" s="84" t="n">
        <v>0.323144104803493</v>
      </c>
      <c r="H164" s="84" t="n">
        <v>0.348724178873389</v>
      </c>
      <c r="I164" s="84" t="n">
        <v>0.217918005736181</v>
      </c>
      <c r="J164" s="84" t="n">
        <v>0.696373484621754</v>
      </c>
      <c r="K164" s="84" t="n">
        <v>0.656360828571496</v>
      </c>
      <c r="L164" s="84" t="n">
        <v>0.858105135985214</v>
      </c>
      <c r="M164" s="84" t="n">
        <v>0.906542056074766</v>
      </c>
      <c r="N164" s="84" t="n">
        <v>0.916666666666667</v>
      </c>
      <c r="O164" s="84" t="n">
        <v>1</v>
      </c>
      <c r="P164" s="85">
        <f>AVERAGE(D164:I164)</f>
        <v/>
      </c>
      <c r="Q164" s="85">
        <f>AVERAGE(J164:L164)</f>
        <v/>
      </c>
      <c r="R164" s="85">
        <f>AVERAGE(M164:O164)</f>
        <v/>
      </c>
      <c r="S164" s="85">
        <f>'02_지표정의'!$C$22*P164+'02_지표정의'!$C$23*Q164+'02_지표정의'!$C$24*R164</f>
        <v/>
      </c>
      <c r="T164" s="73">
        <f>IF(OR(AND(B164="gemini",C164="gemma"),AND(B164="qwen3_6",C164="qwen"),AND(B164="mistral",C164="ministral")),1,0)</f>
        <v/>
      </c>
      <c r="U164" s="73">
        <f>IF(LEFT(A164,3)="PAT","특허","보고서")</f>
        <v/>
      </c>
      <c r="V164" s="86">
        <f>COUNTIF($S$2:$S$976,"&lt;"&amp;S164)+(COUNTIF($S$2:$S$976,"="&amp;S164)+1)/2</f>
        <v/>
      </c>
      <c r="W164" s="73">
        <f>IF(C164="qwen",0,COUNTIFS($C$2:$C$976,"&lt;&gt;qwen",$S$2:$S$976,"&lt;"&amp;S164)+1)</f>
        <v/>
      </c>
      <c r="X164" s="73">
        <f>IF(C164="ministral",0,COUNTIFS($C$2:$C$976,"&lt;&gt;ministral",$S$2:$S$976,"&lt;"&amp;S164)+1)</f>
        <v/>
      </c>
      <c r="Y164" s="73">
        <f>IF(C164="gemma",0,COUNTIFS($C$2:$C$976,"&lt;&gt;gemma",$S$2:$S$976,"&lt;"&amp;S164)+1)</f>
        <v/>
      </c>
      <c r="Z164" s="87">
        <f>COUNTIFS($B$2:$B$976,B164,$C$2:$C$976,C164,$S$2:$S$976,"&lt;"&amp;S164)+1</f>
        <v/>
      </c>
      <c r="AA164" s="88">
        <f>ABS(S164-SUMPRODUCT(('05B_가정검정'!$A$5:$A$19=B164)*('05B_가정검정'!$B$5:$B$19=C164)*'05B_가정검정'!$E$5:$E$19))</f>
        <v/>
      </c>
      <c r="AB164" s="88">
        <f>S164-AVERAGEIFS($S$2:$S$976,$B$2:$B$976,B164,$C$2:$C$976,C164)</f>
        <v/>
      </c>
    </row>
    <row r="165" ht="15" customHeight="1" s="68">
      <c r="A165" s="83" t="inlineStr">
        <is>
          <t>PAT-11</t>
        </is>
      </c>
      <c r="B165" s="83" t="inlineStr">
        <is>
          <t>qwen3_6</t>
        </is>
      </c>
      <c r="C165" s="83" t="inlineStr">
        <is>
          <t>ministral</t>
        </is>
      </c>
      <c r="D165" s="84" t="n">
        <v>0.261103633916555</v>
      </c>
      <c r="E165" s="84" t="n">
        <v>0.341818181818182</v>
      </c>
      <c r="F165" s="84" t="n">
        <v>0.175824175824176</v>
      </c>
      <c r="G165" s="84" t="n">
        <v>0.290909090909091</v>
      </c>
      <c r="H165" s="84" t="n">
        <v>0.228945871210229</v>
      </c>
      <c r="I165" s="84" t="n">
        <v>0.330767612302893</v>
      </c>
      <c r="J165" s="84" t="n">
        <v>0.688184693432205</v>
      </c>
      <c r="K165" s="84" t="n">
        <v>0.602413645116234</v>
      </c>
      <c r="L165" s="84" t="n">
        <v>0.802333080546525</v>
      </c>
      <c r="M165" s="84" t="n">
        <v>0.39917695473251</v>
      </c>
      <c r="N165" s="84" t="n">
        <v>0.46218487394958</v>
      </c>
      <c r="O165" s="84" t="n">
        <v>1</v>
      </c>
      <c r="P165" s="85">
        <f>AVERAGE(D165:I165)</f>
        <v/>
      </c>
      <c r="Q165" s="85">
        <f>AVERAGE(J165:L165)</f>
        <v/>
      </c>
      <c r="R165" s="85">
        <f>AVERAGE(M165:O165)</f>
        <v/>
      </c>
      <c r="S165" s="85">
        <f>'02_지표정의'!$C$22*P165+'02_지표정의'!$C$23*Q165+'02_지표정의'!$C$24*R165</f>
        <v/>
      </c>
      <c r="T165" s="73">
        <f>IF(OR(AND(B165="gemini",C165="gemma"),AND(B165="qwen3_6",C165="qwen"),AND(B165="mistral",C165="ministral")),1,0)</f>
        <v/>
      </c>
      <c r="U165" s="73">
        <f>IF(LEFT(A165,3)="PAT","특허","보고서")</f>
        <v/>
      </c>
      <c r="V165" s="86">
        <f>COUNTIF($S$2:$S$976,"&lt;"&amp;S165)+(COUNTIF($S$2:$S$976,"="&amp;S165)+1)/2</f>
        <v/>
      </c>
      <c r="W165" s="73">
        <f>IF(C165="qwen",0,COUNTIFS($C$2:$C$976,"&lt;&gt;qwen",$S$2:$S$976,"&lt;"&amp;S165)+1)</f>
        <v/>
      </c>
      <c r="X165" s="73">
        <f>IF(C165="ministral",0,COUNTIFS($C$2:$C$976,"&lt;&gt;ministral",$S$2:$S$976,"&lt;"&amp;S165)+1)</f>
        <v/>
      </c>
      <c r="Y165" s="73">
        <f>IF(C165="gemma",0,COUNTIFS($C$2:$C$976,"&lt;&gt;gemma",$S$2:$S$976,"&lt;"&amp;S165)+1)</f>
        <v/>
      </c>
      <c r="Z165" s="87">
        <f>COUNTIFS($B$2:$B$976,B165,$C$2:$C$976,C165,$S$2:$S$976,"&lt;"&amp;S165)+1</f>
        <v/>
      </c>
      <c r="AA165" s="88">
        <f>ABS(S165-SUMPRODUCT(('05B_가정검정'!$A$5:$A$19=B165)*('05B_가정검정'!$B$5:$B$19=C165)*'05B_가정검정'!$E$5:$E$19))</f>
        <v/>
      </c>
      <c r="AB165" s="88">
        <f>S165-AVERAGEIFS($S$2:$S$976,$B$2:$B$976,B165,$C$2:$C$976,C165)</f>
        <v/>
      </c>
    </row>
    <row r="166" ht="15" customHeight="1" s="68">
      <c r="A166" s="83" t="inlineStr">
        <is>
          <t>PAT-11</t>
        </is>
      </c>
      <c r="B166" s="83" t="inlineStr">
        <is>
          <t>qwen3_6</t>
        </is>
      </c>
      <c r="C166" s="83" t="inlineStr">
        <is>
          <t>qwen</t>
        </is>
      </c>
      <c r="D166" s="84" t="n">
        <v>0.277707006369427</v>
      </c>
      <c r="E166" s="84" t="n">
        <v>0.5539906103286391</v>
      </c>
      <c r="F166" s="84" t="n">
        <v>0.28436018957346</v>
      </c>
      <c r="G166" s="84" t="n">
        <v>0.422535211267606</v>
      </c>
      <c r="H166" s="84" t="n">
        <v>0.426330901009977</v>
      </c>
      <c r="I166" s="84" t="n">
        <v>0.444353729028189</v>
      </c>
      <c r="J166" s="84" t="n">
        <v>0.690569423151324</v>
      </c>
      <c r="K166" s="84" t="n">
        <v>0.650178968159994</v>
      </c>
      <c r="L166" s="84" t="n">
        <v>0.858670251032684</v>
      </c>
      <c r="M166" s="84" t="n">
        <v>0.438914027149321</v>
      </c>
      <c r="N166" s="84" t="n">
        <v>0.466101694915254</v>
      </c>
      <c r="O166" s="84" t="n">
        <v>1</v>
      </c>
      <c r="P166" s="85">
        <f>AVERAGE(D166:I166)</f>
        <v/>
      </c>
      <c r="Q166" s="85">
        <f>AVERAGE(J166:L166)</f>
        <v/>
      </c>
      <c r="R166" s="85">
        <f>AVERAGE(M166:O166)</f>
        <v/>
      </c>
      <c r="S166" s="85">
        <f>'02_지표정의'!$C$22*P166+'02_지표정의'!$C$23*Q166+'02_지표정의'!$C$24*R166</f>
        <v/>
      </c>
      <c r="T166" s="73">
        <f>IF(OR(AND(B166="gemini",C166="gemma"),AND(B166="qwen3_6",C166="qwen"),AND(B166="mistral",C166="ministral")),1,0)</f>
        <v/>
      </c>
      <c r="U166" s="73">
        <f>IF(LEFT(A166,3)="PAT","특허","보고서")</f>
        <v/>
      </c>
      <c r="V166" s="86">
        <f>COUNTIF($S$2:$S$976,"&lt;"&amp;S166)+(COUNTIF($S$2:$S$976,"="&amp;S166)+1)/2</f>
        <v/>
      </c>
      <c r="W166" s="73">
        <f>IF(C166="qwen",0,COUNTIFS($C$2:$C$976,"&lt;&gt;qwen",$S$2:$S$976,"&lt;"&amp;S166)+1)</f>
        <v/>
      </c>
      <c r="X166" s="73">
        <f>IF(C166="ministral",0,COUNTIFS($C$2:$C$976,"&lt;&gt;ministral",$S$2:$S$976,"&lt;"&amp;S166)+1)</f>
        <v/>
      </c>
      <c r="Y166" s="73">
        <f>IF(C166="gemma",0,COUNTIFS($C$2:$C$976,"&lt;&gt;gemma",$S$2:$S$976,"&lt;"&amp;S166)+1)</f>
        <v/>
      </c>
      <c r="Z166" s="87">
        <f>COUNTIFS($B$2:$B$976,B166,$C$2:$C$976,C166,$S$2:$S$976,"&lt;"&amp;S166)+1</f>
        <v/>
      </c>
      <c r="AA166" s="88">
        <f>ABS(S166-SUMPRODUCT(('05B_가정검정'!$A$5:$A$19=B166)*('05B_가정검정'!$B$5:$B$19=C166)*'05B_가정검정'!$E$5:$E$19))</f>
        <v/>
      </c>
      <c r="AB166" s="88">
        <f>S166-AVERAGEIFS($S$2:$S$976,$B$2:$B$976,B166,$C$2:$C$976,C166)</f>
        <v/>
      </c>
    </row>
    <row r="167" ht="15" customHeight="1" s="68">
      <c r="A167" s="83" t="inlineStr">
        <is>
          <t>PAT-12</t>
        </is>
      </c>
      <c r="B167" s="83" t="inlineStr">
        <is>
          <t>chatgpt</t>
        </is>
      </c>
      <c r="C167" s="83" t="inlineStr">
        <is>
          <t>gemma</t>
        </is>
      </c>
      <c r="D167" s="84" t="n">
        <v>0.219584569732938</v>
      </c>
      <c r="E167" s="84" t="n">
        <v>0.311827956989247</v>
      </c>
      <c r="F167" s="84" t="n">
        <v>0.141304347826087</v>
      </c>
      <c r="G167" s="84" t="n">
        <v>0.279569892473118</v>
      </c>
      <c r="H167" s="84" t="n">
        <v>0.233450302440482</v>
      </c>
      <c r="I167" s="84" t="n">
        <v>0.275523023490648</v>
      </c>
      <c r="J167" s="84" t="n">
        <v>0.723953720465678</v>
      </c>
      <c r="K167" s="84" t="n">
        <v>0.682533150836386</v>
      </c>
      <c r="L167" s="84" t="n">
        <v>0.845104019137203</v>
      </c>
      <c r="M167" s="84" t="n">
        <v>0.562913907284768</v>
      </c>
      <c r="N167" s="84" t="n">
        <v>0.231707317073171</v>
      </c>
      <c r="O167" s="84" t="n">
        <v>1</v>
      </c>
      <c r="P167" s="85">
        <f>AVERAGE(D167:I167)</f>
        <v/>
      </c>
      <c r="Q167" s="85">
        <f>AVERAGE(J167:L167)</f>
        <v/>
      </c>
      <c r="R167" s="85">
        <f>AVERAGE(M167:O167)</f>
        <v/>
      </c>
      <c r="S167" s="85">
        <f>'02_지표정의'!$C$22*P167+'02_지표정의'!$C$23*Q167+'02_지표정의'!$C$24*R167</f>
        <v/>
      </c>
      <c r="T167" s="73">
        <f>IF(OR(AND(B167="gemini",C167="gemma"),AND(B167="qwen3_6",C167="qwen"),AND(B167="mistral",C167="ministral")),1,0)</f>
        <v/>
      </c>
      <c r="U167" s="73">
        <f>IF(LEFT(A167,3)="PAT","특허","보고서")</f>
        <v/>
      </c>
      <c r="V167" s="86">
        <f>COUNTIF($S$2:$S$976,"&lt;"&amp;S167)+(COUNTIF($S$2:$S$976,"="&amp;S167)+1)/2</f>
        <v/>
      </c>
      <c r="W167" s="73">
        <f>IF(C167="qwen",0,COUNTIFS($C$2:$C$976,"&lt;&gt;qwen",$S$2:$S$976,"&lt;"&amp;S167)+1)</f>
        <v/>
      </c>
      <c r="X167" s="73">
        <f>IF(C167="ministral",0,COUNTIFS($C$2:$C$976,"&lt;&gt;ministral",$S$2:$S$976,"&lt;"&amp;S167)+1)</f>
        <v/>
      </c>
      <c r="Y167" s="73">
        <f>IF(C167="gemma",0,COUNTIFS($C$2:$C$976,"&lt;&gt;gemma",$S$2:$S$976,"&lt;"&amp;S167)+1)</f>
        <v/>
      </c>
      <c r="Z167" s="87">
        <f>COUNTIFS($B$2:$B$976,B167,$C$2:$C$976,C167,$S$2:$S$976,"&lt;"&amp;S167)+1</f>
        <v/>
      </c>
      <c r="AA167" s="88">
        <f>ABS(S167-SUMPRODUCT(('05B_가정검정'!$A$5:$A$19=B167)*('05B_가정검정'!$B$5:$B$19=C167)*'05B_가정검정'!$E$5:$E$19))</f>
        <v/>
      </c>
      <c r="AB167" s="88">
        <f>S167-AVERAGEIFS($S$2:$S$976,$B$2:$B$976,B167,$C$2:$C$976,C167)</f>
        <v/>
      </c>
    </row>
    <row r="168" ht="15" customHeight="1" s="68">
      <c r="A168" s="83" t="inlineStr">
        <is>
          <t>PAT-12</t>
        </is>
      </c>
      <c r="B168" s="83" t="inlineStr">
        <is>
          <t>chatgpt</t>
        </is>
      </c>
      <c r="C168" s="83" t="inlineStr">
        <is>
          <t>ministral</t>
        </is>
      </c>
      <c r="D168" s="84" t="n">
        <v>0.307070707070707</v>
      </c>
      <c r="E168" s="84" t="n">
        <v>0.267206477732794</v>
      </c>
      <c r="F168" s="84" t="n">
        <v>0.114285714285714</v>
      </c>
      <c r="G168" s="84" t="n">
        <v>0.202429149797571</v>
      </c>
      <c r="H168" s="84" t="n">
        <v>0.184408598857383</v>
      </c>
      <c r="I168" s="84" t="n">
        <v>0.357248532537759</v>
      </c>
      <c r="J168" s="84" t="n">
        <v>0.749105115127261</v>
      </c>
      <c r="K168" s="84" t="n">
        <v>0.721460322675782</v>
      </c>
      <c r="L168" s="84" t="n">
        <v>0.8612527162743741</v>
      </c>
      <c r="M168" s="84" t="n">
        <v>0.428571428571429</v>
      </c>
      <c r="N168" s="84" t="n">
        <v>0.0265486725663717</v>
      </c>
      <c r="O168" s="84" t="n">
        <v>1</v>
      </c>
      <c r="P168" s="85">
        <f>AVERAGE(D168:I168)</f>
        <v/>
      </c>
      <c r="Q168" s="85">
        <f>AVERAGE(J168:L168)</f>
        <v/>
      </c>
      <c r="R168" s="85">
        <f>AVERAGE(M168:O168)</f>
        <v/>
      </c>
      <c r="S168" s="85">
        <f>'02_지표정의'!$C$22*P168+'02_지표정의'!$C$23*Q168+'02_지표정의'!$C$24*R168</f>
        <v/>
      </c>
      <c r="T168" s="73">
        <f>IF(OR(AND(B168="gemini",C168="gemma"),AND(B168="qwen3_6",C168="qwen"),AND(B168="mistral",C168="ministral")),1,0)</f>
        <v/>
      </c>
      <c r="U168" s="73">
        <f>IF(LEFT(A168,3)="PAT","특허","보고서")</f>
        <v/>
      </c>
      <c r="V168" s="86">
        <f>COUNTIF($S$2:$S$976,"&lt;"&amp;S168)+(COUNTIF($S$2:$S$976,"="&amp;S168)+1)/2</f>
        <v/>
      </c>
      <c r="W168" s="73">
        <f>IF(C168="qwen",0,COUNTIFS($C$2:$C$976,"&lt;&gt;qwen",$S$2:$S$976,"&lt;"&amp;S168)+1)</f>
        <v/>
      </c>
      <c r="X168" s="73">
        <f>IF(C168="ministral",0,COUNTIFS($C$2:$C$976,"&lt;&gt;ministral",$S$2:$S$976,"&lt;"&amp;S168)+1)</f>
        <v/>
      </c>
      <c r="Y168" s="73">
        <f>IF(C168="gemma",0,COUNTIFS($C$2:$C$976,"&lt;&gt;gemma",$S$2:$S$976,"&lt;"&amp;S168)+1)</f>
        <v/>
      </c>
      <c r="Z168" s="87">
        <f>COUNTIFS($B$2:$B$976,B168,$C$2:$C$976,C168,$S$2:$S$976,"&lt;"&amp;S168)+1</f>
        <v/>
      </c>
      <c r="AA168" s="88">
        <f>ABS(S168-SUMPRODUCT(('05B_가정검정'!$A$5:$A$19=B168)*('05B_가정검정'!$B$5:$B$19=C168)*'05B_가정검정'!$E$5:$E$19))</f>
        <v/>
      </c>
      <c r="AB168" s="88">
        <f>S168-AVERAGEIFS($S$2:$S$976,$B$2:$B$976,B168,$C$2:$C$976,C168)</f>
        <v/>
      </c>
    </row>
    <row r="169" ht="15" customHeight="1" s="68">
      <c r="A169" s="83" t="inlineStr">
        <is>
          <t>PAT-12</t>
        </is>
      </c>
      <c r="B169" s="83" t="inlineStr">
        <is>
          <t>chatgpt</t>
        </is>
      </c>
      <c r="C169" s="83" t="inlineStr">
        <is>
          <t>qwen</t>
        </is>
      </c>
      <c r="D169" s="84" t="n">
        <v>0.280898876404494</v>
      </c>
      <c r="E169" s="84" t="n">
        <v>0.484848484848485</v>
      </c>
      <c r="F169" s="84" t="n">
        <v>0.276923076923077</v>
      </c>
      <c r="G169" s="84" t="n">
        <v>0.424242424242424</v>
      </c>
      <c r="H169" s="84" t="n">
        <v>0.315855151718207</v>
      </c>
      <c r="I169" s="84" t="n">
        <v>0.506263028244976</v>
      </c>
      <c r="J169" s="84" t="n">
        <v>0.7693604195785</v>
      </c>
      <c r="K169" s="84" t="n">
        <v>0.704752361201809</v>
      </c>
      <c r="L169" s="84" t="n">
        <v>0.850693511745392</v>
      </c>
      <c r="M169" s="84" t="n">
        <v>0.562913907284768</v>
      </c>
      <c r="N169" s="84" t="n">
        <v>0.231707317073171</v>
      </c>
      <c r="O169" s="84" t="n">
        <v>1</v>
      </c>
      <c r="P169" s="85">
        <f>AVERAGE(D169:I169)</f>
        <v/>
      </c>
      <c r="Q169" s="85">
        <f>AVERAGE(J169:L169)</f>
        <v/>
      </c>
      <c r="R169" s="85">
        <f>AVERAGE(M169:O169)</f>
        <v/>
      </c>
      <c r="S169" s="85">
        <f>'02_지표정의'!$C$22*P169+'02_지표정의'!$C$23*Q169+'02_지표정의'!$C$24*R169</f>
        <v/>
      </c>
      <c r="T169" s="73">
        <f>IF(OR(AND(B169="gemini",C169="gemma"),AND(B169="qwen3_6",C169="qwen"),AND(B169="mistral",C169="ministral")),1,0)</f>
        <v/>
      </c>
      <c r="U169" s="73">
        <f>IF(LEFT(A169,3)="PAT","특허","보고서")</f>
        <v/>
      </c>
      <c r="V169" s="86">
        <f>COUNTIF($S$2:$S$976,"&lt;"&amp;S169)+(COUNTIF($S$2:$S$976,"="&amp;S169)+1)/2</f>
        <v/>
      </c>
      <c r="W169" s="73">
        <f>IF(C169="qwen",0,COUNTIFS($C$2:$C$976,"&lt;&gt;qwen",$S$2:$S$976,"&lt;"&amp;S169)+1)</f>
        <v/>
      </c>
      <c r="X169" s="73">
        <f>IF(C169="ministral",0,COUNTIFS($C$2:$C$976,"&lt;&gt;ministral",$S$2:$S$976,"&lt;"&amp;S169)+1)</f>
        <v/>
      </c>
      <c r="Y169" s="73">
        <f>IF(C169="gemma",0,COUNTIFS($C$2:$C$976,"&lt;&gt;gemma",$S$2:$S$976,"&lt;"&amp;S169)+1)</f>
        <v/>
      </c>
      <c r="Z169" s="87">
        <f>COUNTIFS($B$2:$B$976,B169,$C$2:$C$976,C169,$S$2:$S$976,"&lt;"&amp;S169)+1</f>
        <v/>
      </c>
      <c r="AA169" s="88">
        <f>ABS(S169-SUMPRODUCT(('05B_가정검정'!$A$5:$A$19=B169)*('05B_가정검정'!$B$5:$B$19=C169)*'05B_가정검정'!$E$5:$E$19))</f>
        <v/>
      </c>
      <c r="AB169" s="88">
        <f>S169-AVERAGEIFS($S$2:$S$976,$B$2:$B$976,B169,$C$2:$C$976,C169)</f>
        <v/>
      </c>
    </row>
    <row r="170" ht="15" customHeight="1" s="68">
      <c r="A170" s="83" t="inlineStr">
        <is>
          <t>PAT-12</t>
        </is>
      </c>
      <c r="B170" s="83" t="inlineStr">
        <is>
          <t>claude</t>
        </is>
      </c>
      <c r="C170" s="83" t="inlineStr">
        <is>
          <t>gemma</t>
        </is>
      </c>
      <c r="D170" s="84" t="n">
        <v>0.252611585944919</v>
      </c>
      <c r="E170" s="84" t="n">
        <v>0.285714285714286</v>
      </c>
      <c r="F170" s="84" t="n">
        <v>0.100719424460432</v>
      </c>
      <c r="G170" s="84" t="n">
        <v>0.214285714285714</v>
      </c>
      <c r="H170" s="84" t="n">
        <v>0.297747250609898</v>
      </c>
      <c r="I170" s="84" t="n">
        <v>0.310408588041017</v>
      </c>
      <c r="J170" s="84" t="n">
        <v>0.697660759618956</v>
      </c>
      <c r="K170" s="84" t="n">
        <v>0.697872190028788</v>
      </c>
      <c r="L170" s="84" t="n">
        <v>0.863554425593172</v>
      </c>
      <c r="M170" s="84" t="n">
        <v>0.567073170731707</v>
      </c>
      <c r="N170" s="84" t="n">
        <v>0.521276595744681</v>
      </c>
      <c r="O170" s="84" t="n">
        <v>1</v>
      </c>
      <c r="P170" s="85">
        <f>AVERAGE(D170:I170)</f>
        <v/>
      </c>
      <c r="Q170" s="85">
        <f>AVERAGE(J170:L170)</f>
        <v/>
      </c>
      <c r="R170" s="85">
        <f>AVERAGE(M170:O170)</f>
        <v/>
      </c>
      <c r="S170" s="85">
        <f>'02_지표정의'!$C$22*P170+'02_지표정의'!$C$23*Q170+'02_지표정의'!$C$24*R170</f>
        <v/>
      </c>
      <c r="T170" s="73">
        <f>IF(OR(AND(B170="gemini",C170="gemma"),AND(B170="qwen3_6",C170="qwen"),AND(B170="mistral",C170="ministral")),1,0)</f>
        <v/>
      </c>
      <c r="U170" s="73">
        <f>IF(LEFT(A170,3)="PAT","특허","보고서")</f>
        <v/>
      </c>
      <c r="V170" s="86">
        <f>COUNTIF($S$2:$S$976,"&lt;"&amp;S170)+(COUNTIF($S$2:$S$976,"="&amp;S170)+1)/2</f>
        <v/>
      </c>
      <c r="W170" s="73">
        <f>IF(C170="qwen",0,COUNTIFS($C$2:$C$976,"&lt;&gt;qwen",$S$2:$S$976,"&lt;"&amp;S170)+1)</f>
        <v/>
      </c>
      <c r="X170" s="73">
        <f>IF(C170="ministral",0,COUNTIFS($C$2:$C$976,"&lt;&gt;ministral",$S$2:$S$976,"&lt;"&amp;S170)+1)</f>
        <v/>
      </c>
      <c r="Y170" s="73">
        <f>IF(C170="gemma",0,COUNTIFS($C$2:$C$976,"&lt;&gt;gemma",$S$2:$S$976,"&lt;"&amp;S170)+1)</f>
        <v/>
      </c>
      <c r="Z170" s="87">
        <f>COUNTIFS($B$2:$B$976,B170,$C$2:$C$976,C170,$S$2:$S$976,"&lt;"&amp;S170)+1</f>
        <v/>
      </c>
      <c r="AA170" s="88">
        <f>ABS(S170-SUMPRODUCT(('05B_가정검정'!$A$5:$A$19=B170)*('05B_가정검정'!$B$5:$B$19=C170)*'05B_가정검정'!$E$5:$E$19))</f>
        <v/>
      </c>
      <c r="AB170" s="88">
        <f>S170-AVERAGEIFS($S$2:$S$976,$B$2:$B$976,B170,$C$2:$C$976,C170)</f>
        <v/>
      </c>
    </row>
    <row r="171" ht="15" customHeight="1" s="68">
      <c r="A171" s="83" t="inlineStr">
        <is>
          <t>PAT-12</t>
        </is>
      </c>
      <c r="B171" s="83" t="inlineStr">
        <is>
          <t>claude</t>
        </is>
      </c>
      <c r="C171" s="83" t="inlineStr">
        <is>
          <t>ministral</t>
        </is>
      </c>
      <c r="D171" s="84" t="n">
        <v>0.258581235697941</v>
      </c>
      <c r="E171" s="84" t="n">
        <v>0.281524926686217</v>
      </c>
      <c r="F171" s="84" t="n">
        <v>0.106194690265487</v>
      </c>
      <c r="G171" s="84" t="n">
        <v>0.222873900293255</v>
      </c>
      <c r="H171" s="84" t="n">
        <v>0.203672043777221</v>
      </c>
      <c r="I171" s="84" t="n">
        <v>0.38121503708364</v>
      </c>
      <c r="J171" s="84" t="n">
        <v>0.727001037837424</v>
      </c>
      <c r="K171" s="84" t="n">
        <v>0.682571079433627</v>
      </c>
      <c r="L171" s="84" t="n">
        <v>0.857444749744952</v>
      </c>
      <c r="M171" s="84" t="n">
        <v>0.519480519480519</v>
      </c>
      <c r="N171" s="84" t="n">
        <v>0.530973451327434</v>
      </c>
      <c r="O171" s="84" t="n">
        <v>1</v>
      </c>
      <c r="P171" s="85">
        <f>AVERAGE(D171:I171)</f>
        <v/>
      </c>
      <c r="Q171" s="85">
        <f>AVERAGE(J171:L171)</f>
        <v/>
      </c>
      <c r="R171" s="85">
        <f>AVERAGE(M171:O171)</f>
        <v/>
      </c>
      <c r="S171" s="85">
        <f>'02_지표정의'!$C$22*P171+'02_지표정의'!$C$23*Q171+'02_지표정의'!$C$24*R171</f>
        <v/>
      </c>
      <c r="T171" s="73">
        <f>IF(OR(AND(B171="gemini",C171="gemma"),AND(B171="qwen3_6",C171="qwen"),AND(B171="mistral",C171="ministral")),1,0)</f>
        <v/>
      </c>
      <c r="U171" s="73">
        <f>IF(LEFT(A171,3)="PAT","특허","보고서")</f>
        <v/>
      </c>
      <c r="V171" s="86">
        <f>COUNTIF($S$2:$S$976,"&lt;"&amp;S171)+(COUNTIF($S$2:$S$976,"="&amp;S171)+1)/2</f>
        <v/>
      </c>
      <c r="W171" s="73">
        <f>IF(C171="qwen",0,COUNTIFS($C$2:$C$976,"&lt;&gt;qwen",$S$2:$S$976,"&lt;"&amp;S171)+1)</f>
        <v/>
      </c>
      <c r="X171" s="73">
        <f>IF(C171="ministral",0,COUNTIFS($C$2:$C$976,"&lt;&gt;ministral",$S$2:$S$976,"&lt;"&amp;S171)+1)</f>
        <v/>
      </c>
      <c r="Y171" s="73">
        <f>IF(C171="gemma",0,COUNTIFS($C$2:$C$976,"&lt;&gt;gemma",$S$2:$S$976,"&lt;"&amp;S171)+1)</f>
        <v/>
      </c>
      <c r="Z171" s="87">
        <f>COUNTIFS($B$2:$B$976,B171,$C$2:$C$976,C171,$S$2:$S$976,"&lt;"&amp;S171)+1</f>
        <v/>
      </c>
      <c r="AA171" s="88">
        <f>ABS(S171-SUMPRODUCT(('05B_가정검정'!$A$5:$A$19=B171)*('05B_가정검정'!$B$5:$B$19=C171)*'05B_가정검정'!$E$5:$E$19))</f>
        <v/>
      </c>
      <c r="AB171" s="88">
        <f>S171-AVERAGEIFS($S$2:$S$976,$B$2:$B$976,B171,$C$2:$C$976,C171)</f>
        <v/>
      </c>
    </row>
    <row r="172" ht="15" customHeight="1" s="68">
      <c r="A172" s="83" t="inlineStr">
        <is>
          <t>PAT-12</t>
        </is>
      </c>
      <c r="B172" s="83" t="inlineStr">
        <is>
          <t>claude</t>
        </is>
      </c>
      <c r="C172" s="83" t="inlineStr">
        <is>
          <t>qwen</t>
        </is>
      </c>
      <c r="D172" s="84" t="n">
        <v>0.256297918948521</v>
      </c>
      <c r="E172" s="84" t="n">
        <v>0.380530973451327</v>
      </c>
      <c r="F172" s="84" t="n">
        <v>0.160714285714286</v>
      </c>
      <c r="G172" s="84" t="n">
        <v>0.309734513274336</v>
      </c>
      <c r="H172" s="84" t="n">
        <v>0.227479557397025</v>
      </c>
      <c r="I172" s="84" t="n">
        <v>0.5426803627132279</v>
      </c>
      <c r="J172" s="84" t="n">
        <v>0.724365050352447</v>
      </c>
      <c r="K172" s="84" t="n">
        <v>0.691604715232266</v>
      </c>
      <c r="L172" s="84" t="n">
        <v>0.8805161663844721</v>
      </c>
      <c r="M172" s="84" t="n">
        <v>0.567073170731707</v>
      </c>
      <c r="N172" s="84" t="n">
        <v>0.521276595744681</v>
      </c>
      <c r="O172" s="84" t="n">
        <v>1</v>
      </c>
      <c r="P172" s="85">
        <f>AVERAGE(D172:I172)</f>
        <v/>
      </c>
      <c r="Q172" s="85">
        <f>AVERAGE(J172:L172)</f>
        <v/>
      </c>
      <c r="R172" s="85">
        <f>AVERAGE(M172:O172)</f>
        <v/>
      </c>
      <c r="S172" s="85">
        <f>'02_지표정의'!$C$22*P172+'02_지표정의'!$C$23*Q172+'02_지표정의'!$C$24*R172</f>
        <v/>
      </c>
      <c r="T172" s="73">
        <f>IF(OR(AND(B172="gemini",C172="gemma"),AND(B172="qwen3_6",C172="qwen"),AND(B172="mistral",C172="ministral")),1,0)</f>
        <v/>
      </c>
      <c r="U172" s="73">
        <f>IF(LEFT(A172,3)="PAT","특허","보고서")</f>
        <v/>
      </c>
      <c r="V172" s="86">
        <f>COUNTIF($S$2:$S$976,"&lt;"&amp;S172)+(COUNTIF($S$2:$S$976,"="&amp;S172)+1)/2</f>
        <v/>
      </c>
      <c r="W172" s="73">
        <f>IF(C172="qwen",0,COUNTIFS($C$2:$C$976,"&lt;&gt;qwen",$S$2:$S$976,"&lt;"&amp;S172)+1)</f>
        <v/>
      </c>
      <c r="X172" s="73">
        <f>IF(C172="ministral",0,COUNTIFS($C$2:$C$976,"&lt;&gt;ministral",$S$2:$S$976,"&lt;"&amp;S172)+1)</f>
        <v/>
      </c>
      <c r="Y172" s="73">
        <f>IF(C172="gemma",0,COUNTIFS($C$2:$C$976,"&lt;&gt;gemma",$S$2:$S$976,"&lt;"&amp;S172)+1)</f>
        <v/>
      </c>
      <c r="Z172" s="87">
        <f>COUNTIFS($B$2:$B$976,B172,$C$2:$C$976,C172,$S$2:$S$976,"&lt;"&amp;S172)+1</f>
        <v/>
      </c>
      <c r="AA172" s="88">
        <f>ABS(S172-SUMPRODUCT(('05B_가정검정'!$A$5:$A$19=B172)*('05B_가정검정'!$B$5:$B$19=C172)*'05B_가정검정'!$E$5:$E$19))</f>
        <v/>
      </c>
      <c r="AB172" s="88">
        <f>S172-AVERAGEIFS($S$2:$S$976,$B$2:$B$976,B172,$C$2:$C$976,C172)</f>
        <v/>
      </c>
    </row>
    <row r="173" ht="15" customHeight="1" s="68">
      <c r="A173" s="83" t="inlineStr">
        <is>
          <t>PAT-12</t>
        </is>
      </c>
      <c r="B173" s="83" t="inlineStr">
        <is>
          <t>gemini</t>
        </is>
      </c>
      <c r="C173" s="83" t="inlineStr">
        <is>
          <t>gemma</t>
        </is>
      </c>
      <c r="D173" s="84" t="n">
        <v>0.256081946222791</v>
      </c>
      <c r="E173" s="84" t="n">
        <v>0.348258706467662</v>
      </c>
      <c r="F173" s="84" t="n">
        <v>0.120603015075377</v>
      </c>
      <c r="G173" s="84" t="n">
        <v>0.238805970149254</v>
      </c>
      <c r="H173" s="84" t="n">
        <v>0.329109264759025</v>
      </c>
      <c r="I173" s="84" t="n">
        <v>0.294871194991986</v>
      </c>
      <c r="J173" s="84" t="n">
        <v>0.745646804333754</v>
      </c>
      <c r="K173" s="84" t="n">
        <v>0.845295636932611</v>
      </c>
      <c r="L173" s="84" t="n">
        <v>0.932807417314134</v>
      </c>
      <c r="M173" s="84" t="n">
        <v>0.889908256880734</v>
      </c>
      <c r="N173" s="84" t="n">
        <v>0.901639344262295</v>
      </c>
      <c r="O173" s="84" t="n">
        <v>1</v>
      </c>
      <c r="P173" s="85">
        <f>AVERAGE(D173:I173)</f>
        <v/>
      </c>
      <c r="Q173" s="85">
        <f>AVERAGE(J173:L173)</f>
        <v/>
      </c>
      <c r="R173" s="85">
        <f>AVERAGE(M173:O173)</f>
        <v/>
      </c>
      <c r="S173" s="85">
        <f>'02_지표정의'!$C$22*P173+'02_지표정의'!$C$23*Q173+'02_지표정의'!$C$24*R173</f>
        <v/>
      </c>
      <c r="T173" s="73">
        <f>IF(OR(AND(B173="gemini",C173="gemma"),AND(B173="qwen3_6",C173="qwen"),AND(B173="mistral",C173="ministral")),1,0)</f>
        <v/>
      </c>
      <c r="U173" s="73">
        <f>IF(LEFT(A173,3)="PAT","특허","보고서")</f>
        <v/>
      </c>
      <c r="V173" s="86">
        <f>COUNTIF($S$2:$S$976,"&lt;"&amp;S173)+(COUNTIF($S$2:$S$976,"="&amp;S173)+1)/2</f>
        <v/>
      </c>
      <c r="W173" s="73">
        <f>IF(C173="qwen",0,COUNTIFS($C$2:$C$976,"&lt;&gt;qwen",$S$2:$S$976,"&lt;"&amp;S173)+1)</f>
        <v/>
      </c>
      <c r="X173" s="73">
        <f>IF(C173="ministral",0,COUNTIFS($C$2:$C$976,"&lt;&gt;ministral",$S$2:$S$976,"&lt;"&amp;S173)+1)</f>
        <v/>
      </c>
      <c r="Y173" s="73">
        <f>IF(C173="gemma",0,COUNTIFS($C$2:$C$976,"&lt;&gt;gemma",$S$2:$S$976,"&lt;"&amp;S173)+1)</f>
        <v/>
      </c>
      <c r="Z173" s="87">
        <f>COUNTIFS($B$2:$B$976,B173,$C$2:$C$976,C173,$S$2:$S$976,"&lt;"&amp;S173)+1</f>
        <v/>
      </c>
      <c r="AA173" s="88">
        <f>ABS(S173-SUMPRODUCT(('05B_가정검정'!$A$5:$A$19=B173)*('05B_가정검정'!$B$5:$B$19=C173)*'05B_가정검정'!$E$5:$E$19))</f>
        <v/>
      </c>
      <c r="AB173" s="88">
        <f>S173-AVERAGEIFS($S$2:$S$976,$B$2:$B$976,B173,$C$2:$C$976,C173)</f>
        <v/>
      </c>
    </row>
    <row r="174" ht="15" customHeight="1" s="68">
      <c r="A174" s="83" t="inlineStr">
        <is>
          <t>PAT-12</t>
        </is>
      </c>
      <c r="B174" s="83" t="inlineStr">
        <is>
          <t>gemini</t>
        </is>
      </c>
      <c r="C174" s="83" t="inlineStr">
        <is>
          <t>ministral</t>
        </is>
      </c>
      <c r="D174" s="84" t="n">
        <v>0.25249169435216</v>
      </c>
      <c r="E174" s="84" t="n">
        <v>0.259541984732824</v>
      </c>
      <c r="F174" s="84" t="n">
        <v>0.107692307692308</v>
      </c>
      <c r="G174" s="84" t="n">
        <v>0.198473282442748</v>
      </c>
      <c r="H174" s="84" t="n">
        <v>0.231213550637423</v>
      </c>
      <c r="I174" s="84" t="n">
        <v>0.3376721013393</v>
      </c>
      <c r="J174" s="84" t="n">
        <v>0.756762736113691</v>
      </c>
      <c r="K174" s="84" t="n">
        <v>0.807670456535647</v>
      </c>
      <c r="L174" s="84" t="n">
        <v>0.913926820493929</v>
      </c>
      <c r="M174" s="84" t="n">
        <v>0.41991341991342</v>
      </c>
      <c r="N174" s="84" t="n">
        <v>0.486725663716814</v>
      </c>
      <c r="O174" s="84" t="n">
        <v>1</v>
      </c>
      <c r="P174" s="85">
        <f>AVERAGE(D174:I174)</f>
        <v/>
      </c>
      <c r="Q174" s="85">
        <f>AVERAGE(J174:L174)</f>
        <v/>
      </c>
      <c r="R174" s="85">
        <f>AVERAGE(M174:O174)</f>
        <v/>
      </c>
      <c r="S174" s="85">
        <f>'02_지표정의'!$C$22*P174+'02_지표정의'!$C$23*Q174+'02_지표정의'!$C$24*R174</f>
        <v/>
      </c>
      <c r="T174" s="73">
        <f>IF(OR(AND(B174="gemini",C174="gemma"),AND(B174="qwen3_6",C174="qwen"),AND(B174="mistral",C174="ministral")),1,0)</f>
        <v/>
      </c>
      <c r="U174" s="73">
        <f>IF(LEFT(A174,3)="PAT","특허","보고서")</f>
        <v/>
      </c>
      <c r="V174" s="86">
        <f>COUNTIF($S$2:$S$976,"&lt;"&amp;S174)+(COUNTIF($S$2:$S$976,"="&amp;S174)+1)/2</f>
        <v/>
      </c>
      <c r="W174" s="73">
        <f>IF(C174="qwen",0,COUNTIFS($C$2:$C$976,"&lt;&gt;qwen",$S$2:$S$976,"&lt;"&amp;S174)+1)</f>
        <v/>
      </c>
      <c r="X174" s="73">
        <f>IF(C174="ministral",0,COUNTIFS($C$2:$C$976,"&lt;&gt;ministral",$S$2:$S$976,"&lt;"&amp;S174)+1)</f>
        <v/>
      </c>
      <c r="Y174" s="73">
        <f>IF(C174="gemma",0,COUNTIFS($C$2:$C$976,"&lt;&gt;gemma",$S$2:$S$976,"&lt;"&amp;S174)+1)</f>
        <v/>
      </c>
      <c r="Z174" s="87">
        <f>COUNTIFS($B$2:$B$976,B174,$C$2:$C$976,C174,$S$2:$S$976,"&lt;"&amp;S174)+1</f>
        <v/>
      </c>
      <c r="AA174" s="88">
        <f>ABS(S174-SUMPRODUCT(('05B_가정검정'!$A$5:$A$19=B174)*('05B_가정검정'!$B$5:$B$19=C174)*'05B_가정검정'!$E$5:$E$19))</f>
        <v/>
      </c>
      <c r="AB174" s="88">
        <f>S174-AVERAGEIFS($S$2:$S$976,$B$2:$B$976,B174,$C$2:$C$976,C174)</f>
        <v/>
      </c>
    </row>
    <row r="175" ht="15" customHeight="1" s="68">
      <c r="A175" s="83" t="inlineStr">
        <is>
          <t>PAT-12</t>
        </is>
      </c>
      <c r="B175" s="83" t="inlineStr">
        <is>
          <t>gemini</t>
        </is>
      </c>
      <c r="C175" s="83" t="inlineStr">
        <is>
          <t>qwen</t>
        </is>
      </c>
      <c r="D175" s="84" t="n">
        <v>0.290171606864275</v>
      </c>
      <c r="E175" s="84" t="n">
        <v>0.517006802721089</v>
      </c>
      <c r="F175" s="84" t="n">
        <v>0.262068965517241</v>
      </c>
      <c r="G175" s="84" t="n">
        <v>0.394557823129252</v>
      </c>
      <c r="H175" s="84" t="n">
        <v>0.431095276461585</v>
      </c>
      <c r="I175" s="84" t="n">
        <v>0.542779899957992</v>
      </c>
      <c r="J175" s="84" t="n">
        <v>0.793730081881142</v>
      </c>
      <c r="K175" s="84" t="n">
        <v>0.796393704563508</v>
      </c>
      <c r="L175" s="84" t="n">
        <v>0.891921408375122</v>
      </c>
      <c r="M175" s="84" t="n">
        <v>0.906542056074766</v>
      </c>
      <c r="N175" s="84" t="n">
        <v>0.916666666666667</v>
      </c>
      <c r="O175" s="84" t="n">
        <v>1</v>
      </c>
      <c r="P175" s="85">
        <f>AVERAGE(D175:I175)</f>
        <v/>
      </c>
      <c r="Q175" s="85">
        <f>AVERAGE(J175:L175)</f>
        <v/>
      </c>
      <c r="R175" s="85">
        <f>AVERAGE(M175:O175)</f>
        <v/>
      </c>
      <c r="S175" s="85">
        <f>'02_지표정의'!$C$22*P175+'02_지표정의'!$C$23*Q175+'02_지표정의'!$C$24*R175</f>
        <v/>
      </c>
      <c r="T175" s="73">
        <f>IF(OR(AND(B175="gemini",C175="gemma"),AND(B175="qwen3_6",C175="qwen"),AND(B175="mistral",C175="ministral")),1,0)</f>
        <v/>
      </c>
      <c r="U175" s="73">
        <f>IF(LEFT(A175,3)="PAT","특허","보고서")</f>
        <v/>
      </c>
      <c r="V175" s="86">
        <f>COUNTIF($S$2:$S$976,"&lt;"&amp;S175)+(COUNTIF($S$2:$S$976,"="&amp;S175)+1)/2</f>
        <v/>
      </c>
      <c r="W175" s="73">
        <f>IF(C175="qwen",0,COUNTIFS($C$2:$C$976,"&lt;&gt;qwen",$S$2:$S$976,"&lt;"&amp;S175)+1)</f>
        <v/>
      </c>
      <c r="X175" s="73">
        <f>IF(C175="ministral",0,COUNTIFS($C$2:$C$976,"&lt;&gt;ministral",$S$2:$S$976,"&lt;"&amp;S175)+1)</f>
        <v/>
      </c>
      <c r="Y175" s="73">
        <f>IF(C175="gemma",0,COUNTIFS($C$2:$C$976,"&lt;&gt;gemma",$S$2:$S$976,"&lt;"&amp;S175)+1)</f>
        <v/>
      </c>
      <c r="Z175" s="87">
        <f>COUNTIFS($B$2:$B$976,B175,$C$2:$C$976,C175,$S$2:$S$976,"&lt;"&amp;S175)+1</f>
        <v/>
      </c>
      <c r="AA175" s="88">
        <f>ABS(S175-SUMPRODUCT(('05B_가정검정'!$A$5:$A$19=B175)*('05B_가정검정'!$B$5:$B$19=C175)*'05B_가정검정'!$E$5:$E$19))</f>
        <v/>
      </c>
      <c r="AB175" s="88">
        <f>S175-AVERAGEIFS($S$2:$S$976,$B$2:$B$976,B175,$C$2:$C$976,C175)</f>
        <v/>
      </c>
    </row>
    <row r="176" ht="15" customHeight="1" s="68">
      <c r="A176" s="83" t="inlineStr">
        <is>
          <t>PAT-12</t>
        </is>
      </c>
      <c r="B176" s="83" t="inlineStr">
        <is>
          <t>mistral</t>
        </is>
      </c>
      <c r="C176" s="83" t="inlineStr">
        <is>
          <t>gemma</t>
        </is>
      </c>
      <c r="D176" s="84" t="n">
        <v>0.255639097744361</v>
      </c>
      <c r="E176" s="84" t="n">
        <v>0.344827586206897</v>
      </c>
      <c r="F176" s="84" t="n">
        <v>0.129353233830846</v>
      </c>
      <c r="G176" s="84" t="n">
        <v>0.295566502463054</v>
      </c>
      <c r="H176" s="84" t="n">
        <v>0.36726940859463</v>
      </c>
      <c r="I176" s="84" t="n">
        <v>0.300702978530001</v>
      </c>
      <c r="J176" s="84" t="n">
        <v>0.690956256079636</v>
      </c>
      <c r="K176" s="84" t="n">
        <v>0.685574981170061</v>
      </c>
      <c r="L176" s="84" t="n">
        <v>0.858089736796357</v>
      </c>
      <c r="M176" s="84" t="n">
        <v>0.52046783625731</v>
      </c>
      <c r="N176" s="84" t="n">
        <v>0.569767441860465</v>
      </c>
      <c r="O176" s="84" t="n">
        <v>1</v>
      </c>
      <c r="P176" s="85">
        <f>AVERAGE(D176:I176)</f>
        <v/>
      </c>
      <c r="Q176" s="85">
        <f>AVERAGE(J176:L176)</f>
        <v/>
      </c>
      <c r="R176" s="85">
        <f>AVERAGE(M176:O176)</f>
        <v/>
      </c>
      <c r="S176" s="85">
        <f>'02_지표정의'!$C$22*P176+'02_지표정의'!$C$23*Q176+'02_지표정의'!$C$24*R176</f>
        <v/>
      </c>
      <c r="T176" s="73">
        <f>IF(OR(AND(B176="gemini",C176="gemma"),AND(B176="qwen3_6",C176="qwen"),AND(B176="mistral",C176="ministral")),1,0)</f>
        <v/>
      </c>
      <c r="U176" s="73">
        <f>IF(LEFT(A176,3)="PAT","특허","보고서")</f>
        <v/>
      </c>
      <c r="V176" s="86">
        <f>COUNTIF($S$2:$S$976,"&lt;"&amp;S176)+(COUNTIF($S$2:$S$976,"="&amp;S176)+1)/2</f>
        <v/>
      </c>
      <c r="W176" s="73">
        <f>IF(C176="qwen",0,COUNTIFS($C$2:$C$976,"&lt;&gt;qwen",$S$2:$S$976,"&lt;"&amp;S176)+1)</f>
        <v/>
      </c>
      <c r="X176" s="73">
        <f>IF(C176="ministral",0,COUNTIFS($C$2:$C$976,"&lt;&gt;ministral",$S$2:$S$976,"&lt;"&amp;S176)+1)</f>
        <v/>
      </c>
      <c r="Y176" s="73">
        <f>IF(C176="gemma",0,COUNTIFS($C$2:$C$976,"&lt;&gt;gemma",$S$2:$S$976,"&lt;"&amp;S176)+1)</f>
        <v/>
      </c>
      <c r="Z176" s="87">
        <f>COUNTIFS($B$2:$B$976,B176,$C$2:$C$976,C176,$S$2:$S$976,"&lt;"&amp;S176)+1</f>
        <v/>
      </c>
      <c r="AA176" s="88">
        <f>ABS(S176-SUMPRODUCT(('05B_가정검정'!$A$5:$A$19=B176)*('05B_가정검정'!$B$5:$B$19=C176)*'05B_가정검정'!$E$5:$E$19))</f>
        <v/>
      </c>
      <c r="AB176" s="88">
        <f>S176-AVERAGEIFS($S$2:$S$976,$B$2:$B$976,B176,$C$2:$C$976,C176)</f>
        <v/>
      </c>
    </row>
    <row r="177" ht="15" customHeight="1" s="68">
      <c r="A177" s="83" t="inlineStr">
        <is>
          <t>PAT-12</t>
        </is>
      </c>
      <c r="B177" s="83" t="inlineStr">
        <is>
          <t>mistral</t>
        </is>
      </c>
      <c r="C177" s="83" t="inlineStr">
        <is>
          <t>ministral</t>
        </is>
      </c>
      <c r="D177" s="84" t="n">
        <v>0.284329563812601</v>
      </c>
      <c r="E177" s="84" t="n">
        <v>0.303030303030303</v>
      </c>
      <c r="F177" s="84" t="n">
        <v>0.137404580152672</v>
      </c>
      <c r="G177" s="84" t="n">
        <v>0.21969696969697</v>
      </c>
      <c r="H177" s="84" t="n">
        <v>0.266491867541991</v>
      </c>
      <c r="I177" s="84" t="n">
        <v>0.349701299920628</v>
      </c>
      <c r="J177" s="84" t="n">
        <v>0.70617385193876</v>
      </c>
      <c r="K177" s="84" t="n">
        <v>0.684948642823224</v>
      </c>
      <c r="L177" s="84" t="n">
        <v>0.86842491565271</v>
      </c>
      <c r="M177" s="84" t="n">
        <v>0.424242424242424</v>
      </c>
      <c r="N177" s="84" t="n">
        <v>0.336283185840708</v>
      </c>
      <c r="O177" s="84" t="n">
        <v>1</v>
      </c>
      <c r="P177" s="85">
        <f>AVERAGE(D177:I177)</f>
        <v/>
      </c>
      <c r="Q177" s="85">
        <f>AVERAGE(J177:L177)</f>
        <v/>
      </c>
      <c r="R177" s="85">
        <f>AVERAGE(M177:O177)</f>
        <v/>
      </c>
      <c r="S177" s="85">
        <f>'02_지표정의'!$C$22*P177+'02_지표정의'!$C$23*Q177+'02_지표정의'!$C$24*R177</f>
        <v/>
      </c>
      <c r="T177" s="73">
        <f>IF(OR(AND(B177="gemini",C177="gemma"),AND(B177="qwen3_6",C177="qwen"),AND(B177="mistral",C177="ministral")),1,0)</f>
        <v/>
      </c>
      <c r="U177" s="73">
        <f>IF(LEFT(A177,3)="PAT","특허","보고서")</f>
        <v/>
      </c>
      <c r="V177" s="86">
        <f>COUNTIF($S$2:$S$976,"&lt;"&amp;S177)+(COUNTIF($S$2:$S$976,"="&amp;S177)+1)/2</f>
        <v/>
      </c>
      <c r="W177" s="73">
        <f>IF(C177="qwen",0,COUNTIFS($C$2:$C$976,"&lt;&gt;qwen",$S$2:$S$976,"&lt;"&amp;S177)+1)</f>
        <v/>
      </c>
      <c r="X177" s="73">
        <f>IF(C177="ministral",0,COUNTIFS($C$2:$C$976,"&lt;&gt;ministral",$S$2:$S$976,"&lt;"&amp;S177)+1)</f>
        <v/>
      </c>
      <c r="Y177" s="73">
        <f>IF(C177="gemma",0,COUNTIFS($C$2:$C$976,"&lt;&gt;gemma",$S$2:$S$976,"&lt;"&amp;S177)+1)</f>
        <v/>
      </c>
      <c r="Z177" s="87">
        <f>COUNTIFS($B$2:$B$976,B177,$C$2:$C$976,C177,$S$2:$S$976,"&lt;"&amp;S177)+1</f>
        <v/>
      </c>
      <c r="AA177" s="88">
        <f>ABS(S177-SUMPRODUCT(('05B_가정검정'!$A$5:$A$19=B177)*('05B_가정검정'!$B$5:$B$19=C177)*'05B_가정검정'!$E$5:$E$19))</f>
        <v/>
      </c>
      <c r="AB177" s="88">
        <f>S177-AVERAGEIFS($S$2:$S$976,$B$2:$B$976,B177,$C$2:$C$976,C177)</f>
        <v/>
      </c>
    </row>
    <row r="178" ht="15" customHeight="1" s="68">
      <c r="A178" s="83" t="inlineStr">
        <is>
          <t>PAT-12</t>
        </is>
      </c>
      <c r="B178" s="83" t="inlineStr">
        <is>
          <t>mistral</t>
        </is>
      </c>
      <c r="C178" s="83" t="inlineStr">
        <is>
          <t>qwen</t>
        </is>
      </c>
      <c r="D178" s="84" t="n">
        <v>0.282674772036474</v>
      </c>
      <c r="E178" s="84" t="n">
        <v>0.51006711409396</v>
      </c>
      <c r="F178" s="84" t="n">
        <v>0.204081632653061</v>
      </c>
      <c r="G178" s="84" t="n">
        <v>0.416107382550336</v>
      </c>
      <c r="H178" s="84" t="n">
        <v>0.384218844541538</v>
      </c>
      <c r="I178" s="84" t="n">
        <v>0.561116691103976</v>
      </c>
      <c r="J178" s="84" t="n">
        <v>0.726813393471938</v>
      </c>
      <c r="K178" s="84" t="n">
        <v>0.684538913023626</v>
      </c>
      <c r="L178" s="84" t="n">
        <v>0.875535901807853</v>
      </c>
      <c r="M178" s="84" t="n">
        <v>0.52046783625731</v>
      </c>
      <c r="N178" s="84" t="n">
        <v>0.569767441860465</v>
      </c>
      <c r="O178" s="84" t="n">
        <v>1</v>
      </c>
      <c r="P178" s="85">
        <f>AVERAGE(D178:I178)</f>
        <v/>
      </c>
      <c r="Q178" s="85">
        <f>AVERAGE(J178:L178)</f>
        <v/>
      </c>
      <c r="R178" s="85">
        <f>AVERAGE(M178:O178)</f>
        <v/>
      </c>
      <c r="S178" s="85">
        <f>'02_지표정의'!$C$22*P178+'02_지표정의'!$C$23*Q178+'02_지표정의'!$C$24*R178</f>
        <v/>
      </c>
      <c r="T178" s="73">
        <f>IF(OR(AND(B178="gemini",C178="gemma"),AND(B178="qwen3_6",C178="qwen"),AND(B178="mistral",C178="ministral")),1,0)</f>
        <v/>
      </c>
      <c r="U178" s="73">
        <f>IF(LEFT(A178,3)="PAT","특허","보고서")</f>
        <v/>
      </c>
      <c r="V178" s="86">
        <f>COUNTIF($S$2:$S$976,"&lt;"&amp;S178)+(COUNTIF($S$2:$S$976,"="&amp;S178)+1)/2</f>
        <v/>
      </c>
      <c r="W178" s="73">
        <f>IF(C178="qwen",0,COUNTIFS($C$2:$C$976,"&lt;&gt;qwen",$S$2:$S$976,"&lt;"&amp;S178)+1)</f>
        <v/>
      </c>
      <c r="X178" s="73">
        <f>IF(C178="ministral",0,COUNTIFS($C$2:$C$976,"&lt;&gt;ministral",$S$2:$S$976,"&lt;"&amp;S178)+1)</f>
        <v/>
      </c>
      <c r="Y178" s="73">
        <f>IF(C178="gemma",0,COUNTIFS($C$2:$C$976,"&lt;&gt;gemma",$S$2:$S$976,"&lt;"&amp;S178)+1)</f>
        <v/>
      </c>
      <c r="Z178" s="87">
        <f>COUNTIFS($B$2:$B$976,B178,$C$2:$C$976,C178,$S$2:$S$976,"&lt;"&amp;S178)+1</f>
        <v/>
      </c>
      <c r="AA178" s="88">
        <f>ABS(S178-SUMPRODUCT(('05B_가정검정'!$A$5:$A$19=B178)*('05B_가정검정'!$B$5:$B$19=C178)*'05B_가정검정'!$E$5:$E$19))</f>
        <v/>
      </c>
      <c r="AB178" s="88">
        <f>S178-AVERAGEIFS($S$2:$S$976,$B$2:$B$976,B178,$C$2:$C$976,C178)</f>
        <v/>
      </c>
    </row>
    <row r="179" ht="15" customHeight="1" s="68">
      <c r="A179" s="83" t="inlineStr">
        <is>
          <t>PAT-12</t>
        </is>
      </c>
      <c r="B179" s="83" t="inlineStr">
        <is>
          <t>qwen3_6</t>
        </is>
      </c>
      <c r="C179" s="83" t="inlineStr">
        <is>
          <t>gemma</t>
        </is>
      </c>
      <c r="D179" s="84" t="n">
        <v>0.22864019253911</v>
      </c>
      <c r="E179" s="84" t="n">
        <v>0.358208955223881</v>
      </c>
      <c r="F179" s="84" t="n">
        <v>0.150753768844221</v>
      </c>
      <c r="G179" s="84" t="n">
        <v>0.298507462686567</v>
      </c>
      <c r="H179" s="84" t="n">
        <v>0.369248182559793</v>
      </c>
      <c r="I179" s="84" t="n">
        <v>0.273765469798194</v>
      </c>
      <c r="J179" s="84" t="n">
        <v>0.707241812248845</v>
      </c>
      <c r="K179" s="84" t="n">
        <v>0.701520123989064</v>
      </c>
      <c r="L179" s="84" t="n">
        <v>0.875164207814906</v>
      </c>
      <c r="M179" s="84" t="n">
        <v>0.889908256880734</v>
      </c>
      <c r="N179" s="84" t="n">
        <v>0.901639344262295</v>
      </c>
      <c r="O179" s="84" t="n">
        <v>1</v>
      </c>
      <c r="P179" s="85">
        <f>AVERAGE(D179:I179)</f>
        <v/>
      </c>
      <c r="Q179" s="85">
        <f>AVERAGE(J179:L179)</f>
        <v/>
      </c>
      <c r="R179" s="85">
        <f>AVERAGE(M179:O179)</f>
        <v/>
      </c>
      <c r="S179" s="85">
        <f>'02_지표정의'!$C$22*P179+'02_지표정의'!$C$23*Q179+'02_지표정의'!$C$24*R179</f>
        <v/>
      </c>
      <c r="T179" s="73">
        <f>IF(OR(AND(B179="gemini",C179="gemma"),AND(B179="qwen3_6",C179="qwen"),AND(B179="mistral",C179="ministral")),1,0)</f>
        <v/>
      </c>
      <c r="U179" s="73">
        <f>IF(LEFT(A179,3)="PAT","특허","보고서")</f>
        <v/>
      </c>
      <c r="V179" s="86">
        <f>COUNTIF($S$2:$S$976,"&lt;"&amp;S179)+(COUNTIF($S$2:$S$976,"="&amp;S179)+1)/2</f>
        <v/>
      </c>
      <c r="W179" s="73">
        <f>IF(C179="qwen",0,COUNTIFS($C$2:$C$976,"&lt;&gt;qwen",$S$2:$S$976,"&lt;"&amp;S179)+1)</f>
        <v/>
      </c>
      <c r="X179" s="73">
        <f>IF(C179="ministral",0,COUNTIFS($C$2:$C$976,"&lt;&gt;ministral",$S$2:$S$976,"&lt;"&amp;S179)+1)</f>
        <v/>
      </c>
      <c r="Y179" s="73">
        <f>IF(C179="gemma",0,COUNTIFS($C$2:$C$976,"&lt;&gt;gemma",$S$2:$S$976,"&lt;"&amp;S179)+1)</f>
        <v/>
      </c>
      <c r="Z179" s="87">
        <f>COUNTIFS($B$2:$B$976,B179,$C$2:$C$976,C179,$S$2:$S$976,"&lt;"&amp;S179)+1</f>
        <v/>
      </c>
      <c r="AA179" s="88">
        <f>ABS(S179-SUMPRODUCT(('05B_가정검정'!$A$5:$A$19=B179)*('05B_가정검정'!$B$5:$B$19=C179)*'05B_가정검정'!$E$5:$E$19))</f>
        <v/>
      </c>
      <c r="AB179" s="88">
        <f>S179-AVERAGEIFS($S$2:$S$976,$B$2:$B$976,B179,$C$2:$C$976,C179)</f>
        <v/>
      </c>
    </row>
    <row r="180" ht="15" customHeight="1" s="68">
      <c r="A180" s="83" t="inlineStr">
        <is>
          <t>PAT-12</t>
        </is>
      </c>
      <c r="B180" s="83" t="inlineStr">
        <is>
          <t>qwen3_6</t>
        </is>
      </c>
      <c r="C180" s="83" t="inlineStr">
        <is>
          <t>ministral</t>
        </is>
      </c>
      <c r="D180" s="84" t="n">
        <v>0.248466257668712</v>
      </c>
      <c r="E180" s="84" t="n">
        <v>0.290076335877863</v>
      </c>
      <c r="F180" s="84" t="n">
        <v>0.153846153846154</v>
      </c>
      <c r="G180" s="84" t="n">
        <v>0.259541984732824</v>
      </c>
      <c r="H180" s="84" t="n">
        <v>0.248283674439637</v>
      </c>
      <c r="I180" s="84" t="n">
        <v>0.338413833023594</v>
      </c>
      <c r="J180" s="84" t="n">
        <v>0.707703851315502</v>
      </c>
      <c r="K180" s="84" t="n">
        <v>0.674760635788712</v>
      </c>
      <c r="L180" s="84" t="n">
        <v>0.868502492550409</v>
      </c>
      <c r="M180" s="84" t="n">
        <v>0.41991341991342</v>
      </c>
      <c r="N180" s="84" t="n">
        <v>0.486725663716814</v>
      </c>
      <c r="O180" s="84" t="n">
        <v>1</v>
      </c>
      <c r="P180" s="85">
        <f>AVERAGE(D180:I180)</f>
        <v/>
      </c>
      <c r="Q180" s="85">
        <f>AVERAGE(J180:L180)</f>
        <v/>
      </c>
      <c r="R180" s="85">
        <f>AVERAGE(M180:O180)</f>
        <v/>
      </c>
      <c r="S180" s="85">
        <f>'02_지표정의'!$C$22*P180+'02_지표정의'!$C$23*Q180+'02_지표정의'!$C$24*R180</f>
        <v/>
      </c>
      <c r="T180" s="73">
        <f>IF(OR(AND(B180="gemini",C180="gemma"),AND(B180="qwen3_6",C180="qwen"),AND(B180="mistral",C180="ministral")),1,0)</f>
        <v/>
      </c>
      <c r="U180" s="73">
        <f>IF(LEFT(A180,3)="PAT","특허","보고서")</f>
        <v/>
      </c>
      <c r="V180" s="86">
        <f>COUNTIF($S$2:$S$976,"&lt;"&amp;S180)+(COUNTIF($S$2:$S$976,"="&amp;S180)+1)/2</f>
        <v/>
      </c>
      <c r="W180" s="73">
        <f>IF(C180="qwen",0,COUNTIFS($C$2:$C$976,"&lt;&gt;qwen",$S$2:$S$976,"&lt;"&amp;S180)+1)</f>
        <v/>
      </c>
      <c r="X180" s="73">
        <f>IF(C180="ministral",0,COUNTIFS($C$2:$C$976,"&lt;&gt;ministral",$S$2:$S$976,"&lt;"&amp;S180)+1)</f>
        <v/>
      </c>
      <c r="Y180" s="73">
        <f>IF(C180="gemma",0,COUNTIFS($C$2:$C$976,"&lt;&gt;gemma",$S$2:$S$976,"&lt;"&amp;S180)+1)</f>
        <v/>
      </c>
      <c r="Z180" s="87">
        <f>COUNTIFS($B$2:$B$976,B180,$C$2:$C$976,C180,$S$2:$S$976,"&lt;"&amp;S180)+1</f>
        <v/>
      </c>
      <c r="AA180" s="88">
        <f>ABS(S180-SUMPRODUCT(('05B_가정검정'!$A$5:$A$19=B180)*('05B_가정검정'!$B$5:$B$19=C180)*'05B_가정검정'!$E$5:$E$19))</f>
        <v/>
      </c>
      <c r="AB180" s="88">
        <f>S180-AVERAGEIFS($S$2:$S$976,$B$2:$B$976,B180,$C$2:$C$976,C180)</f>
        <v/>
      </c>
    </row>
    <row r="181" ht="15" customHeight="1" s="68">
      <c r="A181" s="83" t="inlineStr">
        <is>
          <t>PAT-12</t>
        </is>
      </c>
      <c r="B181" s="83" t="inlineStr">
        <is>
          <t>qwen3_6</t>
        </is>
      </c>
      <c r="C181" s="83" t="inlineStr">
        <is>
          <t>qwen</t>
        </is>
      </c>
      <c r="D181" s="84" t="n">
        <v>0.272069464544139</v>
      </c>
      <c r="E181" s="84" t="n">
        <v>0.557823129251701</v>
      </c>
      <c r="F181" s="84" t="n">
        <v>0.289655172413793</v>
      </c>
      <c r="G181" s="84" t="n">
        <v>0.462585034013605</v>
      </c>
      <c r="H181" s="84" t="n">
        <v>0.461143991920405</v>
      </c>
      <c r="I181" s="84" t="n">
        <v>0.508684180724142</v>
      </c>
      <c r="J181" s="84" t="n">
        <v>0.733144468533476</v>
      </c>
      <c r="K181" s="84" t="n">
        <v>0.6909063514955111</v>
      </c>
      <c r="L181" s="84" t="n">
        <v>0.895604934222651</v>
      </c>
      <c r="M181" s="84" t="n">
        <v>0.906542056074766</v>
      </c>
      <c r="N181" s="84" t="n">
        <v>0.916666666666667</v>
      </c>
      <c r="O181" s="84" t="n">
        <v>1</v>
      </c>
      <c r="P181" s="85">
        <f>AVERAGE(D181:I181)</f>
        <v/>
      </c>
      <c r="Q181" s="85">
        <f>AVERAGE(J181:L181)</f>
        <v/>
      </c>
      <c r="R181" s="85">
        <f>AVERAGE(M181:O181)</f>
        <v/>
      </c>
      <c r="S181" s="85">
        <f>'02_지표정의'!$C$22*P181+'02_지표정의'!$C$23*Q181+'02_지표정의'!$C$24*R181</f>
        <v/>
      </c>
      <c r="T181" s="73">
        <f>IF(OR(AND(B181="gemini",C181="gemma"),AND(B181="qwen3_6",C181="qwen"),AND(B181="mistral",C181="ministral")),1,0)</f>
        <v/>
      </c>
      <c r="U181" s="73">
        <f>IF(LEFT(A181,3)="PAT","특허","보고서")</f>
        <v/>
      </c>
      <c r="V181" s="86">
        <f>COUNTIF($S$2:$S$976,"&lt;"&amp;S181)+(COUNTIF($S$2:$S$976,"="&amp;S181)+1)/2</f>
        <v/>
      </c>
      <c r="W181" s="73">
        <f>IF(C181="qwen",0,COUNTIFS($C$2:$C$976,"&lt;&gt;qwen",$S$2:$S$976,"&lt;"&amp;S181)+1)</f>
        <v/>
      </c>
      <c r="X181" s="73">
        <f>IF(C181="ministral",0,COUNTIFS($C$2:$C$976,"&lt;&gt;ministral",$S$2:$S$976,"&lt;"&amp;S181)+1)</f>
        <v/>
      </c>
      <c r="Y181" s="73">
        <f>IF(C181="gemma",0,COUNTIFS($C$2:$C$976,"&lt;&gt;gemma",$S$2:$S$976,"&lt;"&amp;S181)+1)</f>
        <v/>
      </c>
      <c r="Z181" s="87">
        <f>COUNTIFS($B$2:$B$976,B181,$C$2:$C$976,C181,$S$2:$S$976,"&lt;"&amp;S181)+1</f>
        <v/>
      </c>
      <c r="AA181" s="88">
        <f>ABS(S181-SUMPRODUCT(('05B_가정검정'!$A$5:$A$19=B181)*('05B_가정검정'!$B$5:$B$19=C181)*'05B_가정검정'!$E$5:$E$19))</f>
        <v/>
      </c>
      <c r="AB181" s="88">
        <f>S181-AVERAGEIFS($S$2:$S$976,$B$2:$B$976,B181,$C$2:$C$976,C181)</f>
        <v/>
      </c>
    </row>
    <row r="182" ht="15" customHeight="1" s="68">
      <c r="A182" s="83" t="inlineStr">
        <is>
          <t>PAT-13</t>
        </is>
      </c>
      <c r="B182" s="83" t="inlineStr">
        <is>
          <t>chatgpt</t>
        </is>
      </c>
      <c r="C182" s="83" t="inlineStr">
        <is>
          <t>gemma</t>
        </is>
      </c>
      <c r="D182" s="84" t="n">
        <v>0.264044943820225</v>
      </c>
      <c r="E182" s="84" t="n">
        <v>0.331360946745562</v>
      </c>
      <c r="F182" s="84" t="n">
        <v>0.131736526946108</v>
      </c>
      <c r="G182" s="84" t="n">
        <v>0.295857988165681</v>
      </c>
      <c r="H182" s="84" t="n">
        <v>0.217437579075579</v>
      </c>
      <c r="I182" s="84" t="n">
        <v>0.217878392634011</v>
      </c>
      <c r="J182" s="84" t="n">
        <v>0.669725736632644</v>
      </c>
      <c r="K182" s="84" t="n">
        <v>0.582256430659988</v>
      </c>
      <c r="L182" s="84" t="n">
        <v>0.73196901001797</v>
      </c>
      <c r="M182" s="84" t="n">
        <v>0.562913907284768</v>
      </c>
      <c r="N182" s="84" t="n">
        <v>0.231707317073171</v>
      </c>
      <c r="O182" s="84" t="n">
        <v>1</v>
      </c>
      <c r="P182" s="85">
        <f>AVERAGE(D182:I182)</f>
        <v/>
      </c>
      <c r="Q182" s="85">
        <f>AVERAGE(J182:L182)</f>
        <v/>
      </c>
      <c r="R182" s="85">
        <f>AVERAGE(M182:O182)</f>
        <v/>
      </c>
      <c r="S182" s="85">
        <f>'02_지표정의'!$C$22*P182+'02_지표정의'!$C$23*Q182+'02_지표정의'!$C$24*R182</f>
        <v/>
      </c>
      <c r="T182" s="73">
        <f>IF(OR(AND(B182="gemini",C182="gemma"),AND(B182="qwen3_6",C182="qwen"),AND(B182="mistral",C182="ministral")),1,0)</f>
        <v/>
      </c>
      <c r="U182" s="73">
        <f>IF(LEFT(A182,3)="PAT","특허","보고서")</f>
        <v/>
      </c>
      <c r="V182" s="86">
        <f>COUNTIF($S$2:$S$976,"&lt;"&amp;S182)+(COUNTIF($S$2:$S$976,"="&amp;S182)+1)/2</f>
        <v/>
      </c>
      <c r="W182" s="73">
        <f>IF(C182="qwen",0,COUNTIFS($C$2:$C$976,"&lt;&gt;qwen",$S$2:$S$976,"&lt;"&amp;S182)+1)</f>
        <v/>
      </c>
      <c r="X182" s="73">
        <f>IF(C182="ministral",0,COUNTIFS($C$2:$C$976,"&lt;&gt;ministral",$S$2:$S$976,"&lt;"&amp;S182)+1)</f>
        <v/>
      </c>
      <c r="Y182" s="73">
        <f>IF(C182="gemma",0,COUNTIFS($C$2:$C$976,"&lt;&gt;gemma",$S$2:$S$976,"&lt;"&amp;S182)+1)</f>
        <v/>
      </c>
      <c r="Z182" s="87">
        <f>COUNTIFS($B$2:$B$976,B182,$C$2:$C$976,C182,$S$2:$S$976,"&lt;"&amp;S182)+1</f>
        <v/>
      </c>
      <c r="AA182" s="88">
        <f>ABS(S182-SUMPRODUCT(('05B_가정검정'!$A$5:$A$19=B182)*('05B_가정검정'!$B$5:$B$19=C182)*'05B_가정검정'!$E$5:$E$19))</f>
        <v/>
      </c>
      <c r="AB182" s="88">
        <f>S182-AVERAGEIFS($S$2:$S$976,$B$2:$B$976,B182,$C$2:$C$976,C182)</f>
        <v/>
      </c>
    </row>
    <row r="183" ht="15" customHeight="1" s="68">
      <c r="A183" s="83" t="inlineStr">
        <is>
          <t>PAT-13</t>
        </is>
      </c>
      <c r="B183" s="83" t="inlineStr">
        <is>
          <t>chatgpt</t>
        </is>
      </c>
      <c r="C183" s="83" t="inlineStr">
        <is>
          <t>ministral</t>
        </is>
      </c>
      <c r="D183" s="84" t="n">
        <v>0.310344827586207</v>
      </c>
      <c r="E183" s="84" t="n">
        <v>0.330434782608696</v>
      </c>
      <c r="F183" s="84" t="n">
        <v>0.131578947368421</v>
      </c>
      <c r="G183" s="84" t="n">
        <v>0.252173913043478</v>
      </c>
      <c r="H183" s="84" t="n">
        <v>0.169151005582264</v>
      </c>
      <c r="I183" s="84" t="n">
        <v>0.280891148311122</v>
      </c>
      <c r="J183" s="84" t="n">
        <v>0.66756321259837</v>
      </c>
      <c r="K183" s="84" t="n">
        <v>0.661887041362508</v>
      </c>
      <c r="L183" s="84" t="n">
        <v>0.763823989047283</v>
      </c>
      <c r="M183" s="84" t="n">
        <v>0.452282157676349</v>
      </c>
      <c r="N183" s="84" t="n">
        <v>0.0254237288135594</v>
      </c>
      <c r="O183" s="84" t="n">
        <v>1</v>
      </c>
      <c r="P183" s="85">
        <f>AVERAGE(D183:I183)</f>
        <v/>
      </c>
      <c r="Q183" s="85">
        <f>AVERAGE(J183:L183)</f>
        <v/>
      </c>
      <c r="R183" s="85">
        <f>AVERAGE(M183:O183)</f>
        <v/>
      </c>
      <c r="S183" s="85">
        <f>'02_지표정의'!$C$22*P183+'02_지표정의'!$C$23*Q183+'02_지표정의'!$C$24*R183</f>
        <v/>
      </c>
      <c r="T183" s="73">
        <f>IF(OR(AND(B183="gemini",C183="gemma"),AND(B183="qwen3_6",C183="qwen"),AND(B183="mistral",C183="ministral")),1,0)</f>
        <v/>
      </c>
      <c r="U183" s="73">
        <f>IF(LEFT(A183,3)="PAT","특허","보고서")</f>
        <v/>
      </c>
      <c r="V183" s="86">
        <f>COUNTIF($S$2:$S$976,"&lt;"&amp;S183)+(COUNTIF($S$2:$S$976,"="&amp;S183)+1)/2</f>
        <v/>
      </c>
      <c r="W183" s="73">
        <f>IF(C183="qwen",0,COUNTIFS($C$2:$C$976,"&lt;&gt;qwen",$S$2:$S$976,"&lt;"&amp;S183)+1)</f>
        <v/>
      </c>
      <c r="X183" s="73">
        <f>IF(C183="ministral",0,COUNTIFS($C$2:$C$976,"&lt;&gt;ministral",$S$2:$S$976,"&lt;"&amp;S183)+1)</f>
        <v/>
      </c>
      <c r="Y183" s="73">
        <f>IF(C183="gemma",0,COUNTIFS($C$2:$C$976,"&lt;&gt;gemma",$S$2:$S$976,"&lt;"&amp;S183)+1)</f>
        <v/>
      </c>
      <c r="Z183" s="87">
        <f>COUNTIFS($B$2:$B$976,B183,$C$2:$C$976,C183,$S$2:$S$976,"&lt;"&amp;S183)+1</f>
        <v/>
      </c>
      <c r="AA183" s="88">
        <f>ABS(S183-SUMPRODUCT(('05B_가정검정'!$A$5:$A$19=B183)*('05B_가정검정'!$B$5:$B$19=C183)*'05B_가정검정'!$E$5:$E$19))</f>
        <v/>
      </c>
      <c r="AB183" s="88">
        <f>S183-AVERAGEIFS($S$2:$S$976,$B$2:$B$976,B183,$C$2:$C$976,C183)</f>
        <v/>
      </c>
    </row>
    <row r="184" ht="15" customHeight="1" s="68">
      <c r="A184" s="83" t="inlineStr">
        <is>
          <t>PAT-13</t>
        </is>
      </c>
      <c r="B184" s="83" t="inlineStr">
        <is>
          <t>chatgpt</t>
        </is>
      </c>
      <c r="C184" s="83" t="inlineStr">
        <is>
          <t>qwen</t>
        </is>
      </c>
      <c r="D184" s="84" t="n">
        <v>0.323679727427598</v>
      </c>
      <c r="E184" s="84" t="n">
        <v>0.39344262295082</v>
      </c>
      <c r="F184" s="84" t="n">
        <v>0.232044198895028</v>
      </c>
      <c r="G184" s="84" t="n">
        <v>0.306010928961749</v>
      </c>
      <c r="H184" s="84" t="n">
        <v>0.260205509090743</v>
      </c>
      <c r="I184" s="84" t="n">
        <v>0.466255655247084</v>
      </c>
      <c r="J184" s="84" t="n">
        <v>0.685385038694704</v>
      </c>
      <c r="K184" s="84" t="n">
        <v>0.610890165224277</v>
      </c>
      <c r="L184" s="84" t="n">
        <v>0.7948982159167161</v>
      </c>
      <c r="M184" s="84" t="n">
        <v>0.483443708609272</v>
      </c>
      <c r="N184" s="84" t="n">
        <v>0</v>
      </c>
      <c r="O184" s="84" t="n">
        <v>1</v>
      </c>
      <c r="P184" s="85">
        <f>AVERAGE(D184:I184)</f>
        <v/>
      </c>
      <c r="Q184" s="85">
        <f>AVERAGE(J184:L184)</f>
        <v/>
      </c>
      <c r="R184" s="85">
        <f>AVERAGE(M184:O184)</f>
        <v/>
      </c>
      <c r="S184" s="85">
        <f>'02_지표정의'!$C$22*P184+'02_지표정의'!$C$23*Q184+'02_지표정의'!$C$24*R184</f>
        <v/>
      </c>
      <c r="T184" s="73">
        <f>IF(OR(AND(B184="gemini",C184="gemma"),AND(B184="qwen3_6",C184="qwen"),AND(B184="mistral",C184="ministral")),1,0)</f>
        <v/>
      </c>
      <c r="U184" s="73">
        <f>IF(LEFT(A184,3)="PAT","특허","보고서")</f>
        <v/>
      </c>
      <c r="V184" s="86">
        <f>COUNTIF($S$2:$S$976,"&lt;"&amp;S184)+(COUNTIF($S$2:$S$976,"="&amp;S184)+1)/2</f>
        <v/>
      </c>
      <c r="W184" s="73">
        <f>IF(C184="qwen",0,COUNTIFS($C$2:$C$976,"&lt;&gt;qwen",$S$2:$S$976,"&lt;"&amp;S184)+1)</f>
        <v/>
      </c>
      <c r="X184" s="73">
        <f>IF(C184="ministral",0,COUNTIFS($C$2:$C$976,"&lt;&gt;ministral",$S$2:$S$976,"&lt;"&amp;S184)+1)</f>
        <v/>
      </c>
      <c r="Y184" s="73">
        <f>IF(C184="gemma",0,COUNTIFS($C$2:$C$976,"&lt;&gt;gemma",$S$2:$S$976,"&lt;"&amp;S184)+1)</f>
        <v/>
      </c>
      <c r="Z184" s="87">
        <f>COUNTIFS($B$2:$B$976,B184,$C$2:$C$976,C184,$S$2:$S$976,"&lt;"&amp;S184)+1</f>
        <v/>
      </c>
      <c r="AA184" s="88">
        <f>ABS(S184-SUMPRODUCT(('05B_가정검정'!$A$5:$A$19=B184)*('05B_가정검정'!$B$5:$B$19=C184)*'05B_가정검정'!$E$5:$E$19))</f>
        <v/>
      </c>
      <c r="AB184" s="88">
        <f>S184-AVERAGEIFS($S$2:$S$976,$B$2:$B$976,B184,$C$2:$C$976,C184)</f>
        <v/>
      </c>
    </row>
    <row r="185" ht="15" customHeight="1" s="68">
      <c r="A185" s="83" t="inlineStr">
        <is>
          <t>PAT-13</t>
        </is>
      </c>
      <c r="B185" s="83" t="inlineStr">
        <is>
          <t>claude</t>
        </is>
      </c>
      <c r="C185" s="83" t="inlineStr">
        <is>
          <t>gemma</t>
        </is>
      </c>
      <c r="D185" s="84" t="n">
        <v>0.268858800773694</v>
      </c>
      <c r="E185" s="84" t="n">
        <v>0.293906810035842</v>
      </c>
      <c r="F185" s="84" t="n">
        <v>0.115523465703971</v>
      </c>
      <c r="G185" s="84" t="n">
        <v>0.21505376344086</v>
      </c>
      <c r="H185" s="84" t="n">
        <v>0.334182237846953</v>
      </c>
      <c r="I185" s="84" t="n">
        <v>0.22743326984041</v>
      </c>
      <c r="J185" s="84" t="n">
        <v>0.671251719357611</v>
      </c>
      <c r="K185" s="84" t="n">
        <v>0.676453643904484</v>
      </c>
      <c r="L185" s="84" t="n">
        <v>0.826161990396995</v>
      </c>
      <c r="M185" s="84" t="n">
        <v>0.567073170731707</v>
      </c>
      <c r="N185" s="84" t="n">
        <v>0.521276595744681</v>
      </c>
      <c r="O185" s="84" t="n">
        <v>1</v>
      </c>
      <c r="P185" s="85">
        <f>AVERAGE(D185:I185)</f>
        <v/>
      </c>
      <c r="Q185" s="85">
        <f>AVERAGE(J185:L185)</f>
        <v/>
      </c>
      <c r="R185" s="85">
        <f>AVERAGE(M185:O185)</f>
        <v/>
      </c>
      <c r="S185" s="85">
        <f>'02_지표정의'!$C$22*P185+'02_지표정의'!$C$23*Q185+'02_지표정의'!$C$24*R185</f>
        <v/>
      </c>
      <c r="T185" s="73">
        <f>IF(OR(AND(B185="gemini",C185="gemma"),AND(B185="qwen3_6",C185="qwen"),AND(B185="mistral",C185="ministral")),1,0)</f>
        <v/>
      </c>
      <c r="U185" s="73">
        <f>IF(LEFT(A185,3)="PAT","특허","보고서")</f>
        <v/>
      </c>
      <c r="V185" s="86">
        <f>COUNTIF($S$2:$S$976,"&lt;"&amp;S185)+(COUNTIF($S$2:$S$976,"="&amp;S185)+1)/2</f>
        <v/>
      </c>
      <c r="W185" s="73">
        <f>IF(C185="qwen",0,COUNTIFS($C$2:$C$976,"&lt;&gt;qwen",$S$2:$S$976,"&lt;"&amp;S185)+1)</f>
        <v/>
      </c>
      <c r="X185" s="73">
        <f>IF(C185="ministral",0,COUNTIFS($C$2:$C$976,"&lt;&gt;ministral",$S$2:$S$976,"&lt;"&amp;S185)+1)</f>
        <v/>
      </c>
      <c r="Y185" s="73">
        <f>IF(C185="gemma",0,COUNTIFS($C$2:$C$976,"&lt;&gt;gemma",$S$2:$S$976,"&lt;"&amp;S185)+1)</f>
        <v/>
      </c>
      <c r="Z185" s="87">
        <f>COUNTIFS($B$2:$B$976,B185,$C$2:$C$976,C185,$S$2:$S$976,"&lt;"&amp;S185)+1</f>
        <v/>
      </c>
      <c r="AA185" s="88">
        <f>ABS(S185-SUMPRODUCT(('05B_가정검정'!$A$5:$A$19=B185)*('05B_가정검정'!$B$5:$B$19=C185)*'05B_가정검정'!$E$5:$E$19))</f>
        <v/>
      </c>
      <c r="AB185" s="88">
        <f>S185-AVERAGEIFS($S$2:$S$976,$B$2:$B$976,B185,$C$2:$C$976,C185)</f>
        <v/>
      </c>
    </row>
    <row r="186" ht="15" customHeight="1" s="68">
      <c r="A186" s="83" t="inlineStr">
        <is>
          <t>PAT-13</t>
        </is>
      </c>
      <c r="B186" s="83" t="inlineStr">
        <is>
          <t>claude</t>
        </is>
      </c>
      <c r="C186" s="83" t="inlineStr">
        <is>
          <t>ministral</t>
        </is>
      </c>
      <c r="D186" s="84" t="n">
        <v>0.286031042128603</v>
      </c>
      <c r="E186" s="84" t="n">
        <v>0.364705882352941</v>
      </c>
      <c r="F186" s="84" t="n">
        <v>0.142011834319527</v>
      </c>
      <c r="G186" s="84" t="n">
        <v>0.252941176470588</v>
      </c>
      <c r="H186" s="84" t="n">
        <v>0.287697883791326</v>
      </c>
      <c r="I186" s="84" t="n">
        <v>0.318541639308052</v>
      </c>
      <c r="J186" s="84" t="n">
        <v>0.695792613734727</v>
      </c>
      <c r="K186" s="84" t="n">
        <v>0.670596648722438</v>
      </c>
      <c r="L186" s="84" t="n">
        <v>0.836312724546766</v>
      </c>
      <c r="M186" s="84" t="n">
        <v>0.551867219917013</v>
      </c>
      <c r="N186" s="84" t="n">
        <v>0.508474576271186</v>
      </c>
      <c r="O186" s="84" t="n">
        <v>1</v>
      </c>
      <c r="P186" s="85">
        <f>AVERAGE(D186:I186)</f>
        <v/>
      </c>
      <c r="Q186" s="85">
        <f>AVERAGE(J186:L186)</f>
        <v/>
      </c>
      <c r="R186" s="85">
        <f>AVERAGE(M186:O186)</f>
        <v/>
      </c>
      <c r="S186" s="85">
        <f>'02_지표정의'!$C$22*P186+'02_지표정의'!$C$23*Q186+'02_지표정의'!$C$24*R186</f>
        <v/>
      </c>
      <c r="T186" s="73">
        <f>IF(OR(AND(B186="gemini",C186="gemma"),AND(B186="qwen3_6",C186="qwen"),AND(B186="mistral",C186="ministral")),1,0)</f>
        <v/>
      </c>
      <c r="U186" s="73">
        <f>IF(LEFT(A186,3)="PAT","특허","보고서")</f>
        <v/>
      </c>
      <c r="V186" s="86">
        <f>COUNTIF($S$2:$S$976,"&lt;"&amp;S186)+(COUNTIF($S$2:$S$976,"="&amp;S186)+1)/2</f>
        <v/>
      </c>
      <c r="W186" s="73">
        <f>IF(C186="qwen",0,COUNTIFS($C$2:$C$976,"&lt;&gt;qwen",$S$2:$S$976,"&lt;"&amp;S186)+1)</f>
        <v/>
      </c>
      <c r="X186" s="73">
        <f>IF(C186="ministral",0,COUNTIFS($C$2:$C$976,"&lt;&gt;ministral",$S$2:$S$976,"&lt;"&amp;S186)+1)</f>
        <v/>
      </c>
      <c r="Y186" s="73">
        <f>IF(C186="gemma",0,COUNTIFS($C$2:$C$976,"&lt;&gt;gemma",$S$2:$S$976,"&lt;"&amp;S186)+1)</f>
        <v/>
      </c>
      <c r="Z186" s="87">
        <f>COUNTIFS($B$2:$B$976,B186,$C$2:$C$976,C186,$S$2:$S$976,"&lt;"&amp;S186)+1</f>
        <v/>
      </c>
      <c r="AA186" s="88">
        <f>ABS(S186-SUMPRODUCT(('05B_가정검정'!$A$5:$A$19=B186)*('05B_가정검정'!$B$5:$B$19=C186)*'05B_가정검정'!$E$5:$E$19))</f>
        <v/>
      </c>
      <c r="AB186" s="88">
        <f>S186-AVERAGEIFS($S$2:$S$976,$B$2:$B$976,B186,$C$2:$C$976,C186)</f>
        <v/>
      </c>
    </row>
    <row r="187" ht="15" customHeight="1" s="68">
      <c r="A187" s="83" t="inlineStr">
        <is>
          <t>PAT-13</t>
        </is>
      </c>
      <c r="B187" s="83" t="inlineStr">
        <is>
          <t>claude</t>
        </is>
      </c>
      <c r="C187" s="83" t="inlineStr">
        <is>
          <t>qwen</t>
        </is>
      </c>
      <c r="D187" s="84" t="n">
        <v>0.316831683168317</v>
      </c>
      <c r="E187" s="84" t="n">
        <v>0.573378839590444</v>
      </c>
      <c r="F187" s="84" t="n">
        <v>0.213058419243986</v>
      </c>
      <c r="G187" s="84" t="n">
        <v>0.361774744027304</v>
      </c>
      <c r="H187" s="84" t="n">
        <v>0.380986876891604</v>
      </c>
      <c r="I187" s="84" t="n">
        <v>0.5465853037227409</v>
      </c>
      <c r="J187" s="84" t="n">
        <v>0.712819348868078</v>
      </c>
      <c r="K187" s="84" t="n">
        <v>0.667506786867442</v>
      </c>
      <c r="L187" s="84" t="n">
        <v>0.84572353034575</v>
      </c>
      <c r="M187" s="84" t="n">
        <v>0.695121951219512</v>
      </c>
      <c r="N187" s="84" t="n">
        <v>0.734042553191489</v>
      </c>
      <c r="O187" s="84" t="n">
        <v>1</v>
      </c>
      <c r="P187" s="85">
        <f>AVERAGE(D187:I187)</f>
        <v/>
      </c>
      <c r="Q187" s="85">
        <f>AVERAGE(J187:L187)</f>
        <v/>
      </c>
      <c r="R187" s="85">
        <f>AVERAGE(M187:O187)</f>
        <v/>
      </c>
      <c r="S187" s="85">
        <f>'02_지표정의'!$C$22*P187+'02_지표정의'!$C$23*Q187+'02_지표정의'!$C$24*R187</f>
        <v/>
      </c>
      <c r="T187" s="73">
        <f>IF(OR(AND(B187="gemini",C187="gemma"),AND(B187="qwen3_6",C187="qwen"),AND(B187="mistral",C187="ministral")),1,0)</f>
        <v/>
      </c>
      <c r="U187" s="73">
        <f>IF(LEFT(A187,3)="PAT","특허","보고서")</f>
        <v/>
      </c>
      <c r="V187" s="86">
        <f>COUNTIF($S$2:$S$976,"&lt;"&amp;S187)+(COUNTIF($S$2:$S$976,"="&amp;S187)+1)/2</f>
        <v/>
      </c>
      <c r="W187" s="73">
        <f>IF(C187="qwen",0,COUNTIFS($C$2:$C$976,"&lt;&gt;qwen",$S$2:$S$976,"&lt;"&amp;S187)+1)</f>
        <v/>
      </c>
      <c r="X187" s="73">
        <f>IF(C187="ministral",0,COUNTIFS($C$2:$C$976,"&lt;&gt;ministral",$S$2:$S$976,"&lt;"&amp;S187)+1)</f>
        <v/>
      </c>
      <c r="Y187" s="73">
        <f>IF(C187="gemma",0,COUNTIFS($C$2:$C$976,"&lt;&gt;gemma",$S$2:$S$976,"&lt;"&amp;S187)+1)</f>
        <v/>
      </c>
      <c r="Z187" s="87">
        <f>COUNTIFS($B$2:$B$976,B187,$C$2:$C$976,C187,$S$2:$S$976,"&lt;"&amp;S187)+1</f>
        <v/>
      </c>
      <c r="AA187" s="88">
        <f>ABS(S187-SUMPRODUCT(('05B_가정검정'!$A$5:$A$19=B187)*('05B_가정검정'!$B$5:$B$19=C187)*'05B_가정검정'!$E$5:$E$19))</f>
        <v/>
      </c>
      <c r="AB187" s="88">
        <f>S187-AVERAGEIFS($S$2:$S$976,$B$2:$B$976,B187,$C$2:$C$976,C187)</f>
        <v/>
      </c>
    </row>
    <row r="188" ht="15" customHeight="1" s="68">
      <c r="A188" s="83" t="inlineStr">
        <is>
          <t>PAT-13</t>
        </is>
      </c>
      <c r="B188" s="83" t="inlineStr">
        <is>
          <t>gemini</t>
        </is>
      </c>
      <c r="C188" s="83" t="inlineStr">
        <is>
          <t>gemma</t>
        </is>
      </c>
      <c r="D188" s="84" t="n">
        <v>0.258064516129032</v>
      </c>
      <c r="E188" s="84" t="n">
        <v>0.3125</v>
      </c>
      <c r="F188" s="84" t="n">
        <v>0.115789473684211</v>
      </c>
      <c r="G188" s="84" t="n">
        <v>0.270833333333333</v>
      </c>
      <c r="H188" s="84" t="n">
        <v>0.284500018380468</v>
      </c>
      <c r="I188" s="84" t="n">
        <v>0.208646886790706</v>
      </c>
      <c r="J188" s="84" t="n">
        <v>0.7387538775764459</v>
      </c>
      <c r="K188" s="84" t="n">
        <v>0.741901957618841</v>
      </c>
      <c r="L188" s="84" t="n">
        <v>0.877287083782498</v>
      </c>
      <c r="M188" s="84" t="n">
        <v>0.906542056074766</v>
      </c>
      <c r="N188" s="84" t="n">
        <v>0.916666666666667</v>
      </c>
      <c r="O188" s="84" t="n">
        <v>1</v>
      </c>
      <c r="P188" s="85">
        <f>AVERAGE(D188:I188)</f>
        <v/>
      </c>
      <c r="Q188" s="85">
        <f>AVERAGE(J188:L188)</f>
        <v/>
      </c>
      <c r="R188" s="85">
        <f>AVERAGE(M188:O188)</f>
        <v/>
      </c>
      <c r="S188" s="85">
        <f>'02_지표정의'!$C$22*P188+'02_지표정의'!$C$23*Q188+'02_지표정의'!$C$24*R188</f>
        <v/>
      </c>
      <c r="T188" s="73">
        <f>IF(OR(AND(B188="gemini",C188="gemma"),AND(B188="qwen3_6",C188="qwen"),AND(B188="mistral",C188="ministral")),1,0)</f>
        <v/>
      </c>
      <c r="U188" s="73">
        <f>IF(LEFT(A188,3)="PAT","특허","보고서")</f>
        <v/>
      </c>
      <c r="V188" s="86">
        <f>COUNTIF($S$2:$S$976,"&lt;"&amp;S188)+(COUNTIF($S$2:$S$976,"="&amp;S188)+1)/2</f>
        <v/>
      </c>
      <c r="W188" s="73">
        <f>IF(C188="qwen",0,COUNTIFS($C$2:$C$976,"&lt;&gt;qwen",$S$2:$S$976,"&lt;"&amp;S188)+1)</f>
        <v/>
      </c>
      <c r="X188" s="73">
        <f>IF(C188="ministral",0,COUNTIFS($C$2:$C$976,"&lt;&gt;ministral",$S$2:$S$976,"&lt;"&amp;S188)+1)</f>
        <v/>
      </c>
      <c r="Y188" s="73">
        <f>IF(C188="gemma",0,COUNTIFS($C$2:$C$976,"&lt;&gt;gemma",$S$2:$S$976,"&lt;"&amp;S188)+1)</f>
        <v/>
      </c>
      <c r="Z188" s="87">
        <f>COUNTIFS($B$2:$B$976,B188,$C$2:$C$976,C188,$S$2:$S$976,"&lt;"&amp;S188)+1</f>
        <v/>
      </c>
      <c r="AA188" s="88">
        <f>ABS(S188-SUMPRODUCT(('05B_가정검정'!$A$5:$A$19=B188)*('05B_가정검정'!$B$5:$B$19=C188)*'05B_가정검정'!$E$5:$E$19))</f>
        <v/>
      </c>
      <c r="AB188" s="88">
        <f>S188-AVERAGEIFS($S$2:$S$976,$B$2:$B$976,B188,$C$2:$C$976,C188)</f>
        <v/>
      </c>
    </row>
    <row r="189" ht="15" customHeight="1" s="68">
      <c r="A189" s="83" t="inlineStr">
        <is>
          <t>PAT-13</t>
        </is>
      </c>
      <c r="B189" s="83" t="inlineStr">
        <is>
          <t>gemini</t>
        </is>
      </c>
      <c r="C189" s="83" t="inlineStr">
        <is>
          <t>ministral</t>
        </is>
      </c>
      <c r="D189" s="84" t="n">
        <v>0.289269051321929</v>
      </c>
      <c r="E189" s="84" t="n">
        <v>0.371541501976285</v>
      </c>
      <c r="F189" s="84" t="n">
        <v>0.127490039840637</v>
      </c>
      <c r="G189" s="84" t="n">
        <v>0.25296442687747</v>
      </c>
      <c r="H189" s="84" t="n">
        <v>0.213898906973753</v>
      </c>
      <c r="I189" s="84" t="n">
        <v>0.280166320855281</v>
      </c>
      <c r="J189" s="84" t="n">
        <v>0.749363835183345</v>
      </c>
      <c r="K189" s="84" t="n">
        <v>0.759597287341754</v>
      </c>
      <c r="L189" s="84" t="n">
        <v>0.900553243668355</v>
      </c>
      <c r="M189" s="84" t="n">
        <v>0.402489626556017</v>
      </c>
      <c r="N189" s="84" t="n">
        <v>0.466101694915254</v>
      </c>
      <c r="O189" s="84" t="n">
        <v>1</v>
      </c>
      <c r="P189" s="85">
        <f>AVERAGE(D189:I189)</f>
        <v/>
      </c>
      <c r="Q189" s="85">
        <f>AVERAGE(J189:L189)</f>
        <v/>
      </c>
      <c r="R189" s="85">
        <f>AVERAGE(M189:O189)</f>
        <v/>
      </c>
      <c r="S189" s="85">
        <f>'02_지표정의'!$C$22*P189+'02_지표정의'!$C$23*Q189+'02_지표정의'!$C$24*R189</f>
        <v/>
      </c>
      <c r="T189" s="73">
        <f>IF(OR(AND(B189="gemini",C189="gemma"),AND(B189="qwen3_6",C189="qwen"),AND(B189="mistral",C189="ministral")),1,0)</f>
        <v/>
      </c>
      <c r="U189" s="73">
        <f>IF(LEFT(A189,3)="PAT","특허","보고서")</f>
        <v/>
      </c>
      <c r="V189" s="86">
        <f>COUNTIF($S$2:$S$976,"&lt;"&amp;S189)+(COUNTIF($S$2:$S$976,"="&amp;S189)+1)/2</f>
        <v/>
      </c>
      <c r="W189" s="73">
        <f>IF(C189="qwen",0,COUNTIFS($C$2:$C$976,"&lt;&gt;qwen",$S$2:$S$976,"&lt;"&amp;S189)+1)</f>
        <v/>
      </c>
      <c r="X189" s="73">
        <f>IF(C189="ministral",0,COUNTIFS($C$2:$C$976,"&lt;&gt;ministral",$S$2:$S$976,"&lt;"&amp;S189)+1)</f>
        <v/>
      </c>
      <c r="Y189" s="73">
        <f>IF(C189="gemma",0,COUNTIFS($C$2:$C$976,"&lt;&gt;gemma",$S$2:$S$976,"&lt;"&amp;S189)+1)</f>
        <v/>
      </c>
      <c r="Z189" s="87">
        <f>COUNTIFS($B$2:$B$976,B189,$C$2:$C$976,C189,$S$2:$S$976,"&lt;"&amp;S189)+1</f>
        <v/>
      </c>
      <c r="AA189" s="88">
        <f>ABS(S189-SUMPRODUCT(('05B_가정검정'!$A$5:$A$19=B189)*('05B_가정검정'!$B$5:$B$19=C189)*'05B_가정검정'!$E$5:$E$19))</f>
        <v/>
      </c>
      <c r="AB189" s="88">
        <f>S189-AVERAGEIFS($S$2:$S$976,$B$2:$B$976,B189,$C$2:$C$976,C189)</f>
        <v/>
      </c>
    </row>
    <row r="190" ht="15" customHeight="1" s="68">
      <c r="A190" s="83" t="inlineStr">
        <is>
          <t>PAT-13</t>
        </is>
      </c>
      <c r="B190" s="83" t="inlineStr">
        <is>
          <t>gemini</t>
        </is>
      </c>
      <c r="C190" s="83" t="inlineStr">
        <is>
          <t>qwen</t>
        </is>
      </c>
      <c r="D190" s="84" t="n">
        <v>0.338461538461539</v>
      </c>
      <c r="E190" s="84" t="n">
        <v>0.5145631067961171</v>
      </c>
      <c r="F190" s="84" t="n">
        <v>0.156862745098039</v>
      </c>
      <c r="G190" s="84" t="n">
        <v>0.330097087378641</v>
      </c>
      <c r="H190" s="84" t="n">
        <v>0.340491057859187</v>
      </c>
      <c r="I190" s="84" t="n">
        <v>0.523357286314086</v>
      </c>
      <c r="J190" s="84" t="n">
        <v>0.782775019696578</v>
      </c>
      <c r="K190" s="84" t="n">
        <v>0.748958245519064</v>
      </c>
      <c r="L190" s="84" t="n">
        <v>0.879616244405742</v>
      </c>
      <c r="M190" s="84" t="n">
        <v>0.702898550724638</v>
      </c>
      <c r="N190" s="84" t="n">
        <v>0.679012345679012</v>
      </c>
      <c r="O190" s="84" t="n">
        <v>1</v>
      </c>
      <c r="P190" s="85">
        <f>AVERAGE(D190:I190)</f>
        <v/>
      </c>
      <c r="Q190" s="85">
        <f>AVERAGE(J190:L190)</f>
        <v/>
      </c>
      <c r="R190" s="85">
        <f>AVERAGE(M190:O190)</f>
        <v/>
      </c>
      <c r="S190" s="85">
        <f>'02_지표정의'!$C$22*P190+'02_지표정의'!$C$23*Q190+'02_지표정의'!$C$24*R190</f>
        <v/>
      </c>
      <c r="T190" s="73">
        <f>IF(OR(AND(B190="gemini",C190="gemma"),AND(B190="qwen3_6",C190="qwen"),AND(B190="mistral",C190="ministral")),1,0)</f>
        <v/>
      </c>
      <c r="U190" s="73">
        <f>IF(LEFT(A190,3)="PAT","특허","보고서")</f>
        <v/>
      </c>
      <c r="V190" s="86">
        <f>COUNTIF($S$2:$S$976,"&lt;"&amp;S190)+(COUNTIF($S$2:$S$976,"="&amp;S190)+1)/2</f>
        <v/>
      </c>
      <c r="W190" s="73">
        <f>IF(C190="qwen",0,COUNTIFS($C$2:$C$976,"&lt;&gt;qwen",$S$2:$S$976,"&lt;"&amp;S190)+1)</f>
        <v/>
      </c>
      <c r="X190" s="73">
        <f>IF(C190="ministral",0,COUNTIFS($C$2:$C$976,"&lt;&gt;ministral",$S$2:$S$976,"&lt;"&amp;S190)+1)</f>
        <v/>
      </c>
      <c r="Y190" s="73">
        <f>IF(C190="gemma",0,COUNTIFS($C$2:$C$976,"&lt;&gt;gemma",$S$2:$S$976,"&lt;"&amp;S190)+1)</f>
        <v/>
      </c>
      <c r="Z190" s="87">
        <f>COUNTIFS($B$2:$B$976,B190,$C$2:$C$976,C190,$S$2:$S$976,"&lt;"&amp;S190)+1</f>
        <v/>
      </c>
      <c r="AA190" s="88">
        <f>ABS(S190-SUMPRODUCT(('05B_가정검정'!$A$5:$A$19=B190)*('05B_가정검정'!$B$5:$B$19=C190)*'05B_가정검정'!$E$5:$E$19))</f>
        <v/>
      </c>
      <c r="AB190" s="88">
        <f>S190-AVERAGEIFS($S$2:$S$976,$B$2:$B$976,B190,$C$2:$C$976,C190)</f>
        <v/>
      </c>
    </row>
    <row r="191" ht="15" customHeight="1" s="68">
      <c r="A191" s="83" t="inlineStr">
        <is>
          <t>PAT-13</t>
        </is>
      </c>
      <c r="B191" s="83" t="inlineStr">
        <is>
          <t>mistral</t>
        </is>
      </c>
      <c r="C191" s="83" t="inlineStr">
        <is>
          <t>gemma</t>
        </is>
      </c>
      <c r="D191" s="84" t="n">
        <v>0.251111111111111</v>
      </c>
      <c r="E191" s="84" t="n">
        <v>0.316279069767442</v>
      </c>
      <c r="F191" s="84" t="n">
        <v>0.112676056338028</v>
      </c>
      <c r="G191" s="84" t="n">
        <v>0.269767441860465</v>
      </c>
      <c r="H191" s="84" t="n">
        <v>0.33734889011654</v>
      </c>
      <c r="I191" s="84" t="n">
        <v>0.212883950336493</v>
      </c>
      <c r="J191" s="84" t="n">
        <v>0.70607269171481</v>
      </c>
      <c r="K191" s="84" t="n">
        <v>0.602039924376559</v>
      </c>
      <c r="L191" s="84" t="n">
        <v>0.803138121650277</v>
      </c>
      <c r="M191" s="84" t="n">
        <v>0.413333333333333</v>
      </c>
      <c r="N191" s="84" t="n">
        <v>0.392</v>
      </c>
      <c r="O191" s="84" t="n">
        <v>1</v>
      </c>
      <c r="P191" s="85">
        <f>AVERAGE(D191:I191)</f>
        <v/>
      </c>
      <c r="Q191" s="85">
        <f>AVERAGE(J191:L191)</f>
        <v/>
      </c>
      <c r="R191" s="85">
        <f>AVERAGE(M191:O191)</f>
        <v/>
      </c>
      <c r="S191" s="85">
        <f>'02_지표정의'!$C$22*P191+'02_지표정의'!$C$23*Q191+'02_지표정의'!$C$24*R191</f>
        <v/>
      </c>
      <c r="T191" s="73">
        <f>IF(OR(AND(B191="gemini",C191="gemma"),AND(B191="qwen3_6",C191="qwen"),AND(B191="mistral",C191="ministral")),1,0)</f>
        <v/>
      </c>
      <c r="U191" s="73">
        <f>IF(LEFT(A191,3)="PAT","특허","보고서")</f>
        <v/>
      </c>
      <c r="V191" s="86">
        <f>COUNTIF($S$2:$S$976,"&lt;"&amp;S191)+(COUNTIF($S$2:$S$976,"="&amp;S191)+1)/2</f>
        <v/>
      </c>
      <c r="W191" s="73">
        <f>IF(C191="qwen",0,COUNTIFS($C$2:$C$976,"&lt;&gt;qwen",$S$2:$S$976,"&lt;"&amp;S191)+1)</f>
        <v/>
      </c>
      <c r="X191" s="73">
        <f>IF(C191="ministral",0,COUNTIFS($C$2:$C$976,"&lt;&gt;ministral",$S$2:$S$976,"&lt;"&amp;S191)+1)</f>
        <v/>
      </c>
      <c r="Y191" s="73">
        <f>IF(C191="gemma",0,COUNTIFS($C$2:$C$976,"&lt;&gt;gemma",$S$2:$S$976,"&lt;"&amp;S191)+1)</f>
        <v/>
      </c>
      <c r="Z191" s="87">
        <f>COUNTIFS($B$2:$B$976,B191,$C$2:$C$976,C191,$S$2:$S$976,"&lt;"&amp;S191)+1</f>
        <v/>
      </c>
      <c r="AA191" s="88">
        <f>ABS(S191-SUMPRODUCT(('05B_가정검정'!$A$5:$A$19=B191)*('05B_가정검정'!$B$5:$B$19=C191)*'05B_가정검정'!$E$5:$E$19))</f>
        <v/>
      </c>
      <c r="AB191" s="88">
        <f>S191-AVERAGEIFS($S$2:$S$976,$B$2:$B$976,B191,$C$2:$C$976,C191)</f>
        <v/>
      </c>
    </row>
    <row r="192" ht="15" customHeight="1" s="68">
      <c r="A192" s="83" t="inlineStr">
        <is>
          <t>PAT-13</t>
        </is>
      </c>
      <c r="B192" s="83" t="inlineStr">
        <is>
          <t>mistral</t>
        </is>
      </c>
      <c r="C192" s="83" t="inlineStr">
        <is>
          <t>ministral</t>
        </is>
      </c>
      <c r="D192" s="84" t="n">
        <v>0.338541666666667</v>
      </c>
      <c r="E192" s="84" t="n">
        <v>0.434782608695652</v>
      </c>
      <c r="F192" s="84" t="n">
        <v>0.138686131386861</v>
      </c>
      <c r="G192" s="84" t="n">
        <v>0.333333333333333</v>
      </c>
      <c r="H192" s="84" t="n">
        <v>0.383323475620966</v>
      </c>
      <c r="I192" s="84" t="n">
        <v>0.245503351968109</v>
      </c>
      <c r="J192" s="84" t="n">
        <v>0.734844645762083</v>
      </c>
      <c r="K192" s="84" t="n">
        <v>0.66127117453482</v>
      </c>
      <c r="L192" s="84" t="n">
        <v>0.833715472673673</v>
      </c>
      <c r="M192" s="84" t="n">
        <v>0.659751037344398</v>
      </c>
      <c r="N192" s="84" t="n">
        <v>0.752</v>
      </c>
      <c r="O192" s="84" t="n">
        <v>1</v>
      </c>
      <c r="P192" s="85">
        <f>AVERAGE(D192:I192)</f>
        <v/>
      </c>
      <c r="Q192" s="85">
        <f>AVERAGE(J192:L192)</f>
        <v/>
      </c>
      <c r="R192" s="85">
        <f>AVERAGE(M192:O192)</f>
        <v/>
      </c>
      <c r="S192" s="85">
        <f>'02_지표정의'!$C$22*P192+'02_지표정의'!$C$23*Q192+'02_지표정의'!$C$24*R192</f>
        <v/>
      </c>
      <c r="T192" s="73">
        <f>IF(OR(AND(B192="gemini",C192="gemma"),AND(B192="qwen3_6",C192="qwen"),AND(B192="mistral",C192="ministral")),1,0)</f>
        <v/>
      </c>
      <c r="U192" s="73">
        <f>IF(LEFT(A192,3)="PAT","특허","보고서")</f>
        <v/>
      </c>
      <c r="V192" s="86">
        <f>COUNTIF($S$2:$S$976,"&lt;"&amp;S192)+(COUNTIF($S$2:$S$976,"="&amp;S192)+1)/2</f>
        <v/>
      </c>
      <c r="W192" s="73">
        <f>IF(C192="qwen",0,COUNTIFS($C$2:$C$976,"&lt;&gt;qwen",$S$2:$S$976,"&lt;"&amp;S192)+1)</f>
        <v/>
      </c>
      <c r="X192" s="73">
        <f>IF(C192="ministral",0,COUNTIFS($C$2:$C$976,"&lt;&gt;ministral",$S$2:$S$976,"&lt;"&amp;S192)+1)</f>
        <v/>
      </c>
      <c r="Y192" s="73">
        <f>IF(C192="gemma",0,COUNTIFS($C$2:$C$976,"&lt;&gt;gemma",$S$2:$S$976,"&lt;"&amp;S192)+1)</f>
        <v/>
      </c>
      <c r="Z192" s="87">
        <f>COUNTIFS($B$2:$B$976,B192,$C$2:$C$976,C192,$S$2:$S$976,"&lt;"&amp;S192)+1</f>
        <v/>
      </c>
      <c r="AA192" s="88">
        <f>ABS(S192-SUMPRODUCT(('05B_가정검정'!$A$5:$A$19=B192)*('05B_가정검정'!$B$5:$B$19=C192)*'05B_가정검정'!$E$5:$E$19))</f>
        <v/>
      </c>
      <c r="AB192" s="88">
        <f>S192-AVERAGEIFS($S$2:$S$976,$B$2:$B$976,B192,$C$2:$C$976,C192)</f>
        <v/>
      </c>
    </row>
    <row r="193" ht="15" customHeight="1" s="68">
      <c r="A193" s="83" t="inlineStr">
        <is>
          <t>PAT-13</t>
        </is>
      </c>
      <c r="B193" s="83" t="inlineStr">
        <is>
          <t>mistral</t>
        </is>
      </c>
      <c r="C193" s="83" t="inlineStr">
        <is>
          <t>qwen</t>
        </is>
      </c>
      <c r="D193" s="84" t="n">
        <v>0.309677419354839</v>
      </c>
      <c r="E193" s="84" t="n">
        <v>0.384279475982533</v>
      </c>
      <c r="F193" s="84" t="n">
        <v>0.123348017621145</v>
      </c>
      <c r="G193" s="84" t="n">
        <v>0.2882096069869</v>
      </c>
      <c r="H193" s="84" t="n">
        <v>0.364487052136816</v>
      </c>
      <c r="I193" s="84" t="n">
        <v>0.291761634812705</v>
      </c>
      <c r="J193" s="84" t="n">
        <v>0.743892384235869</v>
      </c>
      <c r="K193" s="84" t="n">
        <v>0.6169598303918979</v>
      </c>
      <c r="L193" s="84" t="n">
        <v>0.8444386796908629</v>
      </c>
      <c r="M193" s="84" t="n">
        <v>0.5422222222222221</v>
      </c>
      <c r="N193" s="84" t="n">
        <v>0.552</v>
      </c>
      <c r="O193" s="84" t="n">
        <v>1</v>
      </c>
      <c r="P193" s="85">
        <f>AVERAGE(D193:I193)</f>
        <v/>
      </c>
      <c r="Q193" s="85">
        <f>AVERAGE(J193:L193)</f>
        <v/>
      </c>
      <c r="R193" s="85">
        <f>AVERAGE(M193:O193)</f>
        <v/>
      </c>
      <c r="S193" s="85">
        <f>'02_지표정의'!$C$22*P193+'02_지표정의'!$C$23*Q193+'02_지표정의'!$C$24*R193</f>
        <v/>
      </c>
      <c r="T193" s="73">
        <f>IF(OR(AND(B193="gemini",C193="gemma"),AND(B193="qwen3_6",C193="qwen"),AND(B193="mistral",C193="ministral")),1,0)</f>
        <v/>
      </c>
      <c r="U193" s="73">
        <f>IF(LEFT(A193,3)="PAT","특허","보고서")</f>
        <v/>
      </c>
      <c r="V193" s="86">
        <f>COUNTIF($S$2:$S$976,"&lt;"&amp;S193)+(COUNTIF($S$2:$S$976,"="&amp;S193)+1)/2</f>
        <v/>
      </c>
      <c r="W193" s="73">
        <f>IF(C193="qwen",0,COUNTIFS($C$2:$C$976,"&lt;&gt;qwen",$S$2:$S$976,"&lt;"&amp;S193)+1)</f>
        <v/>
      </c>
      <c r="X193" s="73">
        <f>IF(C193="ministral",0,COUNTIFS($C$2:$C$976,"&lt;&gt;ministral",$S$2:$S$976,"&lt;"&amp;S193)+1)</f>
        <v/>
      </c>
      <c r="Y193" s="73">
        <f>IF(C193="gemma",0,COUNTIFS($C$2:$C$976,"&lt;&gt;gemma",$S$2:$S$976,"&lt;"&amp;S193)+1)</f>
        <v/>
      </c>
      <c r="Z193" s="87">
        <f>COUNTIFS($B$2:$B$976,B193,$C$2:$C$976,C193,$S$2:$S$976,"&lt;"&amp;S193)+1</f>
        <v/>
      </c>
      <c r="AA193" s="88">
        <f>ABS(S193-SUMPRODUCT(('05B_가정검정'!$A$5:$A$19=B193)*('05B_가정검정'!$B$5:$B$19=C193)*'05B_가정검정'!$E$5:$E$19))</f>
        <v/>
      </c>
      <c r="AB193" s="88">
        <f>S193-AVERAGEIFS($S$2:$S$976,$B$2:$B$976,B193,$C$2:$C$976,C193)</f>
        <v/>
      </c>
    </row>
    <row r="194" ht="15" customHeight="1" s="68">
      <c r="A194" s="83" t="inlineStr">
        <is>
          <t>PAT-13</t>
        </is>
      </c>
      <c r="B194" s="83" t="inlineStr">
        <is>
          <t>qwen3_6</t>
        </is>
      </c>
      <c r="C194" s="83" t="inlineStr">
        <is>
          <t>gemma</t>
        </is>
      </c>
      <c r="D194" s="84" t="n">
        <v>0.273972602739726</v>
      </c>
      <c r="E194" s="84" t="n">
        <v>0.368200836820084</v>
      </c>
      <c r="F194" s="84" t="n">
        <v>0.143459915611814</v>
      </c>
      <c r="G194" s="84" t="n">
        <v>0.251046025104603</v>
      </c>
      <c r="H194" s="84" t="n">
        <v>0.354375088272876</v>
      </c>
      <c r="I194" s="84" t="n">
        <v>0.240748662869277</v>
      </c>
      <c r="J194" s="84" t="n">
        <v>0.696229755059165</v>
      </c>
      <c r="K194" s="84" t="n">
        <v>0.656411939822244</v>
      </c>
      <c r="L194" s="84" t="n">
        <v>0.861004086834084</v>
      </c>
      <c r="M194" s="84" t="n">
        <v>0.906542056074766</v>
      </c>
      <c r="N194" s="84" t="n">
        <v>0.916666666666667</v>
      </c>
      <c r="O194" s="84" t="n">
        <v>1</v>
      </c>
      <c r="P194" s="85">
        <f>AVERAGE(D194:I194)</f>
        <v/>
      </c>
      <c r="Q194" s="85">
        <f>AVERAGE(J194:L194)</f>
        <v/>
      </c>
      <c r="R194" s="85">
        <f>AVERAGE(M194:O194)</f>
        <v/>
      </c>
      <c r="S194" s="85">
        <f>'02_지표정의'!$C$22*P194+'02_지표정의'!$C$23*Q194+'02_지표정의'!$C$24*R194</f>
        <v/>
      </c>
      <c r="T194" s="73">
        <f>IF(OR(AND(B194="gemini",C194="gemma"),AND(B194="qwen3_6",C194="qwen"),AND(B194="mistral",C194="ministral")),1,0)</f>
        <v/>
      </c>
      <c r="U194" s="73">
        <f>IF(LEFT(A194,3)="PAT","특허","보고서")</f>
        <v/>
      </c>
      <c r="V194" s="86">
        <f>COUNTIF($S$2:$S$976,"&lt;"&amp;S194)+(COUNTIF($S$2:$S$976,"="&amp;S194)+1)/2</f>
        <v/>
      </c>
      <c r="W194" s="73">
        <f>IF(C194="qwen",0,COUNTIFS($C$2:$C$976,"&lt;&gt;qwen",$S$2:$S$976,"&lt;"&amp;S194)+1)</f>
        <v/>
      </c>
      <c r="X194" s="73">
        <f>IF(C194="ministral",0,COUNTIFS($C$2:$C$976,"&lt;&gt;ministral",$S$2:$S$976,"&lt;"&amp;S194)+1)</f>
        <v/>
      </c>
      <c r="Y194" s="73">
        <f>IF(C194="gemma",0,COUNTIFS($C$2:$C$976,"&lt;&gt;gemma",$S$2:$S$976,"&lt;"&amp;S194)+1)</f>
        <v/>
      </c>
      <c r="Z194" s="87">
        <f>COUNTIFS($B$2:$B$976,B194,$C$2:$C$976,C194,$S$2:$S$976,"&lt;"&amp;S194)+1</f>
        <v/>
      </c>
      <c r="AA194" s="88">
        <f>ABS(S194-SUMPRODUCT(('05B_가정검정'!$A$5:$A$19=B194)*('05B_가정검정'!$B$5:$B$19=C194)*'05B_가정검정'!$E$5:$E$19))</f>
        <v/>
      </c>
      <c r="AB194" s="88">
        <f>S194-AVERAGEIFS($S$2:$S$976,$B$2:$B$976,B194,$C$2:$C$976,C194)</f>
        <v/>
      </c>
    </row>
    <row r="195" ht="15" customHeight="1" s="68">
      <c r="A195" s="83" t="inlineStr">
        <is>
          <t>PAT-13</t>
        </is>
      </c>
      <c r="B195" s="83" t="inlineStr">
        <is>
          <t>qwen3_6</t>
        </is>
      </c>
      <c r="C195" s="83" t="inlineStr">
        <is>
          <t>ministral</t>
        </is>
      </c>
      <c r="D195" s="84" t="n">
        <v>0.314516129032258</v>
      </c>
      <c r="E195" s="84" t="n">
        <v>0.373333333333333</v>
      </c>
      <c r="F195" s="84" t="n">
        <v>0.161073825503356</v>
      </c>
      <c r="G195" s="84" t="n">
        <v>0.273333333333333</v>
      </c>
      <c r="H195" s="84" t="n">
        <v>0.261454342249494</v>
      </c>
      <c r="I195" s="84" t="n">
        <v>0.367928479205952</v>
      </c>
      <c r="J195" s="84" t="n">
        <v>0.7073775566735711</v>
      </c>
      <c r="K195" s="84" t="n">
        <v>0.683272818154933</v>
      </c>
      <c r="L195" s="84" t="n">
        <v>0.853310832450182</v>
      </c>
      <c r="M195" s="84" t="n">
        <v>0.402489626556017</v>
      </c>
      <c r="N195" s="84" t="n">
        <v>0.466101694915254</v>
      </c>
      <c r="O195" s="84" t="n">
        <v>1</v>
      </c>
      <c r="P195" s="85">
        <f>AVERAGE(D195:I195)</f>
        <v/>
      </c>
      <c r="Q195" s="85">
        <f>AVERAGE(J195:L195)</f>
        <v/>
      </c>
      <c r="R195" s="85">
        <f>AVERAGE(M195:O195)</f>
        <v/>
      </c>
      <c r="S195" s="85">
        <f>'02_지표정의'!$C$22*P195+'02_지표정의'!$C$23*Q195+'02_지표정의'!$C$24*R195</f>
        <v/>
      </c>
      <c r="T195" s="73">
        <f>IF(OR(AND(B195="gemini",C195="gemma"),AND(B195="qwen3_6",C195="qwen"),AND(B195="mistral",C195="ministral")),1,0)</f>
        <v/>
      </c>
      <c r="U195" s="73">
        <f>IF(LEFT(A195,3)="PAT","특허","보고서")</f>
        <v/>
      </c>
      <c r="V195" s="86">
        <f>COUNTIF($S$2:$S$976,"&lt;"&amp;S195)+(COUNTIF($S$2:$S$976,"="&amp;S195)+1)/2</f>
        <v/>
      </c>
      <c r="W195" s="73">
        <f>IF(C195="qwen",0,COUNTIFS($C$2:$C$976,"&lt;&gt;qwen",$S$2:$S$976,"&lt;"&amp;S195)+1)</f>
        <v/>
      </c>
      <c r="X195" s="73">
        <f>IF(C195="ministral",0,COUNTIFS($C$2:$C$976,"&lt;&gt;ministral",$S$2:$S$976,"&lt;"&amp;S195)+1)</f>
        <v/>
      </c>
      <c r="Y195" s="73">
        <f>IF(C195="gemma",0,COUNTIFS($C$2:$C$976,"&lt;&gt;gemma",$S$2:$S$976,"&lt;"&amp;S195)+1)</f>
        <v/>
      </c>
      <c r="Z195" s="87">
        <f>COUNTIFS($B$2:$B$976,B195,$C$2:$C$976,C195,$S$2:$S$976,"&lt;"&amp;S195)+1</f>
        <v/>
      </c>
      <c r="AA195" s="88">
        <f>ABS(S195-SUMPRODUCT(('05B_가정검정'!$A$5:$A$19=B195)*('05B_가정검정'!$B$5:$B$19=C195)*'05B_가정검정'!$E$5:$E$19))</f>
        <v/>
      </c>
      <c r="AB195" s="88">
        <f>S195-AVERAGEIFS($S$2:$S$976,$B$2:$B$976,B195,$C$2:$C$976,C195)</f>
        <v/>
      </c>
    </row>
    <row r="196" ht="15" customHeight="1" s="68">
      <c r="A196" s="83" t="inlineStr">
        <is>
          <t>PAT-13</t>
        </is>
      </c>
      <c r="B196" s="83" t="inlineStr">
        <is>
          <t>qwen3_6</t>
        </is>
      </c>
      <c r="C196" s="83" t="inlineStr">
        <is>
          <t>qwen</t>
        </is>
      </c>
      <c r="D196" s="84" t="n">
        <v>0.367509986684421</v>
      </c>
      <c r="E196" s="84" t="n">
        <v>0.561264822134387</v>
      </c>
      <c r="F196" s="84" t="n">
        <v>0.207171314741036</v>
      </c>
      <c r="G196" s="84" t="n">
        <v>0.347826086956522</v>
      </c>
      <c r="H196" s="84" t="n">
        <v>0.478219525897166</v>
      </c>
      <c r="I196" s="84" t="n">
        <v>0.637885089986711</v>
      </c>
      <c r="J196" s="84" t="n">
        <v>0.726556103434236</v>
      </c>
      <c r="K196" s="84" t="n">
        <v>0.716240087192235</v>
      </c>
      <c r="L196" s="84" t="n">
        <v>0.881458583676023</v>
      </c>
      <c r="M196" s="84" t="n">
        <v>0.702898550724638</v>
      </c>
      <c r="N196" s="84" t="n">
        <v>0.679012345679012</v>
      </c>
      <c r="O196" s="84" t="n">
        <v>1</v>
      </c>
      <c r="P196" s="85">
        <f>AVERAGE(D196:I196)</f>
        <v/>
      </c>
      <c r="Q196" s="85">
        <f>AVERAGE(J196:L196)</f>
        <v/>
      </c>
      <c r="R196" s="85">
        <f>AVERAGE(M196:O196)</f>
        <v/>
      </c>
      <c r="S196" s="85">
        <f>'02_지표정의'!$C$22*P196+'02_지표정의'!$C$23*Q196+'02_지표정의'!$C$24*R196</f>
        <v/>
      </c>
      <c r="T196" s="73">
        <f>IF(OR(AND(B196="gemini",C196="gemma"),AND(B196="qwen3_6",C196="qwen"),AND(B196="mistral",C196="ministral")),1,0)</f>
        <v/>
      </c>
      <c r="U196" s="73">
        <f>IF(LEFT(A196,3)="PAT","특허","보고서")</f>
        <v/>
      </c>
      <c r="V196" s="86">
        <f>COUNTIF($S$2:$S$976,"&lt;"&amp;S196)+(COUNTIF($S$2:$S$976,"="&amp;S196)+1)/2</f>
        <v/>
      </c>
      <c r="W196" s="73">
        <f>IF(C196="qwen",0,COUNTIFS($C$2:$C$976,"&lt;&gt;qwen",$S$2:$S$976,"&lt;"&amp;S196)+1)</f>
        <v/>
      </c>
      <c r="X196" s="73">
        <f>IF(C196="ministral",0,COUNTIFS($C$2:$C$976,"&lt;&gt;ministral",$S$2:$S$976,"&lt;"&amp;S196)+1)</f>
        <v/>
      </c>
      <c r="Y196" s="73">
        <f>IF(C196="gemma",0,COUNTIFS($C$2:$C$976,"&lt;&gt;gemma",$S$2:$S$976,"&lt;"&amp;S196)+1)</f>
        <v/>
      </c>
      <c r="Z196" s="87">
        <f>COUNTIFS($B$2:$B$976,B196,$C$2:$C$976,C196,$S$2:$S$976,"&lt;"&amp;S196)+1</f>
        <v/>
      </c>
      <c r="AA196" s="88">
        <f>ABS(S196-SUMPRODUCT(('05B_가정검정'!$A$5:$A$19=B196)*('05B_가정검정'!$B$5:$B$19=C196)*'05B_가정검정'!$E$5:$E$19))</f>
        <v/>
      </c>
      <c r="AB196" s="88">
        <f>S196-AVERAGEIFS($S$2:$S$976,$B$2:$B$976,B196,$C$2:$C$976,C196)</f>
        <v/>
      </c>
    </row>
    <row r="197" ht="15" customHeight="1" s="68">
      <c r="A197" s="83" t="inlineStr">
        <is>
          <t>PAT-14</t>
        </is>
      </c>
      <c r="B197" s="83" t="inlineStr">
        <is>
          <t>chatgpt</t>
        </is>
      </c>
      <c r="C197" s="83" t="inlineStr">
        <is>
          <t>gemma</t>
        </is>
      </c>
      <c r="D197" s="84" t="n">
        <v>0.231548480463097</v>
      </c>
      <c r="E197" s="84" t="n">
        <v>0.373056994818653</v>
      </c>
      <c r="F197" s="84" t="n">
        <v>0.146596858638744</v>
      </c>
      <c r="G197" s="84" t="n">
        <v>0.310880829015544</v>
      </c>
      <c r="H197" s="84" t="n">
        <v>0.2388678620569</v>
      </c>
      <c r="I197" s="84" t="n">
        <v>0.223342905989692</v>
      </c>
      <c r="J197" s="84" t="n">
        <v>0.669470302512327</v>
      </c>
      <c r="K197" s="84" t="n">
        <v>0.6152921709828461</v>
      </c>
      <c r="L197" s="84" t="n">
        <v>0.747259906439473</v>
      </c>
      <c r="M197" s="84" t="n">
        <v>0.562913907284768</v>
      </c>
      <c r="N197" s="84" t="n">
        <v>0.231707317073171</v>
      </c>
      <c r="O197" s="84" t="n">
        <v>1</v>
      </c>
      <c r="P197" s="85">
        <f>AVERAGE(D197:I197)</f>
        <v/>
      </c>
      <c r="Q197" s="85">
        <f>AVERAGE(J197:L197)</f>
        <v/>
      </c>
      <c r="R197" s="85">
        <f>AVERAGE(M197:O197)</f>
        <v/>
      </c>
      <c r="S197" s="85">
        <f>'02_지표정의'!$C$22*P197+'02_지표정의'!$C$23*Q197+'02_지표정의'!$C$24*R197</f>
        <v/>
      </c>
      <c r="T197" s="73">
        <f>IF(OR(AND(B197="gemini",C197="gemma"),AND(B197="qwen3_6",C197="qwen"),AND(B197="mistral",C197="ministral")),1,0)</f>
        <v/>
      </c>
      <c r="U197" s="73">
        <f>IF(LEFT(A197,3)="PAT","특허","보고서")</f>
        <v/>
      </c>
      <c r="V197" s="86">
        <f>COUNTIF($S$2:$S$976,"&lt;"&amp;S197)+(COUNTIF($S$2:$S$976,"="&amp;S197)+1)/2</f>
        <v/>
      </c>
      <c r="W197" s="73">
        <f>IF(C197="qwen",0,COUNTIFS($C$2:$C$976,"&lt;&gt;qwen",$S$2:$S$976,"&lt;"&amp;S197)+1)</f>
        <v/>
      </c>
      <c r="X197" s="73">
        <f>IF(C197="ministral",0,COUNTIFS($C$2:$C$976,"&lt;&gt;ministral",$S$2:$S$976,"&lt;"&amp;S197)+1)</f>
        <v/>
      </c>
      <c r="Y197" s="73">
        <f>IF(C197="gemma",0,COUNTIFS($C$2:$C$976,"&lt;&gt;gemma",$S$2:$S$976,"&lt;"&amp;S197)+1)</f>
        <v/>
      </c>
      <c r="Z197" s="87">
        <f>COUNTIFS($B$2:$B$976,B197,$C$2:$C$976,C197,$S$2:$S$976,"&lt;"&amp;S197)+1</f>
        <v/>
      </c>
      <c r="AA197" s="88">
        <f>ABS(S197-SUMPRODUCT(('05B_가정검정'!$A$5:$A$19=B197)*('05B_가정검정'!$B$5:$B$19=C197)*'05B_가정검정'!$E$5:$E$19))</f>
        <v/>
      </c>
      <c r="AB197" s="88">
        <f>S197-AVERAGEIFS($S$2:$S$976,$B$2:$B$976,B197,$C$2:$C$976,C197)</f>
        <v/>
      </c>
    </row>
    <row r="198" ht="15" customHeight="1" s="68">
      <c r="A198" s="83" t="inlineStr">
        <is>
          <t>PAT-14</t>
        </is>
      </c>
      <c r="B198" s="83" t="inlineStr">
        <is>
          <t>chatgpt</t>
        </is>
      </c>
      <c r="C198" s="83" t="inlineStr">
        <is>
          <t>ministral</t>
        </is>
      </c>
      <c r="D198" s="84" t="n">
        <v>0.326050420168067</v>
      </c>
      <c r="E198" s="84" t="n">
        <v>0.312925170068027</v>
      </c>
      <c r="F198" s="84" t="n">
        <v>0.123287671232877</v>
      </c>
      <c r="G198" s="84" t="n">
        <v>0.238095238095238</v>
      </c>
      <c r="H198" s="84" t="n">
        <v>0.174240421007713</v>
      </c>
      <c r="I198" s="84" t="n">
        <v>0.354875785226385</v>
      </c>
      <c r="J198" s="84" t="n">
        <v>0.672956321946321</v>
      </c>
      <c r="K198" s="84" t="n">
        <v>0.670942715939012</v>
      </c>
      <c r="L198" s="84" t="n">
        <v>0.774892104025149</v>
      </c>
      <c r="M198" s="84" t="n">
        <v>0.389057750759879</v>
      </c>
      <c r="N198" s="84" t="n">
        <v>0</v>
      </c>
      <c r="O198" s="84" t="n">
        <v>0.526315789473684</v>
      </c>
      <c r="P198" s="85">
        <f>AVERAGE(D198:I198)</f>
        <v/>
      </c>
      <c r="Q198" s="85">
        <f>AVERAGE(J198:L198)</f>
        <v/>
      </c>
      <c r="R198" s="85">
        <f>AVERAGE(M198:O198)</f>
        <v/>
      </c>
      <c r="S198" s="85">
        <f>'02_지표정의'!$C$22*P198+'02_지표정의'!$C$23*Q198+'02_지표정의'!$C$24*R198</f>
        <v/>
      </c>
      <c r="T198" s="73">
        <f>IF(OR(AND(B198="gemini",C198="gemma"),AND(B198="qwen3_6",C198="qwen"),AND(B198="mistral",C198="ministral")),1,0)</f>
        <v/>
      </c>
      <c r="U198" s="73">
        <f>IF(LEFT(A198,3)="PAT","특허","보고서")</f>
        <v/>
      </c>
      <c r="V198" s="86">
        <f>COUNTIF($S$2:$S$976,"&lt;"&amp;S198)+(COUNTIF($S$2:$S$976,"="&amp;S198)+1)/2</f>
        <v/>
      </c>
      <c r="W198" s="73">
        <f>IF(C198="qwen",0,COUNTIFS($C$2:$C$976,"&lt;&gt;qwen",$S$2:$S$976,"&lt;"&amp;S198)+1)</f>
        <v/>
      </c>
      <c r="X198" s="73">
        <f>IF(C198="ministral",0,COUNTIFS($C$2:$C$976,"&lt;&gt;ministral",$S$2:$S$976,"&lt;"&amp;S198)+1)</f>
        <v/>
      </c>
      <c r="Y198" s="73">
        <f>IF(C198="gemma",0,COUNTIFS($C$2:$C$976,"&lt;&gt;gemma",$S$2:$S$976,"&lt;"&amp;S198)+1)</f>
        <v/>
      </c>
      <c r="Z198" s="87">
        <f>COUNTIFS($B$2:$B$976,B198,$C$2:$C$976,C198,$S$2:$S$976,"&lt;"&amp;S198)+1</f>
        <v/>
      </c>
      <c r="AA198" s="88">
        <f>ABS(S198-SUMPRODUCT(('05B_가정검정'!$A$5:$A$19=B198)*('05B_가정검정'!$B$5:$B$19=C198)*'05B_가정검정'!$E$5:$E$19))</f>
        <v/>
      </c>
      <c r="AB198" s="88">
        <f>S198-AVERAGEIFS($S$2:$S$976,$B$2:$B$976,B198,$C$2:$C$976,C198)</f>
        <v/>
      </c>
    </row>
    <row r="199" ht="15" customHeight="1" s="68">
      <c r="A199" s="83" t="inlineStr">
        <is>
          <t>PAT-14</t>
        </is>
      </c>
      <c r="B199" s="83" t="inlineStr">
        <is>
          <t>chatgpt</t>
        </is>
      </c>
      <c r="C199" s="83" t="inlineStr">
        <is>
          <t>qwen</t>
        </is>
      </c>
      <c r="D199" s="84" t="n">
        <v>0.0746561886051081</v>
      </c>
      <c r="E199" s="84" t="n">
        <v>0.100143061516452</v>
      </c>
      <c r="F199" s="84" t="n">
        <v>0.0143472022955524</v>
      </c>
      <c r="G199" s="84" t="n">
        <v>0.0543633762517883</v>
      </c>
      <c r="H199" s="84" t="n">
        <v>0.0699928137939461</v>
      </c>
      <c r="I199" s="84" t="n">
        <v>0.07646742007533559</v>
      </c>
      <c r="J199" s="84" t="n">
        <v>0.56117343581458</v>
      </c>
      <c r="K199" s="84" t="n">
        <v>0.481823243431183</v>
      </c>
      <c r="L199" s="84" t="n">
        <v>0.693389210730626</v>
      </c>
      <c r="M199" s="84" t="n">
        <v>0.0132450331125827</v>
      </c>
      <c r="N199" s="84" t="n">
        <v>0</v>
      </c>
      <c r="O199" s="84" t="n">
        <v>0</v>
      </c>
      <c r="P199" s="85">
        <f>AVERAGE(D199:I199)</f>
        <v/>
      </c>
      <c r="Q199" s="85">
        <f>AVERAGE(J199:L199)</f>
        <v/>
      </c>
      <c r="R199" s="85">
        <f>AVERAGE(M199:O199)</f>
        <v/>
      </c>
      <c r="S199" s="85">
        <f>'02_지표정의'!$C$22*P199+'02_지표정의'!$C$23*Q199+'02_지표정의'!$C$24*R199</f>
        <v/>
      </c>
      <c r="T199" s="73">
        <f>IF(OR(AND(B199="gemini",C199="gemma"),AND(B199="qwen3_6",C199="qwen"),AND(B199="mistral",C199="ministral")),1,0)</f>
        <v/>
      </c>
      <c r="U199" s="73">
        <f>IF(LEFT(A199,3)="PAT","특허","보고서")</f>
        <v/>
      </c>
      <c r="V199" s="86">
        <f>COUNTIF($S$2:$S$976,"&lt;"&amp;S199)+(COUNTIF($S$2:$S$976,"="&amp;S199)+1)/2</f>
        <v/>
      </c>
      <c r="W199" s="73">
        <f>IF(C199="qwen",0,COUNTIFS($C$2:$C$976,"&lt;&gt;qwen",$S$2:$S$976,"&lt;"&amp;S199)+1)</f>
        <v/>
      </c>
      <c r="X199" s="73">
        <f>IF(C199="ministral",0,COUNTIFS($C$2:$C$976,"&lt;&gt;ministral",$S$2:$S$976,"&lt;"&amp;S199)+1)</f>
        <v/>
      </c>
      <c r="Y199" s="73">
        <f>IF(C199="gemma",0,COUNTIFS($C$2:$C$976,"&lt;&gt;gemma",$S$2:$S$976,"&lt;"&amp;S199)+1)</f>
        <v/>
      </c>
      <c r="Z199" s="87">
        <f>COUNTIFS($B$2:$B$976,B199,$C$2:$C$976,C199,$S$2:$S$976,"&lt;"&amp;S199)+1</f>
        <v/>
      </c>
      <c r="AA199" s="88">
        <f>ABS(S199-SUMPRODUCT(('05B_가정검정'!$A$5:$A$19=B199)*('05B_가정검정'!$B$5:$B$19=C199)*'05B_가정검정'!$E$5:$E$19))</f>
        <v/>
      </c>
      <c r="AB199" s="88">
        <f>S199-AVERAGEIFS($S$2:$S$976,$B$2:$B$976,B199,$C$2:$C$976,C199)</f>
        <v/>
      </c>
    </row>
    <row r="200" ht="15" customHeight="1" s="68">
      <c r="A200" s="83" t="inlineStr">
        <is>
          <t>PAT-14</t>
        </is>
      </c>
      <c r="B200" s="83" t="inlineStr">
        <is>
          <t>claude</t>
        </is>
      </c>
      <c r="C200" s="83" t="inlineStr">
        <is>
          <t>gemma</t>
        </is>
      </c>
      <c r="D200" s="84" t="n">
        <v>0.264478764478765</v>
      </c>
      <c r="E200" s="84" t="n">
        <v>0.346666666666667</v>
      </c>
      <c r="F200" s="84" t="n">
        <v>0.12751677852349</v>
      </c>
      <c r="G200" s="84" t="n">
        <v>0.253333333333333</v>
      </c>
      <c r="H200" s="84" t="n">
        <v>0.310438990834222</v>
      </c>
      <c r="I200" s="84" t="n">
        <v>0.206866255178732</v>
      </c>
      <c r="J200" s="84" t="n">
        <v>0.698539667925532</v>
      </c>
      <c r="K200" s="84" t="n">
        <v>0.677321704371471</v>
      </c>
      <c r="L200" s="84" t="n">
        <v>0.858245619810965</v>
      </c>
      <c r="M200" s="84" t="n">
        <v>0.567073170731707</v>
      </c>
      <c r="N200" s="84" t="n">
        <v>0.521276595744681</v>
      </c>
      <c r="O200" s="84" t="n">
        <v>1</v>
      </c>
      <c r="P200" s="85">
        <f>AVERAGE(D200:I200)</f>
        <v/>
      </c>
      <c r="Q200" s="85">
        <f>AVERAGE(J200:L200)</f>
        <v/>
      </c>
      <c r="R200" s="85">
        <f>AVERAGE(M200:O200)</f>
        <v/>
      </c>
      <c r="S200" s="85">
        <f>'02_지표정의'!$C$22*P200+'02_지표정의'!$C$23*Q200+'02_지표정의'!$C$24*R200</f>
        <v/>
      </c>
      <c r="T200" s="73">
        <f>IF(OR(AND(B200="gemini",C200="gemma"),AND(B200="qwen3_6",C200="qwen"),AND(B200="mistral",C200="ministral")),1,0)</f>
        <v/>
      </c>
      <c r="U200" s="73">
        <f>IF(LEFT(A200,3)="PAT","특허","보고서")</f>
        <v/>
      </c>
      <c r="V200" s="86">
        <f>COUNTIF($S$2:$S$976,"&lt;"&amp;S200)+(COUNTIF($S$2:$S$976,"="&amp;S200)+1)/2</f>
        <v/>
      </c>
      <c r="W200" s="73">
        <f>IF(C200="qwen",0,COUNTIFS($C$2:$C$976,"&lt;&gt;qwen",$S$2:$S$976,"&lt;"&amp;S200)+1)</f>
        <v/>
      </c>
      <c r="X200" s="73">
        <f>IF(C200="ministral",0,COUNTIFS($C$2:$C$976,"&lt;&gt;ministral",$S$2:$S$976,"&lt;"&amp;S200)+1)</f>
        <v/>
      </c>
      <c r="Y200" s="73">
        <f>IF(C200="gemma",0,COUNTIFS($C$2:$C$976,"&lt;&gt;gemma",$S$2:$S$976,"&lt;"&amp;S200)+1)</f>
        <v/>
      </c>
      <c r="Z200" s="87">
        <f>COUNTIFS($B$2:$B$976,B200,$C$2:$C$976,C200,$S$2:$S$976,"&lt;"&amp;S200)+1</f>
        <v/>
      </c>
      <c r="AA200" s="88">
        <f>ABS(S200-SUMPRODUCT(('05B_가정검정'!$A$5:$A$19=B200)*('05B_가정검정'!$B$5:$B$19=C200)*'05B_가정검정'!$E$5:$E$19))</f>
        <v/>
      </c>
      <c r="AB200" s="88">
        <f>S200-AVERAGEIFS($S$2:$S$976,$B$2:$B$976,B200,$C$2:$C$976,C200)</f>
        <v/>
      </c>
    </row>
    <row r="201" ht="15" customHeight="1" s="68">
      <c r="A201" s="83" t="inlineStr">
        <is>
          <t>PAT-14</t>
        </is>
      </c>
      <c r="B201" s="83" t="inlineStr">
        <is>
          <t>claude</t>
        </is>
      </c>
      <c r="C201" s="83" t="inlineStr">
        <is>
          <t>ministral</t>
        </is>
      </c>
      <c r="D201" s="84" t="n">
        <v>0.25531914893617</v>
      </c>
      <c r="E201" s="84" t="n">
        <v>0.329177057356609</v>
      </c>
      <c r="F201" s="84" t="n">
        <v>0.105263157894737</v>
      </c>
      <c r="G201" s="84" t="n">
        <v>0.234413965087282</v>
      </c>
      <c r="H201" s="84" t="n">
        <v>0.316883642407727</v>
      </c>
      <c r="I201" s="84" t="n">
        <v>0.310354835612121</v>
      </c>
      <c r="J201" s="84" t="n">
        <v>0.686575545546241</v>
      </c>
      <c r="K201" s="84" t="n">
        <v>0.684136083058228</v>
      </c>
      <c r="L201" s="84" t="n">
        <v>0.840778415703917</v>
      </c>
      <c r="M201" s="84" t="n">
        <v>0.455927051671733</v>
      </c>
      <c r="N201" s="84" t="n">
        <v>0.2</v>
      </c>
      <c r="O201" s="84" t="n">
        <v>0.526315789473684</v>
      </c>
      <c r="P201" s="85">
        <f>AVERAGE(D201:I201)</f>
        <v/>
      </c>
      <c r="Q201" s="85">
        <f>AVERAGE(J201:L201)</f>
        <v/>
      </c>
      <c r="R201" s="85">
        <f>AVERAGE(M201:O201)</f>
        <v/>
      </c>
      <c r="S201" s="85">
        <f>'02_지표정의'!$C$22*P201+'02_지표정의'!$C$23*Q201+'02_지표정의'!$C$24*R201</f>
        <v/>
      </c>
      <c r="T201" s="73">
        <f>IF(OR(AND(B201="gemini",C201="gemma"),AND(B201="qwen3_6",C201="qwen"),AND(B201="mistral",C201="ministral")),1,0)</f>
        <v/>
      </c>
      <c r="U201" s="73">
        <f>IF(LEFT(A201,3)="PAT","특허","보고서")</f>
        <v/>
      </c>
      <c r="V201" s="86">
        <f>COUNTIF($S$2:$S$976,"&lt;"&amp;S201)+(COUNTIF($S$2:$S$976,"="&amp;S201)+1)/2</f>
        <v/>
      </c>
      <c r="W201" s="73">
        <f>IF(C201="qwen",0,COUNTIFS($C$2:$C$976,"&lt;&gt;qwen",$S$2:$S$976,"&lt;"&amp;S201)+1)</f>
        <v/>
      </c>
      <c r="X201" s="73">
        <f>IF(C201="ministral",0,COUNTIFS($C$2:$C$976,"&lt;&gt;ministral",$S$2:$S$976,"&lt;"&amp;S201)+1)</f>
        <v/>
      </c>
      <c r="Y201" s="73">
        <f>IF(C201="gemma",0,COUNTIFS($C$2:$C$976,"&lt;&gt;gemma",$S$2:$S$976,"&lt;"&amp;S201)+1)</f>
        <v/>
      </c>
      <c r="Z201" s="87">
        <f>COUNTIFS($B$2:$B$976,B201,$C$2:$C$976,C201,$S$2:$S$976,"&lt;"&amp;S201)+1</f>
        <v/>
      </c>
      <c r="AA201" s="88">
        <f>ABS(S201-SUMPRODUCT(('05B_가정검정'!$A$5:$A$19=B201)*('05B_가정검정'!$B$5:$B$19=C201)*'05B_가정검정'!$E$5:$E$19))</f>
        <v/>
      </c>
      <c r="AB201" s="88">
        <f>S201-AVERAGEIFS($S$2:$S$976,$B$2:$B$976,B201,$C$2:$C$976,C201)</f>
        <v/>
      </c>
    </row>
    <row r="202" ht="15" customHeight="1" s="68">
      <c r="A202" s="83" t="inlineStr">
        <is>
          <t>PAT-14</t>
        </is>
      </c>
      <c r="B202" s="83" t="inlineStr">
        <is>
          <t>claude</t>
        </is>
      </c>
      <c r="C202" s="83" t="inlineStr">
        <is>
          <t>qwen</t>
        </is>
      </c>
      <c r="D202" s="84" t="n">
        <v>0.08899297423887589</v>
      </c>
      <c r="E202" s="84" t="n">
        <v>0.166253101736973</v>
      </c>
      <c r="F202" s="84" t="n">
        <v>0.0223880597014925</v>
      </c>
      <c r="G202" s="84" t="n">
        <v>0.09677419354838709</v>
      </c>
      <c r="H202" s="84" t="n">
        <v>0.0522101941273922</v>
      </c>
      <c r="I202" s="84" t="n">
        <v>0.112171302703408</v>
      </c>
      <c r="J202" s="84" t="n">
        <v>0.612960722854757</v>
      </c>
      <c r="K202" s="84" t="n">
        <v>0.49047489819466</v>
      </c>
      <c r="L202" s="84" t="n">
        <v>0.742969265522274</v>
      </c>
      <c r="M202" s="84" t="n">
        <v>0.0121951219512195</v>
      </c>
      <c r="N202" s="84" t="n">
        <v>0</v>
      </c>
      <c r="O202" s="84" t="n">
        <v>0</v>
      </c>
      <c r="P202" s="85">
        <f>AVERAGE(D202:I202)</f>
        <v/>
      </c>
      <c r="Q202" s="85">
        <f>AVERAGE(J202:L202)</f>
        <v/>
      </c>
      <c r="R202" s="85">
        <f>AVERAGE(M202:O202)</f>
        <v/>
      </c>
      <c r="S202" s="85">
        <f>'02_지표정의'!$C$22*P202+'02_지표정의'!$C$23*Q202+'02_지표정의'!$C$24*R202</f>
        <v/>
      </c>
      <c r="T202" s="73">
        <f>IF(OR(AND(B202="gemini",C202="gemma"),AND(B202="qwen3_6",C202="qwen"),AND(B202="mistral",C202="ministral")),1,0)</f>
        <v/>
      </c>
      <c r="U202" s="73">
        <f>IF(LEFT(A202,3)="PAT","특허","보고서")</f>
        <v/>
      </c>
      <c r="V202" s="86">
        <f>COUNTIF($S$2:$S$976,"&lt;"&amp;S202)+(COUNTIF($S$2:$S$976,"="&amp;S202)+1)/2</f>
        <v/>
      </c>
      <c r="W202" s="73">
        <f>IF(C202="qwen",0,COUNTIFS($C$2:$C$976,"&lt;&gt;qwen",$S$2:$S$976,"&lt;"&amp;S202)+1)</f>
        <v/>
      </c>
      <c r="X202" s="73">
        <f>IF(C202="ministral",0,COUNTIFS($C$2:$C$976,"&lt;&gt;ministral",$S$2:$S$976,"&lt;"&amp;S202)+1)</f>
        <v/>
      </c>
      <c r="Y202" s="73">
        <f>IF(C202="gemma",0,COUNTIFS($C$2:$C$976,"&lt;&gt;gemma",$S$2:$S$976,"&lt;"&amp;S202)+1)</f>
        <v/>
      </c>
      <c r="Z202" s="87">
        <f>COUNTIFS($B$2:$B$976,B202,$C$2:$C$976,C202,$S$2:$S$976,"&lt;"&amp;S202)+1</f>
        <v/>
      </c>
      <c r="AA202" s="88">
        <f>ABS(S202-SUMPRODUCT(('05B_가정검정'!$A$5:$A$19=B202)*('05B_가정검정'!$B$5:$B$19=C202)*'05B_가정검정'!$E$5:$E$19))</f>
        <v/>
      </c>
      <c r="AB202" s="88">
        <f>S202-AVERAGEIFS($S$2:$S$976,$B$2:$B$976,B202,$C$2:$C$976,C202)</f>
        <v/>
      </c>
    </row>
    <row r="203" ht="15" customHeight="1" s="68">
      <c r="A203" s="83" t="inlineStr">
        <is>
          <t>PAT-14</t>
        </is>
      </c>
      <c r="B203" s="83" t="inlineStr">
        <is>
          <t>gemini</t>
        </is>
      </c>
      <c r="C203" s="83" t="inlineStr">
        <is>
          <t>gemma</t>
        </is>
      </c>
      <c r="D203" s="84" t="n">
        <v>0.239473684210526</v>
      </c>
      <c r="E203" s="84" t="n">
        <v>0.307692307692308</v>
      </c>
      <c r="F203" s="84" t="n">
        <v>0.087378640776699</v>
      </c>
      <c r="G203" s="84" t="n">
        <v>0.211538461538462</v>
      </c>
      <c r="H203" s="84" t="n">
        <v>0.30994687321766</v>
      </c>
      <c r="I203" s="84" t="n">
        <v>0.170530975796014</v>
      </c>
      <c r="J203" s="84" t="n">
        <v>0.7418508763200869</v>
      </c>
      <c r="K203" s="84" t="n">
        <v>0.762014575905272</v>
      </c>
      <c r="L203" s="84" t="n">
        <v>0.884359910480381</v>
      </c>
      <c r="M203" s="84" t="n">
        <v>0.906542056074766</v>
      </c>
      <c r="N203" s="84" t="n">
        <v>0.916666666666667</v>
      </c>
      <c r="O203" s="84" t="n">
        <v>1</v>
      </c>
      <c r="P203" s="85">
        <f>AVERAGE(D203:I203)</f>
        <v/>
      </c>
      <c r="Q203" s="85">
        <f>AVERAGE(J203:L203)</f>
        <v/>
      </c>
      <c r="R203" s="85">
        <f>AVERAGE(M203:O203)</f>
        <v/>
      </c>
      <c r="S203" s="85">
        <f>'02_지표정의'!$C$22*P203+'02_지표정의'!$C$23*Q203+'02_지표정의'!$C$24*R203</f>
        <v/>
      </c>
      <c r="T203" s="73">
        <f>IF(OR(AND(B203="gemini",C203="gemma"),AND(B203="qwen3_6",C203="qwen"),AND(B203="mistral",C203="ministral")),1,0)</f>
        <v/>
      </c>
      <c r="U203" s="73">
        <f>IF(LEFT(A203,3)="PAT","특허","보고서")</f>
        <v/>
      </c>
      <c r="V203" s="86">
        <f>COUNTIF($S$2:$S$976,"&lt;"&amp;S203)+(COUNTIF($S$2:$S$976,"="&amp;S203)+1)/2</f>
        <v/>
      </c>
      <c r="W203" s="73">
        <f>IF(C203="qwen",0,COUNTIFS($C$2:$C$976,"&lt;&gt;qwen",$S$2:$S$976,"&lt;"&amp;S203)+1)</f>
        <v/>
      </c>
      <c r="X203" s="73">
        <f>IF(C203="ministral",0,COUNTIFS($C$2:$C$976,"&lt;&gt;ministral",$S$2:$S$976,"&lt;"&amp;S203)+1)</f>
        <v/>
      </c>
      <c r="Y203" s="73">
        <f>IF(C203="gemma",0,COUNTIFS($C$2:$C$976,"&lt;&gt;gemma",$S$2:$S$976,"&lt;"&amp;S203)+1)</f>
        <v/>
      </c>
      <c r="Z203" s="87">
        <f>COUNTIFS($B$2:$B$976,B203,$C$2:$C$976,C203,$S$2:$S$976,"&lt;"&amp;S203)+1</f>
        <v/>
      </c>
      <c r="AA203" s="88">
        <f>ABS(S203-SUMPRODUCT(('05B_가정검정'!$A$5:$A$19=B203)*('05B_가정검정'!$B$5:$B$19=C203)*'05B_가정검정'!$E$5:$E$19))</f>
        <v/>
      </c>
      <c r="AB203" s="88">
        <f>S203-AVERAGEIFS($S$2:$S$976,$B$2:$B$976,B203,$C$2:$C$976,C203)</f>
        <v/>
      </c>
    </row>
    <row r="204" ht="15" customHeight="1" s="68">
      <c r="A204" s="83" t="inlineStr">
        <is>
          <t>PAT-14</t>
        </is>
      </c>
      <c r="B204" s="83" t="inlineStr">
        <is>
          <t>gemini</t>
        </is>
      </c>
      <c r="C204" s="83" t="inlineStr">
        <is>
          <t>ministral</t>
        </is>
      </c>
      <c r="D204" s="84" t="n">
        <v>0.259036144578313</v>
      </c>
      <c r="E204" s="84" t="n">
        <v>0.252427184466019</v>
      </c>
      <c r="F204" s="84" t="n">
        <v>0.0846905537459284</v>
      </c>
      <c r="G204" s="84" t="n">
        <v>0.187702265372168</v>
      </c>
      <c r="H204" s="84" t="n">
        <v>0.217096196067608</v>
      </c>
      <c r="I204" s="84" t="n">
        <v>0.269719233558916</v>
      </c>
      <c r="J204" s="84" t="n">
        <v>0.729524232656636</v>
      </c>
      <c r="K204" s="84" t="n">
        <v>0.7556566992011891</v>
      </c>
      <c r="L204" s="84" t="n">
        <v>0.87998033248094</v>
      </c>
      <c r="M204" s="84" t="n">
        <v>0.29483282674772</v>
      </c>
      <c r="N204" s="84" t="n">
        <v>0.246666666666667</v>
      </c>
      <c r="O204" s="84" t="n">
        <v>0.526315789473684</v>
      </c>
      <c r="P204" s="85">
        <f>AVERAGE(D204:I204)</f>
        <v/>
      </c>
      <c r="Q204" s="85">
        <f>AVERAGE(J204:L204)</f>
        <v/>
      </c>
      <c r="R204" s="85">
        <f>AVERAGE(M204:O204)</f>
        <v/>
      </c>
      <c r="S204" s="85">
        <f>'02_지표정의'!$C$22*P204+'02_지표정의'!$C$23*Q204+'02_지표정의'!$C$24*R204</f>
        <v/>
      </c>
      <c r="T204" s="73">
        <f>IF(OR(AND(B204="gemini",C204="gemma"),AND(B204="qwen3_6",C204="qwen"),AND(B204="mistral",C204="ministral")),1,0)</f>
        <v/>
      </c>
      <c r="U204" s="73">
        <f>IF(LEFT(A204,3)="PAT","특허","보고서")</f>
        <v/>
      </c>
      <c r="V204" s="86">
        <f>COUNTIF($S$2:$S$976,"&lt;"&amp;S204)+(COUNTIF($S$2:$S$976,"="&amp;S204)+1)/2</f>
        <v/>
      </c>
      <c r="W204" s="73">
        <f>IF(C204="qwen",0,COUNTIFS($C$2:$C$976,"&lt;&gt;qwen",$S$2:$S$976,"&lt;"&amp;S204)+1)</f>
        <v/>
      </c>
      <c r="X204" s="73">
        <f>IF(C204="ministral",0,COUNTIFS($C$2:$C$976,"&lt;&gt;ministral",$S$2:$S$976,"&lt;"&amp;S204)+1)</f>
        <v/>
      </c>
      <c r="Y204" s="73">
        <f>IF(C204="gemma",0,COUNTIFS($C$2:$C$976,"&lt;&gt;gemma",$S$2:$S$976,"&lt;"&amp;S204)+1)</f>
        <v/>
      </c>
      <c r="Z204" s="87">
        <f>COUNTIFS($B$2:$B$976,B204,$C$2:$C$976,C204,$S$2:$S$976,"&lt;"&amp;S204)+1</f>
        <v/>
      </c>
      <c r="AA204" s="88">
        <f>ABS(S204-SUMPRODUCT(('05B_가정검정'!$A$5:$A$19=B204)*('05B_가정검정'!$B$5:$B$19=C204)*'05B_가정검정'!$E$5:$E$19))</f>
        <v/>
      </c>
      <c r="AB204" s="88">
        <f>S204-AVERAGEIFS($S$2:$S$976,$B$2:$B$976,B204,$C$2:$C$976,C204)</f>
        <v/>
      </c>
    </row>
    <row r="205" ht="15" customHeight="1" s="68">
      <c r="A205" s="83" t="inlineStr">
        <is>
          <t>PAT-14</t>
        </is>
      </c>
      <c r="B205" s="83" t="inlineStr">
        <is>
          <t>gemini</t>
        </is>
      </c>
      <c r="C205" s="83" t="inlineStr">
        <is>
          <t>qwen</t>
        </is>
      </c>
      <c r="D205" s="84" t="n">
        <v>0.0795847750865052</v>
      </c>
      <c r="E205" s="84" t="n">
        <v>0.106442577030812</v>
      </c>
      <c r="F205" s="84" t="n">
        <v>0.0252808988764045</v>
      </c>
      <c r="G205" s="84" t="n">
        <v>0.0756302521008403</v>
      </c>
      <c r="H205" s="84" t="n">
        <v>0.0944028945368713</v>
      </c>
      <c r="I205" s="84" t="n">
        <v>0.138354022008032</v>
      </c>
      <c r="J205" s="84" t="n">
        <v>0.630382291681311</v>
      </c>
      <c r="K205" s="84" t="n">
        <v>0.537406587261016</v>
      </c>
      <c r="L205" s="84" t="n">
        <v>0.772604072692501</v>
      </c>
      <c r="M205" s="84" t="n">
        <v>0.0412371134020618</v>
      </c>
      <c r="N205" s="84" t="n">
        <v>0</v>
      </c>
      <c r="O205" s="84" t="n">
        <v>0</v>
      </c>
      <c r="P205" s="85">
        <f>AVERAGE(D205:I205)</f>
        <v/>
      </c>
      <c r="Q205" s="85">
        <f>AVERAGE(J205:L205)</f>
        <v/>
      </c>
      <c r="R205" s="85">
        <f>AVERAGE(M205:O205)</f>
        <v/>
      </c>
      <c r="S205" s="85">
        <f>'02_지표정의'!$C$22*P205+'02_지표정의'!$C$23*Q205+'02_지표정의'!$C$24*R205</f>
        <v/>
      </c>
      <c r="T205" s="73">
        <f>IF(OR(AND(B205="gemini",C205="gemma"),AND(B205="qwen3_6",C205="qwen"),AND(B205="mistral",C205="ministral")),1,0)</f>
        <v/>
      </c>
      <c r="U205" s="73">
        <f>IF(LEFT(A205,3)="PAT","특허","보고서")</f>
        <v/>
      </c>
      <c r="V205" s="86">
        <f>COUNTIF($S$2:$S$976,"&lt;"&amp;S205)+(COUNTIF($S$2:$S$976,"="&amp;S205)+1)/2</f>
        <v/>
      </c>
      <c r="W205" s="73">
        <f>IF(C205="qwen",0,COUNTIFS($C$2:$C$976,"&lt;&gt;qwen",$S$2:$S$976,"&lt;"&amp;S205)+1)</f>
        <v/>
      </c>
      <c r="X205" s="73">
        <f>IF(C205="ministral",0,COUNTIFS($C$2:$C$976,"&lt;&gt;ministral",$S$2:$S$976,"&lt;"&amp;S205)+1)</f>
        <v/>
      </c>
      <c r="Y205" s="73">
        <f>IF(C205="gemma",0,COUNTIFS($C$2:$C$976,"&lt;&gt;gemma",$S$2:$S$976,"&lt;"&amp;S205)+1)</f>
        <v/>
      </c>
      <c r="Z205" s="87">
        <f>COUNTIFS($B$2:$B$976,B205,$C$2:$C$976,C205,$S$2:$S$976,"&lt;"&amp;S205)+1</f>
        <v/>
      </c>
      <c r="AA205" s="88">
        <f>ABS(S205-SUMPRODUCT(('05B_가정검정'!$A$5:$A$19=B205)*('05B_가정검정'!$B$5:$B$19=C205)*'05B_가정검정'!$E$5:$E$19))</f>
        <v/>
      </c>
      <c r="AB205" s="88">
        <f>S205-AVERAGEIFS($S$2:$S$976,$B$2:$B$976,B205,$C$2:$C$976,C205)</f>
        <v/>
      </c>
    </row>
    <row r="206" ht="15" customHeight="1" s="68">
      <c r="A206" s="83" t="inlineStr">
        <is>
          <t>PAT-14</t>
        </is>
      </c>
      <c r="B206" s="83" t="inlineStr">
        <is>
          <t>mistral</t>
        </is>
      </c>
      <c r="C206" s="83" t="inlineStr">
        <is>
          <t>gemma</t>
        </is>
      </c>
      <c r="D206" s="84" t="n">
        <v>0.209115281501341</v>
      </c>
      <c r="E206" s="84" t="n">
        <v>0.275862068965517</v>
      </c>
      <c r="F206" s="84" t="n">
        <v>0.0995024875621891</v>
      </c>
      <c r="G206" s="84" t="n">
        <v>0.216748768472906</v>
      </c>
      <c r="H206" s="84" t="n">
        <v>0.270569538126911</v>
      </c>
      <c r="I206" s="84" t="n">
        <v>0.160913742597765</v>
      </c>
      <c r="J206" s="84" t="n">
        <v>0.702974718077565</v>
      </c>
      <c r="K206" s="84" t="n">
        <v>0.654311302389138</v>
      </c>
      <c r="L206" s="84" t="n">
        <v>0.793512225362179</v>
      </c>
      <c r="M206" s="84" t="n">
        <v>0.747899159663866</v>
      </c>
      <c r="N206" s="84" t="n">
        <v>0.742424242424242</v>
      </c>
      <c r="O206" s="84" t="n">
        <v>1</v>
      </c>
      <c r="P206" s="85">
        <f>AVERAGE(D206:I206)</f>
        <v/>
      </c>
      <c r="Q206" s="85">
        <f>AVERAGE(J206:L206)</f>
        <v/>
      </c>
      <c r="R206" s="85">
        <f>AVERAGE(M206:O206)</f>
        <v/>
      </c>
      <c r="S206" s="85">
        <f>'02_지표정의'!$C$22*P206+'02_지표정의'!$C$23*Q206+'02_지표정의'!$C$24*R206</f>
        <v/>
      </c>
      <c r="T206" s="73">
        <f>IF(OR(AND(B206="gemini",C206="gemma"),AND(B206="qwen3_6",C206="qwen"),AND(B206="mistral",C206="ministral")),1,0)</f>
        <v/>
      </c>
      <c r="U206" s="73">
        <f>IF(LEFT(A206,3)="PAT","특허","보고서")</f>
        <v/>
      </c>
      <c r="V206" s="86">
        <f>COUNTIF($S$2:$S$976,"&lt;"&amp;S206)+(COUNTIF($S$2:$S$976,"="&amp;S206)+1)/2</f>
        <v/>
      </c>
      <c r="W206" s="73">
        <f>IF(C206="qwen",0,COUNTIFS($C$2:$C$976,"&lt;&gt;qwen",$S$2:$S$976,"&lt;"&amp;S206)+1)</f>
        <v/>
      </c>
      <c r="X206" s="73">
        <f>IF(C206="ministral",0,COUNTIFS($C$2:$C$976,"&lt;&gt;ministral",$S$2:$S$976,"&lt;"&amp;S206)+1)</f>
        <v/>
      </c>
      <c r="Y206" s="73">
        <f>IF(C206="gemma",0,COUNTIFS($C$2:$C$976,"&lt;&gt;gemma",$S$2:$S$976,"&lt;"&amp;S206)+1)</f>
        <v/>
      </c>
      <c r="Z206" s="87">
        <f>COUNTIFS($B$2:$B$976,B206,$C$2:$C$976,C206,$S$2:$S$976,"&lt;"&amp;S206)+1</f>
        <v/>
      </c>
      <c r="AA206" s="88">
        <f>ABS(S206-SUMPRODUCT(('05B_가정검정'!$A$5:$A$19=B206)*('05B_가정검정'!$B$5:$B$19=C206)*'05B_가정검정'!$E$5:$E$19))</f>
        <v/>
      </c>
      <c r="AB206" s="88">
        <f>S206-AVERAGEIFS($S$2:$S$976,$B$2:$B$976,B206,$C$2:$C$976,C206)</f>
        <v/>
      </c>
    </row>
    <row r="207" ht="15" customHeight="1" s="68">
      <c r="A207" s="83" t="inlineStr">
        <is>
          <t>PAT-14</t>
        </is>
      </c>
      <c r="B207" s="83" t="inlineStr">
        <is>
          <t>mistral</t>
        </is>
      </c>
      <c r="C207" s="83" t="inlineStr">
        <is>
          <t>ministral</t>
        </is>
      </c>
      <c r="D207" s="84" t="n">
        <v>0.304615384615385</v>
      </c>
      <c r="E207" s="84" t="n">
        <v>0.256578947368421</v>
      </c>
      <c r="F207" s="84" t="n">
        <v>0.0860927152317881</v>
      </c>
      <c r="G207" s="84" t="n">
        <v>0.18421052631579</v>
      </c>
      <c r="H207" s="84" t="n">
        <v>0.213741393076127</v>
      </c>
      <c r="I207" s="84" t="n">
        <v>0.29462470607737</v>
      </c>
      <c r="J207" s="84" t="n">
        <v>0.696346780911594</v>
      </c>
      <c r="K207" s="84" t="n">
        <v>0.668763772358794</v>
      </c>
      <c r="L207" s="84" t="n">
        <v>0.794051965972059</v>
      </c>
      <c r="M207" s="84" t="n">
        <v>0.343465045592705</v>
      </c>
      <c r="N207" s="84" t="n">
        <v>0.193333333333333</v>
      </c>
      <c r="O207" s="84" t="n">
        <v>0.526315789473684</v>
      </c>
      <c r="P207" s="85">
        <f>AVERAGE(D207:I207)</f>
        <v/>
      </c>
      <c r="Q207" s="85">
        <f>AVERAGE(J207:L207)</f>
        <v/>
      </c>
      <c r="R207" s="85">
        <f>AVERAGE(M207:O207)</f>
        <v/>
      </c>
      <c r="S207" s="85">
        <f>'02_지표정의'!$C$22*P207+'02_지표정의'!$C$23*Q207+'02_지표정의'!$C$24*R207</f>
        <v/>
      </c>
      <c r="T207" s="73">
        <f>IF(OR(AND(B207="gemini",C207="gemma"),AND(B207="qwen3_6",C207="qwen"),AND(B207="mistral",C207="ministral")),1,0)</f>
        <v/>
      </c>
      <c r="U207" s="73">
        <f>IF(LEFT(A207,3)="PAT","특허","보고서")</f>
        <v/>
      </c>
      <c r="V207" s="86">
        <f>COUNTIF($S$2:$S$976,"&lt;"&amp;S207)+(COUNTIF($S$2:$S$976,"="&amp;S207)+1)/2</f>
        <v/>
      </c>
      <c r="W207" s="73">
        <f>IF(C207="qwen",0,COUNTIFS($C$2:$C$976,"&lt;&gt;qwen",$S$2:$S$976,"&lt;"&amp;S207)+1)</f>
        <v/>
      </c>
      <c r="X207" s="73">
        <f>IF(C207="ministral",0,COUNTIFS($C$2:$C$976,"&lt;&gt;ministral",$S$2:$S$976,"&lt;"&amp;S207)+1)</f>
        <v/>
      </c>
      <c r="Y207" s="73">
        <f>IF(C207="gemma",0,COUNTIFS($C$2:$C$976,"&lt;&gt;gemma",$S$2:$S$976,"&lt;"&amp;S207)+1)</f>
        <v/>
      </c>
      <c r="Z207" s="87">
        <f>COUNTIFS($B$2:$B$976,B207,$C$2:$C$976,C207,$S$2:$S$976,"&lt;"&amp;S207)+1</f>
        <v/>
      </c>
      <c r="AA207" s="88">
        <f>ABS(S207-SUMPRODUCT(('05B_가정검정'!$A$5:$A$19=B207)*('05B_가정검정'!$B$5:$B$19=C207)*'05B_가정검정'!$E$5:$E$19))</f>
        <v/>
      </c>
      <c r="AB207" s="88">
        <f>S207-AVERAGEIFS($S$2:$S$976,$B$2:$B$976,B207,$C$2:$C$976,C207)</f>
        <v/>
      </c>
    </row>
    <row r="208" ht="15" customHeight="1" s="68">
      <c r="A208" s="83" t="inlineStr">
        <is>
          <t>PAT-14</t>
        </is>
      </c>
      <c r="B208" s="83" t="inlineStr">
        <is>
          <t>mistral</t>
        </is>
      </c>
      <c r="C208" s="83" t="inlineStr">
        <is>
          <t>qwen</t>
        </is>
      </c>
      <c r="D208" s="84" t="n">
        <v>0.0602836879432624</v>
      </c>
      <c r="E208" s="84" t="n">
        <v>0.0930888575458392</v>
      </c>
      <c r="F208" s="84" t="n">
        <v>0.0198019801980198</v>
      </c>
      <c r="G208" s="84" t="n">
        <v>0.0564174894217207</v>
      </c>
      <c r="H208" s="84" t="n">
        <v>0.0783832829226327</v>
      </c>
      <c r="I208" s="84" t="n">
        <v>0.0140703799969351</v>
      </c>
      <c r="J208" s="84" t="n">
        <v>0.591593107383762</v>
      </c>
      <c r="K208" s="84" t="n">
        <v>0.495858208853879</v>
      </c>
      <c r="L208" s="84" t="n">
        <v>0.712478304583216</v>
      </c>
      <c r="M208" s="84" t="n">
        <v>0.0168067226890757</v>
      </c>
      <c r="N208" s="84" t="n">
        <v>0</v>
      </c>
      <c r="O208" s="84" t="n">
        <v>0</v>
      </c>
      <c r="P208" s="85">
        <f>AVERAGE(D208:I208)</f>
        <v/>
      </c>
      <c r="Q208" s="85">
        <f>AVERAGE(J208:L208)</f>
        <v/>
      </c>
      <c r="R208" s="85">
        <f>AVERAGE(M208:O208)</f>
        <v/>
      </c>
      <c r="S208" s="85">
        <f>'02_지표정의'!$C$22*P208+'02_지표정의'!$C$23*Q208+'02_지표정의'!$C$24*R208</f>
        <v/>
      </c>
      <c r="T208" s="73">
        <f>IF(OR(AND(B208="gemini",C208="gemma"),AND(B208="qwen3_6",C208="qwen"),AND(B208="mistral",C208="ministral")),1,0)</f>
        <v/>
      </c>
      <c r="U208" s="73">
        <f>IF(LEFT(A208,3)="PAT","특허","보고서")</f>
        <v/>
      </c>
      <c r="V208" s="86">
        <f>COUNTIF($S$2:$S$976,"&lt;"&amp;S208)+(COUNTIF($S$2:$S$976,"="&amp;S208)+1)/2</f>
        <v/>
      </c>
      <c r="W208" s="73">
        <f>IF(C208="qwen",0,COUNTIFS($C$2:$C$976,"&lt;&gt;qwen",$S$2:$S$976,"&lt;"&amp;S208)+1)</f>
        <v/>
      </c>
      <c r="X208" s="73">
        <f>IF(C208="ministral",0,COUNTIFS($C$2:$C$976,"&lt;&gt;ministral",$S$2:$S$976,"&lt;"&amp;S208)+1)</f>
        <v/>
      </c>
      <c r="Y208" s="73">
        <f>IF(C208="gemma",0,COUNTIFS($C$2:$C$976,"&lt;&gt;gemma",$S$2:$S$976,"&lt;"&amp;S208)+1)</f>
        <v/>
      </c>
      <c r="Z208" s="87">
        <f>COUNTIFS($B$2:$B$976,B208,$C$2:$C$976,C208,$S$2:$S$976,"&lt;"&amp;S208)+1</f>
        <v/>
      </c>
      <c r="AA208" s="88">
        <f>ABS(S208-SUMPRODUCT(('05B_가정검정'!$A$5:$A$19=B208)*('05B_가정검정'!$B$5:$B$19=C208)*'05B_가정검정'!$E$5:$E$19))</f>
        <v/>
      </c>
      <c r="AB208" s="88">
        <f>S208-AVERAGEIFS($S$2:$S$976,$B$2:$B$976,B208,$C$2:$C$976,C208)</f>
        <v/>
      </c>
    </row>
    <row r="209" ht="15" customHeight="1" s="68">
      <c r="A209" s="83" t="inlineStr">
        <is>
          <t>PAT-14</t>
        </is>
      </c>
      <c r="B209" s="83" t="inlineStr">
        <is>
          <t>qwen3_6</t>
        </is>
      </c>
      <c r="C209" s="83" t="inlineStr">
        <is>
          <t>gemma</t>
        </is>
      </c>
      <c r="D209" s="84" t="n">
        <v>0.245694603903559</v>
      </c>
      <c r="E209" s="84" t="n">
        <v>0.351464435146444</v>
      </c>
      <c r="F209" s="84" t="n">
        <v>0.118143459915612</v>
      </c>
      <c r="G209" s="84" t="n">
        <v>0.267782426778243</v>
      </c>
      <c r="H209" s="84" t="n">
        <v>0.340045196275526</v>
      </c>
      <c r="I209" s="84" t="n">
        <v>0.200623062211369</v>
      </c>
      <c r="J209" s="84" t="n">
        <v>0.702016236618317</v>
      </c>
      <c r="K209" s="84" t="n">
        <v>0.7013647701314349</v>
      </c>
      <c r="L209" s="84" t="n">
        <v>0.885035936889827</v>
      </c>
      <c r="M209" s="84" t="n">
        <v>0.8878504672897199</v>
      </c>
      <c r="N209" s="84" t="n">
        <v>0.9</v>
      </c>
      <c r="O209" s="84" t="n">
        <v>1</v>
      </c>
      <c r="P209" s="85">
        <f>AVERAGE(D209:I209)</f>
        <v/>
      </c>
      <c r="Q209" s="85">
        <f>AVERAGE(J209:L209)</f>
        <v/>
      </c>
      <c r="R209" s="85">
        <f>AVERAGE(M209:O209)</f>
        <v/>
      </c>
      <c r="S209" s="85">
        <f>'02_지표정의'!$C$22*P209+'02_지표정의'!$C$23*Q209+'02_지표정의'!$C$24*R209</f>
        <v/>
      </c>
      <c r="T209" s="73">
        <f>IF(OR(AND(B209="gemini",C209="gemma"),AND(B209="qwen3_6",C209="qwen"),AND(B209="mistral",C209="ministral")),1,0)</f>
        <v/>
      </c>
      <c r="U209" s="73">
        <f>IF(LEFT(A209,3)="PAT","특허","보고서")</f>
        <v/>
      </c>
      <c r="V209" s="86">
        <f>COUNTIF($S$2:$S$976,"&lt;"&amp;S209)+(COUNTIF($S$2:$S$976,"="&amp;S209)+1)/2</f>
        <v/>
      </c>
      <c r="W209" s="73">
        <f>IF(C209="qwen",0,COUNTIFS($C$2:$C$976,"&lt;&gt;qwen",$S$2:$S$976,"&lt;"&amp;S209)+1)</f>
        <v/>
      </c>
      <c r="X209" s="73">
        <f>IF(C209="ministral",0,COUNTIFS($C$2:$C$976,"&lt;&gt;ministral",$S$2:$S$976,"&lt;"&amp;S209)+1)</f>
        <v/>
      </c>
      <c r="Y209" s="73">
        <f>IF(C209="gemma",0,COUNTIFS($C$2:$C$976,"&lt;&gt;gemma",$S$2:$S$976,"&lt;"&amp;S209)+1)</f>
        <v/>
      </c>
      <c r="Z209" s="87">
        <f>COUNTIFS($B$2:$B$976,B209,$C$2:$C$976,C209,$S$2:$S$976,"&lt;"&amp;S209)+1</f>
        <v/>
      </c>
      <c r="AA209" s="88">
        <f>ABS(S209-SUMPRODUCT(('05B_가정검정'!$A$5:$A$19=B209)*('05B_가정검정'!$B$5:$B$19=C209)*'05B_가정검정'!$E$5:$E$19))</f>
        <v/>
      </c>
      <c r="AB209" s="88">
        <f>S209-AVERAGEIFS($S$2:$S$976,$B$2:$B$976,B209,$C$2:$C$976,C209)</f>
        <v/>
      </c>
    </row>
    <row r="210" ht="15" customHeight="1" s="68">
      <c r="A210" s="83" t="inlineStr">
        <is>
          <t>PAT-14</t>
        </is>
      </c>
      <c r="B210" s="83" t="inlineStr">
        <is>
          <t>qwen3_6</t>
        </is>
      </c>
      <c r="C210" s="83" t="inlineStr">
        <is>
          <t>ministral</t>
        </is>
      </c>
      <c r="D210" s="84" t="n">
        <v>0.283870967741936</v>
      </c>
      <c r="E210" s="84" t="n">
        <v>0.282352941176471</v>
      </c>
      <c r="F210" s="84" t="n">
        <v>0.100591715976331</v>
      </c>
      <c r="G210" s="84" t="n">
        <v>0.235294117647059</v>
      </c>
      <c r="H210" s="84" t="n">
        <v>0.245191376840399</v>
      </c>
      <c r="I210" s="84" t="n">
        <v>0.267035720538243</v>
      </c>
      <c r="J210" s="84" t="n">
        <v>0.7095259665863271</v>
      </c>
      <c r="K210" s="84" t="n">
        <v>0.661298001322272</v>
      </c>
      <c r="L210" s="84" t="n">
        <v>0.828117948018237</v>
      </c>
      <c r="M210" s="84" t="n">
        <v>0.300911854103343</v>
      </c>
      <c r="N210" s="84" t="n">
        <v>0.253333333333333</v>
      </c>
      <c r="O210" s="84" t="n">
        <v>0.526315789473684</v>
      </c>
      <c r="P210" s="85">
        <f>AVERAGE(D210:I210)</f>
        <v/>
      </c>
      <c r="Q210" s="85">
        <f>AVERAGE(J210:L210)</f>
        <v/>
      </c>
      <c r="R210" s="85">
        <f>AVERAGE(M210:O210)</f>
        <v/>
      </c>
      <c r="S210" s="85">
        <f>'02_지표정의'!$C$22*P210+'02_지표정의'!$C$23*Q210+'02_지표정의'!$C$24*R210</f>
        <v/>
      </c>
      <c r="T210" s="73">
        <f>IF(OR(AND(B210="gemini",C210="gemma"),AND(B210="qwen3_6",C210="qwen"),AND(B210="mistral",C210="ministral")),1,0)</f>
        <v/>
      </c>
      <c r="U210" s="73">
        <f>IF(LEFT(A210,3)="PAT","특허","보고서")</f>
        <v/>
      </c>
      <c r="V210" s="86">
        <f>COUNTIF($S$2:$S$976,"&lt;"&amp;S210)+(COUNTIF($S$2:$S$976,"="&amp;S210)+1)/2</f>
        <v/>
      </c>
      <c r="W210" s="73">
        <f>IF(C210="qwen",0,COUNTIFS($C$2:$C$976,"&lt;&gt;qwen",$S$2:$S$976,"&lt;"&amp;S210)+1)</f>
        <v/>
      </c>
      <c r="X210" s="73">
        <f>IF(C210="ministral",0,COUNTIFS($C$2:$C$976,"&lt;&gt;ministral",$S$2:$S$976,"&lt;"&amp;S210)+1)</f>
        <v/>
      </c>
      <c r="Y210" s="73">
        <f>IF(C210="gemma",0,COUNTIFS($C$2:$C$976,"&lt;&gt;gemma",$S$2:$S$976,"&lt;"&amp;S210)+1)</f>
        <v/>
      </c>
      <c r="Z210" s="87">
        <f>COUNTIFS($B$2:$B$976,B210,$C$2:$C$976,C210,$S$2:$S$976,"&lt;"&amp;S210)+1</f>
        <v/>
      </c>
      <c r="AA210" s="88">
        <f>ABS(S210-SUMPRODUCT(('05B_가정검정'!$A$5:$A$19=B210)*('05B_가정검정'!$B$5:$B$19=C210)*'05B_가정검정'!$E$5:$E$19))</f>
        <v/>
      </c>
      <c r="AB210" s="88">
        <f>S210-AVERAGEIFS($S$2:$S$976,$B$2:$B$976,B210,$C$2:$C$976,C210)</f>
        <v/>
      </c>
    </row>
    <row r="211" ht="15" customHeight="1" s="68">
      <c r="A211" s="83" t="inlineStr">
        <is>
          <t>PAT-14</t>
        </is>
      </c>
      <c r="B211" s="83" t="inlineStr">
        <is>
          <t>qwen3_6</t>
        </is>
      </c>
      <c r="C211" s="83" t="inlineStr">
        <is>
          <t>qwen</t>
        </is>
      </c>
      <c r="D211" s="84" t="n">
        <v>0.0957910014513788</v>
      </c>
      <c r="E211" s="84" t="n">
        <v>0.150335570469799</v>
      </c>
      <c r="F211" s="84" t="n">
        <v>0.0376850605652759</v>
      </c>
      <c r="G211" s="84" t="n">
        <v>0.09395973154362421</v>
      </c>
      <c r="H211" s="84" t="n">
        <v>0.109010571857339</v>
      </c>
      <c r="I211" s="84" t="n">
        <v>0.128644361943212</v>
      </c>
      <c r="J211" s="84" t="n">
        <v>0.620222445524347</v>
      </c>
      <c r="K211" s="84" t="n">
        <v>0.48383559765052</v>
      </c>
      <c r="L211" s="84" t="n">
        <v>0.747758560702586</v>
      </c>
      <c r="M211" s="84" t="n">
        <v>0.0396039603960396</v>
      </c>
      <c r="N211" s="84" t="n">
        <v>0</v>
      </c>
      <c r="O211" s="84" t="n">
        <v>0</v>
      </c>
      <c r="P211" s="85">
        <f>AVERAGE(D211:I211)</f>
        <v/>
      </c>
      <c r="Q211" s="85">
        <f>AVERAGE(J211:L211)</f>
        <v/>
      </c>
      <c r="R211" s="85">
        <f>AVERAGE(M211:O211)</f>
        <v/>
      </c>
      <c r="S211" s="85">
        <f>'02_지표정의'!$C$22*P211+'02_지표정의'!$C$23*Q211+'02_지표정의'!$C$24*R211</f>
        <v/>
      </c>
      <c r="T211" s="73">
        <f>IF(OR(AND(B211="gemini",C211="gemma"),AND(B211="qwen3_6",C211="qwen"),AND(B211="mistral",C211="ministral")),1,0)</f>
        <v/>
      </c>
      <c r="U211" s="73">
        <f>IF(LEFT(A211,3)="PAT","특허","보고서")</f>
        <v/>
      </c>
      <c r="V211" s="86">
        <f>COUNTIF($S$2:$S$976,"&lt;"&amp;S211)+(COUNTIF($S$2:$S$976,"="&amp;S211)+1)/2</f>
        <v/>
      </c>
      <c r="W211" s="73">
        <f>IF(C211="qwen",0,COUNTIFS($C$2:$C$976,"&lt;&gt;qwen",$S$2:$S$976,"&lt;"&amp;S211)+1)</f>
        <v/>
      </c>
      <c r="X211" s="73">
        <f>IF(C211="ministral",0,COUNTIFS($C$2:$C$976,"&lt;&gt;ministral",$S$2:$S$976,"&lt;"&amp;S211)+1)</f>
        <v/>
      </c>
      <c r="Y211" s="73">
        <f>IF(C211="gemma",0,COUNTIFS($C$2:$C$976,"&lt;&gt;gemma",$S$2:$S$976,"&lt;"&amp;S211)+1)</f>
        <v/>
      </c>
      <c r="Z211" s="87">
        <f>COUNTIFS($B$2:$B$976,B211,$C$2:$C$976,C211,$S$2:$S$976,"&lt;"&amp;S211)+1</f>
        <v/>
      </c>
      <c r="AA211" s="88">
        <f>ABS(S211-SUMPRODUCT(('05B_가정검정'!$A$5:$A$19=B211)*('05B_가정검정'!$B$5:$B$19=C211)*'05B_가정검정'!$E$5:$E$19))</f>
        <v/>
      </c>
      <c r="AB211" s="88">
        <f>S211-AVERAGEIFS($S$2:$S$976,$B$2:$B$976,B211,$C$2:$C$976,C211)</f>
        <v/>
      </c>
    </row>
    <row r="212" ht="15" customHeight="1" s="68">
      <c r="A212" s="83" t="inlineStr">
        <is>
          <t>PAT-15</t>
        </is>
      </c>
      <c r="B212" s="83" t="inlineStr">
        <is>
          <t>chatgpt</t>
        </is>
      </c>
      <c r="C212" s="83" t="inlineStr">
        <is>
          <t>gemma</t>
        </is>
      </c>
      <c r="D212" s="84" t="n">
        <v>0.213183730715288</v>
      </c>
      <c r="E212" s="84" t="n">
        <v>0.326315789473684</v>
      </c>
      <c r="F212" s="84" t="n">
        <v>0.127659574468085</v>
      </c>
      <c r="G212" s="84" t="n">
        <v>0.263157894736842</v>
      </c>
      <c r="H212" s="84" t="n">
        <v>0.215186117091216</v>
      </c>
      <c r="I212" s="84" t="n">
        <v>0.322746327844245</v>
      </c>
      <c r="J212" s="84" t="n">
        <v>0.6952560899533951</v>
      </c>
      <c r="K212" s="84" t="n">
        <v>0.58353158468543</v>
      </c>
      <c r="L212" s="84" t="n">
        <v>0.778809408652416</v>
      </c>
      <c r="M212" s="84" t="n">
        <v>0.562913907284768</v>
      </c>
      <c r="N212" s="84" t="n">
        <v>0.231707317073171</v>
      </c>
      <c r="O212" s="84" t="n">
        <v>1</v>
      </c>
      <c r="P212" s="85">
        <f>AVERAGE(D212:I212)</f>
        <v/>
      </c>
      <c r="Q212" s="85">
        <f>AVERAGE(J212:L212)</f>
        <v/>
      </c>
      <c r="R212" s="85">
        <f>AVERAGE(M212:O212)</f>
        <v/>
      </c>
      <c r="S212" s="85">
        <f>'02_지표정의'!$C$22*P212+'02_지표정의'!$C$23*Q212+'02_지표정의'!$C$24*R212</f>
        <v/>
      </c>
      <c r="T212" s="73">
        <f>IF(OR(AND(B212="gemini",C212="gemma"),AND(B212="qwen3_6",C212="qwen"),AND(B212="mistral",C212="ministral")),1,0)</f>
        <v/>
      </c>
      <c r="U212" s="73">
        <f>IF(LEFT(A212,3)="PAT","특허","보고서")</f>
        <v/>
      </c>
      <c r="V212" s="86">
        <f>COUNTIF($S$2:$S$976,"&lt;"&amp;S212)+(COUNTIF($S$2:$S$976,"="&amp;S212)+1)/2</f>
        <v/>
      </c>
      <c r="W212" s="73">
        <f>IF(C212="qwen",0,COUNTIFS($C$2:$C$976,"&lt;&gt;qwen",$S$2:$S$976,"&lt;"&amp;S212)+1)</f>
        <v/>
      </c>
      <c r="X212" s="73">
        <f>IF(C212="ministral",0,COUNTIFS($C$2:$C$976,"&lt;&gt;ministral",$S$2:$S$976,"&lt;"&amp;S212)+1)</f>
        <v/>
      </c>
      <c r="Y212" s="73">
        <f>IF(C212="gemma",0,COUNTIFS($C$2:$C$976,"&lt;&gt;gemma",$S$2:$S$976,"&lt;"&amp;S212)+1)</f>
        <v/>
      </c>
      <c r="Z212" s="87">
        <f>COUNTIFS($B$2:$B$976,B212,$C$2:$C$976,C212,$S$2:$S$976,"&lt;"&amp;S212)+1</f>
        <v/>
      </c>
      <c r="AA212" s="88">
        <f>ABS(S212-SUMPRODUCT(('05B_가정검정'!$A$5:$A$19=B212)*('05B_가정검정'!$B$5:$B$19=C212)*'05B_가정검정'!$E$5:$E$19))</f>
        <v/>
      </c>
      <c r="AB212" s="88">
        <f>S212-AVERAGEIFS($S$2:$S$976,$B$2:$B$976,B212,$C$2:$C$976,C212)</f>
        <v/>
      </c>
    </row>
    <row r="213" ht="15" customHeight="1" s="68">
      <c r="A213" s="83" t="inlineStr">
        <is>
          <t>PAT-15</t>
        </is>
      </c>
      <c r="B213" s="83" t="inlineStr">
        <is>
          <t>chatgpt</t>
        </is>
      </c>
      <c r="C213" s="83" t="inlineStr">
        <is>
          <t>ministral</t>
        </is>
      </c>
      <c r="D213" s="84" t="n">
        <v>0.245557350565428</v>
      </c>
      <c r="E213" s="84" t="n">
        <v>0.260162601626016</v>
      </c>
      <c r="F213" s="84" t="n">
        <v>0.0901639344262295</v>
      </c>
      <c r="G213" s="84" t="n">
        <v>0.219512195121951</v>
      </c>
      <c r="H213" s="84" t="n">
        <v>0.16099038350682</v>
      </c>
      <c r="I213" s="84" t="n">
        <v>0.210124117699455</v>
      </c>
      <c r="J213" s="84" t="n">
        <v>0.658786477233907</v>
      </c>
      <c r="K213" s="84" t="n">
        <v>0.658221111290347</v>
      </c>
      <c r="L213" s="84" t="n">
        <v>0.817989548583696</v>
      </c>
      <c r="M213" s="84" t="n">
        <v>0.514423076923077</v>
      </c>
      <c r="N213" s="84" t="n">
        <v>0.03125</v>
      </c>
      <c r="O213" s="84" t="n">
        <v>1</v>
      </c>
      <c r="P213" s="85">
        <f>AVERAGE(D213:I213)</f>
        <v/>
      </c>
      <c r="Q213" s="85">
        <f>AVERAGE(J213:L213)</f>
        <v/>
      </c>
      <c r="R213" s="85">
        <f>AVERAGE(M213:O213)</f>
        <v/>
      </c>
      <c r="S213" s="85">
        <f>'02_지표정의'!$C$22*P213+'02_지표정의'!$C$23*Q213+'02_지표정의'!$C$24*R213</f>
        <v/>
      </c>
      <c r="T213" s="73">
        <f>IF(OR(AND(B213="gemini",C213="gemma"),AND(B213="qwen3_6",C213="qwen"),AND(B213="mistral",C213="ministral")),1,0)</f>
        <v/>
      </c>
      <c r="U213" s="73">
        <f>IF(LEFT(A213,3)="PAT","특허","보고서")</f>
        <v/>
      </c>
      <c r="V213" s="86">
        <f>COUNTIF($S$2:$S$976,"&lt;"&amp;S213)+(COUNTIF($S$2:$S$976,"="&amp;S213)+1)/2</f>
        <v/>
      </c>
      <c r="W213" s="73">
        <f>IF(C213="qwen",0,COUNTIFS($C$2:$C$976,"&lt;&gt;qwen",$S$2:$S$976,"&lt;"&amp;S213)+1)</f>
        <v/>
      </c>
      <c r="X213" s="73">
        <f>IF(C213="ministral",0,COUNTIFS($C$2:$C$976,"&lt;&gt;ministral",$S$2:$S$976,"&lt;"&amp;S213)+1)</f>
        <v/>
      </c>
      <c r="Y213" s="73">
        <f>IF(C213="gemma",0,COUNTIFS($C$2:$C$976,"&lt;&gt;gemma",$S$2:$S$976,"&lt;"&amp;S213)+1)</f>
        <v/>
      </c>
      <c r="Z213" s="87">
        <f>COUNTIFS($B$2:$B$976,B213,$C$2:$C$976,C213,$S$2:$S$976,"&lt;"&amp;S213)+1</f>
        <v/>
      </c>
      <c r="AA213" s="88">
        <f>ABS(S213-SUMPRODUCT(('05B_가정검정'!$A$5:$A$19=B213)*('05B_가정검정'!$B$5:$B$19=C213)*'05B_가정검정'!$E$5:$E$19))</f>
        <v/>
      </c>
      <c r="AB213" s="88">
        <f>S213-AVERAGEIFS($S$2:$S$976,$B$2:$B$976,B213,$C$2:$C$976,C213)</f>
        <v/>
      </c>
    </row>
    <row r="214" ht="15" customHeight="1" s="68">
      <c r="A214" s="83" t="inlineStr">
        <is>
          <t>PAT-15</t>
        </is>
      </c>
      <c r="B214" s="83" t="inlineStr">
        <is>
          <t>chatgpt</t>
        </is>
      </c>
      <c r="C214" s="83" t="inlineStr">
        <is>
          <t>qwen</t>
        </is>
      </c>
      <c r="D214" s="84" t="n">
        <v>0.266875981161696</v>
      </c>
      <c r="E214" s="84" t="n">
        <v>0.331491712707182</v>
      </c>
      <c r="F214" s="84" t="n">
        <v>0.167597765363129</v>
      </c>
      <c r="G214" s="84" t="n">
        <v>0.298342541436464</v>
      </c>
      <c r="H214" s="84" t="n">
        <v>0.178820314729125</v>
      </c>
      <c r="I214" s="84" t="n">
        <v>0.425156602281655</v>
      </c>
      <c r="J214" s="84" t="n">
        <v>0.658284934766859</v>
      </c>
      <c r="K214" s="84" t="n">
        <v>0.616248746855433</v>
      </c>
      <c r="L214" s="84" t="n">
        <v>0.789798290808852</v>
      </c>
      <c r="M214" s="84" t="n">
        <v>0.6092715231788079</v>
      </c>
      <c r="N214" s="84" t="n">
        <v>0.0365853658536586</v>
      </c>
      <c r="O214" s="84" t="n">
        <v>1</v>
      </c>
      <c r="P214" s="85">
        <f>AVERAGE(D214:I214)</f>
        <v/>
      </c>
      <c r="Q214" s="85">
        <f>AVERAGE(J214:L214)</f>
        <v/>
      </c>
      <c r="R214" s="85">
        <f>AVERAGE(M214:O214)</f>
        <v/>
      </c>
      <c r="S214" s="85">
        <f>'02_지표정의'!$C$22*P214+'02_지표정의'!$C$23*Q214+'02_지표정의'!$C$24*R214</f>
        <v/>
      </c>
      <c r="T214" s="73">
        <f>IF(OR(AND(B214="gemini",C214="gemma"),AND(B214="qwen3_6",C214="qwen"),AND(B214="mistral",C214="ministral")),1,0)</f>
        <v/>
      </c>
      <c r="U214" s="73">
        <f>IF(LEFT(A214,3)="PAT","특허","보고서")</f>
        <v/>
      </c>
      <c r="V214" s="86">
        <f>COUNTIF($S$2:$S$976,"&lt;"&amp;S214)+(COUNTIF($S$2:$S$976,"="&amp;S214)+1)/2</f>
        <v/>
      </c>
      <c r="W214" s="73">
        <f>IF(C214="qwen",0,COUNTIFS($C$2:$C$976,"&lt;&gt;qwen",$S$2:$S$976,"&lt;"&amp;S214)+1)</f>
        <v/>
      </c>
      <c r="X214" s="73">
        <f>IF(C214="ministral",0,COUNTIFS($C$2:$C$976,"&lt;&gt;ministral",$S$2:$S$976,"&lt;"&amp;S214)+1)</f>
        <v/>
      </c>
      <c r="Y214" s="73">
        <f>IF(C214="gemma",0,COUNTIFS($C$2:$C$976,"&lt;&gt;gemma",$S$2:$S$976,"&lt;"&amp;S214)+1)</f>
        <v/>
      </c>
      <c r="Z214" s="87">
        <f>COUNTIFS($B$2:$B$976,B214,$C$2:$C$976,C214,$S$2:$S$976,"&lt;"&amp;S214)+1</f>
        <v/>
      </c>
      <c r="AA214" s="88">
        <f>ABS(S214-SUMPRODUCT(('05B_가정검정'!$A$5:$A$19=B214)*('05B_가정검정'!$B$5:$B$19=C214)*'05B_가정검정'!$E$5:$E$19))</f>
        <v/>
      </c>
      <c r="AB214" s="88">
        <f>S214-AVERAGEIFS($S$2:$S$976,$B$2:$B$976,B214,$C$2:$C$976,C214)</f>
        <v/>
      </c>
    </row>
    <row r="215" ht="15" customHeight="1" s="68">
      <c r="A215" s="83" t="inlineStr">
        <is>
          <t>PAT-15</t>
        </is>
      </c>
      <c r="B215" s="83" t="inlineStr">
        <is>
          <t>claude</t>
        </is>
      </c>
      <c r="C215" s="83" t="inlineStr">
        <is>
          <t>gemma</t>
        </is>
      </c>
      <c r="D215" s="84" t="n">
        <v>0.237068965517241</v>
      </c>
      <c r="E215" s="84" t="n">
        <v>0.307692307692308</v>
      </c>
      <c r="F215" s="84" t="n">
        <v>0.0948275862068966</v>
      </c>
      <c r="G215" s="84" t="n">
        <v>0.230769230769231</v>
      </c>
      <c r="H215" s="84" t="n">
        <v>0.295749112776882</v>
      </c>
      <c r="I215" s="84" t="n">
        <v>0.285506579274245</v>
      </c>
      <c r="J215" s="84" t="n">
        <v>0.7153048231617311</v>
      </c>
      <c r="K215" s="84" t="n">
        <v>0.6527249441723429</v>
      </c>
      <c r="L215" s="84" t="n">
        <v>0.86029011988177</v>
      </c>
      <c r="M215" s="84" t="n">
        <v>0.779816513761468</v>
      </c>
      <c r="N215" s="84" t="n">
        <v>0.704918032786885</v>
      </c>
      <c r="O215" s="84" t="n">
        <v>1</v>
      </c>
      <c r="P215" s="85">
        <f>AVERAGE(D215:I215)</f>
        <v/>
      </c>
      <c r="Q215" s="85">
        <f>AVERAGE(J215:L215)</f>
        <v/>
      </c>
      <c r="R215" s="85">
        <f>AVERAGE(M215:O215)</f>
        <v/>
      </c>
      <c r="S215" s="85">
        <f>'02_지표정의'!$C$22*P215+'02_지표정의'!$C$23*Q215+'02_지표정의'!$C$24*R215</f>
        <v/>
      </c>
      <c r="T215" s="73">
        <f>IF(OR(AND(B215="gemini",C215="gemma"),AND(B215="qwen3_6",C215="qwen"),AND(B215="mistral",C215="ministral")),1,0)</f>
        <v/>
      </c>
      <c r="U215" s="73">
        <f>IF(LEFT(A215,3)="PAT","특허","보고서")</f>
        <v/>
      </c>
      <c r="V215" s="86">
        <f>COUNTIF($S$2:$S$976,"&lt;"&amp;S215)+(COUNTIF($S$2:$S$976,"="&amp;S215)+1)/2</f>
        <v/>
      </c>
      <c r="W215" s="73">
        <f>IF(C215="qwen",0,COUNTIFS($C$2:$C$976,"&lt;&gt;qwen",$S$2:$S$976,"&lt;"&amp;S215)+1)</f>
        <v/>
      </c>
      <c r="X215" s="73">
        <f>IF(C215="ministral",0,COUNTIFS($C$2:$C$976,"&lt;&gt;ministral",$S$2:$S$976,"&lt;"&amp;S215)+1)</f>
        <v/>
      </c>
      <c r="Y215" s="73">
        <f>IF(C215="gemma",0,COUNTIFS($C$2:$C$976,"&lt;&gt;gemma",$S$2:$S$976,"&lt;"&amp;S215)+1)</f>
        <v/>
      </c>
      <c r="Z215" s="87">
        <f>COUNTIFS($B$2:$B$976,B215,$C$2:$C$976,C215,$S$2:$S$976,"&lt;"&amp;S215)+1</f>
        <v/>
      </c>
      <c r="AA215" s="88">
        <f>ABS(S215-SUMPRODUCT(('05B_가정검정'!$A$5:$A$19=B215)*('05B_가정검정'!$B$5:$B$19=C215)*'05B_가정검정'!$E$5:$E$19))</f>
        <v/>
      </c>
      <c r="AB215" s="88">
        <f>S215-AVERAGEIFS($S$2:$S$976,$B$2:$B$976,B215,$C$2:$C$976,C215)</f>
        <v/>
      </c>
    </row>
    <row r="216" ht="15" customHeight="1" s="68">
      <c r="A216" s="83" t="inlineStr">
        <is>
          <t>PAT-15</t>
        </is>
      </c>
      <c r="B216" s="83" t="inlineStr">
        <is>
          <t>claude</t>
        </is>
      </c>
      <c r="C216" s="83" t="inlineStr">
        <is>
          <t>ministral</t>
        </is>
      </c>
      <c r="D216" s="84" t="n">
        <v>0.237410071942446</v>
      </c>
      <c r="E216" s="84" t="n">
        <v>0.241379310344828</v>
      </c>
      <c r="F216" s="84" t="n">
        <v>0.0833333333333333</v>
      </c>
      <c r="G216" s="84" t="n">
        <v>0.193103448275862</v>
      </c>
      <c r="H216" s="84" t="n">
        <v>0.212808902423966</v>
      </c>
      <c r="I216" s="84" t="n">
        <v>0.170783863197138</v>
      </c>
      <c r="J216" s="84" t="n">
        <v>0.699803268937899</v>
      </c>
      <c r="K216" s="84" t="n">
        <v>0.644372805622887</v>
      </c>
      <c r="L216" s="84" t="n">
        <v>0.821825043307803</v>
      </c>
      <c r="M216" s="84" t="n">
        <v>0.485576923076923</v>
      </c>
      <c r="N216" s="84" t="n">
        <v>0.5</v>
      </c>
      <c r="O216" s="84" t="n">
        <v>1</v>
      </c>
      <c r="P216" s="85">
        <f>AVERAGE(D216:I216)</f>
        <v/>
      </c>
      <c r="Q216" s="85">
        <f>AVERAGE(J216:L216)</f>
        <v/>
      </c>
      <c r="R216" s="85">
        <f>AVERAGE(M216:O216)</f>
        <v/>
      </c>
      <c r="S216" s="85">
        <f>'02_지표정의'!$C$22*P216+'02_지표정의'!$C$23*Q216+'02_지표정의'!$C$24*R216</f>
        <v/>
      </c>
      <c r="T216" s="73">
        <f>IF(OR(AND(B216="gemini",C216="gemma"),AND(B216="qwen3_6",C216="qwen"),AND(B216="mistral",C216="ministral")),1,0)</f>
        <v/>
      </c>
      <c r="U216" s="73">
        <f>IF(LEFT(A216,3)="PAT","특허","보고서")</f>
        <v/>
      </c>
      <c r="V216" s="86">
        <f>COUNTIF($S$2:$S$976,"&lt;"&amp;S216)+(COUNTIF($S$2:$S$976,"="&amp;S216)+1)/2</f>
        <v/>
      </c>
      <c r="W216" s="73">
        <f>IF(C216="qwen",0,COUNTIFS($C$2:$C$976,"&lt;&gt;qwen",$S$2:$S$976,"&lt;"&amp;S216)+1)</f>
        <v/>
      </c>
      <c r="X216" s="73">
        <f>IF(C216="ministral",0,COUNTIFS($C$2:$C$976,"&lt;&gt;ministral",$S$2:$S$976,"&lt;"&amp;S216)+1)</f>
        <v/>
      </c>
      <c r="Y216" s="73">
        <f>IF(C216="gemma",0,COUNTIFS($C$2:$C$976,"&lt;&gt;gemma",$S$2:$S$976,"&lt;"&amp;S216)+1)</f>
        <v/>
      </c>
      <c r="Z216" s="87">
        <f>COUNTIFS($B$2:$B$976,B216,$C$2:$C$976,C216,$S$2:$S$976,"&lt;"&amp;S216)+1</f>
        <v/>
      </c>
      <c r="AA216" s="88">
        <f>ABS(S216-SUMPRODUCT(('05B_가정검정'!$A$5:$A$19=B216)*('05B_가정검정'!$B$5:$B$19=C216)*'05B_가정검정'!$E$5:$E$19))</f>
        <v/>
      </c>
      <c r="AB216" s="88">
        <f>S216-AVERAGEIFS($S$2:$S$976,$B$2:$B$976,B216,$C$2:$C$976,C216)</f>
        <v/>
      </c>
    </row>
    <row r="217" ht="15" customHeight="1" s="68">
      <c r="A217" s="83" t="inlineStr">
        <is>
          <t>PAT-15</t>
        </is>
      </c>
      <c r="B217" s="83" t="inlineStr">
        <is>
          <t>claude</t>
        </is>
      </c>
      <c r="C217" s="83" t="inlineStr">
        <is>
          <t>qwen</t>
        </is>
      </c>
      <c r="D217" s="84" t="n">
        <v>0.309859154929577</v>
      </c>
      <c r="E217" s="84" t="n">
        <v>0.48</v>
      </c>
      <c r="F217" s="84" t="n">
        <v>0.215246636771301</v>
      </c>
      <c r="G217" s="84" t="n">
        <v>0.382222222222222</v>
      </c>
      <c r="H217" s="84" t="n">
        <v>0.304934817021081</v>
      </c>
      <c r="I217" s="84" t="n">
        <v>0.524563624917186</v>
      </c>
      <c r="J217" s="84" t="n">
        <v>0.712394026045916</v>
      </c>
      <c r="K217" s="84" t="n">
        <v>0.674475191855036</v>
      </c>
      <c r="L217" s="84" t="n">
        <v>0.870453022093258</v>
      </c>
      <c r="M217" s="84" t="n">
        <v>0.630872483221477</v>
      </c>
      <c r="N217" s="84" t="n">
        <v>0.552631578947368</v>
      </c>
      <c r="O217" s="84" t="n">
        <v>1</v>
      </c>
      <c r="P217" s="85">
        <f>AVERAGE(D217:I217)</f>
        <v/>
      </c>
      <c r="Q217" s="85">
        <f>AVERAGE(J217:L217)</f>
        <v/>
      </c>
      <c r="R217" s="85">
        <f>AVERAGE(M217:O217)</f>
        <v/>
      </c>
      <c r="S217" s="85">
        <f>'02_지표정의'!$C$22*P217+'02_지표정의'!$C$23*Q217+'02_지표정의'!$C$24*R217</f>
        <v/>
      </c>
      <c r="T217" s="73">
        <f>IF(OR(AND(B217="gemini",C217="gemma"),AND(B217="qwen3_6",C217="qwen"),AND(B217="mistral",C217="ministral")),1,0)</f>
        <v/>
      </c>
      <c r="U217" s="73">
        <f>IF(LEFT(A217,3)="PAT","특허","보고서")</f>
        <v/>
      </c>
      <c r="V217" s="86">
        <f>COUNTIF($S$2:$S$976,"&lt;"&amp;S217)+(COUNTIF($S$2:$S$976,"="&amp;S217)+1)/2</f>
        <v/>
      </c>
      <c r="W217" s="73">
        <f>IF(C217="qwen",0,COUNTIFS($C$2:$C$976,"&lt;&gt;qwen",$S$2:$S$976,"&lt;"&amp;S217)+1)</f>
        <v/>
      </c>
      <c r="X217" s="73">
        <f>IF(C217="ministral",0,COUNTIFS($C$2:$C$976,"&lt;&gt;ministral",$S$2:$S$976,"&lt;"&amp;S217)+1)</f>
        <v/>
      </c>
      <c r="Y217" s="73">
        <f>IF(C217="gemma",0,COUNTIFS($C$2:$C$976,"&lt;&gt;gemma",$S$2:$S$976,"&lt;"&amp;S217)+1)</f>
        <v/>
      </c>
      <c r="Z217" s="87">
        <f>COUNTIFS($B$2:$B$976,B217,$C$2:$C$976,C217,$S$2:$S$976,"&lt;"&amp;S217)+1</f>
        <v/>
      </c>
      <c r="AA217" s="88">
        <f>ABS(S217-SUMPRODUCT(('05B_가정검정'!$A$5:$A$19=B217)*('05B_가정검정'!$B$5:$B$19=C217)*'05B_가정검정'!$E$5:$E$19))</f>
        <v/>
      </c>
      <c r="AB217" s="88">
        <f>S217-AVERAGEIFS($S$2:$S$976,$B$2:$B$976,B217,$C$2:$C$976,C217)</f>
        <v/>
      </c>
    </row>
    <row r="218" ht="15" customHeight="1" s="68">
      <c r="A218" s="83" t="inlineStr">
        <is>
          <t>PAT-15</t>
        </is>
      </c>
      <c r="B218" s="83" t="inlineStr">
        <is>
          <t>gemini</t>
        </is>
      </c>
      <c r="C218" s="83" t="inlineStr">
        <is>
          <t>gemma</t>
        </is>
      </c>
      <c r="D218" s="84" t="n">
        <v>0.23620025673941</v>
      </c>
      <c r="E218" s="84" t="n">
        <v>0.319634703196347</v>
      </c>
      <c r="F218" s="84" t="n">
        <v>0.0921658986175115</v>
      </c>
      <c r="G218" s="84" t="n">
        <v>0.219178082191781</v>
      </c>
      <c r="H218" s="84" t="n">
        <v>0.281095300072533</v>
      </c>
      <c r="I218" s="84" t="n">
        <v>0.264826358615132</v>
      </c>
      <c r="J218" s="84" t="n">
        <v>0.748601607822576</v>
      </c>
      <c r="K218" s="84" t="n">
        <v>0.747527465261262</v>
      </c>
      <c r="L218" s="84" t="n">
        <v>0.875851058652288</v>
      </c>
      <c r="M218" s="84" t="n">
        <v>0.906542056074766</v>
      </c>
      <c r="N218" s="84" t="n">
        <v>0.916666666666667</v>
      </c>
      <c r="O218" s="84" t="n">
        <v>1</v>
      </c>
      <c r="P218" s="85">
        <f>AVERAGE(D218:I218)</f>
        <v/>
      </c>
      <c r="Q218" s="85">
        <f>AVERAGE(J218:L218)</f>
        <v/>
      </c>
      <c r="R218" s="85">
        <f>AVERAGE(M218:O218)</f>
        <v/>
      </c>
      <c r="S218" s="85">
        <f>'02_지표정의'!$C$22*P218+'02_지표정의'!$C$23*Q218+'02_지표정의'!$C$24*R218</f>
        <v/>
      </c>
      <c r="T218" s="73">
        <f>IF(OR(AND(B218="gemini",C218="gemma"),AND(B218="qwen3_6",C218="qwen"),AND(B218="mistral",C218="ministral")),1,0)</f>
        <v/>
      </c>
      <c r="U218" s="73">
        <f>IF(LEFT(A218,3)="PAT","특허","보고서")</f>
        <v/>
      </c>
      <c r="V218" s="86">
        <f>COUNTIF($S$2:$S$976,"&lt;"&amp;S218)+(COUNTIF($S$2:$S$976,"="&amp;S218)+1)/2</f>
        <v/>
      </c>
      <c r="W218" s="73">
        <f>IF(C218="qwen",0,COUNTIFS($C$2:$C$976,"&lt;&gt;qwen",$S$2:$S$976,"&lt;"&amp;S218)+1)</f>
        <v/>
      </c>
      <c r="X218" s="73">
        <f>IF(C218="ministral",0,COUNTIFS($C$2:$C$976,"&lt;&gt;ministral",$S$2:$S$976,"&lt;"&amp;S218)+1)</f>
        <v/>
      </c>
      <c r="Y218" s="73">
        <f>IF(C218="gemma",0,COUNTIFS($C$2:$C$976,"&lt;&gt;gemma",$S$2:$S$976,"&lt;"&amp;S218)+1)</f>
        <v/>
      </c>
      <c r="Z218" s="87">
        <f>COUNTIFS($B$2:$B$976,B218,$C$2:$C$976,C218,$S$2:$S$976,"&lt;"&amp;S218)+1</f>
        <v/>
      </c>
      <c r="AA218" s="88">
        <f>ABS(S218-SUMPRODUCT(('05B_가정검정'!$A$5:$A$19=B218)*('05B_가정검정'!$B$5:$B$19=C218)*'05B_가정검정'!$E$5:$E$19))</f>
        <v/>
      </c>
      <c r="AB218" s="88">
        <f>S218-AVERAGEIFS($S$2:$S$976,$B$2:$B$976,B218,$C$2:$C$976,C218)</f>
        <v/>
      </c>
    </row>
    <row r="219" ht="15" customHeight="1" s="68">
      <c r="A219" s="83" t="inlineStr">
        <is>
          <t>PAT-15</t>
        </is>
      </c>
      <c r="B219" s="83" t="inlineStr">
        <is>
          <t>gemini</t>
        </is>
      </c>
      <c r="C219" s="83" t="inlineStr">
        <is>
          <t>ministral</t>
        </is>
      </c>
      <c r="D219" s="84" t="n">
        <v>0.251094890510949</v>
      </c>
      <c r="E219" s="84" t="n">
        <v>0.269090909090909</v>
      </c>
      <c r="F219" s="84" t="n">
        <v>0.102564102564103</v>
      </c>
      <c r="G219" s="84" t="n">
        <v>0.210909090909091</v>
      </c>
      <c r="H219" s="84" t="n">
        <v>0.219071003534551</v>
      </c>
      <c r="I219" s="84" t="n">
        <v>0.208504697787342</v>
      </c>
      <c r="J219" s="84" t="n">
        <v>0.748027913982823</v>
      </c>
      <c r="K219" s="84" t="n">
        <v>0.726951262908774</v>
      </c>
      <c r="L219" s="84" t="n">
        <v>0.867872607107109</v>
      </c>
      <c r="M219" s="84" t="n">
        <v>0.466346153846154</v>
      </c>
      <c r="N219" s="84" t="n">
        <v>0.572916666666667</v>
      </c>
      <c r="O219" s="84" t="n">
        <v>1</v>
      </c>
      <c r="P219" s="85">
        <f>AVERAGE(D219:I219)</f>
        <v/>
      </c>
      <c r="Q219" s="85">
        <f>AVERAGE(J219:L219)</f>
        <v/>
      </c>
      <c r="R219" s="85">
        <f>AVERAGE(M219:O219)</f>
        <v/>
      </c>
      <c r="S219" s="85">
        <f>'02_지표정의'!$C$22*P219+'02_지표정의'!$C$23*Q219+'02_지표정의'!$C$24*R219</f>
        <v/>
      </c>
      <c r="T219" s="73">
        <f>IF(OR(AND(B219="gemini",C219="gemma"),AND(B219="qwen3_6",C219="qwen"),AND(B219="mistral",C219="ministral")),1,0)</f>
        <v/>
      </c>
      <c r="U219" s="73">
        <f>IF(LEFT(A219,3)="PAT","특허","보고서")</f>
        <v/>
      </c>
      <c r="V219" s="86">
        <f>COUNTIF($S$2:$S$976,"&lt;"&amp;S219)+(COUNTIF($S$2:$S$976,"="&amp;S219)+1)/2</f>
        <v/>
      </c>
      <c r="W219" s="73">
        <f>IF(C219="qwen",0,COUNTIFS($C$2:$C$976,"&lt;&gt;qwen",$S$2:$S$976,"&lt;"&amp;S219)+1)</f>
        <v/>
      </c>
      <c r="X219" s="73">
        <f>IF(C219="ministral",0,COUNTIFS($C$2:$C$976,"&lt;&gt;ministral",$S$2:$S$976,"&lt;"&amp;S219)+1)</f>
        <v/>
      </c>
      <c r="Y219" s="73">
        <f>IF(C219="gemma",0,COUNTIFS($C$2:$C$976,"&lt;&gt;gemma",$S$2:$S$976,"&lt;"&amp;S219)+1)</f>
        <v/>
      </c>
      <c r="Z219" s="87">
        <f>COUNTIFS($B$2:$B$976,B219,$C$2:$C$976,C219,$S$2:$S$976,"&lt;"&amp;S219)+1</f>
        <v/>
      </c>
      <c r="AA219" s="88">
        <f>ABS(S219-SUMPRODUCT(('05B_가정검정'!$A$5:$A$19=B219)*('05B_가정검정'!$B$5:$B$19=C219)*'05B_가정검정'!$E$5:$E$19))</f>
        <v/>
      </c>
      <c r="AB219" s="88">
        <f>S219-AVERAGEIFS($S$2:$S$976,$B$2:$B$976,B219,$C$2:$C$976,C219)</f>
        <v/>
      </c>
    </row>
    <row r="220" ht="15" customHeight="1" s="68">
      <c r="A220" s="83" t="inlineStr">
        <is>
          <t>PAT-15</t>
        </is>
      </c>
      <c r="B220" s="83" t="inlineStr">
        <is>
          <t>gemini</t>
        </is>
      </c>
      <c r="C220" s="83" t="inlineStr">
        <is>
          <t>qwen</t>
        </is>
      </c>
      <c r="D220" s="84" t="n">
        <v>0.307254623044097</v>
      </c>
      <c r="E220" s="84" t="n">
        <v>0.552380952380952</v>
      </c>
      <c r="F220" s="84" t="n">
        <v>0.278846153846154</v>
      </c>
      <c r="G220" s="84" t="n">
        <v>0.438095238095238</v>
      </c>
      <c r="H220" s="84" t="n">
        <v>0.287207066493963</v>
      </c>
      <c r="I220" s="84" t="n">
        <v>0.559335329349249</v>
      </c>
      <c r="J220" s="84" t="n">
        <v>0.7549908315488419</v>
      </c>
      <c r="K220" s="84" t="n">
        <v>0.746935308608337</v>
      </c>
      <c r="L220" s="84" t="n">
        <v>0.876474005383055</v>
      </c>
      <c r="M220" s="84" t="n">
        <v>0.651006711409396</v>
      </c>
      <c r="N220" s="84" t="n">
        <v>0.723684210526316</v>
      </c>
      <c r="O220" s="84" t="n">
        <v>1</v>
      </c>
      <c r="P220" s="85">
        <f>AVERAGE(D220:I220)</f>
        <v/>
      </c>
      <c r="Q220" s="85">
        <f>AVERAGE(J220:L220)</f>
        <v/>
      </c>
      <c r="R220" s="85">
        <f>AVERAGE(M220:O220)</f>
        <v/>
      </c>
      <c r="S220" s="85">
        <f>'02_지표정의'!$C$22*P220+'02_지표정의'!$C$23*Q220+'02_지표정의'!$C$24*R220</f>
        <v/>
      </c>
      <c r="T220" s="73">
        <f>IF(OR(AND(B220="gemini",C220="gemma"),AND(B220="qwen3_6",C220="qwen"),AND(B220="mistral",C220="ministral")),1,0)</f>
        <v/>
      </c>
      <c r="U220" s="73">
        <f>IF(LEFT(A220,3)="PAT","특허","보고서")</f>
        <v/>
      </c>
      <c r="V220" s="86">
        <f>COUNTIF($S$2:$S$976,"&lt;"&amp;S220)+(COUNTIF($S$2:$S$976,"="&amp;S220)+1)/2</f>
        <v/>
      </c>
      <c r="W220" s="73">
        <f>IF(C220="qwen",0,COUNTIFS($C$2:$C$976,"&lt;&gt;qwen",$S$2:$S$976,"&lt;"&amp;S220)+1)</f>
        <v/>
      </c>
      <c r="X220" s="73">
        <f>IF(C220="ministral",0,COUNTIFS($C$2:$C$976,"&lt;&gt;ministral",$S$2:$S$976,"&lt;"&amp;S220)+1)</f>
        <v/>
      </c>
      <c r="Y220" s="73">
        <f>IF(C220="gemma",0,COUNTIFS($C$2:$C$976,"&lt;&gt;gemma",$S$2:$S$976,"&lt;"&amp;S220)+1)</f>
        <v/>
      </c>
      <c r="Z220" s="87">
        <f>COUNTIFS($B$2:$B$976,B220,$C$2:$C$976,C220,$S$2:$S$976,"&lt;"&amp;S220)+1</f>
        <v/>
      </c>
      <c r="AA220" s="88">
        <f>ABS(S220-SUMPRODUCT(('05B_가정검정'!$A$5:$A$19=B220)*('05B_가정검정'!$B$5:$B$19=C220)*'05B_가정검정'!$E$5:$E$19))</f>
        <v/>
      </c>
      <c r="AB220" s="88">
        <f>S220-AVERAGEIFS($S$2:$S$976,$B$2:$B$976,B220,$C$2:$C$976,C220)</f>
        <v/>
      </c>
    </row>
    <row r="221" ht="15" customHeight="1" s="68">
      <c r="A221" s="83" t="inlineStr">
        <is>
          <t>PAT-15</t>
        </is>
      </c>
      <c r="B221" s="83" t="inlineStr">
        <is>
          <t>mistral</t>
        </is>
      </c>
      <c r="C221" s="83" t="inlineStr">
        <is>
          <t>gemma</t>
        </is>
      </c>
      <c r="D221" s="84" t="n">
        <v>0.257901390644754</v>
      </c>
      <c r="E221" s="84" t="n">
        <v>0.317757009345794</v>
      </c>
      <c r="F221" s="84" t="n">
        <v>0.113207547169811</v>
      </c>
      <c r="G221" s="84" t="n">
        <v>0.242990654205608</v>
      </c>
      <c r="H221" s="84" t="n">
        <v>0.293486431135876</v>
      </c>
      <c r="I221" s="84" t="n">
        <v>0.270244688627516</v>
      </c>
      <c r="J221" s="84" t="n">
        <v>0.729389674742029</v>
      </c>
      <c r="K221" s="84" t="n">
        <v>0.658676295683453</v>
      </c>
      <c r="L221" s="84" t="n">
        <v>0.856963894542877</v>
      </c>
      <c r="M221" s="84" t="n">
        <v>0.486338797814208</v>
      </c>
      <c r="N221" s="84" t="n">
        <v>0.5326086956521739</v>
      </c>
      <c r="O221" s="84" t="n">
        <v>1</v>
      </c>
      <c r="P221" s="85">
        <f>AVERAGE(D221:I221)</f>
        <v/>
      </c>
      <c r="Q221" s="85">
        <f>AVERAGE(J221:L221)</f>
        <v/>
      </c>
      <c r="R221" s="85">
        <f>AVERAGE(M221:O221)</f>
        <v/>
      </c>
      <c r="S221" s="85">
        <f>'02_지표정의'!$C$22*P221+'02_지표정의'!$C$23*Q221+'02_지표정의'!$C$24*R221</f>
        <v/>
      </c>
      <c r="T221" s="73">
        <f>IF(OR(AND(B221="gemini",C221="gemma"),AND(B221="qwen3_6",C221="qwen"),AND(B221="mistral",C221="ministral")),1,0)</f>
        <v/>
      </c>
      <c r="U221" s="73">
        <f>IF(LEFT(A221,3)="PAT","특허","보고서")</f>
        <v/>
      </c>
      <c r="V221" s="86">
        <f>COUNTIF($S$2:$S$976,"&lt;"&amp;S221)+(COUNTIF($S$2:$S$976,"="&amp;S221)+1)/2</f>
        <v/>
      </c>
      <c r="W221" s="73">
        <f>IF(C221="qwen",0,COUNTIFS($C$2:$C$976,"&lt;&gt;qwen",$S$2:$S$976,"&lt;"&amp;S221)+1)</f>
        <v/>
      </c>
      <c r="X221" s="73">
        <f>IF(C221="ministral",0,COUNTIFS($C$2:$C$976,"&lt;&gt;ministral",$S$2:$S$976,"&lt;"&amp;S221)+1)</f>
        <v/>
      </c>
      <c r="Y221" s="73">
        <f>IF(C221="gemma",0,COUNTIFS($C$2:$C$976,"&lt;&gt;gemma",$S$2:$S$976,"&lt;"&amp;S221)+1)</f>
        <v/>
      </c>
      <c r="Z221" s="87">
        <f>COUNTIFS($B$2:$B$976,B221,$C$2:$C$976,C221,$S$2:$S$976,"&lt;"&amp;S221)+1</f>
        <v/>
      </c>
      <c r="AA221" s="88">
        <f>ABS(S221-SUMPRODUCT(('05B_가정검정'!$A$5:$A$19=B221)*('05B_가정검정'!$B$5:$B$19=C221)*'05B_가정검정'!$E$5:$E$19))</f>
        <v/>
      </c>
      <c r="AB221" s="88">
        <f>S221-AVERAGEIFS($S$2:$S$976,$B$2:$B$976,B221,$C$2:$C$976,C221)</f>
        <v/>
      </c>
    </row>
    <row r="222" ht="15" customHeight="1" s="68">
      <c r="A222" s="83" t="inlineStr">
        <is>
          <t>PAT-15</t>
        </is>
      </c>
      <c r="B222" s="83" t="inlineStr">
        <is>
          <t>mistral</t>
        </is>
      </c>
      <c r="C222" s="83" t="inlineStr">
        <is>
          <t>ministral</t>
        </is>
      </c>
      <c r="D222" s="84" t="n">
        <v>0.315638450502152</v>
      </c>
      <c r="E222" s="84" t="n">
        <v>0.259259259259259</v>
      </c>
      <c r="F222" s="84" t="n">
        <v>0.0746268656716418</v>
      </c>
      <c r="G222" s="84" t="n">
        <v>0.207407407407407</v>
      </c>
      <c r="H222" s="84" t="n">
        <v>0.258897627222089</v>
      </c>
      <c r="I222" s="84" t="n">
        <v>0.251352921506443</v>
      </c>
      <c r="J222" s="84" t="n">
        <v>0.731304735628323</v>
      </c>
      <c r="K222" s="84" t="n">
        <v>0.686816596620253</v>
      </c>
      <c r="L222" s="84" t="n">
        <v>0.824802742395342</v>
      </c>
      <c r="M222" s="84" t="n">
        <v>0.504807692307692</v>
      </c>
      <c r="N222" s="84" t="n">
        <v>0.427083333333333</v>
      </c>
      <c r="O222" s="84" t="n">
        <v>1</v>
      </c>
      <c r="P222" s="85">
        <f>AVERAGE(D222:I222)</f>
        <v/>
      </c>
      <c r="Q222" s="85">
        <f>AVERAGE(J222:L222)</f>
        <v/>
      </c>
      <c r="R222" s="85">
        <f>AVERAGE(M222:O222)</f>
        <v/>
      </c>
      <c r="S222" s="85">
        <f>'02_지표정의'!$C$22*P222+'02_지표정의'!$C$23*Q222+'02_지표정의'!$C$24*R222</f>
        <v/>
      </c>
      <c r="T222" s="73">
        <f>IF(OR(AND(B222="gemini",C222="gemma"),AND(B222="qwen3_6",C222="qwen"),AND(B222="mistral",C222="ministral")),1,0)</f>
        <v/>
      </c>
      <c r="U222" s="73">
        <f>IF(LEFT(A222,3)="PAT","특허","보고서")</f>
        <v/>
      </c>
      <c r="V222" s="86">
        <f>COUNTIF($S$2:$S$976,"&lt;"&amp;S222)+(COUNTIF($S$2:$S$976,"="&amp;S222)+1)/2</f>
        <v/>
      </c>
      <c r="W222" s="73">
        <f>IF(C222="qwen",0,COUNTIFS($C$2:$C$976,"&lt;&gt;qwen",$S$2:$S$976,"&lt;"&amp;S222)+1)</f>
        <v/>
      </c>
      <c r="X222" s="73">
        <f>IF(C222="ministral",0,COUNTIFS($C$2:$C$976,"&lt;&gt;ministral",$S$2:$S$976,"&lt;"&amp;S222)+1)</f>
        <v/>
      </c>
      <c r="Y222" s="73">
        <f>IF(C222="gemma",0,COUNTIFS($C$2:$C$976,"&lt;&gt;gemma",$S$2:$S$976,"&lt;"&amp;S222)+1)</f>
        <v/>
      </c>
      <c r="Z222" s="87">
        <f>COUNTIFS($B$2:$B$976,B222,$C$2:$C$976,C222,$S$2:$S$976,"&lt;"&amp;S222)+1</f>
        <v/>
      </c>
      <c r="AA222" s="88">
        <f>ABS(S222-SUMPRODUCT(('05B_가정검정'!$A$5:$A$19=B222)*('05B_가정검정'!$B$5:$B$19=C222)*'05B_가정검정'!$E$5:$E$19))</f>
        <v/>
      </c>
      <c r="AB222" s="88">
        <f>S222-AVERAGEIFS($S$2:$S$976,$B$2:$B$976,B222,$C$2:$C$976,C222)</f>
        <v/>
      </c>
    </row>
    <row r="223" ht="15" customHeight="1" s="68">
      <c r="A223" s="83" t="inlineStr">
        <is>
          <t>PAT-15</t>
        </is>
      </c>
      <c r="B223" s="83" t="inlineStr">
        <is>
          <t>mistral</t>
        </is>
      </c>
      <c r="C223" s="83" t="inlineStr">
        <is>
          <t>qwen</t>
        </is>
      </c>
      <c r="D223" s="84" t="n">
        <v>0.344055944055944</v>
      </c>
      <c r="E223" s="84" t="n">
        <v>0.55609756097561</v>
      </c>
      <c r="F223" s="84" t="n">
        <v>0.275862068965517</v>
      </c>
      <c r="G223" s="84" t="n">
        <v>0.439024390243902</v>
      </c>
      <c r="H223" s="84" t="n">
        <v>0.311997925826776</v>
      </c>
      <c r="I223" s="84" t="n">
        <v>0.589569492151095</v>
      </c>
      <c r="J223" s="84" t="n">
        <v>0.718032512483513</v>
      </c>
      <c r="K223" s="84" t="n">
        <v>0.684578792411887</v>
      </c>
      <c r="L223" s="84" t="n">
        <v>0.829270313146886</v>
      </c>
      <c r="M223" s="84" t="n">
        <v>0.715846994535519</v>
      </c>
      <c r="N223" s="84" t="n">
        <v>0.684782608695652</v>
      </c>
      <c r="O223" s="84" t="n">
        <v>1</v>
      </c>
      <c r="P223" s="85">
        <f>AVERAGE(D223:I223)</f>
        <v/>
      </c>
      <c r="Q223" s="85">
        <f>AVERAGE(J223:L223)</f>
        <v/>
      </c>
      <c r="R223" s="85">
        <f>AVERAGE(M223:O223)</f>
        <v/>
      </c>
      <c r="S223" s="85">
        <f>'02_지표정의'!$C$22*P223+'02_지표정의'!$C$23*Q223+'02_지표정의'!$C$24*R223</f>
        <v/>
      </c>
      <c r="T223" s="73">
        <f>IF(OR(AND(B223="gemini",C223="gemma"),AND(B223="qwen3_6",C223="qwen"),AND(B223="mistral",C223="ministral")),1,0)</f>
        <v/>
      </c>
      <c r="U223" s="73">
        <f>IF(LEFT(A223,3)="PAT","특허","보고서")</f>
        <v/>
      </c>
      <c r="V223" s="86">
        <f>COUNTIF($S$2:$S$976,"&lt;"&amp;S223)+(COUNTIF($S$2:$S$976,"="&amp;S223)+1)/2</f>
        <v/>
      </c>
      <c r="W223" s="73">
        <f>IF(C223="qwen",0,COUNTIFS($C$2:$C$976,"&lt;&gt;qwen",$S$2:$S$976,"&lt;"&amp;S223)+1)</f>
        <v/>
      </c>
      <c r="X223" s="73">
        <f>IF(C223="ministral",0,COUNTIFS($C$2:$C$976,"&lt;&gt;ministral",$S$2:$S$976,"&lt;"&amp;S223)+1)</f>
        <v/>
      </c>
      <c r="Y223" s="73">
        <f>IF(C223="gemma",0,COUNTIFS($C$2:$C$976,"&lt;&gt;gemma",$S$2:$S$976,"&lt;"&amp;S223)+1)</f>
        <v/>
      </c>
      <c r="Z223" s="87">
        <f>COUNTIFS($B$2:$B$976,B223,$C$2:$C$976,C223,$S$2:$S$976,"&lt;"&amp;S223)+1</f>
        <v/>
      </c>
      <c r="AA223" s="88">
        <f>ABS(S223-SUMPRODUCT(('05B_가정검정'!$A$5:$A$19=B223)*('05B_가정검정'!$B$5:$B$19=C223)*'05B_가정검정'!$E$5:$E$19))</f>
        <v/>
      </c>
      <c r="AB223" s="88">
        <f>S223-AVERAGEIFS($S$2:$S$976,$B$2:$B$976,B223,$C$2:$C$976,C223)</f>
        <v/>
      </c>
    </row>
    <row r="224" ht="15" customHeight="1" s="68">
      <c r="A224" s="83" t="inlineStr">
        <is>
          <t>PAT-15</t>
        </is>
      </c>
      <c r="B224" s="83" t="inlineStr">
        <is>
          <t>qwen3_6</t>
        </is>
      </c>
      <c r="C224" s="83" t="inlineStr">
        <is>
          <t>gemma</t>
        </is>
      </c>
      <c r="D224" s="84" t="n">
        <v>0.251152073732719</v>
      </c>
      <c r="E224" s="84" t="n">
        <v>0.34061135371179</v>
      </c>
      <c r="F224" s="84" t="n">
        <v>0.114537444933921</v>
      </c>
      <c r="G224" s="84" t="n">
        <v>0.253275109170306</v>
      </c>
      <c r="H224" s="84" t="n">
        <v>0.341006600847966</v>
      </c>
      <c r="I224" s="84" t="n">
        <v>0.332214887337198</v>
      </c>
      <c r="J224" s="84" t="n">
        <v>0.688239869072157</v>
      </c>
      <c r="K224" s="84" t="n">
        <v>0.662527773262369</v>
      </c>
      <c r="L224" s="84" t="n">
        <v>0.878974880595687</v>
      </c>
      <c r="M224" s="84" t="n">
        <v>0.906542056074766</v>
      </c>
      <c r="N224" s="84" t="n">
        <v>0.916666666666667</v>
      </c>
      <c r="O224" s="84" t="n">
        <v>1</v>
      </c>
      <c r="P224" s="85">
        <f>AVERAGE(D224:I224)</f>
        <v/>
      </c>
      <c r="Q224" s="85">
        <f>AVERAGE(J224:L224)</f>
        <v/>
      </c>
      <c r="R224" s="85">
        <f>AVERAGE(M224:O224)</f>
        <v/>
      </c>
      <c r="S224" s="85">
        <f>'02_지표정의'!$C$22*P224+'02_지표정의'!$C$23*Q224+'02_지표정의'!$C$24*R224</f>
        <v/>
      </c>
      <c r="T224" s="73">
        <f>IF(OR(AND(B224="gemini",C224="gemma"),AND(B224="qwen3_6",C224="qwen"),AND(B224="mistral",C224="ministral")),1,0)</f>
        <v/>
      </c>
      <c r="U224" s="73">
        <f>IF(LEFT(A224,3)="PAT","특허","보고서")</f>
        <v/>
      </c>
      <c r="V224" s="86">
        <f>COUNTIF($S$2:$S$976,"&lt;"&amp;S224)+(COUNTIF($S$2:$S$976,"="&amp;S224)+1)/2</f>
        <v/>
      </c>
      <c r="W224" s="73">
        <f>IF(C224="qwen",0,COUNTIFS($C$2:$C$976,"&lt;&gt;qwen",$S$2:$S$976,"&lt;"&amp;S224)+1)</f>
        <v/>
      </c>
      <c r="X224" s="73">
        <f>IF(C224="ministral",0,COUNTIFS($C$2:$C$976,"&lt;&gt;ministral",$S$2:$S$976,"&lt;"&amp;S224)+1)</f>
        <v/>
      </c>
      <c r="Y224" s="73">
        <f>IF(C224="gemma",0,COUNTIFS($C$2:$C$976,"&lt;&gt;gemma",$S$2:$S$976,"&lt;"&amp;S224)+1)</f>
        <v/>
      </c>
      <c r="Z224" s="87">
        <f>COUNTIFS($B$2:$B$976,B224,$C$2:$C$976,C224,$S$2:$S$976,"&lt;"&amp;S224)+1</f>
        <v/>
      </c>
      <c r="AA224" s="88">
        <f>ABS(S224-SUMPRODUCT(('05B_가정검정'!$A$5:$A$19=B224)*('05B_가정검정'!$B$5:$B$19=C224)*'05B_가정검정'!$E$5:$E$19))</f>
        <v/>
      </c>
      <c r="AB224" s="88">
        <f>S224-AVERAGEIFS($S$2:$S$976,$B$2:$B$976,B224,$C$2:$C$976,C224)</f>
        <v/>
      </c>
    </row>
    <row r="225" ht="15" customHeight="1" s="68">
      <c r="A225" s="83" t="inlineStr">
        <is>
          <t>PAT-15</t>
        </is>
      </c>
      <c r="B225" s="83" t="inlineStr">
        <is>
          <t>qwen3_6</t>
        </is>
      </c>
      <c r="C225" s="83" t="inlineStr">
        <is>
          <t>ministral</t>
        </is>
      </c>
      <c r="D225" s="84" t="n">
        <v>0.24031007751938</v>
      </c>
      <c r="E225" s="84" t="n">
        <v>0.23859649122807</v>
      </c>
      <c r="F225" s="84" t="n">
        <v>0.106007067137809</v>
      </c>
      <c r="G225" s="84" t="n">
        <v>0.203508771929825</v>
      </c>
      <c r="H225" s="84" t="n">
        <v>0.243787679739786</v>
      </c>
      <c r="I225" s="84" t="n">
        <v>0.162763837646014</v>
      </c>
      <c r="J225" s="84" t="n">
        <v>0.678695015878794</v>
      </c>
      <c r="K225" s="84" t="n">
        <v>0.657655580931484</v>
      </c>
      <c r="L225" s="84" t="n">
        <v>0.816717961034954</v>
      </c>
      <c r="M225" s="84" t="n">
        <v>0.466346153846154</v>
      </c>
      <c r="N225" s="84" t="n">
        <v>0.572916666666667</v>
      </c>
      <c r="O225" s="84" t="n">
        <v>1</v>
      </c>
      <c r="P225" s="85">
        <f>AVERAGE(D225:I225)</f>
        <v/>
      </c>
      <c r="Q225" s="85">
        <f>AVERAGE(J225:L225)</f>
        <v/>
      </c>
      <c r="R225" s="85">
        <f>AVERAGE(M225:O225)</f>
        <v/>
      </c>
      <c r="S225" s="85">
        <f>'02_지표정의'!$C$22*P225+'02_지표정의'!$C$23*Q225+'02_지표정의'!$C$24*R225</f>
        <v/>
      </c>
      <c r="T225" s="73">
        <f>IF(OR(AND(B225="gemini",C225="gemma"),AND(B225="qwen3_6",C225="qwen"),AND(B225="mistral",C225="ministral")),1,0)</f>
        <v/>
      </c>
      <c r="U225" s="73">
        <f>IF(LEFT(A225,3)="PAT","특허","보고서")</f>
        <v/>
      </c>
      <c r="V225" s="86">
        <f>COUNTIF($S$2:$S$976,"&lt;"&amp;S225)+(COUNTIF($S$2:$S$976,"="&amp;S225)+1)/2</f>
        <v/>
      </c>
      <c r="W225" s="73">
        <f>IF(C225="qwen",0,COUNTIFS($C$2:$C$976,"&lt;&gt;qwen",$S$2:$S$976,"&lt;"&amp;S225)+1)</f>
        <v/>
      </c>
      <c r="X225" s="73">
        <f>IF(C225="ministral",0,COUNTIFS($C$2:$C$976,"&lt;&gt;ministral",$S$2:$S$976,"&lt;"&amp;S225)+1)</f>
        <v/>
      </c>
      <c r="Y225" s="73">
        <f>IF(C225="gemma",0,COUNTIFS($C$2:$C$976,"&lt;&gt;gemma",$S$2:$S$976,"&lt;"&amp;S225)+1)</f>
        <v/>
      </c>
      <c r="Z225" s="87">
        <f>COUNTIFS($B$2:$B$976,B225,$C$2:$C$976,C225,$S$2:$S$976,"&lt;"&amp;S225)+1</f>
        <v/>
      </c>
      <c r="AA225" s="88">
        <f>ABS(S225-SUMPRODUCT(('05B_가정검정'!$A$5:$A$19=B225)*('05B_가정검정'!$B$5:$B$19=C225)*'05B_가정검정'!$E$5:$E$19))</f>
        <v/>
      </c>
      <c r="AB225" s="88">
        <f>S225-AVERAGEIFS($S$2:$S$976,$B$2:$B$976,B225,$C$2:$C$976,C225)</f>
        <v/>
      </c>
    </row>
    <row r="226" ht="15" customHeight="1" s="68">
      <c r="A226" s="83" t="inlineStr">
        <is>
          <t>PAT-15</t>
        </is>
      </c>
      <c r="B226" s="83" t="inlineStr">
        <is>
          <t>qwen3_6</t>
        </is>
      </c>
      <c r="C226" s="83" t="inlineStr">
        <is>
          <t>qwen</t>
        </is>
      </c>
      <c r="D226" s="84" t="n">
        <v>0.272727272727273</v>
      </c>
      <c r="E226" s="84" t="n">
        <v>0.518181818181818</v>
      </c>
      <c r="F226" s="84" t="n">
        <v>0.220183486238532</v>
      </c>
      <c r="G226" s="84" t="n">
        <v>0.390909090909091</v>
      </c>
      <c r="H226" s="84" t="n">
        <v>0.33876687683269</v>
      </c>
      <c r="I226" s="84" t="n">
        <v>0.578148859111063</v>
      </c>
      <c r="J226" s="84" t="n">
        <v>0.69122107107232</v>
      </c>
      <c r="K226" s="84" t="n">
        <v>0.676584460744115</v>
      </c>
      <c r="L226" s="84" t="n">
        <v>0.828489915737164</v>
      </c>
      <c r="M226" s="84" t="n">
        <v>0.651006711409396</v>
      </c>
      <c r="N226" s="84" t="n">
        <v>0.723684210526316</v>
      </c>
      <c r="O226" s="84" t="n">
        <v>1</v>
      </c>
      <c r="P226" s="85">
        <f>AVERAGE(D226:I226)</f>
        <v/>
      </c>
      <c r="Q226" s="85">
        <f>AVERAGE(J226:L226)</f>
        <v/>
      </c>
      <c r="R226" s="85">
        <f>AVERAGE(M226:O226)</f>
        <v/>
      </c>
      <c r="S226" s="85">
        <f>'02_지표정의'!$C$22*P226+'02_지표정의'!$C$23*Q226+'02_지표정의'!$C$24*R226</f>
        <v/>
      </c>
      <c r="T226" s="73">
        <f>IF(OR(AND(B226="gemini",C226="gemma"),AND(B226="qwen3_6",C226="qwen"),AND(B226="mistral",C226="ministral")),1,0)</f>
        <v/>
      </c>
      <c r="U226" s="73">
        <f>IF(LEFT(A226,3)="PAT","특허","보고서")</f>
        <v/>
      </c>
      <c r="V226" s="86">
        <f>COUNTIF($S$2:$S$976,"&lt;"&amp;S226)+(COUNTIF($S$2:$S$976,"="&amp;S226)+1)/2</f>
        <v/>
      </c>
      <c r="W226" s="73">
        <f>IF(C226="qwen",0,COUNTIFS($C$2:$C$976,"&lt;&gt;qwen",$S$2:$S$976,"&lt;"&amp;S226)+1)</f>
        <v/>
      </c>
      <c r="X226" s="73">
        <f>IF(C226="ministral",0,COUNTIFS($C$2:$C$976,"&lt;&gt;ministral",$S$2:$S$976,"&lt;"&amp;S226)+1)</f>
        <v/>
      </c>
      <c r="Y226" s="73">
        <f>IF(C226="gemma",0,COUNTIFS($C$2:$C$976,"&lt;&gt;gemma",$S$2:$S$976,"&lt;"&amp;S226)+1)</f>
        <v/>
      </c>
      <c r="Z226" s="87">
        <f>COUNTIFS($B$2:$B$976,B226,$C$2:$C$976,C226,$S$2:$S$976,"&lt;"&amp;S226)+1</f>
        <v/>
      </c>
      <c r="AA226" s="88">
        <f>ABS(S226-SUMPRODUCT(('05B_가정검정'!$A$5:$A$19=B226)*('05B_가정검정'!$B$5:$B$19=C226)*'05B_가정검정'!$E$5:$E$19))</f>
        <v/>
      </c>
      <c r="AB226" s="88">
        <f>S226-AVERAGEIFS($S$2:$S$976,$B$2:$B$976,B226,$C$2:$C$976,C226)</f>
        <v/>
      </c>
    </row>
    <row r="227" ht="15" customHeight="1" s="68">
      <c r="A227" s="83" t="inlineStr">
        <is>
          <t>PAT-16</t>
        </is>
      </c>
      <c r="B227" s="83" t="inlineStr">
        <is>
          <t>chatgpt</t>
        </is>
      </c>
      <c r="C227" s="83" t="inlineStr">
        <is>
          <t>gemma</t>
        </is>
      </c>
      <c r="D227" s="84" t="n">
        <v>0.193058568329718</v>
      </c>
      <c r="E227" s="84" t="n">
        <v>0.309433962264151</v>
      </c>
      <c r="F227" s="84" t="n">
        <v>0.091254752851711</v>
      </c>
      <c r="G227" s="84" t="n">
        <v>0.19622641509434</v>
      </c>
      <c r="H227" s="84" t="n">
        <v>0.303812897471801</v>
      </c>
      <c r="I227" s="84" t="n">
        <v>0.09111707207398299</v>
      </c>
      <c r="J227" s="84" t="n">
        <v>0.675529841645451</v>
      </c>
      <c r="K227" s="84" t="n">
        <v>0.660122441484992</v>
      </c>
      <c r="L227" s="84" t="n">
        <v>0.840730869880987</v>
      </c>
      <c r="M227" s="84" t="n">
        <v>0.402597402597403</v>
      </c>
      <c r="N227" s="84" t="n">
        <v>0.142857142857143</v>
      </c>
      <c r="O227" s="84" t="n">
        <v>1</v>
      </c>
      <c r="P227" s="85">
        <f>AVERAGE(D227:I227)</f>
        <v/>
      </c>
      <c r="Q227" s="85">
        <f>AVERAGE(J227:L227)</f>
        <v/>
      </c>
      <c r="R227" s="85">
        <f>AVERAGE(M227:O227)</f>
        <v/>
      </c>
      <c r="S227" s="85">
        <f>'02_지표정의'!$C$22*P227+'02_지표정의'!$C$23*Q227+'02_지표정의'!$C$24*R227</f>
        <v/>
      </c>
      <c r="T227" s="73">
        <f>IF(OR(AND(B227="gemini",C227="gemma"),AND(B227="qwen3_6",C227="qwen"),AND(B227="mistral",C227="ministral")),1,0)</f>
        <v/>
      </c>
      <c r="U227" s="73">
        <f>IF(LEFT(A227,3)="PAT","특허","보고서")</f>
        <v/>
      </c>
      <c r="V227" s="86">
        <f>COUNTIF($S$2:$S$976,"&lt;"&amp;S227)+(COUNTIF($S$2:$S$976,"="&amp;S227)+1)/2</f>
        <v/>
      </c>
      <c r="W227" s="73">
        <f>IF(C227="qwen",0,COUNTIFS($C$2:$C$976,"&lt;&gt;qwen",$S$2:$S$976,"&lt;"&amp;S227)+1)</f>
        <v/>
      </c>
      <c r="X227" s="73">
        <f>IF(C227="ministral",0,COUNTIFS($C$2:$C$976,"&lt;&gt;ministral",$S$2:$S$976,"&lt;"&amp;S227)+1)</f>
        <v/>
      </c>
      <c r="Y227" s="73">
        <f>IF(C227="gemma",0,COUNTIFS($C$2:$C$976,"&lt;&gt;gemma",$S$2:$S$976,"&lt;"&amp;S227)+1)</f>
        <v/>
      </c>
      <c r="Z227" s="87">
        <f>COUNTIFS($B$2:$B$976,B227,$C$2:$C$976,C227,$S$2:$S$976,"&lt;"&amp;S227)+1</f>
        <v/>
      </c>
      <c r="AA227" s="88">
        <f>ABS(S227-SUMPRODUCT(('05B_가정검정'!$A$5:$A$19=B227)*('05B_가정검정'!$B$5:$B$19=C227)*'05B_가정검정'!$E$5:$E$19))</f>
        <v/>
      </c>
      <c r="AB227" s="88">
        <f>S227-AVERAGEIFS($S$2:$S$976,$B$2:$B$976,B227,$C$2:$C$976,C227)</f>
        <v/>
      </c>
    </row>
    <row r="228" ht="15" customHeight="1" s="68">
      <c r="A228" s="83" t="inlineStr">
        <is>
          <t>PAT-16</t>
        </is>
      </c>
      <c r="B228" s="83" t="inlineStr">
        <is>
          <t>chatgpt</t>
        </is>
      </c>
      <c r="C228" s="83" t="inlineStr">
        <is>
          <t>ministral</t>
        </is>
      </c>
      <c r="D228" s="84" t="n">
        <v>0.246189917936694</v>
      </c>
      <c r="E228" s="84" t="n">
        <v>0.324022346368715</v>
      </c>
      <c r="F228" s="84" t="n">
        <v>0.0955056179775281</v>
      </c>
      <c r="G228" s="84" t="n">
        <v>0.223463687150838</v>
      </c>
      <c r="H228" s="84" t="n">
        <v>0.242399338355876</v>
      </c>
      <c r="I228" s="84" t="n">
        <v>0.166100024404591</v>
      </c>
      <c r="J228" s="84" t="n">
        <v>0.702559084967418</v>
      </c>
      <c r="K228" s="84" t="n">
        <v>0.651709547651052</v>
      </c>
      <c r="L228" s="84" t="n">
        <v>0.797094805560072</v>
      </c>
      <c r="M228" s="84" t="n">
        <v>0.513422818791946</v>
      </c>
      <c r="N228" s="84" t="n">
        <v>0</v>
      </c>
      <c r="O228" s="84" t="n">
        <v>0.526315789473684</v>
      </c>
      <c r="P228" s="85">
        <f>AVERAGE(D228:I228)</f>
        <v/>
      </c>
      <c r="Q228" s="85">
        <f>AVERAGE(J228:L228)</f>
        <v/>
      </c>
      <c r="R228" s="85">
        <f>AVERAGE(M228:O228)</f>
        <v/>
      </c>
      <c r="S228" s="85">
        <f>'02_지표정의'!$C$22*P228+'02_지표정의'!$C$23*Q228+'02_지표정의'!$C$24*R228</f>
        <v/>
      </c>
      <c r="T228" s="73">
        <f>IF(OR(AND(B228="gemini",C228="gemma"),AND(B228="qwen3_6",C228="qwen"),AND(B228="mistral",C228="ministral")),1,0)</f>
        <v/>
      </c>
      <c r="U228" s="73">
        <f>IF(LEFT(A228,3)="PAT","특허","보고서")</f>
        <v/>
      </c>
      <c r="V228" s="86">
        <f>COUNTIF($S$2:$S$976,"&lt;"&amp;S228)+(COUNTIF($S$2:$S$976,"="&amp;S228)+1)/2</f>
        <v/>
      </c>
      <c r="W228" s="73">
        <f>IF(C228="qwen",0,COUNTIFS($C$2:$C$976,"&lt;&gt;qwen",$S$2:$S$976,"&lt;"&amp;S228)+1)</f>
        <v/>
      </c>
      <c r="X228" s="73">
        <f>IF(C228="ministral",0,COUNTIFS($C$2:$C$976,"&lt;&gt;ministral",$S$2:$S$976,"&lt;"&amp;S228)+1)</f>
        <v/>
      </c>
      <c r="Y228" s="73">
        <f>IF(C228="gemma",0,COUNTIFS($C$2:$C$976,"&lt;&gt;gemma",$S$2:$S$976,"&lt;"&amp;S228)+1)</f>
        <v/>
      </c>
      <c r="Z228" s="87">
        <f>COUNTIFS($B$2:$B$976,B228,$C$2:$C$976,C228,$S$2:$S$976,"&lt;"&amp;S228)+1</f>
        <v/>
      </c>
      <c r="AA228" s="88">
        <f>ABS(S228-SUMPRODUCT(('05B_가정검정'!$A$5:$A$19=B228)*('05B_가정검정'!$B$5:$B$19=C228)*'05B_가정검정'!$E$5:$E$19))</f>
        <v/>
      </c>
      <c r="AB228" s="88">
        <f>S228-AVERAGEIFS($S$2:$S$976,$B$2:$B$976,B228,$C$2:$C$976,C228)</f>
        <v/>
      </c>
    </row>
    <row r="229" ht="15" customHeight="1" s="68">
      <c r="A229" s="83" t="inlineStr">
        <is>
          <t>PAT-16</t>
        </is>
      </c>
      <c r="B229" s="83" t="inlineStr">
        <is>
          <t>chatgpt</t>
        </is>
      </c>
      <c r="C229" s="83" t="inlineStr">
        <is>
          <t>qwen</t>
        </is>
      </c>
      <c r="D229" s="84" t="n">
        <v>0.310869565217391</v>
      </c>
      <c r="E229" s="84" t="n">
        <v>0.408045977011494</v>
      </c>
      <c r="F229" s="84" t="n">
        <v>0.15606936416185</v>
      </c>
      <c r="G229" s="84" t="n">
        <v>0.310344827586207</v>
      </c>
      <c r="H229" s="84" t="n">
        <v>0.332154824679687</v>
      </c>
      <c r="I229" s="84" t="n">
        <v>0.428681568914121</v>
      </c>
      <c r="J229" s="84" t="n">
        <v>0.70707557561335</v>
      </c>
      <c r="K229" s="84" t="n">
        <v>0.654315609163288</v>
      </c>
      <c r="L229" s="84" t="n">
        <v>0.816307529951564</v>
      </c>
      <c r="M229" s="84" t="n">
        <v>0.593073593073593</v>
      </c>
      <c r="N229" s="84" t="n">
        <v>0.443609022556391</v>
      </c>
      <c r="O229" s="84" t="n">
        <v>1</v>
      </c>
      <c r="P229" s="85">
        <f>AVERAGE(D229:I229)</f>
        <v/>
      </c>
      <c r="Q229" s="85">
        <f>AVERAGE(J229:L229)</f>
        <v/>
      </c>
      <c r="R229" s="85">
        <f>AVERAGE(M229:O229)</f>
        <v/>
      </c>
      <c r="S229" s="85">
        <f>'02_지표정의'!$C$22*P229+'02_지표정의'!$C$23*Q229+'02_지표정의'!$C$24*R229</f>
        <v/>
      </c>
      <c r="T229" s="73">
        <f>IF(OR(AND(B229="gemini",C229="gemma"),AND(B229="qwen3_6",C229="qwen"),AND(B229="mistral",C229="ministral")),1,0)</f>
        <v/>
      </c>
      <c r="U229" s="73">
        <f>IF(LEFT(A229,3)="PAT","특허","보고서")</f>
        <v/>
      </c>
      <c r="V229" s="86">
        <f>COUNTIF($S$2:$S$976,"&lt;"&amp;S229)+(COUNTIF($S$2:$S$976,"="&amp;S229)+1)/2</f>
        <v/>
      </c>
      <c r="W229" s="73">
        <f>IF(C229="qwen",0,COUNTIFS($C$2:$C$976,"&lt;&gt;qwen",$S$2:$S$976,"&lt;"&amp;S229)+1)</f>
        <v/>
      </c>
      <c r="X229" s="73">
        <f>IF(C229="ministral",0,COUNTIFS($C$2:$C$976,"&lt;&gt;ministral",$S$2:$S$976,"&lt;"&amp;S229)+1)</f>
        <v/>
      </c>
      <c r="Y229" s="73">
        <f>IF(C229="gemma",0,COUNTIFS($C$2:$C$976,"&lt;&gt;gemma",$S$2:$S$976,"&lt;"&amp;S229)+1)</f>
        <v/>
      </c>
      <c r="Z229" s="87">
        <f>COUNTIFS($B$2:$B$976,B229,$C$2:$C$976,C229,$S$2:$S$976,"&lt;"&amp;S229)+1</f>
        <v/>
      </c>
      <c r="AA229" s="88">
        <f>ABS(S229-SUMPRODUCT(('05B_가정검정'!$A$5:$A$19=B229)*('05B_가정검정'!$B$5:$B$19=C229)*'05B_가정검정'!$E$5:$E$19))</f>
        <v/>
      </c>
      <c r="AB229" s="88">
        <f>S229-AVERAGEIFS($S$2:$S$976,$B$2:$B$976,B229,$C$2:$C$976,C229)</f>
        <v/>
      </c>
    </row>
    <row r="230" ht="15" customHeight="1" s="68">
      <c r="A230" s="83" t="inlineStr">
        <is>
          <t>PAT-16</t>
        </is>
      </c>
      <c r="B230" s="83" t="inlineStr">
        <is>
          <t>claude</t>
        </is>
      </c>
      <c r="C230" s="83" t="inlineStr">
        <is>
          <t>gemma</t>
        </is>
      </c>
      <c r="D230" s="84" t="n">
        <v>0.166840458811262</v>
      </c>
      <c r="E230" s="84" t="n">
        <v>0.242857142857143</v>
      </c>
      <c r="F230" s="84" t="n">
        <v>0.06474820143884891</v>
      </c>
      <c r="G230" s="84" t="n">
        <v>0.178571428571429</v>
      </c>
      <c r="H230" s="84" t="n">
        <v>0.282500748404971</v>
      </c>
      <c r="I230" s="84" t="n">
        <v>0.0601168010272021</v>
      </c>
      <c r="J230" s="84" t="n">
        <v>0.686361066837072</v>
      </c>
      <c r="K230" s="84" t="n">
        <v>0.661068754183843</v>
      </c>
      <c r="L230" s="84" t="n">
        <v>0.833087035644689</v>
      </c>
      <c r="M230" s="84" t="n">
        <v>0.702479338842975</v>
      </c>
      <c r="N230" s="84" t="n">
        <v>0.73134328358209</v>
      </c>
      <c r="O230" s="84" t="n">
        <v>1</v>
      </c>
      <c r="P230" s="85">
        <f>AVERAGE(D230:I230)</f>
        <v/>
      </c>
      <c r="Q230" s="85">
        <f>AVERAGE(J230:L230)</f>
        <v/>
      </c>
      <c r="R230" s="85">
        <f>AVERAGE(M230:O230)</f>
        <v/>
      </c>
      <c r="S230" s="85">
        <f>'02_지표정의'!$C$22*P230+'02_지표정의'!$C$23*Q230+'02_지표정의'!$C$24*R230</f>
        <v/>
      </c>
      <c r="T230" s="73">
        <f>IF(OR(AND(B230="gemini",C230="gemma"),AND(B230="qwen3_6",C230="qwen"),AND(B230="mistral",C230="ministral")),1,0)</f>
        <v/>
      </c>
      <c r="U230" s="73">
        <f>IF(LEFT(A230,3)="PAT","특허","보고서")</f>
        <v/>
      </c>
      <c r="V230" s="86">
        <f>COUNTIF($S$2:$S$976,"&lt;"&amp;S230)+(COUNTIF($S$2:$S$976,"="&amp;S230)+1)/2</f>
        <v/>
      </c>
      <c r="W230" s="73">
        <f>IF(C230="qwen",0,COUNTIFS($C$2:$C$976,"&lt;&gt;qwen",$S$2:$S$976,"&lt;"&amp;S230)+1)</f>
        <v/>
      </c>
      <c r="X230" s="73">
        <f>IF(C230="ministral",0,COUNTIFS($C$2:$C$976,"&lt;&gt;ministral",$S$2:$S$976,"&lt;"&amp;S230)+1)</f>
        <v/>
      </c>
      <c r="Y230" s="73">
        <f>IF(C230="gemma",0,COUNTIFS($C$2:$C$976,"&lt;&gt;gemma",$S$2:$S$976,"&lt;"&amp;S230)+1)</f>
        <v/>
      </c>
      <c r="Z230" s="87">
        <f>COUNTIFS($B$2:$B$976,B230,$C$2:$C$976,C230,$S$2:$S$976,"&lt;"&amp;S230)+1</f>
        <v/>
      </c>
      <c r="AA230" s="88">
        <f>ABS(S230-SUMPRODUCT(('05B_가정검정'!$A$5:$A$19=B230)*('05B_가정검정'!$B$5:$B$19=C230)*'05B_가정검정'!$E$5:$E$19))</f>
        <v/>
      </c>
      <c r="AB230" s="88">
        <f>S230-AVERAGEIFS($S$2:$S$976,$B$2:$B$976,B230,$C$2:$C$976,C230)</f>
        <v/>
      </c>
    </row>
    <row r="231" ht="15" customHeight="1" s="68">
      <c r="A231" s="83" t="inlineStr">
        <is>
          <t>PAT-16</t>
        </is>
      </c>
      <c r="B231" s="83" t="inlineStr">
        <is>
          <t>claude</t>
        </is>
      </c>
      <c r="C231" s="83" t="inlineStr">
        <is>
          <t>ministral</t>
        </is>
      </c>
      <c r="D231" s="84" t="n">
        <v>0.247191011235955</v>
      </c>
      <c r="E231" s="84" t="n">
        <v>0.294906166219839</v>
      </c>
      <c r="F231" s="84" t="n">
        <v>0.0754716981132076</v>
      </c>
      <c r="G231" s="84" t="n">
        <v>0.176943699731904</v>
      </c>
      <c r="H231" s="84" t="n">
        <v>0.201458965198069</v>
      </c>
      <c r="I231" s="84" t="n">
        <v>0.148240778318389</v>
      </c>
      <c r="J231" s="84" t="n">
        <v>0.659815027593964</v>
      </c>
      <c r="K231" s="84" t="n">
        <v>0.645077699359036</v>
      </c>
      <c r="L231" s="84" t="n">
        <v>0.8102952075083431</v>
      </c>
      <c r="M231" s="84" t="n">
        <v>0.389261744966443</v>
      </c>
      <c r="N231" s="84" t="n">
        <v>0.219512195121951</v>
      </c>
      <c r="O231" s="84" t="n">
        <v>0.526315789473684</v>
      </c>
      <c r="P231" s="85">
        <f>AVERAGE(D231:I231)</f>
        <v/>
      </c>
      <c r="Q231" s="85">
        <f>AVERAGE(J231:L231)</f>
        <v/>
      </c>
      <c r="R231" s="85">
        <f>AVERAGE(M231:O231)</f>
        <v/>
      </c>
      <c r="S231" s="85">
        <f>'02_지표정의'!$C$22*P231+'02_지표정의'!$C$23*Q231+'02_지표정의'!$C$24*R231</f>
        <v/>
      </c>
      <c r="T231" s="73">
        <f>IF(OR(AND(B231="gemini",C231="gemma"),AND(B231="qwen3_6",C231="qwen"),AND(B231="mistral",C231="ministral")),1,0)</f>
        <v/>
      </c>
      <c r="U231" s="73">
        <f>IF(LEFT(A231,3)="PAT","특허","보고서")</f>
        <v/>
      </c>
      <c r="V231" s="86">
        <f>COUNTIF($S$2:$S$976,"&lt;"&amp;S231)+(COUNTIF($S$2:$S$976,"="&amp;S231)+1)/2</f>
        <v/>
      </c>
      <c r="W231" s="73">
        <f>IF(C231="qwen",0,COUNTIFS($C$2:$C$976,"&lt;&gt;qwen",$S$2:$S$976,"&lt;"&amp;S231)+1)</f>
        <v/>
      </c>
      <c r="X231" s="73">
        <f>IF(C231="ministral",0,COUNTIFS($C$2:$C$976,"&lt;&gt;ministral",$S$2:$S$976,"&lt;"&amp;S231)+1)</f>
        <v/>
      </c>
      <c r="Y231" s="73">
        <f>IF(C231="gemma",0,COUNTIFS($C$2:$C$976,"&lt;&gt;gemma",$S$2:$S$976,"&lt;"&amp;S231)+1)</f>
        <v/>
      </c>
      <c r="Z231" s="87">
        <f>COUNTIFS($B$2:$B$976,B231,$C$2:$C$976,C231,$S$2:$S$976,"&lt;"&amp;S231)+1</f>
        <v/>
      </c>
      <c r="AA231" s="88">
        <f>ABS(S231-SUMPRODUCT(('05B_가정검정'!$A$5:$A$19=B231)*('05B_가정검정'!$B$5:$B$19=C231)*'05B_가정검정'!$E$5:$E$19))</f>
        <v/>
      </c>
      <c r="AB231" s="88">
        <f>S231-AVERAGEIFS($S$2:$S$976,$B$2:$B$976,B231,$C$2:$C$976,C231)</f>
        <v/>
      </c>
    </row>
    <row r="232" ht="15" customHeight="1" s="68">
      <c r="A232" s="83" t="inlineStr">
        <is>
          <t>PAT-16</t>
        </is>
      </c>
      <c r="B232" s="83" t="inlineStr">
        <is>
          <t>claude</t>
        </is>
      </c>
      <c r="C232" s="83" t="inlineStr">
        <is>
          <t>qwen</t>
        </is>
      </c>
      <c r="D232" s="84" t="n">
        <v>0.309299895506792</v>
      </c>
      <c r="E232" s="84" t="n">
        <v>0.451790633608815</v>
      </c>
      <c r="F232" s="84" t="n">
        <v>0.221606648199446</v>
      </c>
      <c r="G232" s="84" t="n">
        <v>0.303030303030303</v>
      </c>
      <c r="H232" s="84" t="n">
        <v>0.299175555348272</v>
      </c>
      <c r="I232" s="84" t="n">
        <v>0.582040444641003</v>
      </c>
      <c r="J232" s="84" t="n">
        <v>0.717161778932522</v>
      </c>
      <c r="K232" s="84" t="n">
        <v>0.710364922088477</v>
      </c>
      <c r="L232" s="84" t="n">
        <v>0.835390284775866</v>
      </c>
      <c r="M232" s="84" t="n">
        <v>0.429223744292237</v>
      </c>
      <c r="N232" s="84" t="n">
        <v>0.358974358974359</v>
      </c>
      <c r="O232" s="84" t="n">
        <v>1</v>
      </c>
      <c r="P232" s="85">
        <f>AVERAGE(D232:I232)</f>
        <v/>
      </c>
      <c r="Q232" s="85">
        <f>AVERAGE(J232:L232)</f>
        <v/>
      </c>
      <c r="R232" s="85">
        <f>AVERAGE(M232:O232)</f>
        <v/>
      </c>
      <c r="S232" s="85">
        <f>'02_지표정의'!$C$22*P232+'02_지표정의'!$C$23*Q232+'02_지표정의'!$C$24*R232</f>
        <v/>
      </c>
      <c r="T232" s="73">
        <f>IF(OR(AND(B232="gemini",C232="gemma"),AND(B232="qwen3_6",C232="qwen"),AND(B232="mistral",C232="ministral")),1,0)</f>
        <v/>
      </c>
      <c r="U232" s="73">
        <f>IF(LEFT(A232,3)="PAT","특허","보고서")</f>
        <v/>
      </c>
      <c r="V232" s="86">
        <f>COUNTIF($S$2:$S$976,"&lt;"&amp;S232)+(COUNTIF($S$2:$S$976,"="&amp;S232)+1)/2</f>
        <v/>
      </c>
      <c r="W232" s="73">
        <f>IF(C232="qwen",0,COUNTIFS($C$2:$C$976,"&lt;&gt;qwen",$S$2:$S$976,"&lt;"&amp;S232)+1)</f>
        <v/>
      </c>
      <c r="X232" s="73">
        <f>IF(C232="ministral",0,COUNTIFS($C$2:$C$976,"&lt;&gt;ministral",$S$2:$S$976,"&lt;"&amp;S232)+1)</f>
        <v/>
      </c>
      <c r="Y232" s="73">
        <f>IF(C232="gemma",0,COUNTIFS($C$2:$C$976,"&lt;&gt;gemma",$S$2:$S$976,"&lt;"&amp;S232)+1)</f>
        <v/>
      </c>
      <c r="Z232" s="87">
        <f>COUNTIFS($B$2:$B$976,B232,$C$2:$C$976,C232,$S$2:$S$976,"&lt;"&amp;S232)+1</f>
        <v/>
      </c>
      <c r="AA232" s="88">
        <f>ABS(S232-SUMPRODUCT(('05B_가정검정'!$A$5:$A$19=B232)*('05B_가정검정'!$B$5:$B$19=C232)*'05B_가정검정'!$E$5:$E$19))</f>
        <v/>
      </c>
      <c r="AB232" s="88">
        <f>S232-AVERAGEIFS($S$2:$S$976,$B$2:$B$976,B232,$C$2:$C$976,C232)</f>
        <v/>
      </c>
    </row>
    <row r="233" ht="15" customHeight="1" s="68">
      <c r="A233" s="83" t="inlineStr">
        <is>
          <t>PAT-16</t>
        </is>
      </c>
      <c r="B233" s="83" t="inlineStr">
        <is>
          <t>gemini</t>
        </is>
      </c>
      <c r="C233" s="83" t="inlineStr">
        <is>
          <t>gemma</t>
        </is>
      </c>
      <c r="D233" s="84" t="n">
        <v>0.187245590230665</v>
      </c>
      <c r="E233" s="84" t="n">
        <v>0.306930693069307</v>
      </c>
      <c r="F233" s="84" t="n">
        <v>0.1</v>
      </c>
      <c r="G233" s="84" t="n">
        <v>0.237623762376238</v>
      </c>
      <c r="H233" s="84" t="n">
        <v>0.245290331208188</v>
      </c>
      <c r="I233" s="84" t="n">
        <v>0.0714789201856019</v>
      </c>
      <c r="J233" s="84" t="n">
        <v>0.714239489657996</v>
      </c>
      <c r="K233" s="84" t="n">
        <v>0.758918263310169</v>
      </c>
      <c r="L233" s="84" t="n">
        <v>0.877847812054563</v>
      </c>
      <c r="M233" s="84" t="n">
        <v>0.906542056074766</v>
      </c>
      <c r="N233" s="84" t="n">
        <v>0.916666666666667</v>
      </c>
      <c r="O233" s="84" t="n">
        <v>1</v>
      </c>
      <c r="P233" s="85">
        <f>AVERAGE(D233:I233)</f>
        <v/>
      </c>
      <c r="Q233" s="85">
        <f>AVERAGE(J233:L233)</f>
        <v/>
      </c>
      <c r="R233" s="85">
        <f>AVERAGE(M233:O233)</f>
        <v/>
      </c>
      <c r="S233" s="85">
        <f>'02_지표정의'!$C$22*P233+'02_지표정의'!$C$23*Q233+'02_지표정의'!$C$24*R233</f>
        <v/>
      </c>
      <c r="T233" s="73">
        <f>IF(OR(AND(B233="gemini",C233="gemma"),AND(B233="qwen3_6",C233="qwen"),AND(B233="mistral",C233="ministral")),1,0)</f>
        <v/>
      </c>
      <c r="U233" s="73">
        <f>IF(LEFT(A233,3)="PAT","특허","보고서")</f>
        <v/>
      </c>
      <c r="V233" s="86">
        <f>COUNTIF($S$2:$S$976,"&lt;"&amp;S233)+(COUNTIF($S$2:$S$976,"="&amp;S233)+1)/2</f>
        <v/>
      </c>
      <c r="W233" s="73">
        <f>IF(C233="qwen",0,COUNTIFS($C$2:$C$976,"&lt;&gt;qwen",$S$2:$S$976,"&lt;"&amp;S233)+1)</f>
        <v/>
      </c>
      <c r="X233" s="73">
        <f>IF(C233="ministral",0,COUNTIFS($C$2:$C$976,"&lt;&gt;ministral",$S$2:$S$976,"&lt;"&amp;S233)+1)</f>
        <v/>
      </c>
      <c r="Y233" s="73">
        <f>IF(C233="gemma",0,COUNTIFS($C$2:$C$976,"&lt;&gt;gemma",$S$2:$S$976,"&lt;"&amp;S233)+1)</f>
        <v/>
      </c>
      <c r="Z233" s="87">
        <f>COUNTIFS($B$2:$B$976,B233,$C$2:$C$976,C233,$S$2:$S$976,"&lt;"&amp;S233)+1</f>
        <v/>
      </c>
      <c r="AA233" s="88">
        <f>ABS(S233-SUMPRODUCT(('05B_가정검정'!$A$5:$A$19=B233)*('05B_가정검정'!$B$5:$B$19=C233)*'05B_가정검정'!$E$5:$E$19))</f>
        <v/>
      </c>
      <c r="AB233" s="88">
        <f>S233-AVERAGEIFS($S$2:$S$976,$B$2:$B$976,B233,$C$2:$C$976,C233)</f>
        <v/>
      </c>
    </row>
    <row r="234" ht="15" customHeight="1" s="68">
      <c r="A234" s="83" t="inlineStr">
        <is>
          <t>PAT-16</t>
        </is>
      </c>
      <c r="B234" s="83" t="inlineStr">
        <is>
          <t>gemini</t>
        </is>
      </c>
      <c r="C234" s="83" t="inlineStr">
        <is>
          <t>ministral</t>
        </is>
      </c>
      <c r="D234" s="84" t="n">
        <v>0.236526946107784</v>
      </c>
      <c r="E234" s="84" t="n">
        <v>0.298305084745763</v>
      </c>
      <c r="F234" s="84" t="n">
        <v>0.0819112627986348</v>
      </c>
      <c r="G234" s="84" t="n">
        <v>0.203389830508475</v>
      </c>
      <c r="H234" s="84" t="n">
        <v>0.178045088748191</v>
      </c>
      <c r="I234" s="84" t="n">
        <v>0.135800992956403</v>
      </c>
      <c r="J234" s="84" t="n">
        <v>0.675904461816768</v>
      </c>
      <c r="K234" s="84" t="n">
        <v>0.77587243606061</v>
      </c>
      <c r="L234" s="84" t="n">
        <v>0.88780640679497</v>
      </c>
      <c r="M234" s="84" t="n">
        <v>0.325503355704698</v>
      </c>
      <c r="N234" s="84" t="n">
        <v>0.300813008130081</v>
      </c>
      <c r="O234" s="84" t="n">
        <v>0.526315789473684</v>
      </c>
      <c r="P234" s="85">
        <f>AVERAGE(D234:I234)</f>
        <v/>
      </c>
      <c r="Q234" s="85">
        <f>AVERAGE(J234:L234)</f>
        <v/>
      </c>
      <c r="R234" s="85">
        <f>AVERAGE(M234:O234)</f>
        <v/>
      </c>
      <c r="S234" s="85">
        <f>'02_지표정의'!$C$22*P234+'02_지표정의'!$C$23*Q234+'02_지표정의'!$C$24*R234</f>
        <v/>
      </c>
      <c r="T234" s="73">
        <f>IF(OR(AND(B234="gemini",C234="gemma"),AND(B234="qwen3_6",C234="qwen"),AND(B234="mistral",C234="ministral")),1,0)</f>
        <v/>
      </c>
      <c r="U234" s="73">
        <f>IF(LEFT(A234,3)="PAT","특허","보고서")</f>
        <v/>
      </c>
      <c r="V234" s="86">
        <f>COUNTIF($S$2:$S$976,"&lt;"&amp;S234)+(COUNTIF($S$2:$S$976,"="&amp;S234)+1)/2</f>
        <v/>
      </c>
      <c r="W234" s="73">
        <f>IF(C234="qwen",0,COUNTIFS($C$2:$C$976,"&lt;&gt;qwen",$S$2:$S$976,"&lt;"&amp;S234)+1)</f>
        <v/>
      </c>
      <c r="X234" s="73">
        <f>IF(C234="ministral",0,COUNTIFS($C$2:$C$976,"&lt;&gt;ministral",$S$2:$S$976,"&lt;"&amp;S234)+1)</f>
        <v/>
      </c>
      <c r="Y234" s="73">
        <f>IF(C234="gemma",0,COUNTIFS($C$2:$C$976,"&lt;&gt;gemma",$S$2:$S$976,"&lt;"&amp;S234)+1)</f>
        <v/>
      </c>
      <c r="Z234" s="87">
        <f>COUNTIFS($B$2:$B$976,B234,$C$2:$C$976,C234,$S$2:$S$976,"&lt;"&amp;S234)+1</f>
        <v/>
      </c>
      <c r="AA234" s="88">
        <f>ABS(S234-SUMPRODUCT(('05B_가정검정'!$A$5:$A$19=B234)*('05B_가정검정'!$B$5:$B$19=C234)*'05B_가정검정'!$E$5:$E$19))</f>
        <v/>
      </c>
      <c r="AB234" s="88">
        <f>S234-AVERAGEIFS($S$2:$S$976,$B$2:$B$976,B234,$C$2:$C$976,C234)</f>
        <v/>
      </c>
    </row>
    <row r="235" ht="15" customHeight="1" s="68">
      <c r="A235" s="83" t="inlineStr">
        <is>
          <t>PAT-16</t>
        </is>
      </c>
      <c r="B235" s="83" t="inlineStr">
        <is>
          <t>gemini</t>
        </is>
      </c>
      <c r="C235" s="83" t="inlineStr">
        <is>
          <t>qwen</t>
        </is>
      </c>
      <c r="D235" s="84" t="n">
        <v>0.312925170068027</v>
      </c>
      <c r="E235" s="84" t="n">
        <v>0.329824561403509</v>
      </c>
      <c r="F235" s="84" t="n">
        <v>0.176678445229682</v>
      </c>
      <c r="G235" s="84" t="n">
        <v>0.273684210526316</v>
      </c>
      <c r="H235" s="84" t="n">
        <v>0.223326066605193</v>
      </c>
      <c r="I235" s="84" t="n">
        <v>0.563001488738</v>
      </c>
      <c r="J235" s="84" t="n">
        <v>0.763615454280889</v>
      </c>
      <c r="K235" s="84" t="n">
        <v>0.808028680560575</v>
      </c>
      <c r="L235" s="84" t="n">
        <v>0.909135922388504</v>
      </c>
      <c r="M235" s="84" t="n">
        <v>0.442922374429224</v>
      </c>
      <c r="N235" s="84" t="n">
        <v>0.47008547008547</v>
      </c>
      <c r="O235" s="84" t="n">
        <v>1</v>
      </c>
      <c r="P235" s="85">
        <f>AVERAGE(D235:I235)</f>
        <v/>
      </c>
      <c r="Q235" s="85">
        <f>AVERAGE(J235:L235)</f>
        <v/>
      </c>
      <c r="R235" s="85">
        <f>AVERAGE(M235:O235)</f>
        <v/>
      </c>
      <c r="S235" s="85">
        <f>'02_지표정의'!$C$22*P235+'02_지표정의'!$C$23*Q235+'02_지표정의'!$C$24*R235</f>
        <v/>
      </c>
      <c r="T235" s="73">
        <f>IF(OR(AND(B235="gemini",C235="gemma"),AND(B235="qwen3_6",C235="qwen"),AND(B235="mistral",C235="ministral")),1,0)</f>
        <v/>
      </c>
      <c r="U235" s="73">
        <f>IF(LEFT(A235,3)="PAT","특허","보고서")</f>
        <v/>
      </c>
      <c r="V235" s="86">
        <f>COUNTIF($S$2:$S$976,"&lt;"&amp;S235)+(COUNTIF($S$2:$S$976,"="&amp;S235)+1)/2</f>
        <v/>
      </c>
      <c r="W235" s="73">
        <f>IF(C235="qwen",0,COUNTIFS($C$2:$C$976,"&lt;&gt;qwen",$S$2:$S$976,"&lt;"&amp;S235)+1)</f>
        <v/>
      </c>
      <c r="X235" s="73">
        <f>IF(C235="ministral",0,COUNTIFS($C$2:$C$976,"&lt;&gt;ministral",$S$2:$S$976,"&lt;"&amp;S235)+1)</f>
        <v/>
      </c>
      <c r="Y235" s="73">
        <f>IF(C235="gemma",0,COUNTIFS($C$2:$C$976,"&lt;&gt;gemma",$S$2:$S$976,"&lt;"&amp;S235)+1)</f>
        <v/>
      </c>
      <c r="Z235" s="87">
        <f>COUNTIFS($B$2:$B$976,B235,$C$2:$C$976,C235,$S$2:$S$976,"&lt;"&amp;S235)+1</f>
        <v/>
      </c>
      <c r="AA235" s="88">
        <f>ABS(S235-SUMPRODUCT(('05B_가정검정'!$A$5:$A$19=B235)*('05B_가정검정'!$B$5:$B$19=C235)*'05B_가정검정'!$E$5:$E$19))</f>
        <v/>
      </c>
      <c r="AB235" s="88">
        <f>S235-AVERAGEIFS($S$2:$S$976,$B$2:$B$976,B235,$C$2:$C$976,C235)</f>
        <v/>
      </c>
    </row>
    <row r="236" ht="15" customHeight="1" s="68">
      <c r="A236" s="83" t="inlineStr">
        <is>
          <t>PAT-16</t>
        </is>
      </c>
      <c r="B236" s="83" t="inlineStr">
        <is>
          <t>mistral</t>
        </is>
      </c>
      <c r="C236" s="83" t="inlineStr">
        <is>
          <t>gemma</t>
        </is>
      </c>
      <c r="D236" s="84" t="n">
        <v>0.205263157894737</v>
      </c>
      <c r="E236" s="84" t="n">
        <v>0.271604938271605</v>
      </c>
      <c r="F236" s="84" t="n">
        <v>0.0912863070539419</v>
      </c>
      <c r="G236" s="84" t="n">
        <v>0.213991769547325</v>
      </c>
      <c r="H236" s="84" t="n">
        <v>0.263110480809377</v>
      </c>
      <c r="I236" s="84" t="n">
        <v>0.0867802064602002</v>
      </c>
      <c r="J236" s="84" t="n">
        <v>0.675266355883735</v>
      </c>
      <c r="K236" s="84" t="n">
        <v>0.684451183211905</v>
      </c>
      <c r="L236" s="84" t="n">
        <v>0.8576659844704601</v>
      </c>
      <c r="M236" s="84" t="n">
        <v>0.514450867052023</v>
      </c>
      <c r="N236" s="84" t="n">
        <v>0.563218390804598</v>
      </c>
      <c r="O236" s="84" t="n">
        <v>1</v>
      </c>
      <c r="P236" s="85">
        <f>AVERAGE(D236:I236)</f>
        <v/>
      </c>
      <c r="Q236" s="85">
        <f>AVERAGE(J236:L236)</f>
        <v/>
      </c>
      <c r="R236" s="85">
        <f>AVERAGE(M236:O236)</f>
        <v/>
      </c>
      <c r="S236" s="85">
        <f>'02_지표정의'!$C$22*P236+'02_지표정의'!$C$23*Q236+'02_지표정의'!$C$24*R236</f>
        <v/>
      </c>
      <c r="T236" s="73">
        <f>IF(OR(AND(B236="gemini",C236="gemma"),AND(B236="qwen3_6",C236="qwen"),AND(B236="mistral",C236="ministral")),1,0)</f>
        <v/>
      </c>
      <c r="U236" s="73">
        <f>IF(LEFT(A236,3)="PAT","특허","보고서")</f>
        <v/>
      </c>
      <c r="V236" s="86">
        <f>COUNTIF($S$2:$S$976,"&lt;"&amp;S236)+(COUNTIF($S$2:$S$976,"="&amp;S236)+1)/2</f>
        <v/>
      </c>
      <c r="W236" s="73">
        <f>IF(C236="qwen",0,COUNTIFS($C$2:$C$976,"&lt;&gt;qwen",$S$2:$S$976,"&lt;"&amp;S236)+1)</f>
        <v/>
      </c>
      <c r="X236" s="73">
        <f>IF(C236="ministral",0,COUNTIFS($C$2:$C$976,"&lt;&gt;ministral",$S$2:$S$976,"&lt;"&amp;S236)+1)</f>
        <v/>
      </c>
      <c r="Y236" s="73">
        <f>IF(C236="gemma",0,COUNTIFS($C$2:$C$976,"&lt;&gt;gemma",$S$2:$S$976,"&lt;"&amp;S236)+1)</f>
        <v/>
      </c>
      <c r="Z236" s="87">
        <f>COUNTIFS($B$2:$B$976,B236,$C$2:$C$976,C236,$S$2:$S$976,"&lt;"&amp;S236)+1</f>
        <v/>
      </c>
      <c r="AA236" s="88">
        <f>ABS(S236-SUMPRODUCT(('05B_가정검정'!$A$5:$A$19=B236)*('05B_가정검정'!$B$5:$B$19=C236)*'05B_가정검정'!$E$5:$E$19))</f>
        <v/>
      </c>
      <c r="AB236" s="88">
        <f>S236-AVERAGEIFS($S$2:$S$976,$B$2:$B$976,B236,$C$2:$C$976,C236)</f>
        <v/>
      </c>
    </row>
    <row r="237" ht="15" customHeight="1" s="68">
      <c r="A237" s="83" t="inlineStr">
        <is>
          <t>PAT-16</t>
        </is>
      </c>
      <c r="B237" s="83" t="inlineStr">
        <is>
          <t>mistral</t>
        </is>
      </c>
      <c r="C237" s="83" t="inlineStr">
        <is>
          <t>ministral</t>
        </is>
      </c>
      <c r="D237" s="84" t="n">
        <v>0.309696092619392</v>
      </c>
      <c r="E237" s="84" t="n">
        <v>0.333333333333333</v>
      </c>
      <c r="F237" s="84" t="n">
        <v>0.107784431137725</v>
      </c>
      <c r="G237" s="84" t="n">
        <v>0.196428571428571</v>
      </c>
      <c r="H237" s="84" t="n">
        <v>0.254504294748575</v>
      </c>
      <c r="I237" s="84" t="n">
        <v>0.205344731103963</v>
      </c>
      <c r="J237" s="84" t="n">
        <v>0.678271967851696</v>
      </c>
      <c r="K237" s="84" t="n">
        <v>0.70090566014818</v>
      </c>
      <c r="L237" s="84" t="n">
        <v>0.8390167882017729</v>
      </c>
      <c r="M237" s="84" t="n">
        <v>0.456375838926175</v>
      </c>
      <c r="N237" s="84" t="n">
        <v>0.260162601626016</v>
      </c>
      <c r="O237" s="84" t="n">
        <v>0.526315789473684</v>
      </c>
      <c r="P237" s="85">
        <f>AVERAGE(D237:I237)</f>
        <v/>
      </c>
      <c r="Q237" s="85">
        <f>AVERAGE(J237:L237)</f>
        <v/>
      </c>
      <c r="R237" s="85">
        <f>AVERAGE(M237:O237)</f>
        <v/>
      </c>
      <c r="S237" s="85">
        <f>'02_지표정의'!$C$22*P237+'02_지표정의'!$C$23*Q237+'02_지표정의'!$C$24*R237</f>
        <v/>
      </c>
      <c r="T237" s="73">
        <f>IF(OR(AND(B237="gemini",C237="gemma"),AND(B237="qwen3_6",C237="qwen"),AND(B237="mistral",C237="ministral")),1,0)</f>
        <v/>
      </c>
      <c r="U237" s="73">
        <f>IF(LEFT(A237,3)="PAT","특허","보고서")</f>
        <v/>
      </c>
      <c r="V237" s="86">
        <f>COUNTIF($S$2:$S$976,"&lt;"&amp;S237)+(COUNTIF($S$2:$S$976,"="&amp;S237)+1)/2</f>
        <v/>
      </c>
      <c r="W237" s="73">
        <f>IF(C237="qwen",0,COUNTIFS($C$2:$C$976,"&lt;&gt;qwen",$S$2:$S$976,"&lt;"&amp;S237)+1)</f>
        <v/>
      </c>
      <c r="X237" s="73">
        <f>IF(C237="ministral",0,COUNTIFS($C$2:$C$976,"&lt;&gt;ministral",$S$2:$S$976,"&lt;"&amp;S237)+1)</f>
        <v/>
      </c>
      <c r="Y237" s="73">
        <f>IF(C237="gemma",0,COUNTIFS($C$2:$C$976,"&lt;&gt;gemma",$S$2:$S$976,"&lt;"&amp;S237)+1)</f>
        <v/>
      </c>
      <c r="Z237" s="87">
        <f>COUNTIFS($B$2:$B$976,B237,$C$2:$C$976,C237,$S$2:$S$976,"&lt;"&amp;S237)+1</f>
        <v/>
      </c>
      <c r="AA237" s="88">
        <f>ABS(S237-SUMPRODUCT(('05B_가정검정'!$A$5:$A$19=B237)*('05B_가정검정'!$B$5:$B$19=C237)*'05B_가정검정'!$E$5:$E$19))</f>
        <v/>
      </c>
      <c r="AB237" s="88">
        <f>S237-AVERAGEIFS($S$2:$S$976,$B$2:$B$976,B237,$C$2:$C$976,C237)</f>
        <v/>
      </c>
    </row>
    <row r="238" ht="15" customHeight="1" s="68">
      <c r="A238" s="83" t="inlineStr">
        <is>
          <t>PAT-16</t>
        </is>
      </c>
      <c r="B238" s="83" t="inlineStr">
        <is>
          <t>mistral</t>
        </is>
      </c>
      <c r="C238" s="83" t="inlineStr">
        <is>
          <t>qwen</t>
        </is>
      </c>
      <c r="D238" s="84" t="n">
        <v>0.364116094986807</v>
      </c>
      <c r="E238" s="84" t="n">
        <v>0.521472392638037</v>
      </c>
      <c r="F238" s="84" t="n">
        <v>0.277777777777778</v>
      </c>
      <c r="G238" s="84" t="n">
        <v>0.325153374233129</v>
      </c>
      <c r="H238" s="84" t="n">
        <v>0.292770244631749</v>
      </c>
      <c r="I238" s="84" t="n">
        <v>0.679454924959885</v>
      </c>
      <c r="J238" s="84" t="n">
        <v>0.733172810458934</v>
      </c>
      <c r="K238" s="84" t="n">
        <v>0.71188412960374</v>
      </c>
      <c r="L238" s="84" t="n">
        <v>0.841733628576902</v>
      </c>
      <c r="M238" s="84" t="n">
        <v>0.488584474885845</v>
      </c>
      <c r="N238" s="84" t="n">
        <v>0.316239316239316</v>
      </c>
      <c r="O238" s="84" t="n">
        <v>1</v>
      </c>
      <c r="P238" s="85">
        <f>AVERAGE(D238:I238)</f>
        <v/>
      </c>
      <c r="Q238" s="85">
        <f>AVERAGE(J238:L238)</f>
        <v/>
      </c>
      <c r="R238" s="85">
        <f>AVERAGE(M238:O238)</f>
        <v/>
      </c>
      <c r="S238" s="85">
        <f>'02_지표정의'!$C$22*P238+'02_지표정의'!$C$23*Q238+'02_지표정의'!$C$24*R238</f>
        <v/>
      </c>
      <c r="T238" s="73">
        <f>IF(OR(AND(B238="gemini",C238="gemma"),AND(B238="qwen3_6",C238="qwen"),AND(B238="mistral",C238="ministral")),1,0)</f>
        <v/>
      </c>
      <c r="U238" s="73">
        <f>IF(LEFT(A238,3)="PAT","특허","보고서")</f>
        <v/>
      </c>
      <c r="V238" s="86">
        <f>COUNTIF($S$2:$S$976,"&lt;"&amp;S238)+(COUNTIF($S$2:$S$976,"="&amp;S238)+1)/2</f>
        <v/>
      </c>
      <c r="W238" s="73">
        <f>IF(C238="qwen",0,COUNTIFS($C$2:$C$976,"&lt;&gt;qwen",$S$2:$S$976,"&lt;"&amp;S238)+1)</f>
        <v/>
      </c>
      <c r="X238" s="73">
        <f>IF(C238="ministral",0,COUNTIFS($C$2:$C$976,"&lt;&gt;ministral",$S$2:$S$976,"&lt;"&amp;S238)+1)</f>
        <v/>
      </c>
      <c r="Y238" s="73">
        <f>IF(C238="gemma",0,COUNTIFS($C$2:$C$976,"&lt;&gt;gemma",$S$2:$S$976,"&lt;"&amp;S238)+1)</f>
        <v/>
      </c>
      <c r="Z238" s="87">
        <f>COUNTIFS($B$2:$B$976,B238,$C$2:$C$976,C238,$S$2:$S$976,"&lt;"&amp;S238)+1</f>
        <v/>
      </c>
      <c r="AA238" s="88">
        <f>ABS(S238-SUMPRODUCT(('05B_가정검정'!$A$5:$A$19=B238)*('05B_가정검정'!$B$5:$B$19=C238)*'05B_가정검정'!$E$5:$E$19))</f>
        <v/>
      </c>
      <c r="AB238" s="88">
        <f>S238-AVERAGEIFS($S$2:$S$976,$B$2:$B$976,B238,$C$2:$C$976,C238)</f>
        <v/>
      </c>
    </row>
    <row r="239" ht="15" customHeight="1" s="68">
      <c r="A239" s="83" t="inlineStr">
        <is>
          <t>PAT-16</t>
        </is>
      </c>
      <c r="B239" s="83" t="inlineStr">
        <is>
          <t>qwen3_6</t>
        </is>
      </c>
      <c r="C239" s="83" t="inlineStr">
        <is>
          <t>gemma</t>
        </is>
      </c>
      <c r="D239" s="84" t="n">
        <v>0.210268948655257</v>
      </c>
      <c r="E239" s="84" t="n">
        <v>0.290598290598291</v>
      </c>
      <c r="F239" s="84" t="n">
        <v>0.112068965517241</v>
      </c>
      <c r="G239" s="84" t="n">
        <v>0.256410256410256</v>
      </c>
      <c r="H239" s="84" t="n">
        <v>0.317600037775865</v>
      </c>
      <c r="I239" s="84" t="n">
        <v>0.059223239258623</v>
      </c>
      <c r="J239" s="84" t="n">
        <v>0.692333286241004</v>
      </c>
      <c r="K239" s="84" t="n">
        <v>0.630767777247634</v>
      </c>
      <c r="L239" s="84" t="n">
        <v>0.834063622811089</v>
      </c>
      <c r="M239" s="84" t="n">
        <v>0.906542056074766</v>
      </c>
      <c r="N239" s="84" t="n">
        <v>0.916666666666667</v>
      </c>
      <c r="O239" s="84" t="n">
        <v>1</v>
      </c>
      <c r="P239" s="85">
        <f>AVERAGE(D239:I239)</f>
        <v/>
      </c>
      <c r="Q239" s="85">
        <f>AVERAGE(J239:L239)</f>
        <v/>
      </c>
      <c r="R239" s="85">
        <f>AVERAGE(M239:O239)</f>
        <v/>
      </c>
      <c r="S239" s="85">
        <f>'02_지표정의'!$C$22*P239+'02_지표정의'!$C$23*Q239+'02_지표정의'!$C$24*R239</f>
        <v/>
      </c>
      <c r="T239" s="73">
        <f>IF(OR(AND(B239="gemini",C239="gemma"),AND(B239="qwen3_6",C239="qwen"),AND(B239="mistral",C239="ministral")),1,0)</f>
        <v/>
      </c>
      <c r="U239" s="73">
        <f>IF(LEFT(A239,3)="PAT","특허","보고서")</f>
        <v/>
      </c>
      <c r="V239" s="86">
        <f>COUNTIF($S$2:$S$976,"&lt;"&amp;S239)+(COUNTIF($S$2:$S$976,"="&amp;S239)+1)/2</f>
        <v/>
      </c>
      <c r="W239" s="73">
        <f>IF(C239="qwen",0,COUNTIFS($C$2:$C$976,"&lt;&gt;qwen",$S$2:$S$976,"&lt;"&amp;S239)+1)</f>
        <v/>
      </c>
      <c r="X239" s="73">
        <f>IF(C239="ministral",0,COUNTIFS($C$2:$C$976,"&lt;&gt;ministral",$S$2:$S$976,"&lt;"&amp;S239)+1)</f>
        <v/>
      </c>
      <c r="Y239" s="73">
        <f>IF(C239="gemma",0,COUNTIFS($C$2:$C$976,"&lt;&gt;gemma",$S$2:$S$976,"&lt;"&amp;S239)+1)</f>
        <v/>
      </c>
      <c r="Z239" s="87">
        <f>COUNTIFS($B$2:$B$976,B239,$C$2:$C$976,C239,$S$2:$S$976,"&lt;"&amp;S239)+1</f>
        <v/>
      </c>
      <c r="AA239" s="88">
        <f>ABS(S239-SUMPRODUCT(('05B_가정검정'!$A$5:$A$19=B239)*('05B_가정검정'!$B$5:$B$19=C239)*'05B_가정검정'!$E$5:$E$19))</f>
        <v/>
      </c>
      <c r="AB239" s="88">
        <f>S239-AVERAGEIFS($S$2:$S$976,$B$2:$B$976,B239,$C$2:$C$976,C239)</f>
        <v/>
      </c>
    </row>
    <row r="240" ht="15" customHeight="1" s="68">
      <c r="A240" s="83" t="inlineStr">
        <is>
          <t>PAT-16</t>
        </is>
      </c>
      <c r="B240" s="83" t="inlineStr">
        <is>
          <t>qwen3_6</t>
        </is>
      </c>
      <c r="C240" s="83" t="inlineStr">
        <is>
          <t>ministral</t>
        </is>
      </c>
      <c r="D240" s="84" t="n">
        <v>0.240320427236315</v>
      </c>
      <c r="E240" s="84" t="n">
        <v>0.311926605504587</v>
      </c>
      <c r="F240" s="84" t="n">
        <v>0.0923076923076923</v>
      </c>
      <c r="G240" s="84" t="n">
        <v>0.207951070336391</v>
      </c>
      <c r="H240" s="84" t="n">
        <v>0.222351717825276</v>
      </c>
      <c r="I240" s="84" t="n">
        <v>0.128316361085197</v>
      </c>
      <c r="J240" s="84" t="n">
        <v>0.666643449956092</v>
      </c>
      <c r="K240" s="84" t="n">
        <v>0.606930804072243</v>
      </c>
      <c r="L240" s="84" t="n">
        <v>0.8149981365614229</v>
      </c>
      <c r="M240" s="84" t="n">
        <v>0.325503355704698</v>
      </c>
      <c r="N240" s="84" t="n">
        <v>0.300813008130081</v>
      </c>
      <c r="O240" s="84" t="n">
        <v>0.526315789473684</v>
      </c>
      <c r="P240" s="85">
        <f>AVERAGE(D240:I240)</f>
        <v/>
      </c>
      <c r="Q240" s="85">
        <f>AVERAGE(J240:L240)</f>
        <v/>
      </c>
      <c r="R240" s="85">
        <f>AVERAGE(M240:O240)</f>
        <v/>
      </c>
      <c r="S240" s="85">
        <f>'02_지표정의'!$C$22*P240+'02_지표정의'!$C$23*Q240+'02_지표정의'!$C$24*R240</f>
        <v/>
      </c>
      <c r="T240" s="73">
        <f>IF(OR(AND(B240="gemini",C240="gemma"),AND(B240="qwen3_6",C240="qwen"),AND(B240="mistral",C240="ministral")),1,0)</f>
        <v/>
      </c>
      <c r="U240" s="73">
        <f>IF(LEFT(A240,3)="PAT","특허","보고서")</f>
        <v/>
      </c>
      <c r="V240" s="86">
        <f>COUNTIF($S$2:$S$976,"&lt;"&amp;S240)+(COUNTIF($S$2:$S$976,"="&amp;S240)+1)/2</f>
        <v/>
      </c>
      <c r="W240" s="73">
        <f>IF(C240="qwen",0,COUNTIFS($C$2:$C$976,"&lt;&gt;qwen",$S$2:$S$976,"&lt;"&amp;S240)+1)</f>
        <v/>
      </c>
      <c r="X240" s="73">
        <f>IF(C240="ministral",0,COUNTIFS($C$2:$C$976,"&lt;&gt;ministral",$S$2:$S$976,"&lt;"&amp;S240)+1)</f>
        <v/>
      </c>
      <c r="Y240" s="73">
        <f>IF(C240="gemma",0,COUNTIFS($C$2:$C$976,"&lt;&gt;gemma",$S$2:$S$976,"&lt;"&amp;S240)+1)</f>
        <v/>
      </c>
      <c r="Z240" s="87">
        <f>COUNTIFS($B$2:$B$976,B240,$C$2:$C$976,C240,$S$2:$S$976,"&lt;"&amp;S240)+1</f>
        <v/>
      </c>
      <c r="AA240" s="88">
        <f>ABS(S240-SUMPRODUCT(('05B_가정검정'!$A$5:$A$19=B240)*('05B_가정검정'!$B$5:$B$19=C240)*'05B_가정검정'!$E$5:$E$19))</f>
        <v/>
      </c>
      <c r="AB240" s="88">
        <f>S240-AVERAGEIFS($S$2:$S$976,$B$2:$B$976,B240,$C$2:$C$976,C240)</f>
        <v/>
      </c>
    </row>
    <row r="241" ht="15" customHeight="1" s="68">
      <c r="A241" s="83" t="inlineStr">
        <is>
          <t>PAT-16</t>
        </is>
      </c>
      <c r="B241" s="83" t="inlineStr">
        <is>
          <t>qwen3_6</t>
        </is>
      </c>
      <c r="C241" s="83" t="inlineStr">
        <is>
          <t>qwen</t>
        </is>
      </c>
      <c r="D241" s="84" t="n">
        <v>0.316176470588235</v>
      </c>
      <c r="E241" s="84" t="n">
        <v>0.410094637223975</v>
      </c>
      <c r="F241" s="84" t="n">
        <v>0.234920634920635</v>
      </c>
      <c r="G241" s="84" t="n">
        <v>0.302839116719243</v>
      </c>
      <c r="H241" s="84" t="n">
        <v>0.300432914631384</v>
      </c>
      <c r="I241" s="84" t="n">
        <v>0.568338981692878</v>
      </c>
      <c r="J241" s="84" t="n">
        <v>0.738315254516786</v>
      </c>
      <c r="K241" s="84" t="n">
        <v>0.69074841043983</v>
      </c>
      <c r="L241" s="84" t="n">
        <v>0.845827539451609</v>
      </c>
      <c r="M241" s="84" t="n">
        <v>0.442922374429224</v>
      </c>
      <c r="N241" s="84" t="n">
        <v>0.47008547008547</v>
      </c>
      <c r="O241" s="84" t="n">
        <v>1</v>
      </c>
      <c r="P241" s="85">
        <f>AVERAGE(D241:I241)</f>
        <v/>
      </c>
      <c r="Q241" s="85">
        <f>AVERAGE(J241:L241)</f>
        <v/>
      </c>
      <c r="R241" s="85">
        <f>AVERAGE(M241:O241)</f>
        <v/>
      </c>
      <c r="S241" s="85">
        <f>'02_지표정의'!$C$22*P241+'02_지표정의'!$C$23*Q241+'02_지표정의'!$C$24*R241</f>
        <v/>
      </c>
      <c r="T241" s="73">
        <f>IF(OR(AND(B241="gemini",C241="gemma"),AND(B241="qwen3_6",C241="qwen"),AND(B241="mistral",C241="ministral")),1,0)</f>
        <v/>
      </c>
      <c r="U241" s="73">
        <f>IF(LEFT(A241,3)="PAT","특허","보고서")</f>
        <v/>
      </c>
      <c r="V241" s="86">
        <f>COUNTIF($S$2:$S$976,"&lt;"&amp;S241)+(COUNTIF($S$2:$S$976,"="&amp;S241)+1)/2</f>
        <v/>
      </c>
      <c r="W241" s="73">
        <f>IF(C241="qwen",0,COUNTIFS($C$2:$C$976,"&lt;&gt;qwen",$S$2:$S$976,"&lt;"&amp;S241)+1)</f>
        <v/>
      </c>
      <c r="X241" s="73">
        <f>IF(C241="ministral",0,COUNTIFS($C$2:$C$976,"&lt;&gt;ministral",$S$2:$S$976,"&lt;"&amp;S241)+1)</f>
        <v/>
      </c>
      <c r="Y241" s="73">
        <f>IF(C241="gemma",0,COUNTIFS($C$2:$C$976,"&lt;&gt;gemma",$S$2:$S$976,"&lt;"&amp;S241)+1)</f>
        <v/>
      </c>
      <c r="Z241" s="87">
        <f>COUNTIFS($B$2:$B$976,B241,$C$2:$C$976,C241,$S$2:$S$976,"&lt;"&amp;S241)+1</f>
        <v/>
      </c>
      <c r="AA241" s="88">
        <f>ABS(S241-SUMPRODUCT(('05B_가정검정'!$A$5:$A$19=B241)*('05B_가정검정'!$B$5:$B$19=C241)*'05B_가정검정'!$E$5:$E$19))</f>
        <v/>
      </c>
      <c r="AB241" s="88">
        <f>S241-AVERAGEIFS($S$2:$S$976,$B$2:$B$976,B241,$C$2:$C$976,C241)</f>
        <v/>
      </c>
    </row>
    <row r="242" ht="15" customHeight="1" s="68">
      <c r="A242" s="83" t="inlineStr">
        <is>
          <t>PAT-17</t>
        </is>
      </c>
      <c r="B242" s="83" t="inlineStr">
        <is>
          <t>chatgpt</t>
        </is>
      </c>
      <c r="C242" s="83" t="inlineStr">
        <is>
          <t>gemma</t>
        </is>
      </c>
      <c r="D242" s="84" t="n">
        <v>0.230994152046784</v>
      </c>
      <c r="E242" s="84" t="n">
        <v>0.304347826086957</v>
      </c>
      <c r="F242" s="84" t="n">
        <v>0.0989010989010989</v>
      </c>
      <c r="G242" s="84" t="n">
        <v>0.260869565217391</v>
      </c>
      <c r="H242" s="84" t="n">
        <v>0.229795148276658</v>
      </c>
      <c r="I242" s="84" t="n">
        <v>0.305292729633762</v>
      </c>
      <c r="J242" s="84" t="n">
        <v>0.703326332910778</v>
      </c>
      <c r="K242" s="84" t="n">
        <v>0.658165332450327</v>
      </c>
      <c r="L242" s="84" t="n">
        <v>0.806107090260158</v>
      </c>
      <c r="M242" s="84" t="n">
        <v>0.562913907284768</v>
      </c>
      <c r="N242" s="84" t="n">
        <v>0.231707317073171</v>
      </c>
      <c r="O242" s="84" t="n">
        <v>1</v>
      </c>
      <c r="P242" s="85">
        <f>AVERAGE(D242:I242)</f>
        <v/>
      </c>
      <c r="Q242" s="85">
        <f>AVERAGE(J242:L242)</f>
        <v/>
      </c>
      <c r="R242" s="85">
        <f>AVERAGE(M242:O242)</f>
        <v/>
      </c>
      <c r="S242" s="85">
        <f>'02_지표정의'!$C$22*P242+'02_지표정의'!$C$23*Q242+'02_지표정의'!$C$24*R242</f>
        <v/>
      </c>
      <c r="T242" s="73">
        <f>IF(OR(AND(B242="gemini",C242="gemma"),AND(B242="qwen3_6",C242="qwen"),AND(B242="mistral",C242="ministral")),1,0)</f>
        <v/>
      </c>
      <c r="U242" s="73">
        <f>IF(LEFT(A242,3)="PAT","특허","보고서")</f>
        <v/>
      </c>
      <c r="V242" s="86">
        <f>COUNTIF($S$2:$S$976,"&lt;"&amp;S242)+(COUNTIF($S$2:$S$976,"="&amp;S242)+1)/2</f>
        <v/>
      </c>
      <c r="W242" s="73">
        <f>IF(C242="qwen",0,COUNTIFS($C$2:$C$976,"&lt;&gt;qwen",$S$2:$S$976,"&lt;"&amp;S242)+1)</f>
        <v/>
      </c>
      <c r="X242" s="73">
        <f>IF(C242="ministral",0,COUNTIFS($C$2:$C$976,"&lt;&gt;ministral",$S$2:$S$976,"&lt;"&amp;S242)+1)</f>
        <v/>
      </c>
      <c r="Y242" s="73">
        <f>IF(C242="gemma",0,COUNTIFS($C$2:$C$976,"&lt;&gt;gemma",$S$2:$S$976,"&lt;"&amp;S242)+1)</f>
        <v/>
      </c>
      <c r="Z242" s="87">
        <f>COUNTIFS($B$2:$B$976,B242,$C$2:$C$976,C242,$S$2:$S$976,"&lt;"&amp;S242)+1</f>
        <v/>
      </c>
      <c r="AA242" s="88">
        <f>ABS(S242-SUMPRODUCT(('05B_가정검정'!$A$5:$A$19=B242)*('05B_가정검정'!$B$5:$B$19=C242)*'05B_가정검정'!$E$5:$E$19))</f>
        <v/>
      </c>
      <c r="AB242" s="88">
        <f>S242-AVERAGEIFS($S$2:$S$976,$B$2:$B$976,B242,$C$2:$C$976,C242)</f>
        <v/>
      </c>
    </row>
    <row r="243" ht="15" customHeight="1" s="68">
      <c r="A243" s="83" t="inlineStr">
        <is>
          <t>PAT-17</t>
        </is>
      </c>
      <c r="B243" s="83" t="inlineStr">
        <is>
          <t>chatgpt</t>
        </is>
      </c>
      <c r="C243" s="83" t="inlineStr">
        <is>
          <t>ministral</t>
        </is>
      </c>
      <c r="D243" s="84" t="n">
        <v>0.302066772655008</v>
      </c>
      <c r="E243" s="84" t="n">
        <v>0.284829721362229</v>
      </c>
      <c r="F243" s="84" t="n">
        <v>0.08722741433021811</v>
      </c>
      <c r="G243" s="84" t="n">
        <v>0.222910216718266</v>
      </c>
      <c r="H243" s="84" t="n">
        <v>0.143527867807678</v>
      </c>
      <c r="I243" s="84" t="n">
        <v>0.310057234360597</v>
      </c>
      <c r="J243" s="84" t="n">
        <v>0.679652079274199</v>
      </c>
      <c r="K243" s="84" t="n">
        <v>0.70571041270843</v>
      </c>
      <c r="L243" s="84" t="n">
        <v>0.844078085355413</v>
      </c>
      <c r="M243" s="84" t="n">
        <v>0.330073349633252</v>
      </c>
      <c r="N243" s="84" t="n">
        <v>0</v>
      </c>
      <c r="O243" s="84" t="n">
        <v>0.526315789473684</v>
      </c>
      <c r="P243" s="85">
        <f>AVERAGE(D243:I243)</f>
        <v/>
      </c>
      <c r="Q243" s="85">
        <f>AVERAGE(J243:L243)</f>
        <v/>
      </c>
      <c r="R243" s="85">
        <f>AVERAGE(M243:O243)</f>
        <v/>
      </c>
      <c r="S243" s="85">
        <f>'02_지표정의'!$C$22*P243+'02_지표정의'!$C$23*Q243+'02_지표정의'!$C$24*R243</f>
        <v/>
      </c>
      <c r="T243" s="73">
        <f>IF(OR(AND(B243="gemini",C243="gemma"),AND(B243="qwen3_6",C243="qwen"),AND(B243="mistral",C243="ministral")),1,0)</f>
        <v/>
      </c>
      <c r="U243" s="73">
        <f>IF(LEFT(A243,3)="PAT","특허","보고서")</f>
        <v/>
      </c>
      <c r="V243" s="86">
        <f>COUNTIF($S$2:$S$976,"&lt;"&amp;S243)+(COUNTIF($S$2:$S$976,"="&amp;S243)+1)/2</f>
        <v/>
      </c>
      <c r="W243" s="73">
        <f>IF(C243="qwen",0,COUNTIFS($C$2:$C$976,"&lt;&gt;qwen",$S$2:$S$976,"&lt;"&amp;S243)+1)</f>
        <v/>
      </c>
      <c r="X243" s="73">
        <f>IF(C243="ministral",0,COUNTIFS($C$2:$C$976,"&lt;&gt;ministral",$S$2:$S$976,"&lt;"&amp;S243)+1)</f>
        <v/>
      </c>
      <c r="Y243" s="73">
        <f>IF(C243="gemma",0,COUNTIFS($C$2:$C$976,"&lt;&gt;gemma",$S$2:$S$976,"&lt;"&amp;S243)+1)</f>
        <v/>
      </c>
      <c r="Z243" s="87">
        <f>COUNTIFS($B$2:$B$976,B243,$C$2:$C$976,C243,$S$2:$S$976,"&lt;"&amp;S243)+1</f>
        <v/>
      </c>
      <c r="AA243" s="88">
        <f>ABS(S243-SUMPRODUCT(('05B_가정검정'!$A$5:$A$19=B243)*('05B_가정검정'!$B$5:$B$19=C243)*'05B_가정검정'!$E$5:$E$19))</f>
        <v/>
      </c>
      <c r="AB243" s="88">
        <f>S243-AVERAGEIFS($S$2:$S$976,$B$2:$B$976,B243,$C$2:$C$976,C243)</f>
        <v/>
      </c>
    </row>
    <row r="244" ht="15" customHeight="1" s="68">
      <c r="A244" s="83" t="inlineStr">
        <is>
          <t>PAT-17</t>
        </is>
      </c>
      <c r="B244" s="83" t="inlineStr">
        <is>
          <t>chatgpt</t>
        </is>
      </c>
      <c r="C244" s="83" t="inlineStr">
        <is>
          <t>qwen</t>
        </is>
      </c>
      <c r="D244" s="84" t="n">
        <v>0.314574314574315</v>
      </c>
      <c r="E244" s="84" t="n">
        <v>0.372881355932203</v>
      </c>
      <c r="F244" s="84" t="n">
        <v>0.111111111111111</v>
      </c>
      <c r="G244" s="84" t="n">
        <v>0.288135593220339</v>
      </c>
      <c r="H244" s="84" t="n">
        <v>0.209820533004769</v>
      </c>
      <c r="I244" s="84" t="n">
        <v>0.423246763996208</v>
      </c>
      <c r="J244" s="84" t="n">
        <v>0.729503124892502</v>
      </c>
      <c r="K244" s="84" t="n">
        <v>0.668377648293818</v>
      </c>
      <c r="L244" s="84" t="n">
        <v>0.820644085913122</v>
      </c>
      <c r="M244" s="84" t="n">
        <v>0.396449704142012</v>
      </c>
      <c r="N244" s="84" t="n">
        <v>0</v>
      </c>
      <c r="O244" s="84" t="n">
        <v>1</v>
      </c>
      <c r="P244" s="85">
        <f>AVERAGE(D244:I244)</f>
        <v/>
      </c>
      <c r="Q244" s="85">
        <f>AVERAGE(J244:L244)</f>
        <v/>
      </c>
      <c r="R244" s="85">
        <f>AVERAGE(M244:O244)</f>
        <v/>
      </c>
      <c r="S244" s="85">
        <f>'02_지표정의'!$C$22*P244+'02_지표정의'!$C$23*Q244+'02_지표정의'!$C$24*R244</f>
        <v/>
      </c>
      <c r="T244" s="73">
        <f>IF(OR(AND(B244="gemini",C244="gemma"),AND(B244="qwen3_6",C244="qwen"),AND(B244="mistral",C244="ministral")),1,0)</f>
        <v/>
      </c>
      <c r="U244" s="73">
        <f>IF(LEFT(A244,3)="PAT","특허","보고서")</f>
        <v/>
      </c>
      <c r="V244" s="86">
        <f>COUNTIF($S$2:$S$976,"&lt;"&amp;S244)+(COUNTIF($S$2:$S$976,"="&amp;S244)+1)/2</f>
        <v/>
      </c>
      <c r="W244" s="73">
        <f>IF(C244="qwen",0,COUNTIFS($C$2:$C$976,"&lt;&gt;qwen",$S$2:$S$976,"&lt;"&amp;S244)+1)</f>
        <v/>
      </c>
      <c r="X244" s="73">
        <f>IF(C244="ministral",0,COUNTIFS($C$2:$C$976,"&lt;&gt;ministral",$S$2:$S$976,"&lt;"&amp;S244)+1)</f>
        <v/>
      </c>
      <c r="Y244" s="73">
        <f>IF(C244="gemma",0,COUNTIFS($C$2:$C$976,"&lt;&gt;gemma",$S$2:$S$976,"&lt;"&amp;S244)+1)</f>
        <v/>
      </c>
      <c r="Z244" s="87">
        <f>COUNTIFS($B$2:$B$976,B244,$C$2:$C$976,C244,$S$2:$S$976,"&lt;"&amp;S244)+1</f>
        <v/>
      </c>
      <c r="AA244" s="88">
        <f>ABS(S244-SUMPRODUCT(('05B_가정검정'!$A$5:$A$19=B244)*('05B_가정검정'!$B$5:$B$19=C244)*'05B_가정검정'!$E$5:$E$19))</f>
        <v/>
      </c>
      <c r="AB244" s="88">
        <f>S244-AVERAGEIFS($S$2:$S$976,$B$2:$B$976,B244,$C$2:$C$976,C244)</f>
        <v/>
      </c>
    </row>
    <row r="245" ht="15" customHeight="1" s="68">
      <c r="A245" s="83" t="inlineStr">
        <is>
          <t>PAT-17</t>
        </is>
      </c>
      <c r="B245" s="83" t="inlineStr">
        <is>
          <t>claude</t>
        </is>
      </c>
      <c r="C245" s="83" t="inlineStr">
        <is>
          <t>gemma</t>
        </is>
      </c>
      <c r="D245" s="84" t="n">
        <v>0.205508474576271</v>
      </c>
      <c r="E245" s="84" t="n">
        <v>0.212765957446809</v>
      </c>
      <c r="F245" s="84" t="n">
        <v>0.0785714285714286</v>
      </c>
      <c r="G245" s="84" t="n">
        <v>0.170212765957447</v>
      </c>
      <c r="H245" s="84" t="n">
        <v>0.267358827215439</v>
      </c>
      <c r="I245" s="84" t="n">
        <v>0.366857726479567</v>
      </c>
      <c r="J245" s="84" t="n">
        <v>0.683166734768851</v>
      </c>
      <c r="K245" s="84" t="n">
        <v>0.692375838630213</v>
      </c>
      <c r="L245" s="84" t="n">
        <v>0.855321463098486</v>
      </c>
      <c r="M245" s="84" t="n">
        <v>0.702479338842975</v>
      </c>
      <c r="N245" s="84" t="n">
        <v>0.73134328358209</v>
      </c>
      <c r="O245" s="84" t="n">
        <v>1</v>
      </c>
      <c r="P245" s="85">
        <f>AVERAGE(D245:I245)</f>
        <v/>
      </c>
      <c r="Q245" s="85">
        <f>AVERAGE(J245:L245)</f>
        <v/>
      </c>
      <c r="R245" s="85">
        <f>AVERAGE(M245:O245)</f>
        <v/>
      </c>
      <c r="S245" s="85">
        <f>'02_지표정의'!$C$22*P245+'02_지표정의'!$C$23*Q245+'02_지표정의'!$C$24*R245</f>
        <v/>
      </c>
      <c r="T245" s="73">
        <f>IF(OR(AND(B245="gemini",C245="gemma"),AND(B245="qwen3_6",C245="qwen"),AND(B245="mistral",C245="ministral")),1,0)</f>
        <v/>
      </c>
      <c r="U245" s="73">
        <f>IF(LEFT(A245,3)="PAT","특허","보고서")</f>
        <v/>
      </c>
      <c r="V245" s="86">
        <f>COUNTIF($S$2:$S$976,"&lt;"&amp;S245)+(COUNTIF($S$2:$S$976,"="&amp;S245)+1)/2</f>
        <v/>
      </c>
      <c r="W245" s="73">
        <f>IF(C245="qwen",0,COUNTIFS($C$2:$C$976,"&lt;&gt;qwen",$S$2:$S$976,"&lt;"&amp;S245)+1)</f>
        <v/>
      </c>
      <c r="X245" s="73">
        <f>IF(C245="ministral",0,COUNTIFS($C$2:$C$976,"&lt;&gt;ministral",$S$2:$S$976,"&lt;"&amp;S245)+1)</f>
        <v/>
      </c>
      <c r="Y245" s="73">
        <f>IF(C245="gemma",0,COUNTIFS($C$2:$C$976,"&lt;&gt;gemma",$S$2:$S$976,"&lt;"&amp;S245)+1)</f>
        <v/>
      </c>
      <c r="Z245" s="87">
        <f>COUNTIFS($B$2:$B$976,B245,$C$2:$C$976,C245,$S$2:$S$976,"&lt;"&amp;S245)+1</f>
        <v/>
      </c>
      <c r="AA245" s="88">
        <f>ABS(S245-SUMPRODUCT(('05B_가정검정'!$A$5:$A$19=B245)*('05B_가정검정'!$B$5:$B$19=C245)*'05B_가정검정'!$E$5:$E$19))</f>
        <v/>
      </c>
      <c r="AB245" s="88">
        <f>S245-AVERAGEIFS($S$2:$S$976,$B$2:$B$976,B245,$C$2:$C$976,C245)</f>
        <v/>
      </c>
    </row>
    <row r="246" ht="15" customHeight="1" s="68">
      <c r="A246" s="83" t="inlineStr">
        <is>
          <t>PAT-17</t>
        </is>
      </c>
      <c r="B246" s="83" t="inlineStr">
        <is>
          <t>claude</t>
        </is>
      </c>
      <c r="C246" s="83" t="inlineStr">
        <is>
          <t>ministral</t>
        </is>
      </c>
      <c r="D246" s="84" t="n">
        <v>0.294713160854893</v>
      </c>
      <c r="E246" s="84" t="n">
        <v>0.323040380047506</v>
      </c>
      <c r="F246" s="84" t="n">
        <v>0.100238663484487</v>
      </c>
      <c r="G246" s="84" t="n">
        <v>0.209026128266033</v>
      </c>
      <c r="H246" s="84" t="n">
        <v>0.236012226933382</v>
      </c>
      <c r="I246" s="84" t="n">
        <v>0.37453427692144</v>
      </c>
      <c r="J246" s="84" t="n">
        <v>0.691618782655151</v>
      </c>
      <c r="K246" s="84" t="n">
        <v>0.701755995044849</v>
      </c>
      <c r="L246" s="84" t="n">
        <v>0.830447908891366</v>
      </c>
      <c r="M246" s="84" t="n">
        <v>0.290953545232274</v>
      </c>
      <c r="N246" s="84" t="n">
        <v>0.156976744186047</v>
      </c>
      <c r="O246" s="84" t="n">
        <v>0.526315789473684</v>
      </c>
      <c r="P246" s="85">
        <f>AVERAGE(D246:I246)</f>
        <v/>
      </c>
      <c r="Q246" s="85">
        <f>AVERAGE(J246:L246)</f>
        <v/>
      </c>
      <c r="R246" s="85">
        <f>AVERAGE(M246:O246)</f>
        <v/>
      </c>
      <c r="S246" s="85">
        <f>'02_지표정의'!$C$22*P246+'02_지표정의'!$C$23*Q246+'02_지표정의'!$C$24*R246</f>
        <v/>
      </c>
      <c r="T246" s="73">
        <f>IF(OR(AND(B246="gemini",C246="gemma"),AND(B246="qwen3_6",C246="qwen"),AND(B246="mistral",C246="ministral")),1,0)</f>
        <v/>
      </c>
      <c r="U246" s="73">
        <f>IF(LEFT(A246,3)="PAT","특허","보고서")</f>
        <v/>
      </c>
      <c r="V246" s="86">
        <f>COUNTIF($S$2:$S$976,"&lt;"&amp;S246)+(COUNTIF($S$2:$S$976,"="&amp;S246)+1)/2</f>
        <v/>
      </c>
      <c r="W246" s="73">
        <f>IF(C246="qwen",0,COUNTIFS($C$2:$C$976,"&lt;&gt;qwen",$S$2:$S$976,"&lt;"&amp;S246)+1)</f>
        <v/>
      </c>
      <c r="X246" s="73">
        <f>IF(C246="ministral",0,COUNTIFS($C$2:$C$976,"&lt;&gt;ministral",$S$2:$S$976,"&lt;"&amp;S246)+1)</f>
        <v/>
      </c>
      <c r="Y246" s="73">
        <f>IF(C246="gemma",0,COUNTIFS($C$2:$C$976,"&lt;&gt;gemma",$S$2:$S$976,"&lt;"&amp;S246)+1)</f>
        <v/>
      </c>
      <c r="Z246" s="87">
        <f>COUNTIFS($B$2:$B$976,B246,$C$2:$C$976,C246,$S$2:$S$976,"&lt;"&amp;S246)+1</f>
        <v/>
      </c>
      <c r="AA246" s="88">
        <f>ABS(S246-SUMPRODUCT(('05B_가정검정'!$A$5:$A$19=B246)*('05B_가정검정'!$B$5:$B$19=C246)*'05B_가정검정'!$E$5:$E$19))</f>
        <v/>
      </c>
      <c r="AB246" s="88">
        <f>S246-AVERAGEIFS($S$2:$S$976,$B$2:$B$976,B246,$C$2:$C$976,C246)</f>
        <v/>
      </c>
    </row>
    <row r="247" ht="15" customHeight="1" s="68">
      <c r="A247" s="83" t="inlineStr">
        <is>
          <t>PAT-17</t>
        </is>
      </c>
      <c r="B247" s="83" t="inlineStr">
        <is>
          <t>claude</t>
        </is>
      </c>
      <c r="C247" s="83" t="inlineStr">
        <is>
          <t>qwen</t>
        </is>
      </c>
      <c r="D247" s="84" t="n">
        <v>0.32109129066107</v>
      </c>
      <c r="E247" s="84" t="n">
        <v>0.37125748502994</v>
      </c>
      <c r="F247" s="84" t="n">
        <v>0.114457831325301</v>
      </c>
      <c r="G247" s="84" t="n">
        <v>0.239520958083832</v>
      </c>
      <c r="H247" s="84" t="n">
        <v>0.347652686878588</v>
      </c>
      <c r="I247" s="84" t="n">
        <v>0.522161445714225</v>
      </c>
      <c r="J247" s="84" t="n">
        <v>0.728242775764425</v>
      </c>
      <c r="K247" s="84" t="n">
        <v>0.710862552521967</v>
      </c>
      <c r="L247" s="84" t="n">
        <v>0.869802467489017</v>
      </c>
      <c r="M247" s="84" t="n">
        <v>0.502958579881657</v>
      </c>
      <c r="N247" s="84" t="n">
        <v>0.411764705882353</v>
      </c>
      <c r="O247" s="84" t="n">
        <v>1</v>
      </c>
      <c r="P247" s="85">
        <f>AVERAGE(D247:I247)</f>
        <v/>
      </c>
      <c r="Q247" s="85">
        <f>AVERAGE(J247:L247)</f>
        <v/>
      </c>
      <c r="R247" s="85">
        <f>AVERAGE(M247:O247)</f>
        <v/>
      </c>
      <c r="S247" s="85">
        <f>'02_지표정의'!$C$22*P247+'02_지표정의'!$C$23*Q247+'02_지표정의'!$C$24*R247</f>
        <v/>
      </c>
      <c r="T247" s="73">
        <f>IF(OR(AND(B247="gemini",C247="gemma"),AND(B247="qwen3_6",C247="qwen"),AND(B247="mistral",C247="ministral")),1,0)</f>
        <v/>
      </c>
      <c r="U247" s="73">
        <f>IF(LEFT(A247,3)="PAT","특허","보고서")</f>
        <v/>
      </c>
      <c r="V247" s="86">
        <f>COUNTIF($S$2:$S$976,"&lt;"&amp;S247)+(COUNTIF($S$2:$S$976,"="&amp;S247)+1)/2</f>
        <v/>
      </c>
      <c r="W247" s="73">
        <f>IF(C247="qwen",0,COUNTIFS($C$2:$C$976,"&lt;&gt;qwen",$S$2:$S$976,"&lt;"&amp;S247)+1)</f>
        <v/>
      </c>
      <c r="X247" s="73">
        <f>IF(C247="ministral",0,COUNTIFS($C$2:$C$976,"&lt;&gt;ministral",$S$2:$S$976,"&lt;"&amp;S247)+1)</f>
        <v/>
      </c>
      <c r="Y247" s="73">
        <f>IF(C247="gemma",0,COUNTIFS($C$2:$C$976,"&lt;&gt;gemma",$S$2:$S$976,"&lt;"&amp;S247)+1)</f>
        <v/>
      </c>
      <c r="Z247" s="87">
        <f>COUNTIFS($B$2:$B$976,B247,$C$2:$C$976,C247,$S$2:$S$976,"&lt;"&amp;S247)+1</f>
        <v/>
      </c>
      <c r="AA247" s="88">
        <f>ABS(S247-SUMPRODUCT(('05B_가정검정'!$A$5:$A$19=B247)*('05B_가정검정'!$B$5:$B$19=C247)*'05B_가정검정'!$E$5:$E$19))</f>
        <v/>
      </c>
      <c r="AB247" s="88">
        <f>S247-AVERAGEIFS($S$2:$S$976,$B$2:$B$976,B247,$C$2:$C$976,C247)</f>
        <v/>
      </c>
    </row>
    <row r="248" ht="15" customHeight="1" s="68">
      <c r="A248" s="83" t="inlineStr">
        <is>
          <t>PAT-17</t>
        </is>
      </c>
      <c r="B248" s="83" t="inlineStr">
        <is>
          <t>gemini</t>
        </is>
      </c>
      <c r="C248" s="83" t="inlineStr">
        <is>
          <t>gemma</t>
        </is>
      </c>
      <c r="D248" s="84" t="n">
        <v>0.261333333333333</v>
      </c>
      <c r="E248" s="84" t="n">
        <v>0.34020618556701</v>
      </c>
      <c r="F248" s="84" t="n">
        <v>0.104166666666667</v>
      </c>
      <c r="G248" s="84" t="n">
        <v>0.247422680412371</v>
      </c>
      <c r="H248" s="84" t="n">
        <v>0.309007137072083</v>
      </c>
      <c r="I248" s="84" t="n">
        <v>0.292893694153418</v>
      </c>
      <c r="J248" s="84" t="n">
        <v>0.740451975364862</v>
      </c>
      <c r="K248" s="84" t="n">
        <v>0.779774595987946</v>
      </c>
      <c r="L248" s="84" t="n">
        <v>0.894547636040498</v>
      </c>
      <c r="M248" s="84" t="n">
        <v>0.906542056074766</v>
      </c>
      <c r="N248" s="84" t="n">
        <v>0.916666666666667</v>
      </c>
      <c r="O248" s="84" t="n">
        <v>1</v>
      </c>
      <c r="P248" s="85">
        <f>AVERAGE(D248:I248)</f>
        <v/>
      </c>
      <c r="Q248" s="85">
        <f>AVERAGE(J248:L248)</f>
        <v/>
      </c>
      <c r="R248" s="85">
        <f>AVERAGE(M248:O248)</f>
        <v/>
      </c>
      <c r="S248" s="85">
        <f>'02_지표정의'!$C$22*P248+'02_지표정의'!$C$23*Q248+'02_지표정의'!$C$24*R248</f>
        <v/>
      </c>
      <c r="T248" s="73">
        <f>IF(OR(AND(B248="gemini",C248="gemma"),AND(B248="qwen3_6",C248="qwen"),AND(B248="mistral",C248="ministral")),1,0)</f>
        <v/>
      </c>
      <c r="U248" s="73">
        <f>IF(LEFT(A248,3)="PAT","특허","보고서")</f>
        <v/>
      </c>
      <c r="V248" s="86">
        <f>COUNTIF($S$2:$S$976,"&lt;"&amp;S248)+(COUNTIF($S$2:$S$976,"="&amp;S248)+1)/2</f>
        <v/>
      </c>
      <c r="W248" s="73">
        <f>IF(C248="qwen",0,COUNTIFS($C$2:$C$976,"&lt;&gt;qwen",$S$2:$S$976,"&lt;"&amp;S248)+1)</f>
        <v/>
      </c>
      <c r="X248" s="73">
        <f>IF(C248="ministral",0,COUNTIFS($C$2:$C$976,"&lt;&gt;ministral",$S$2:$S$976,"&lt;"&amp;S248)+1)</f>
        <v/>
      </c>
      <c r="Y248" s="73">
        <f>IF(C248="gemma",0,COUNTIFS($C$2:$C$976,"&lt;&gt;gemma",$S$2:$S$976,"&lt;"&amp;S248)+1)</f>
        <v/>
      </c>
      <c r="Z248" s="87">
        <f>COUNTIFS($B$2:$B$976,B248,$C$2:$C$976,C248,$S$2:$S$976,"&lt;"&amp;S248)+1</f>
        <v/>
      </c>
      <c r="AA248" s="88">
        <f>ABS(S248-SUMPRODUCT(('05B_가정검정'!$A$5:$A$19=B248)*('05B_가정검정'!$B$5:$B$19=C248)*'05B_가정검정'!$E$5:$E$19))</f>
        <v/>
      </c>
      <c r="AB248" s="88">
        <f>S248-AVERAGEIFS($S$2:$S$976,$B$2:$B$976,B248,$C$2:$C$976,C248)</f>
        <v/>
      </c>
    </row>
    <row r="249" ht="15" customHeight="1" s="68">
      <c r="A249" s="83" t="inlineStr">
        <is>
          <t>PAT-17</t>
        </is>
      </c>
      <c r="B249" s="83" t="inlineStr">
        <is>
          <t>gemini</t>
        </is>
      </c>
      <c r="C249" s="83" t="inlineStr">
        <is>
          <t>ministral</t>
        </is>
      </c>
      <c r="D249" s="84" t="n">
        <v>0.293525179856115</v>
      </c>
      <c r="E249" s="84" t="n">
        <v>0.3003003003003</v>
      </c>
      <c r="F249" s="84" t="n">
        <v>0.0785498489425982</v>
      </c>
      <c r="G249" s="84" t="n">
        <v>0.204204204204204</v>
      </c>
      <c r="H249" s="84" t="n">
        <v>0.18531245064086</v>
      </c>
      <c r="I249" s="84" t="n">
        <v>0.306343649347749</v>
      </c>
      <c r="J249" s="84" t="n">
        <v>0.753418762664541</v>
      </c>
      <c r="K249" s="84" t="n">
        <v>0.767060943450685</v>
      </c>
      <c r="L249" s="84" t="n">
        <v>0.89472555652788</v>
      </c>
      <c r="M249" s="84" t="n">
        <v>0.237163814180929</v>
      </c>
      <c r="N249" s="84" t="n">
        <v>0.215116279069768</v>
      </c>
      <c r="O249" s="84" t="n">
        <v>0.526315789473684</v>
      </c>
      <c r="P249" s="85">
        <f>AVERAGE(D249:I249)</f>
        <v/>
      </c>
      <c r="Q249" s="85">
        <f>AVERAGE(J249:L249)</f>
        <v/>
      </c>
      <c r="R249" s="85">
        <f>AVERAGE(M249:O249)</f>
        <v/>
      </c>
      <c r="S249" s="85">
        <f>'02_지표정의'!$C$22*P249+'02_지표정의'!$C$23*Q249+'02_지표정의'!$C$24*R249</f>
        <v/>
      </c>
      <c r="T249" s="73">
        <f>IF(OR(AND(B249="gemini",C249="gemma"),AND(B249="qwen3_6",C249="qwen"),AND(B249="mistral",C249="ministral")),1,0)</f>
        <v/>
      </c>
      <c r="U249" s="73">
        <f>IF(LEFT(A249,3)="PAT","특허","보고서")</f>
        <v/>
      </c>
      <c r="V249" s="86">
        <f>COUNTIF($S$2:$S$976,"&lt;"&amp;S249)+(COUNTIF($S$2:$S$976,"="&amp;S249)+1)/2</f>
        <v/>
      </c>
      <c r="W249" s="73">
        <f>IF(C249="qwen",0,COUNTIFS($C$2:$C$976,"&lt;&gt;qwen",$S$2:$S$976,"&lt;"&amp;S249)+1)</f>
        <v/>
      </c>
      <c r="X249" s="73">
        <f>IF(C249="ministral",0,COUNTIFS($C$2:$C$976,"&lt;&gt;ministral",$S$2:$S$976,"&lt;"&amp;S249)+1)</f>
        <v/>
      </c>
      <c r="Y249" s="73">
        <f>IF(C249="gemma",0,COUNTIFS($C$2:$C$976,"&lt;&gt;gemma",$S$2:$S$976,"&lt;"&amp;S249)+1)</f>
        <v/>
      </c>
      <c r="Z249" s="87">
        <f>COUNTIFS($B$2:$B$976,B249,$C$2:$C$976,C249,$S$2:$S$976,"&lt;"&amp;S249)+1</f>
        <v/>
      </c>
      <c r="AA249" s="88">
        <f>ABS(S249-SUMPRODUCT(('05B_가정검정'!$A$5:$A$19=B249)*('05B_가정검정'!$B$5:$B$19=C249)*'05B_가정검정'!$E$5:$E$19))</f>
        <v/>
      </c>
      <c r="AB249" s="88">
        <f>S249-AVERAGEIFS($S$2:$S$976,$B$2:$B$976,B249,$C$2:$C$976,C249)</f>
        <v/>
      </c>
    </row>
    <row r="250" ht="15" customHeight="1" s="68">
      <c r="A250" s="83" t="inlineStr">
        <is>
          <t>PAT-17</t>
        </is>
      </c>
      <c r="B250" s="83" t="inlineStr">
        <is>
          <t>gemini</t>
        </is>
      </c>
      <c r="C250" s="83" t="inlineStr">
        <is>
          <t>qwen</t>
        </is>
      </c>
      <c r="D250" s="84" t="n">
        <v>0.324110671936759</v>
      </c>
      <c r="E250" s="84" t="n">
        <v>0.382113821138211</v>
      </c>
      <c r="F250" s="84" t="n">
        <v>0.10655737704918</v>
      </c>
      <c r="G250" s="84" t="n">
        <v>0.260162601626016</v>
      </c>
      <c r="H250" s="84" t="n">
        <v>0.275676233313283</v>
      </c>
      <c r="I250" s="84" t="n">
        <v>0.425313403199372</v>
      </c>
      <c r="J250" s="84" t="n">
        <v>0.771926788184405</v>
      </c>
      <c r="K250" s="84" t="n">
        <v>0.754471598913107</v>
      </c>
      <c r="L250" s="84" t="n">
        <v>0.878628172217061</v>
      </c>
      <c r="M250" s="84" t="n">
        <v>0.5739644970414201</v>
      </c>
      <c r="N250" s="84" t="n">
        <v>0.53921568627451</v>
      </c>
      <c r="O250" s="84" t="n">
        <v>1</v>
      </c>
      <c r="P250" s="85">
        <f>AVERAGE(D250:I250)</f>
        <v/>
      </c>
      <c r="Q250" s="85">
        <f>AVERAGE(J250:L250)</f>
        <v/>
      </c>
      <c r="R250" s="85">
        <f>AVERAGE(M250:O250)</f>
        <v/>
      </c>
      <c r="S250" s="85">
        <f>'02_지표정의'!$C$22*P250+'02_지표정의'!$C$23*Q250+'02_지표정의'!$C$24*R250</f>
        <v/>
      </c>
      <c r="T250" s="73">
        <f>IF(OR(AND(B250="gemini",C250="gemma"),AND(B250="qwen3_6",C250="qwen"),AND(B250="mistral",C250="ministral")),1,0)</f>
        <v/>
      </c>
      <c r="U250" s="73">
        <f>IF(LEFT(A250,3)="PAT","특허","보고서")</f>
        <v/>
      </c>
      <c r="V250" s="86">
        <f>COUNTIF($S$2:$S$976,"&lt;"&amp;S250)+(COUNTIF($S$2:$S$976,"="&amp;S250)+1)/2</f>
        <v/>
      </c>
      <c r="W250" s="73">
        <f>IF(C250="qwen",0,COUNTIFS($C$2:$C$976,"&lt;&gt;qwen",$S$2:$S$976,"&lt;"&amp;S250)+1)</f>
        <v/>
      </c>
      <c r="X250" s="73">
        <f>IF(C250="ministral",0,COUNTIFS($C$2:$C$976,"&lt;&gt;ministral",$S$2:$S$976,"&lt;"&amp;S250)+1)</f>
        <v/>
      </c>
      <c r="Y250" s="73">
        <f>IF(C250="gemma",0,COUNTIFS($C$2:$C$976,"&lt;&gt;gemma",$S$2:$S$976,"&lt;"&amp;S250)+1)</f>
        <v/>
      </c>
      <c r="Z250" s="87">
        <f>COUNTIFS($B$2:$B$976,B250,$C$2:$C$976,C250,$S$2:$S$976,"&lt;"&amp;S250)+1</f>
        <v/>
      </c>
      <c r="AA250" s="88">
        <f>ABS(S250-SUMPRODUCT(('05B_가정검정'!$A$5:$A$19=B250)*('05B_가정검정'!$B$5:$B$19=C250)*'05B_가정검정'!$E$5:$E$19))</f>
        <v/>
      </c>
      <c r="AB250" s="88">
        <f>S250-AVERAGEIFS($S$2:$S$976,$B$2:$B$976,B250,$C$2:$C$976,C250)</f>
        <v/>
      </c>
    </row>
    <row r="251" ht="15" customHeight="1" s="68">
      <c r="A251" s="83" t="inlineStr">
        <is>
          <t>PAT-17</t>
        </is>
      </c>
      <c r="B251" s="83" t="inlineStr">
        <is>
          <t>mistral</t>
        </is>
      </c>
      <c r="C251" s="83" t="inlineStr">
        <is>
          <t>gemma</t>
        </is>
      </c>
      <c r="D251" s="84" t="n">
        <v>0.251950947603122</v>
      </c>
      <c r="E251" s="84" t="n">
        <v>0.294573643410853</v>
      </c>
      <c r="F251" s="84" t="n">
        <v>0.0703125</v>
      </c>
      <c r="G251" s="84" t="n">
        <v>0.201550387596899</v>
      </c>
      <c r="H251" s="84" t="n">
        <v>0.295753859091162</v>
      </c>
      <c r="I251" s="84" t="n">
        <v>0.123491805200026</v>
      </c>
      <c r="J251" s="84" t="n">
        <v>0.679256471700749</v>
      </c>
      <c r="K251" s="84" t="n">
        <v>0.701412928823351</v>
      </c>
      <c r="L251" s="84" t="n">
        <v>0.846936688555494</v>
      </c>
      <c r="M251" s="84" t="n">
        <v>0.392241379310345</v>
      </c>
      <c r="N251" s="84" t="n">
        <v>0.339449541284404</v>
      </c>
      <c r="O251" s="84" t="n">
        <v>0.68421052631579</v>
      </c>
      <c r="P251" s="85">
        <f>AVERAGE(D251:I251)</f>
        <v/>
      </c>
      <c r="Q251" s="85">
        <f>AVERAGE(J251:L251)</f>
        <v/>
      </c>
      <c r="R251" s="85">
        <f>AVERAGE(M251:O251)</f>
        <v/>
      </c>
      <c r="S251" s="85">
        <f>'02_지표정의'!$C$22*P251+'02_지표정의'!$C$23*Q251+'02_지표정의'!$C$24*R251</f>
        <v/>
      </c>
      <c r="T251" s="73">
        <f>IF(OR(AND(B251="gemini",C251="gemma"),AND(B251="qwen3_6",C251="qwen"),AND(B251="mistral",C251="ministral")),1,0)</f>
        <v/>
      </c>
      <c r="U251" s="73">
        <f>IF(LEFT(A251,3)="PAT","특허","보고서")</f>
        <v/>
      </c>
      <c r="V251" s="86">
        <f>COUNTIF($S$2:$S$976,"&lt;"&amp;S251)+(COUNTIF($S$2:$S$976,"="&amp;S251)+1)/2</f>
        <v/>
      </c>
      <c r="W251" s="73">
        <f>IF(C251="qwen",0,COUNTIFS($C$2:$C$976,"&lt;&gt;qwen",$S$2:$S$976,"&lt;"&amp;S251)+1)</f>
        <v/>
      </c>
      <c r="X251" s="73">
        <f>IF(C251="ministral",0,COUNTIFS($C$2:$C$976,"&lt;&gt;ministral",$S$2:$S$976,"&lt;"&amp;S251)+1)</f>
        <v/>
      </c>
      <c r="Y251" s="73">
        <f>IF(C251="gemma",0,COUNTIFS($C$2:$C$976,"&lt;&gt;gemma",$S$2:$S$976,"&lt;"&amp;S251)+1)</f>
        <v/>
      </c>
      <c r="Z251" s="87">
        <f>COUNTIFS($B$2:$B$976,B251,$C$2:$C$976,C251,$S$2:$S$976,"&lt;"&amp;S251)+1</f>
        <v/>
      </c>
      <c r="AA251" s="88">
        <f>ABS(S251-SUMPRODUCT(('05B_가정검정'!$A$5:$A$19=B251)*('05B_가정검정'!$B$5:$B$19=C251)*'05B_가정검정'!$E$5:$E$19))</f>
        <v/>
      </c>
      <c r="AB251" s="88">
        <f>S251-AVERAGEIFS($S$2:$S$976,$B$2:$B$976,B251,$C$2:$C$976,C251)</f>
        <v/>
      </c>
    </row>
    <row r="252" ht="15" customHeight="1" s="68">
      <c r="A252" s="83" t="inlineStr">
        <is>
          <t>PAT-17</t>
        </is>
      </c>
      <c r="B252" s="83" t="inlineStr">
        <is>
          <t>mistral</t>
        </is>
      </c>
      <c r="C252" s="83" t="inlineStr">
        <is>
          <t>ministral</t>
        </is>
      </c>
      <c r="D252" s="84" t="n">
        <v>0.31353919239905</v>
      </c>
      <c r="E252" s="84" t="n">
        <v>0.337531486146096</v>
      </c>
      <c r="F252" s="84" t="n">
        <v>0.10126582278481</v>
      </c>
      <c r="G252" s="84" t="n">
        <v>0.246851385390428</v>
      </c>
      <c r="H252" s="84" t="n">
        <v>0.309335801666652</v>
      </c>
      <c r="I252" s="84" t="n">
        <v>0.26404676824549</v>
      </c>
      <c r="J252" s="84" t="n">
        <v>0.709845579473001</v>
      </c>
      <c r="K252" s="84" t="n">
        <v>0.729829121990854</v>
      </c>
      <c r="L252" s="84" t="n">
        <v>0.872342079099888</v>
      </c>
      <c r="M252" s="84" t="n">
        <v>0.486552567237164</v>
      </c>
      <c r="N252" s="84" t="n">
        <v>0.372093023255814</v>
      </c>
      <c r="O252" s="84" t="n">
        <v>0.7692307692307691</v>
      </c>
      <c r="P252" s="85">
        <f>AVERAGE(D252:I252)</f>
        <v/>
      </c>
      <c r="Q252" s="85">
        <f>AVERAGE(J252:L252)</f>
        <v/>
      </c>
      <c r="R252" s="85">
        <f>AVERAGE(M252:O252)</f>
        <v/>
      </c>
      <c r="S252" s="85">
        <f>'02_지표정의'!$C$22*P252+'02_지표정의'!$C$23*Q252+'02_지표정의'!$C$24*R252</f>
        <v/>
      </c>
      <c r="T252" s="73">
        <f>IF(OR(AND(B252="gemini",C252="gemma"),AND(B252="qwen3_6",C252="qwen"),AND(B252="mistral",C252="ministral")),1,0)</f>
        <v/>
      </c>
      <c r="U252" s="73">
        <f>IF(LEFT(A252,3)="PAT","특허","보고서")</f>
        <v/>
      </c>
      <c r="V252" s="86">
        <f>COUNTIF($S$2:$S$976,"&lt;"&amp;S252)+(COUNTIF($S$2:$S$976,"="&amp;S252)+1)/2</f>
        <v/>
      </c>
      <c r="W252" s="73">
        <f>IF(C252="qwen",0,COUNTIFS($C$2:$C$976,"&lt;&gt;qwen",$S$2:$S$976,"&lt;"&amp;S252)+1)</f>
        <v/>
      </c>
      <c r="X252" s="73">
        <f>IF(C252="ministral",0,COUNTIFS($C$2:$C$976,"&lt;&gt;ministral",$S$2:$S$976,"&lt;"&amp;S252)+1)</f>
        <v/>
      </c>
      <c r="Y252" s="73">
        <f>IF(C252="gemma",0,COUNTIFS($C$2:$C$976,"&lt;&gt;gemma",$S$2:$S$976,"&lt;"&amp;S252)+1)</f>
        <v/>
      </c>
      <c r="Z252" s="87">
        <f>COUNTIFS($B$2:$B$976,B252,$C$2:$C$976,C252,$S$2:$S$976,"&lt;"&amp;S252)+1</f>
        <v/>
      </c>
      <c r="AA252" s="88">
        <f>ABS(S252-SUMPRODUCT(('05B_가정검정'!$A$5:$A$19=B252)*('05B_가정검정'!$B$5:$B$19=C252)*'05B_가정검정'!$E$5:$E$19))</f>
        <v/>
      </c>
      <c r="AB252" s="88">
        <f>S252-AVERAGEIFS($S$2:$S$976,$B$2:$B$976,B252,$C$2:$C$976,C252)</f>
        <v/>
      </c>
    </row>
    <row r="253" ht="15" customHeight="1" s="68">
      <c r="A253" s="83" t="inlineStr">
        <is>
          <t>PAT-17</t>
        </is>
      </c>
      <c r="B253" s="83" t="inlineStr">
        <is>
          <t>mistral</t>
        </is>
      </c>
      <c r="C253" s="83" t="inlineStr">
        <is>
          <t>qwen</t>
        </is>
      </c>
      <c r="D253" s="84" t="n">
        <v>0.333333333333333</v>
      </c>
      <c r="E253" s="84" t="n">
        <v>0.380645161290323</v>
      </c>
      <c r="F253" s="84" t="n">
        <v>0.0844155844155844</v>
      </c>
      <c r="G253" s="84" t="n">
        <v>0.27741935483871</v>
      </c>
      <c r="H253" s="84" t="n">
        <v>0.395191049914822</v>
      </c>
      <c r="I253" s="84" t="n">
        <v>0.222990145137882</v>
      </c>
      <c r="J253" s="84" t="n">
        <v>0.715942733069406</v>
      </c>
      <c r="K253" s="84" t="n">
        <v>0.66877070179974</v>
      </c>
      <c r="L253" s="84" t="n">
        <v>0.848400766428577</v>
      </c>
      <c r="M253" s="84" t="n">
        <v>0.482758620689655</v>
      </c>
      <c r="N253" s="84" t="n">
        <v>0.220183486238532</v>
      </c>
      <c r="O253" s="84" t="n">
        <v>0.68421052631579</v>
      </c>
      <c r="P253" s="85">
        <f>AVERAGE(D253:I253)</f>
        <v/>
      </c>
      <c r="Q253" s="85">
        <f>AVERAGE(J253:L253)</f>
        <v/>
      </c>
      <c r="R253" s="85">
        <f>AVERAGE(M253:O253)</f>
        <v/>
      </c>
      <c r="S253" s="85">
        <f>'02_지표정의'!$C$22*P253+'02_지표정의'!$C$23*Q253+'02_지표정의'!$C$24*R253</f>
        <v/>
      </c>
      <c r="T253" s="73">
        <f>IF(OR(AND(B253="gemini",C253="gemma"),AND(B253="qwen3_6",C253="qwen"),AND(B253="mistral",C253="ministral")),1,0)</f>
        <v/>
      </c>
      <c r="U253" s="73">
        <f>IF(LEFT(A253,3)="PAT","특허","보고서")</f>
        <v/>
      </c>
      <c r="V253" s="86">
        <f>COUNTIF($S$2:$S$976,"&lt;"&amp;S253)+(COUNTIF($S$2:$S$976,"="&amp;S253)+1)/2</f>
        <v/>
      </c>
      <c r="W253" s="73">
        <f>IF(C253="qwen",0,COUNTIFS($C$2:$C$976,"&lt;&gt;qwen",$S$2:$S$976,"&lt;"&amp;S253)+1)</f>
        <v/>
      </c>
      <c r="X253" s="73">
        <f>IF(C253="ministral",0,COUNTIFS($C$2:$C$976,"&lt;&gt;ministral",$S$2:$S$976,"&lt;"&amp;S253)+1)</f>
        <v/>
      </c>
      <c r="Y253" s="73">
        <f>IF(C253="gemma",0,COUNTIFS($C$2:$C$976,"&lt;&gt;gemma",$S$2:$S$976,"&lt;"&amp;S253)+1)</f>
        <v/>
      </c>
      <c r="Z253" s="87">
        <f>COUNTIFS($B$2:$B$976,B253,$C$2:$C$976,C253,$S$2:$S$976,"&lt;"&amp;S253)+1</f>
        <v/>
      </c>
      <c r="AA253" s="88">
        <f>ABS(S253-SUMPRODUCT(('05B_가정검정'!$A$5:$A$19=B253)*('05B_가정검정'!$B$5:$B$19=C253)*'05B_가정검정'!$E$5:$E$19))</f>
        <v/>
      </c>
      <c r="AB253" s="88">
        <f>S253-AVERAGEIFS($S$2:$S$976,$B$2:$B$976,B253,$C$2:$C$976,C253)</f>
        <v/>
      </c>
    </row>
    <row r="254" ht="15" customHeight="1" s="68">
      <c r="A254" s="83" t="inlineStr">
        <is>
          <t>PAT-17</t>
        </is>
      </c>
      <c r="B254" s="83" t="inlineStr">
        <is>
          <t>qwen3_6</t>
        </is>
      </c>
      <c r="C254" s="83" t="inlineStr">
        <is>
          <t>gemma</t>
        </is>
      </c>
      <c r="D254" s="84" t="n">
        <v>0.245654692931634</v>
      </c>
      <c r="E254" s="84" t="n">
        <v>0.343891402714932</v>
      </c>
      <c r="F254" s="84" t="n">
        <v>0.10958904109589</v>
      </c>
      <c r="G254" s="84" t="n">
        <v>0.271493212669683</v>
      </c>
      <c r="H254" s="84" t="n">
        <v>0.377067110875802</v>
      </c>
      <c r="I254" s="84" t="n">
        <v>0.459437360194796</v>
      </c>
      <c r="J254" s="84" t="n">
        <v>0.703774606500396</v>
      </c>
      <c r="K254" s="84" t="n">
        <v>0.702127162738716</v>
      </c>
      <c r="L254" s="84" t="n">
        <v>0.878065152417017</v>
      </c>
      <c r="M254" s="84" t="n">
        <v>0.906542056074766</v>
      </c>
      <c r="N254" s="84" t="n">
        <v>0.916666666666667</v>
      </c>
      <c r="O254" s="84" t="n">
        <v>1</v>
      </c>
      <c r="P254" s="85">
        <f>AVERAGE(D254:I254)</f>
        <v/>
      </c>
      <c r="Q254" s="85">
        <f>AVERAGE(J254:L254)</f>
        <v/>
      </c>
      <c r="R254" s="85">
        <f>AVERAGE(M254:O254)</f>
        <v/>
      </c>
      <c r="S254" s="85">
        <f>'02_지표정의'!$C$22*P254+'02_지표정의'!$C$23*Q254+'02_지표정의'!$C$24*R254</f>
        <v/>
      </c>
      <c r="T254" s="73">
        <f>IF(OR(AND(B254="gemini",C254="gemma"),AND(B254="qwen3_6",C254="qwen"),AND(B254="mistral",C254="ministral")),1,0)</f>
        <v/>
      </c>
      <c r="U254" s="73">
        <f>IF(LEFT(A254,3)="PAT","특허","보고서")</f>
        <v/>
      </c>
      <c r="V254" s="86">
        <f>COUNTIF($S$2:$S$976,"&lt;"&amp;S254)+(COUNTIF($S$2:$S$976,"="&amp;S254)+1)/2</f>
        <v/>
      </c>
      <c r="W254" s="73">
        <f>IF(C254="qwen",0,COUNTIFS($C$2:$C$976,"&lt;&gt;qwen",$S$2:$S$976,"&lt;"&amp;S254)+1)</f>
        <v/>
      </c>
      <c r="X254" s="73">
        <f>IF(C254="ministral",0,COUNTIFS($C$2:$C$976,"&lt;&gt;ministral",$S$2:$S$976,"&lt;"&amp;S254)+1)</f>
        <v/>
      </c>
      <c r="Y254" s="73">
        <f>IF(C254="gemma",0,COUNTIFS($C$2:$C$976,"&lt;&gt;gemma",$S$2:$S$976,"&lt;"&amp;S254)+1)</f>
        <v/>
      </c>
      <c r="Z254" s="87">
        <f>COUNTIFS($B$2:$B$976,B254,$C$2:$C$976,C254,$S$2:$S$976,"&lt;"&amp;S254)+1</f>
        <v/>
      </c>
      <c r="AA254" s="88">
        <f>ABS(S254-SUMPRODUCT(('05B_가정검정'!$A$5:$A$19=B254)*('05B_가정검정'!$B$5:$B$19=C254)*'05B_가정검정'!$E$5:$E$19))</f>
        <v/>
      </c>
      <c r="AB254" s="88">
        <f>S254-AVERAGEIFS($S$2:$S$976,$B$2:$B$976,B254,$C$2:$C$976,C254)</f>
        <v/>
      </c>
    </row>
    <row r="255" ht="15" customHeight="1" s="68">
      <c r="A255" s="83" t="inlineStr">
        <is>
          <t>PAT-17</t>
        </is>
      </c>
      <c r="B255" s="83" t="inlineStr">
        <is>
          <t>qwen3_6</t>
        </is>
      </c>
      <c r="C255" s="83" t="inlineStr">
        <is>
          <t>ministral</t>
        </is>
      </c>
      <c r="D255" s="84" t="n">
        <v>0.272277227722772</v>
      </c>
      <c r="E255" s="84" t="n">
        <v>0.327777777777778</v>
      </c>
      <c r="F255" s="84" t="n">
        <v>0.0949720670391061</v>
      </c>
      <c r="G255" s="84" t="n">
        <v>0.216666666666667</v>
      </c>
      <c r="H255" s="84" t="n">
        <v>0.225568319339676</v>
      </c>
      <c r="I255" s="84" t="n">
        <v>0.361085277461188</v>
      </c>
      <c r="J255" s="84" t="n">
        <v>0.700176989315736</v>
      </c>
      <c r="K255" s="84" t="n">
        <v>0.663515510109379</v>
      </c>
      <c r="L255" s="84" t="n">
        <v>0.829522934950875</v>
      </c>
      <c r="M255" s="84" t="n">
        <v>0.237163814180929</v>
      </c>
      <c r="N255" s="84" t="n">
        <v>0.215116279069768</v>
      </c>
      <c r="O255" s="84" t="n">
        <v>0.526315789473684</v>
      </c>
      <c r="P255" s="85">
        <f>AVERAGE(D255:I255)</f>
        <v/>
      </c>
      <c r="Q255" s="85">
        <f>AVERAGE(J255:L255)</f>
        <v/>
      </c>
      <c r="R255" s="85">
        <f>AVERAGE(M255:O255)</f>
        <v/>
      </c>
      <c r="S255" s="85">
        <f>'02_지표정의'!$C$22*P255+'02_지표정의'!$C$23*Q255+'02_지표정의'!$C$24*R255</f>
        <v/>
      </c>
      <c r="T255" s="73">
        <f>IF(OR(AND(B255="gemini",C255="gemma"),AND(B255="qwen3_6",C255="qwen"),AND(B255="mistral",C255="ministral")),1,0)</f>
        <v/>
      </c>
      <c r="U255" s="73">
        <f>IF(LEFT(A255,3)="PAT","특허","보고서")</f>
        <v/>
      </c>
      <c r="V255" s="86">
        <f>COUNTIF($S$2:$S$976,"&lt;"&amp;S255)+(COUNTIF($S$2:$S$976,"="&amp;S255)+1)/2</f>
        <v/>
      </c>
      <c r="W255" s="73">
        <f>IF(C255="qwen",0,COUNTIFS($C$2:$C$976,"&lt;&gt;qwen",$S$2:$S$976,"&lt;"&amp;S255)+1)</f>
        <v/>
      </c>
      <c r="X255" s="73">
        <f>IF(C255="ministral",0,COUNTIFS($C$2:$C$976,"&lt;&gt;ministral",$S$2:$S$976,"&lt;"&amp;S255)+1)</f>
        <v/>
      </c>
      <c r="Y255" s="73">
        <f>IF(C255="gemma",0,COUNTIFS($C$2:$C$976,"&lt;&gt;gemma",$S$2:$S$976,"&lt;"&amp;S255)+1)</f>
        <v/>
      </c>
      <c r="Z255" s="87">
        <f>COUNTIFS($B$2:$B$976,B255,$C$2:$C$976,C255,$S$2:$S$976,"&lt;"&amp;S255)+1</f>
        <v/>
      </c>
      <c r="AA255" s="88">
        <f>ABS(S255-SUMPRODUCT(('05B_가정검정'!$A$5:$A$19=B255)*('05B_가정검정'!$B$5:$B$19=C255)*'05B_가정검정'!$E$5:$E$19))</f>
        <v/>
      </c>
      <c r="AB255" s="88">
        <f>S255-AVERAGEIFS($S$2:$S$976,$B$2:$B$976,B255,$C$2:$C$976,C255)</f>
        <v/>
      </c>
    </row>
    <row r="256" ht="15" customHeight="1" s="68">
      <c r="A256" s="83" t="inlineStr">
        <is>
          <t>PAT-17</t>
        </is>
      </c>
      <c r="B256" s="83" t="inlineStr">
        <is>
          <t>qwen3_6</t>
        </is>
      </c>
      <c r="C256" s="83" t="inlineStr">
        <is>
          <t>qwen</t>
        </is>
      </c>
      <c r="D256" s="84" t="n">
        <v>0.305045871559633</v>
      </c>
      <c r="E256" s="84" t="n">
        <v>0.388278388278388</v>
      </c>
      <c r="F256" s="84" t="n">
        <v>0.11070110701107</v>
      </c>
      <c r="G256" s="84" t="n">
        <v>0.278388278388278</v>
      </c>
      <c r="H256" s="84" t="n">
        <v>0.34709977947025</v>
      </c>
      <c r="I256" s="84" t="n">
        <v>0.494680678567407</v>
      </c>
      <c r="J256" s="84" t="n">
        <v>0.723084783235639</v>
      </c>
      <c r="K256" s="84" t="n">
        <v>0.724611714400498</v>
      </c>
      <c r="L256" s="84" t="n">
        <v>0.884298469250545</v>
      </c>
      <c r="M256" s="84" t="n">
        <v>0.5739644970414201</v>
      </c>
      <c r="N256" s="84" t="n">
        <v>0.53921568627451</v>
      </c>
      <c r="O256" s="84" t="n">
        <v>1</v>
      </c>
      <c r="P256" s="85">
        <f>AVERAGE(D256:I256)</f>
        <v/>
      </c>
      <c r="Q256" s="85">
        <f>AVERAGE(J256:L256)</f>
        <v/>
      </c>
      <c r="R256" s="85">
        <f>AVERAGE(M256:O256)</f>
        <v/>
      </c>
      <c r="S256" s="85">
        <f>'02_지표정의'!$C$22*P256+'02_지표정의'!$C$23*Q256+'02_지표정의'!$C$24*R256</f>
        <v/>
      </c>
      <c r="T256" s="73">
        <f>IF(OR(AND(B256="gemini",C256="gemma"),AND(B256="qwen3_6",C256="qwen"),AND(B256="mistral",C256="ministral")),1,0)</f>
        <v/>
      </c>
      <c r="U256" s="73">
        <f>IF(LEFT(A256,3)="PAT","특허","보고서")</f>
        <v/>
      </c>
      <c r="V256" s="86">
        <f>COUNTIF($S$2:$S$976,"&lt;"&amp;S256)+(COUNTIF($S$2:$S$976,"="&amp;S256)+1)/2</f>
        <v/>
      </c>
      <c r="W256" s="73">
        <f>IF(C256="qwen",0,COUNTIFS($C$2:$C$976,"&lt;&gt;qwen",$S$2:$S$976,"&lt;"&amp;S256)+1)</f>
        <v/>
      </c>
      <c r="X256" s="73">
        <f>IF(C256="ministral",0,COUNTIFS($C$2:$C$976,"&lt;&gt;ministral",$S$2:$S$976,"&lt;"&amp;S256)+1)</f>
        <v/>
      </c>
      <c r="Y256" s="73">
        <f>IF(C256="gemma",0,COUNTIFS($C$2:$C$976,"&lt;&gt;gemma",$S$2:$S$976,"&lt;"&amp;S256)+1)</f>
        <v/>
      </c>
      <c r="Z256" s="87">
        <f>COUNTIFS($B$2:$B$976,B256,$C$2:$C$976,C256,$S$2:$S$976,"&lt;"&amp;S256)+1</f>
        <v/>
      </c>
      <c r="AA256" s="88">
        <f>ABS(S256-SUMPRODUCT(('05B_가정검정'!$A$5:$A$19=B256)*('05B_가정검정'!$B$5:$B$19=C256)*'05B_가정검정'!$E$5:$E$19))</f>
        <v/>
      </c>
      <c r="AB256" s="88">
        <f>S256-AVERAGEIFS($S$2:$S$976,$B$2:$B$976,B256,$C$2:$C$976,C256)</f>
        <v/>
      </c>
    </row>
    <row r="257" ht="15" customHeight="1" s="68">
      <c r="A257" s="83" t="inlineStr">
        <is>
          <t>PAT-18</t>
        </is>
      </c>
      <c r="B257" s="83" t="inlineStr">
        <is>
          <t>chatgpt</t>
        </is>
      </c>
      <c r="C257" s="83" t="inlineStr">
        <is>
          <t>gemma</t>
        </is>
      </c>
      <c r="D257" s="84" t="n">
        <v>0.235602094240838</v>
      </c>
      <c r="E257" s="84" t="n">
        <v>0.290322580645161</v>
      </c>
      <c r="F257" s="84" t="n">
        <v>0.108695652173913</v>
      </c>
      <c r="G257" s="84" t="n">
        <v>0.268817204301075</v>
      </c>
      <c r="H257" s="84" t="n">
        <v>0.219717373232647</v>
      </c>
      <c r="I257" s="84" t="n">
        <v>0.307314423396359</v>
      </c>
      <c r="J257" s="84" t="n">
        <v>0.629024252832193</v>
      </c>
      <c r="K257" s="84" t="n">
        <v>0.646341711579245</v>
      </c>
      <c r="L257" s="84" t="n">
        <v>0.761348822718796</v>
      </c>
      <c r="M257" s="84" t="n">
        <v>0.568627450980392</v>
      </c>
      <c r="N257" s="84" t="n">
        <v>0.073170731707317</v>
      </c>
      <c r="O257" s="84" t="n">
        <v>1</v>
      </c>
      <c r="P257" s="85">
        <f>AVERAGE(D257:I257)</f>
        <v/>
      </c>
      <c r="Q257" s="85">
        <f>AVERAGE(J257:L257)</f>
        <v/>
      </c>
      <c r="R257" s="85">
        <f>AVERAGE(M257:O257)</f>
        <v/>
      </c>
      <c r="S257" s="85">
        <f>'02_지표정의'!$C$22*P257+'02_지표정의'!$C$23*Q257+'02_지표정의'!$C$24*R257</f>
        <v/>
      </c>
      <c r="T257" s="73">
        <f>IF(OR(AND(B257="gemini",C257="gemma"),AND(B257="qwen3_6",C257="qwen"),AND(B257="mistral",C257="ministral")),1,0)</f>
        <v/>
      </c>
      <c r="U257" s="73">
        <f>IF(LEFT(A257,3)="PAT","특허","보고서")</f>
        <v/>
      </c>
      <c r="V257" s="86">
        <f>COUNTIF($S$2:$S$976,"&lt;"&amp;S257)+(COUNTIF($S$2:$S$976,"="&amp;S257)+1)/2</f>
        <v/>
      </c>
      <c r="W257" s="73">
        <f>IF(C257="qwen",0,COUNTIFS($C$2:$C$976,"&lt;&gt;qwen",$S$2:$S$976,"&lt;"&amp;S257)+1)</f>
        <v/>
      </c>
      <c r="X257" s="73">
        <f>IF(C257="ministral",0,COUNTIFS($C$2:$C$976,"&lt;&gt;ministral",$S$2:$S$976,"&lt;"&amp;S257)+1)</f>
        <v/>
      </c>
      <c r="Y257" s="73">
        <f>IF(C257="gemma",0,COUNTIFS($C$2:$C$976,"&lt;&gt;gemma",$S$2:$S$976,"&lt;"&amp;S257)+1)</f>
        <v/>
      </c>
      <c r="Z257" s="87">
        <f>COUNTIFS($B$2:$B$976,B257,$C$2:$C$976,C257,$S$2:$S$976,"&lt;"&amp;S257)+1</f>
        <v/>
      </c>
      <c r="AA257" s="88">
        <f>ABS(S257-SUMPRODUCT(('05B_가정검정'!$A$5:$A$19=B257)*('05B_가정검정'!$B$5:$B$19=C257)*'05B_가정검정'!$E$5:$E$19))</f>
        <v/>
      </c>
      <c r="AB257" s="88">
        <f>S257-AVERAGEIFS($S$2:$S$976,$B$2:$B$976,B257,$C$2:$C$976,C257)</f>
        <v/>
      </c>
    </row>
    <row r="258" ht="15" customHeight="1" s="68">
      <c r="A258" s="83" t="inlineStr">
        <is>
          <t>PAT-18</t>
        </is>
      </c>
      <c r="B258" s="83" t="inlineStr">
        <is>
          <t>chatgpt</t>
        </is>
      </c>
      <c r="C258" s="83" t="inlineStr">
        <is>
          <t>ministral</t>
        </is>
      </c>
      <c r="D258" s="84" t="n">
        <v>0.281200631911532</v>
      </c>
      <c r="E258" s="84" t="n">
        <v>0.203636363636364</v>
      </c>
      <c r="F258" s="84" t="n">
        <v>0.08058608058608061</v>
      </c>
      <c r="G258" s="84" t="n">
        <v>0.189090909090909</v>
      </c>
      <c r="H258" s="84" t="n">
        <v>0.150418935339221</v>
      </c>
      <c r="I258" s="84" t="n">
        <v>0.376938333247081</v>
      </c>
      <c r="J258" s="84" t="n">
        <v>0.609955043534459</v>
      </c>
      <c r="K258" s="84" t="n">
        <v>0.700433915868493</v>
      </c>
      <c r="L258" s="84" t="n">
        <v>0.790749622699867</v>
      </c>
      <c r="M258" s="84" t="n">
        <v>0.462222222222222</v>
      </c>
      <c r="N258" s="84" t="n">
        <v>0.024</v>
      </c>
      <c r="O258" s="84" t="n">
        <v>1</v>
      </c>
      <c r="P258" s="85">
        <f>AVERAGE(D258:I258)</f>
        <v/>
      </c>
      <c r="Q258" s="85">
        <f>AVERAGE(J258:L258)</f>
        <v/>
      </c>
      <c r="R258" s="85">
        <f>AVERAGE(M258:O258)</f>
        <v/>
      </c>
      <c r="S258" s="85">
        <f>'02_지표정의'!$C$22*P258+'02_지표정의'!$C$23*Q258+'02_지표정의'!$C$24*R258</f>
        <v/>
      </c>
      <c r="T258" s="73">
        <f>IF(OR(AND(B258="gemini",C258="gemma"),AND(B258="qwen3_6",C258="qwen"),AND(B258="mistral",C258="ministral")),1,0)</f>
        <v/>
      </c>
      <c r="U258" s="73">
        <f>IF(LEFT(A258,3)="PAT","특허","보고서")</f>
        <v/>
      </c>
      <c r="V258" s="86">
        <f>COUNTIF($S$2:$S$976,"&lt;"&amp;S258)+(COUNTIF($S$2:$S$976,"="&amp;S258)+1)/2</f>
        <v/>
      </c>
      <c r="W258" s="73">
        <f>IF(C258="qwen",0,COUNTIFS($C$2:$C$976,"&lt;&gt;qwen",$S$2:$S$976,"&lt;"&amp;S258)+1)</f>
        <v/>
      </c>
      <c r="X258" s="73">
        <f>IF(C258="ministral",0,COUNTIFS($C$2:$C$976,"&lt;&gt;ministral",$S$2:$S$976,"&lt;"&amp;S258)+1)</f>
        <v/>
      </c>
      <c r="Y258" s="73">
        <f>IF(C258="gemma",0,COUNTIFS($C$2:$C$976,"&lt;&gt;gemma",$S$2:$S$976,"&lt;"&amp;S258)+1)</f>
        <v/>
      </c>
      <c r="Z258" s="87">
        <f>COUNTIFS($B$2:$B$976,B258,$C$2:$C$976,C258,$S$2:$S$976,"&lt;"&amp;S258)+1</f>
        <v/>
      </c>
      <c r="AA258" s="88">
        <f>ABS(S258-SUMPRODUCT(('05B_가정검정'!$A$5:$A$19=B258)*('05B_가정검정'!$B$5:$B$19=C258)*'05B_가정검정'!$E$5:$E$19))</f>
        <v/>
      </c>
      <c r="AB258" s="88">
        <f>S258-AVERAGEIFS($S$2:$S$976,$B$2:$B$976,B258,$C$2:$C$976,C258)</f>
        <v/>
      </c>
    </row>
    <row r="259" ht="15" customHeight="1" s="68">
      <c r="A259" s="83" t="inlineStr">
        <is>
          <t>PAT-18</t>
        </is>
      </c>
      <c r="B259" s="83" t="inlineStr">
        <is>
          <t>chatgpt</t>
        </is>
      </c>
      <c r="C259" s="83" t="inlineStr">
        <is>
          <t>qwen</t>
        </is>
      </c>
      <c r="D259" s="84" t="n">
        <v>0.328813559322034</v>
      </c>
      <c r="E259" s="84" t="n">
        <v>0.423076923076923</v>
      </c>
      <c r="F259" s="84" t="n">
        <v>0.12987012987013</v>
      </c>
      <c r="G259" s="84" t="n">
        <v>0.384615384615385</v>
      </c>
      <c r="H259" s="84" t="n">
        <v>0.293038016569133</v>
      </c>
      <c r="I259" s="84" t="n">
        <v>0.36557381778518</v>
      </c>
      <c r="J259" s="84" t="n">
        <v>0.666074004363025</v>
      </c>
      <c r="K259" s="84" t="n">
        <v>0.647573500656746</v>
      </c>
      <c r="L259" s="84" t="n">
        <v>0.800519068191357</v>
      </c>
      <c r="M259" s="84" t="n">
        <v>0.562913907284768</v>
      </c>
      <c r="N259" s="84" t="n">
        <v>0.231707317073171</v>
      </c>
      <c r="O259" s="84" t="n">
        <v>1</v>
      </c>
      <c r="P259" s="85">
        <f>AVERAGE(D259:I259)</f>
        <v/>
      </c>
      <c r="Q259" s="85">
        <f>AVERAGE(J259:L259)</f>
        <v/>
      </c>
      <c r="R259" s="85">
        <f>AVERAGE(M259:O259)</f>
        <v/>
      </c>
      <c r="S259" s="85">
        <f>'02_지표정의'!$C$22*P259+'02_지표정의'!$C$23*Q259+'02_지표정의'!$C$24*R259</f>
        <v/>
      </c>
      <c r="T259" s="73">
        <f>IF(OR(AND(B259="gemini",C259="gemma"),AND(B259="qwen3_6",C259="qwen"),AND(B259="mistral",C259="ministral")),1,0)</f>
        <v/>
      </c>
      <c r="U259" s="73">
        <f>IF(LEFT(A259,3)="PAT","특허","보고서")</f>
        <v/>
      </c>
      <c r="V259" s="86">
        <f>COUNTIF($S$2:$S$976,"&lt;"&amp;S259)+(COUNTIF($S$2:$S$976,"="&amp;S259)+1)/2</f>
        <v/>
      </c>
      <c r="W259" s="73">
        <f>IF(C259="qwen",0,COUNTIFS($C$2:$C$976,"&lt;&gt;qwen",$S$2:$S$976,"&lt;"&amp;S259)+1)</f>
        <v/>
      </c>
      <c r="X259" s="73">
        <f>IF(C259="ministral",0,COUNTIFS($C$2:$C$976,"&lt;&gt;ministral",$S$2:$S$976,"&lt;"&amp;S259)+1)</f>
        <v/>
      </c>
      <c r="Y259" s="73">
        <f>IF(C259="gemma",0,COUNTIFS($C$2:$C$976,"&lt;&gt;gemma",$S$2:$S$976,"&lt;"&amp;S259)+1)</f>
        <v/>
      </c>
      <c r="Z259" s="87">
        <f>COUNTIFS($B$2:$B$976,B259,$C$2:$C$976,C259,$S$2:$S$976,"&lt;"&amp;S259)+1</f>
        <v/>
      </c>
      <c r="AA259" s="88">
        <f>ABS(S259-SUMPRODUCT(('05B_가정검정'!$A$5:$A$19=B259)*('05B_가정검정'!$B$5:$B$19=C259)*'05B_가정검정'!$E$5:$E$19))</f>
        <v/>
      </c>
      <c r="AB259" s="88">
        <f>S259-AVERAGEIFS($S$2:$S$976,$B$2:$B$976,B259,$C$2:$C$976,C259)</f>
        <v/>
      </c>
    </row>
    <row r="260" ht="15" customHeight="1" s="68">
      <c r="A260" s="83" t="inlineStr">
        <is>
          <t>PAT-18</t>
        </is>
      </c>
      <c r="B260" s="83" t="inlineStr">
        <is>
          <t>claude</t>
        </is>
      </c>
      <c r="C260" s="83" t="inlineStr">
        <is>
          <t>gemma</t>
        </is>
      </c>
      <c r="D260" s="84" t="n">
        <v>0.250746268656716</v>
      </c>
      <c r="E260" s="84" t="n">
        <v>0.275092936802974</v>
      </c>
      <c r="F260" s="84" t="n">
        <v>0.0973782771535581</v>
      </c>
      <c r="G260" s="84" t="n">
        <v>0.20817843866171</v>
      </c>
      <c r="H260" s="84" t="n">
        <v>0.352558477193054</v>
      </c>
      <c r="I260" s="84" t="n">
        <v>0.278755730369326</v>
      </c>
      <c r="J260" s="84" t="n">
        <v>0.698106047259999</v>
      </c>
      <c r="K260" s="84" t="n">
        <v>0.702757602774763</v>
      </c>
      <c r="L260" s="84" t="n">
        <v>0.826841509419193</v>
      </c>
      <c r="M260" s="84" t="n">
        <v>0.640522875816993</v>
      </c>
      <c r="N260" s="84" t="n">
        <v>0.643835616438356</v>
      </c>
      <c r="O260" s="84" t="n">
        <v>1</v>
      </c>
      <c r="P260" s="85">
        <f>AVERAGE(D260:I260)</f>
        <v/>
      </c>
      <c r="Q260" s="85">
        <f>AVERAGE(J260:L260)</f>
        <v/>
      </c>
      <c r="R260" s="85">
        <f>AVERAGE(M260:O260)</f>
        <v/>
      </c>
      <c r="S260" s="85">
        <f>'02_지표정의'!$C$22*P260+'02_지표정의'!$C$23*Q260+'02_지표정의'!$C$24*R260</f>
        <v/>
      </c>
      <c r="T260" s="73">
        <f>IF(OR(AND(B260="gemini",C260="gemma"),AND(B260="qwen3_6",C260="qwen"),AND(B260="mistral",C260="ministral")),1,0)</f>
        <v/>
      </c>
      <c r="U260" s="73">
        <f>IF(LEFT(A260,3)="PAT","특허","보고서")</f>
        <v/>
      </c>
      <c r="V260" s="86">
        <f>COUNTIF($S$2:$S$976,"&lt;"&amp;S260)+(COUNTIF($S$2:$S$976,"="&amp;S260)+1)/2</f>
        <v/>
      </c>
      <c r="W260" s="73">
        <f>IF(C260="qwen",0,COUNTIFS($C$2:$C$976,"&lt;&gt;qwen",$S$2:$S$976,"&lt;"&amp;S260)+1)</f>
        <v/>
      </c>
      <c r="X260" s="73">
        <f>IF(C260="ministral",0,COUNTIFS($C$2:$C$976,"&lt;&gt;ministral",$S$2:$S$976,"&lt;"&amp;S260)+1)</f>
        <v/>
      </c>
      <c r="Y260" s="73">
        <f>IF(C260="gemma",0,COUNTIFS($C$2:$C$976,"&lt;&gt;gemma",$S$2:$S$976,"&lt;"&amp;S260)+1)</f>
        <v/>
      </c>
      <c r="Z260" s="87">
        <f>COUNTIFS($B$2:$B$976,B260,$C$2:$C$976,C260,$S$2:$S$976,"&lt;"&amp;S260)+1</f>
        <v/>
      </c>
      <c r="AA260" s="88">
        <f>ABS(S260-SUMPRODUCT(('05B_가정검정'!$A$5:$A$19=B260)*('05B_가정검정'!$B$5:$B$19=C260)*'05B_가정검정'!$E$5:$E$19))</f>
        <v/>
      </c>
      <c r="AB260" s="88">
        <f>S260-AVERAGEIFS($S$2:$S$976,$B$2:$B$976,B260,$C$2:$C$976,C260)</f>
        <v/>
      </c>
    </row>
    <row r="261" ht="15" customHeight="1" s="68">
      <c r="A261" s="83" t="inlineStr">
        <is>
          <t>PAT-18</t>
        </is>
      </c>
      <c r="B261" s="83" t="inlineStr">
        <is>
          <t>claude</t>
        </is>
      </c>
      <c r="C261" s="83" t="inlineStr">
        <is>
          <t>ministral</t>
        </is>
      </c>
      <c r="D261" s="84" t="n">
        <v>0.265446224256293</v>
      </c>
      <c r="E261" s="84" t="n">
        <v>0.189944134078212</v>
      </c>
      <c r="F261" s="84" t="n">
        <v>0.0730337078651685</v>
      </c>
      <c r="G261" s="84" t="n">
        <v>0.156424581005587</v>
      </c>
      <c r="H261" s="84" t="n">
        <v>0.228630771681933</v>
      </c>
      <c r="I261" s="84" t="n">
        <v>0.320278517438456</v>
      </c>
      <c r="J261" s="84" t="n">
        <v>0.70595103255424</v>
      </c>
      <c r="K261" s="84" t="n">
        <v>0.715926628003842</v>
      </c>
      <c r="L261" s="84" t="n">
        <v>0.844741417726547</v>
      </c>
      <c r="M261" s="84" t="n">
        <v>0.457777777777778</v>
      </c>
      <c r="N261" s="84" t="n">
        <v>0.376</v>
      </c>
      <c r="O261" s="84" t="n">
        <v>1</v>
      </c>
      <c r="P261" s="85">
        <f>AVERAGE(D261:I261)</f>
        <v/>
      </c>
      <c r="Q261" s="85">
        <f>AVERAGE(J261:L261)</f>
        <v/>
      </c>
      <c r="R261" s="85">
        <f>AVERAGE(M261:O261)</f>
        <v/>
      </c>
      <c r="S261" s="85">
        <f>'02_지표정의'!$C$22*P261+'02_지표정의'!$C$23*Q261+'02_지표정의'!$C$24*R261</f>
        <v/>
      </c>
      <c r="T261" s="73">
        <f>IF(OR(AND(B261="gemini",C261="gemma"),AND(B261="qwen3_6",C261="qwen"),AND(B261="mistral",C261="ministral")),1,0)</f>
        <v/>
      </c>
      <c r="U261" s="73">
        <f>IF(LEFT(A261,3)="PAT","특허","보고서")</f>
        <v/>
      </c>
      <c r="V261" s="86">
        <f>COUNTIF($S$2:$S$976,"&lt;"&amp;S261)+(COUNTIF($S$2:$S$976,"="&amp;S261)+1)/2</f>
        <v/>
      </c>
      <c r="W261" s="73">
        <f>IF(C261="qwen",0,COUNTIFS($C$2:$C$976,"&lt;&gt;qwen",$S$2:$S$976,"&lt;"&amp;S261)+1)</f>
        <v/>
      </c>
      <c r="X261" s="73">
        <f>IF(C261="ministral",0,COUNTIFS($C$2:$C$976,"&lt;&gt;ministral",$S$2:$S$976,"&lt;"&amp;S261)+1)</f>
        <v/>
      </c>
      <c r="Y261" s="73">
        <f>IF(C261="gemma",0,COUNTIFS($C$2:$C$976,"&lt;&gt;gemma",$S$2:$S$976,"&lt;"&amp;S261)+1)</f>
        <v/>
      </c>
      <c r="Z261" s="87">
        <f>COUNTIFS($B$2:$B$976,B261,$C$2:$C$976,C261,$S$2:$S$976,"&lt;"&amp;S261)+1</f>
        <v/>
      </c>
      <c r="AA261" s="88">
        <f>ABS(S261-SUMPRODUCT(('05B_가정검정'!$A$5:$A$19=B261)*('05B_가정검정'!$B$5:$B$19=C261)*'05B_가정검정'!$E$5:$E$19))</f>
        <v/>
      </c>
      <c r="AB261" s="88">
        <f>S261-AVERAGEIFS($S$2:$S$976,$B$2:$B$976,B261,$C$2:$C$976,C261)</f>
        <v/>
      </c>
    </row>
    <row r="262" ht="15" customHeight="1" s="68">
      <c r="A262" s="83" t="inlineStr">
        <is>
          <t>PAT-18</t>
        </is>
      </c>
      <c r="B262" s="83" t="inlineStr">
        <is>
          <t>claude</t>
        </is>
      </c>
      <c r="C262" s="83" t="inlineStr">
        <is>
          <t>qwen</t>
        </is>
      </c>
      <c r="D262" s="84" t="n">
        <v>0.264741275571601</v>
      </c>
      <c r="E262" s="84" t="n">
        <v>0.317991631799163</v>
      </c>
      <c r="F262" s="84" t="n">
        <v>0.118143459915612</v>
      </c>
      <c r="G262" s="84" t="n">
        <v>0.276150627615063</v>
      </c>
      <c r="H262" s="84" t="n">
        <v>0.353483076427223</v>
      </c>
      <c r="I262" s="84" t="n">
        <v>0.344712362987282</v>
      </c>
      <c r="J262" s="84" t="n">
        <v>0.7430183625944879</v>
      </c>
      <c r="K262" s="84" t="n">
        <v>0.696967547636142</v>
      </c>
      <c r="L262" s="84" t="n">
        <v>0.883274826177431</v>
      </c>
      <c r="M262" s="84" t="n">
        <v>0.765765765765766</v>
      </c>
      <c r="N262" s="84" t="n">
        <v>0.790322580645161</v>
      </c>
      <c r="O262" s="84" t="n">
        <v>1</v>
      </c>
      <c r="P262" s="85">
        <f>AVERAGE(D262:I262)</f>
        <v/>
      </c>
      <c r="Q262" s="85">
        <f>AVERAGE(J262:L262)</f>
        <v/>
      </c>
      <c r="R262" s="85">
        <f>AVERAGE(M262:O262)</f>
        <v/>
      </c>
      <c r="S262" s="85">
        <f>'02_지표정의'!$C$22*P262+'02_지표정의'!$C$23*Q262+'02_지표정의'!$C$24*R262</f>
        <v/>
      </c>
      <c r="T262" s="73">
        <f>IF(OR(AND(B262="gemini",C262="gemma"),AND(B262="qwen3_6",C262="qwen"),AND(B262="mistral",C262="ministral")),1,0)</f>
        <v/>
      </c>
      <c r="U262" s="73">
        <f>IF(LEFT(A262,3)="PAT","특허","보고서")</f>
        <v/>
      </c>
      <c r="V262" s="86">
        <f>COUNTIF($S$2:$S$976,"&lt;"&amp;S262)+(COUNTIF($S$2:$S$976,"="&amp;S262)+1)/2</f>
        <v/>
      </c>
      <c r="W262" s="73">
        <f>IF(C262="qwen",0,COUNTIFS($C$2:$C$976,"&lt;&gt;qwen",$S$2:$S$976,"&lt;"&amp;S262)+1)</f>
        <v/>
      </c>
      <c r="X262" s="73">
        <f>IF(C262="ministral",0,COUNTIFS($C$2:$C$976,"&lt;&gt;ministral",$S$2:$S$976,"&lt;"&amp;S262)+1)</f>
        <v/>
      </c>
      <c r="Y262" s="73">
        <f>IF(C262="gemma",0,COUNTIFS($C$2:$C$976,"&lt;&gt;gemma",$S$2:$S$976,"&lt;"&amp;S262)+1)</f>
        <v/>
      </c>
      <c r="Z262" s="87">
        <f>COUNTIFS($B$2:$B$976,B262,$C$2:$C$976,C262,$S$2:$S$976,"&lt;"&amp;S262)+1</f>
        <v/>
      </c>
      <c r="AA262" s="88">
        <f>ABS(S262-SUMPRODUCT(('05B_가정검정'!$A$5:$A$19=B262)*('05B_가정검정'!$B$5:$B$19=C262)*'05B_가정검정'!$E$5:$E$19))</f>
        <v/>
      </c>
      <c r="AB262" s="88">
        <f>S262-AVERAGEIFS($S$2:$S$976,$B$2:$B$976,B262,$C$2:$C$976,C262)</f>
        <v/>
      </c>
    </row>
    <row r="263" ht="15" customHeight="1" s="68">
      <c r="A263" s="83" t="inlineStr">
        <is>
          <t>PAT-18</t>
        </is>
      </c>
      <c r="B263" s="83" t="inlineStr">
        <is>
          <t>gemini</t>
        </is>
      </c>
      <c r="C263" s="83" t="inlineStr">
        <is>
          <t>gemma</t>
        </is>
      </c>
      <c r="D263" s="84" t="n">
        <v>0.260762607626076</v>
      </c>
      <c r="E263" s="84" t="n">
        <v>0.294117647058824</v>
      </c>
      <c r="F263" s="84" t="n">
        <v>0.118811881188119</v>
      </c>
      <c r="G263" s="84" t="n">
        <v>0.245098039215686</v>
      </c>
      <c r="H263" s="84" t="n">
        <v>0.294699753120237</v>
      </c>
      <c r="I263" s="84" t="n">
        <v>0.247298911603613</v>
      </c>
      <c r="J263" s="84" t="n">
        <v>0.729242432030733</v>
      </c>
      <c r="K263" s="84" t="n">
        <v>0.817839067199659</v>
      </c>
      <c r="L263" s="84" t="n">
        <v>0.9199347880672341</v>
      </c>
      <c r="M263" s="84" t="n">
        <v>0.633986928104575</v>
      </c>
      <c r="N263" s="84" t="n">
        <v>0.753424657534247</v>
      </c>
      <c r="O263" s="84" t="n">
        <v>1</v>
      </c>
      <c r="P263" s="85">
        <f>AVERAGE(D263:I263)</f>
        <v/>
      </c>
      <c r="Q263" s="85">
        <f>AVERAGE(J263:L263)</f>
        <v/>
      </c>
      <c r="R263" s="85">
        <f>AVERAGE(M263:O263)</f>
        <v/>
      </c>
      <c r="S263" s="85">
        <f>'02_지표정의'!$C$22*P263+'02_지표정의'!$C$23*Q263+'02_지표정의'!$C$24*R263</f>
        <v/>
      </c>
      <c r="T263" s="73">
        <f>IF(OR(AND(B263="gemini",C263="gemma"),AND(B263="qwen3_6",C263="qwen"),AND(B263="mistral",C263="ministral")),1,0)</f>
        <v/>
      </c>
      <c r="U263" s="73">
        <f>IF(LEFT(A263,3)="PAT","특허","보고서")</f>
        <v/>
      </c>
      <c r="V263" s="86">
        <f>COUNTIF($S$2:$S$976,"&lt;"&amp;S263)+(COUNTIF($S$2:$S$976,"="&amp;S263)+1)/2</f>
        <v/>
      </c>
      <c r="W263" s="73">
        <f>IF(C263="qwen",0,COUNTIFS($C$2:$C$976,"&lt;&gt;qwen",$S$2:$S$976,"&lt;"&amp;S263)+1)</f>
        <v/>
      </c>
      <c r="X263" s="73">
        <f>IF(C263="ministral",0,COUNTIFS($C$2:$C$976,"&lt;&gt;ministral",$S$2:$S$976,"&lt;"&amp;S263)+1)</f>
        <v/>
      </c>
      <c r="Y263" s="73">
        <f>IF(C263="gemma",0,COUNTIFS($C$2:$C$976,"&lt;&gt;gemma",$S$2:$S$976,"&lt;"&amp;S263)+1)</f>
        <v/>
      </c>
      <c r="Z263" s="87">
        <f>COUNTIFS($B$2:$B$976,B263,$C$2:$C$976,C263,$S$2:$S$976,"&lt;"&amp;S263)+1</f>
        <v/>
      </c>
      <c r="AA263" s="88">
        <f>ABS(S263-SUMPRODUCT(('05B_가정검정'!$A$5:$A$19=B263)*('05B_가정검정'!$B$5:$B$19=C263)*'05B_가정검정'!$E$5:$E$19))</f>
        <v/>
      </c>
      <c r="AB263" s="88">
        <f>S263-AVERAGEIFS($S$2:$S$976,$B$2:$B$976,B263,$C$2:$C$976,C263)</f>
        <v/>
      </c>
    </row>
    <row r="264" ht="15" customHeight="1" s="68">
      <c r="A264" s="83" t="inlineStr">
        <is>
          <t>PAT-18</t>
        </is>
      </c>
      <c r="B264" s="83" t="inlineStr">
        <is>
          <t>gemini</t>
        </is>
      </c>
      <c r="C264" s="83" t="inlineStr">
        <is>
          <t>ministral</t>
        </is>
      </c>
      <c r="D264" s="84" t="n">
        <v>0.231671554252199</v>
      </c>
      <c r="E264" s="84" t="n">
        <v>0.170648464163823</v>
      </c>
      <c r="F264" s="84" t="n">
        <v>0.06872852233676981</v>
      </c>
      <c r="G264" s="84" t="n">
        <v>0.156996587030717</v>
      </c>
      <c r="H264" s="84" t="n">
        <v>0.192041548133864</v>
      </c>
      <c r="I264" s="84" t="n">
        <v>0.266899724516923</v>
      </c>
      <c r="J264" s="84" t="n">
        <v>0.7171529719794421</v>
      </c>
      <c r="K264" s="84" t="n">
        <v>0.813830758799887</v>
      </c>
      <c r="L264" s="84" t="n">
        <v>0.915224439405166</v>
      </c>
      <c r="M264" s="84" t="n">
        <v>0.431111111111111</v>
      </c>
      <c r="N264" s="84" t="n">
        <v>0.44</v>
      </c>
      <c r="O264" s="84" t="n">
        <v>1</v>
      </c>
      <c r="P264" s="85">
        <f>AVERAGE(D264:I264)</f>
        <v/>
      </c>
      <c r="Q264" s="85">
        <f>AVERAGE(J264:L264)</f>
        <v/>
      </c>
      <c r="R264" s="85">
        <f>AVERAGE(M264:O264)</f>
        <v/>
      </c>
      <c r="S264" s="85">
        <f>'02_지표정의'!$C$22*P264+'02_지표정의'!$C$23*Q264+'02_지표정의'!$C$24*R264</f>
        <v/>
      </c>
      <c r="T264" s="73">
        <f>IF(OR(AND(B264="gemini",C264="gemma"),AND(B264="qwen3_6",C264="qwen"),AND(B264="mistral",C264="ministral")),1,0)</f>
        <v/>
      </c>
      <c r="U264" s="73">
        <f>IF(LEFT(A264,3)="PAT","특허","보고서")</f>
        <v/>
      </c>
      <c r="V264" s="86">
        <f>COUNTIF($S$2:$S$976,"&lt;"&amp;S264)+(COUNTIF($S$2:$S$976,"="&amp;S264)+1)/2</f>
        <v/>
      </c>
      <c r="W264" s="73">
        <f>IF(C264="qwen",0,COUNTIFS($C$2:$C$976,"&lt;&gt;qwen",$S$2:$S$976,"&lt;"&amp;S264)+1)</f>
        <v/>
      </c>
      <c r="X264" s="73">
        <f>IF(C264="ministral",0,COUNTIFS($C$2:$C$976,"&lt;&gt;ministral",$S$2:$S$976,"&lt;"&amp;S264)+1)</f>
        <v/>
      </c>
      <c r="Y264" s="73">
        <f>IF(C264="gemma",0,COUNTIFS($C$2:$C$976,"&lt;&gt;gemma",$S$2:$S$976,"&lt;"&amp;S264)+1)</f>
        <v/>
      </c>
      <c r="Z264" s="87">
        <f>COUNTIFS($B$2:$B$976,B264,$C$2:$C$976,C264,$S$2:$S$976,"&lt;"&amp;S264)+1</f>
        <v/>
      </c>
      <c r="AA264" s="88">
        <f>ABS(S264-SUMPRODUCT(('05B_가정검정'!$A$5:$A$19=B264)*('05B_가정검정'!$B$5:$B$19=C264)*'05B_가정검정'!$E$5:$E$19))</f>
        <v/>
      </c>
      <c r="AB264" s="88">
        <f>S264-AVERAGEIFS($S$2:$S$976,$B$2:$B$976,B264,$C$2:$C$976,C264)</f>
        <v/>
      </c>
    </row>
    <row r="265" ht="15" customHeight="1" s="68">
      <c r="A265" s="83" t="inlineStr">
        <is>
          <t>PAT-18</t>
        </is>
      </c>
      <c r="B265" s="83" t="inlineStr">
        <is>
          <t>gemini</t>
        </is>
      </c>
      <c r="C265" s="83" t="inlineStr">
        <is>
          <t>qwen</t>
        </is>
      </c>
      <c r="D265" s="84" t="n">
        <v>0.284820031298905</v>
      </c>
      <c r="E265" s="84" t="n">
        <v>0.459770114942529</v>
      </c>
      <c r="F265" s="84" t="n">
        <v>0.255813953488372</v>
      </c>
      <c r="G265" s="84" t="n">
        <v>0.35632183908046</v>
      </c>
      <c r="H265" s="84" t="n">
        <v>0.395789145065111</v>
      </c>
      <c r="I265" s="84" t="n">
        <v>0.348686814512222</v>
      </c>
      <c r="J265" s="84" t="n">
        <v>0.756337262132699</v>
      </c>
      <c r="K265" s="84" t="n">
        <v>0.764437416674399</v>
      </c>
      <c r="L265" s="84" t="n">
        <v>0.893763919482652</v>
      </c>
      <c r="M265" s="84" t="n">
        <v>0.906542056074766</v>
      </c>
      <c r="N265" s="84" t="n">
        <v>0.916666666666667</v>
      </c>
      <c r="O265" s="84" t="n">
        <v>1</v>
      </c>
      <c r="P265" s="85">
        <f>AVERAGE(D265:I265)</f>
        <v/>
      </c>
      <c r="Q265" s="85">
        <f>AVERAGE(J265:L265)</f>
        <v/>
      </c>
      <c r="R265" s="85">
        <f>AVERAGE(M265:O265)</f>
        <v/>
      </c>
      <c r="S265" s="85">
        <f>'02_지표정의'!$C$22*P265+'02_지표정의'!$C$23*Q265+'02_지표정의'!$C$24*R265</f>
        <v/>
      </c>
      <c r="T265" s="73">
        <f>IF(OR(AND(B265="gemini",C265="gemma"),AND(B265="qwen3_6",C265="qwen"),AND(B265="mistral",C265="ministral")),1,0)</f>
        <v/>
      </c>
      <c r="U265" s="73">
        <f>IF(LEFT(A265,3)="PAT","특허","보고서")</f>
        <v/>
      </c>
      <c r="V265" s="86">
        <f>COUNTIF($S$2:$S$976,"&lt;"&amp;S265)+(COUNTIF($S$2:$S$976,"="&amp;S265)+1)/2</f>
        <v/>
      </c>
      <c r="W265" s="73">
        <f>IF(C265="qwen",0,COUNTIFS($C$2:$C$976,"&lt;&gt;qwen",$S$2:$S$976,"&lt;"&amp;S265)+1)</f>
        <v/>
      </c>
      <c r="X265" s="73">
        <f>IF(C265="ministral",0,COUNTIFS($C$2:$C$976,"&lt;&gt;ministral",$S$2:$S$976,"&lt;"&amp;S265)+1)</f>
        <v/>
      </c>
      <c r="Y265" s="73">
        <f>IF(C265="gemma",0,COUNTIFS($C$2:$C$976,"&lt;&gt;gemma",$S$2:$S$976,"&lt;"&amp;S265)+1)</f>
        <v/>
      </c>
      <c r="Z265" s="87">
        <f>COUNTIFS($B$2:$B$976,B265,$C$2:$C$976,C265,$S$2:$S$976,"&lt;"&amp;S265)+1</f>
        <v/>
      </c>
      <c r="AA265" s="88">
        <f>ABS(S265-SUMPRODUCT(('05B_가정검정'!$A$5:$A$19=B265)*('05B_가정검정'!$B$5:$B$19=C265)*'05B_가정검정'!$E$5:$E$19))</f>
        <v/>
      </c>
      <c r="AB265" s="88">
        <f>S265-AVERAGEIFS($S$2:$S$976,$B$2:$B$976,B265,$C$2:$C$976,C265)</f>
        <v/>
      </c>
    </row>
    <row r="266" ht="15" customHeight="1" s="68">
      <c r="A266" s="83" t="inlineStr">
        <is>
          <t>PAT-18</t>
        </is>
      </c>
      <c r="B266" s="83" t="inlineStr">
        <is>
          <t>mistral</t>
        </is>
      </c>
      <c r="C266" s="83" t="inlineStr">
        <is>
          <t>gemma</t>
        </is>
      </c>
      <c r="D266" s="84" t="n">
        <v>0.269744835965978</v>
      </c>
      <c r="E266" s="84" t="n">
        <v>0.316939890710383</v>
      </c>
      <c r="F266" s="84" t="n">
        <v>0.121546961325967</v>
      </c>
      <c r="G266" s="84" t="n">
        <v>0.273224043715847</v>
      </c>
      <c r="H266" s="84" t="n">
        <v>0.303510009908404</v>
      </c>
      <c r="I266" s="84" t="n">
        <v>0.266118995637057</v>
      </c>
      <c r="J266" s="84" t="n">
        <v>0.707771619769074</v>
      </c>
      <c r="K266" s="84" t="n">
        <v>0.684347419552662</v>
      </c>
      <c r="L266" s="84" t="n">
        <v>0.794137588981369</v>
      </c>
      <c r="M266" s="84" t="n">
        <v>0.686274509803922</v>
      </c>
      <c r="N266" s="84" t="n">
        <v>0.589041095890411</v>
      </c>
      <c r="O266" s="84" t="n">
        <v>1</v>
      </c>
      <c r="P266" s="85">
        <f>AVERAGE(D266:I266)</f>
        <v/>
      </c>
      <c r="Q266" s="85">
        <f>AVERAGE(J266:L266)</f>
        <v/>
      </c>
      <c r="R266" s="85">
        <f>AVERAGE(M266:O266)</f>
        <v/>
      </c>
      <c r="S266" s="85">
        <f>'02_지표정의'!$C$22*P266+'02_지표정의'!$C$23*Q266+'02_지표정의'!$C$24*R266</f>
        <v/>
      </c>
      <c r="T266" s="73">
        <f>IF(OR(AND(B266="gemini",C266="gemma"),AND(B266="qwen3_6",C266="qwen"),AND(B266="mistral",C266="ministral")),1,0)</f>
        <v/>
      </c>
      <c r="U266" s="73">
        <f>IF(LEFT(A266,3)="PAT","특허","보고서")</f>
        <v/>
      </c>
      <c r="V266" s="86">
        <f>COUNTIF($S$2:$S$976,"&lt;"&amp;S266)+(COUNTIF($S$2:$S$976,"="&amp;S266)+1)/2</f>
        <v/>
      </c>
      <c r="W266" s="73">
        <f>IF(C266="qwen",0,COUNTIFS($C$2:$C$976,"&lt;&gt;qwen",$S$2:$S$976,"&lt;"&amp;S266)+1)</f>
        <v/>
      </c>
      <c r="X266" s="73">
        <f>IF(C266="ministral",0,COUNTIFS($C$2:$C$976,"&lt;&gt;ministral",$S$2:$S$976,"&lt;"&amp;S266)+1)</f>
        <v/>
      </c>
      <c r="Y266" s="73">
        <f>IF(C266="gemma",0,COUNTIFS($C$2:$C$976,"&lt;&gt;gemma",$S$2:$S$976,"&lt;"&amp;S266)+1)</f>
        <v/>
      </c>
      <c r="Z266" s="87">
        <f>COUNTIFS($B$2:$B$976,B266,$C$2:$C$976,C266,$S$2:$S$976,"&lt;"&amp;S266)+1</f>
        <v/>
      </c>
      <c r="AA266" s="88">
        <f>ABS(S266-SUMPRODUCT(('05B_가정검정'!$A$5:$A$19=B266)*('05B_가정검정'!$B$5:$B$19=C266)*'05B_가정검정'!$E$5:$E$19))</f>
        <v/>
      </c>
      <c r="AB266" s="88">
        <f>S266-AVERAGEIFS($S$2:$S$976,$B$2:$B$976,B266,$C$2:$C$976,C266)</f>
        <v/>
      </c>
    </row>
    <row r="267" ht="15" customHeight="1" s="68">
      <c r="A267" s="83" t="inlineStr">
        <is>
          <t>PAT-18</t>
        </is>
      </c>
      <c r="B267" s="83" t="inlineStr">
        <is>
          <t>mistral</t>
        </is>
      </c>
      <c r="C267" s="83" t="inlineStr">
        <is>
          <t>ministral</t>
        </is>
      </c>
      <c r="D267" s="84" t="n">
        <v>0.329479768786127</v>
      </c>
      <c r="E267" s="84" t="n">
        <v>0.227941176470588</v>
      </c>
      <c r="F267" s="84" t="n">
        <v>0.0962962962962963</v>
      </c>
      <c r="G267" s="84" t="n">
        <v>0.176470588235294</v>
      </c>
      <c r="H267" s="84" t="n">
        <v>0.221761657537781</v>
      </c>
      <c r="I267" s="84" t="n">
        <v>0.298598812276172</v>
      </c>
      <c r="J267" s="84" t="n">
        <v>0.683950870372669</v>
      </c>
      <c r="K267" s="84" t="n">
        <v>0.703380635996592</v>
      </c>
      <c r="L267" s="84" t="n">
        <v>0.807640481421677</v>
      </c>
      <c r="M267" s="84" t="n">
        <v>0.457777777777778</v>
      </c>
      <c r="N267" s="84" t="n">
        <v>0.344</v>
      </c>
      <c r="O267" s="84" t="n">
        <v>1</v>
      </c>
      <c r="P267" s="85">
        <f>AVERAGE(D267:I267)</f>
        <v/>
      </c>
      <c r="Q267" s="85">
        <f>AVERAGE(J267:L267)</f>
        <v/>
      </c>
      <c r="R267" s="85">
        <f>AVERAGE(M267:O267)</f>
        <v/>
      </c>
      <c r="S267" s="85">
        <f>'02_지표정의'!$C$22*P267+'02_지표정의'!$C$23*Q267+'02_지표정의'!$C$24*R267</f>
        <v/>
      </c>
      <c r="T267" s="73">
        <f>IF(OR(AND(B267="gemini",C267="gemma"),AND(B267="qwen3_6",C267="qwen"),AND(B267="mistral",C267="ministral")),1,0)</f>
        <v/>
      </c>
      <c r="U267" s="73">
        <f>IF(LEFT(A267,3)="PAT","특허","보고서")</f>
        <v/>
      </c>
      <c r="V267" s="86">
        <f>COUNTIF($S$2:$S$976,"&lt;"&amp;S267)+(COUNTIF($S$2:$S$976,"="&amp;S267)+1)/2</f>
        <v/>
      </c>
      <c r="W267" s="73">
        <f>IF(C267="qwen",0,COUNTIFS($C$2:$C$976,"&lt;&gt;qwen",$S$2:$S$976,"&lt;"&amp;S267)+1)</f>
        <v/>
      </c>
      <c r="X267" s="73">
        <f>IF(C267="ministral",0,COUNTIFS($C$2:$C$976,"&lt;&gt;ministral",$S$2:$S$976,"&lt;"&amp;S267)+1)</f>
        <v/>
      </c>
      <c r="Y267" s="73">
        <f>IF(C267="gemma",0,COUNTIFS($C$2:$C$976,"&lt;&gt;gemma",$S$2:$S$976,"&lt;"&amp;S267)+1)</f>
        <v/>
      </c>
      <c r="Z267" s="87">
        <f>COUNTIFS($B$2:$B$976,B267,$C$2:$C$976,C267,$S$2:$S$976,"&lt;"&amp;S267)+1</f>
        <v/>
      </c>
      <c r="AA267" s="88">
        <f>ABS(S267-SUMPRODUCT(('05B_가정검정'!$A$5:$A$19=B267)*('05B_가정검정'!$B$5:$B$19=C267)*'05B_가정검정'!$E$5:$E$19))</f>
        <v/>
      </c>
      <c r="AB267" s="88">
        <f>S267-AVERAGEIFS($S$2:$S$976,$B$2:$B$976,B267,$C$2:$C$976,C267)</f>
        <v/>
      </c>
    </row>
    <row r="268" ht="15" customHeight="1" s="68">
      <c r="A268" s="83" t="inlineStr">
        <is>
          <t>PAT-18</t>
        </is>
      </c>
      <c r="B268" s="83" t="inlineStr">
        <is>
          <t>mistral</t>
        </is>
      </c>
      <c r="C268" s="83" t="inlineStr">
        <is>
          <t>qwen</t>
        </is>
      </c>
      <c r="D268" s="84" t="n">
        <v>0.277349768875193</v>
      </c>
      <c r="E268" s="84" t="n">
        <v>0.300653594771242</v>
      </c>
      <c r="F268" s="84" t="n">
        <v>0.105960264900662</v>
      </c>
      <c r="G268" s="84" t="n">
        <v>0.274509803921569</v>
      </c>
      <c r="H268" s="84" t="n">
        <v>0.362970066048813</v>
      </c>
      <c r="I268" s="84" t="n">
        <v>0.278751825204406</v>
      </c>
      <c r="J268" s="84" t="n">
        <v>0.698625391767417</v>
      </c>
      <c r="K268" s="84" t="n">
        <v>0.644538746897317</v>
      </c>
      <c r="L268" s="84" t="n">
        <v>0.8739845594236501</v>
      </c>
      <c r="M268" s="84" t="n">
        <v>0.747899159663866</v>
      </c>
      <c r="N268" s="84" t="n">
        <v>0.742424242424242</v>
      </c>
      <c r="O268" s="84" t="n">
        <v>1</v>
      </c>
      <c r="P268" s="85">
        <f>AVERAGE(D268:I268)</f>
        <v/>
      </c>
      <c r="Q268" s="85">
        <f>AVERAGE(J268:L268)</f>
        <v/>
      </c>
      <c r="R268" s="85">
        <f>AVERAGE(M268:O268)</f>
        <v/>
      </c>
      <c r="S268" s="85">
        <f>'02_지표정의'!$C$22*P268+'02_지표정의'!$C$23*Q268+'02_지표정의'!$C$24*R268</f>
        <v/>
      </c>
      <c r="T268" s="73">
        <f>IF(OR(AND(B268="gemini",C268="gemma"),AND(B268="qwen3_6",C268="qwen"),AND(B268="mistral",C268="ministral")),1,0)</f>
        <v/>
      </c>
      <c r="U268" s="73">
        <f>IF(LEFT(A268,3)="PAT","특허","보고서")</f>
        <v/>
      </c>
      <c r="V268" s="86">
        <f>COUNTIF($S$2:$S$976,"&lt;"&amp;S268)+(COUNTIF($S$2:$S$976,"="&amp;S268)+1)/2</f>
        <v/>
      </c>
      <c r="W268" s="73">
        <f>IF(C268="qwen",0,COUNTIFS($C$2:$C$976,"&lt;&gt;qwen",$S$2:$S$976,"&lt;"&amp;S268)+1)</f>
        <v/>
      </c>
      <c r="X268" s="73">
        <f>IF(C268="ministral",0,COUNTIFS($C$2:$C$976,"&lt;&gt;ministral",$S$2:$S$976,"&lt;"&amp;S268)+1)</f>
        <v/>
      </c>
      <c r="Y268" s="73">
        <f>IF(C268="gemma",0,COUNTIFS($C$2:$C$976,"&lt;&gt;gemma",$S$2:$S$976,"&lt;"&amp;S268)+1)</f>
        <v/>
      </c>
      <c r="Z268" s="87">
        <f>COUNTIFS($B$2:$B$976,B268,$C$2:$C$976,C268,$S$2:$S$976,"&lt;"&amp;S268)+1</f>
        <v/>
      </c>
      <c r="AA268" s="88">
        <f>ABS(S268-SUMPRODUCT(('05B_가정검정'!$A$5:$A$19=B268)*('05B_가정검정'!$B$5:$B$19=C268)*'05B_가정검정'!$E$5:$E$19))</f>
        <v/>
      </c>
      <c r="AB268" s="88">
        <f>S268-AVERAGEIFS($S$2:$S$976,$B$2:$B$976,B268,$C$2:$C$976,C268)</f>
        <v/>
      </c>
    </row>
    <row r="269" ht="15" customHeight="1" s="68">
      <c r="A269" s="83" t="inlineStr">
        <is>
          <t>PAT-18</t>
        </is>
      </c>
      <c r="B269" s="83" t="inlineStr">
        <is>
          <t>qwen3_6</t>
        </is>
      </c>
      <c r="C269" s="83" t="inlineStr">
        <is>
          <t>gemma</t>
        </is>
      </c>
      <c r="D269" s="84" t="n">
        <v>0.249134948096886</v>
      </c>
      <c r="E269" s="84" t="n">
        <v>0.313559322033898</v>
      </c>
      <c r="F269" s="84" t="n">
        <v>0.11965811965812</v>
      </c>
      <c r="G269" s="84" t="n">
        <v>0.26271186440678</v>
      </c>
      <c r="H269" s="84" t="n">
        <v>0.348647520498363</v>
      </c>
      <c r="I269" s="84" t="n">
        <v>0.291137993329433</v>
      </c>
      <c r="J269" s="84" t="n">
        <v>0.737715275010645</v>
      </c>
      <c r="K269" s="84" t="n">
        <v>0.7007896451768491</v>
      </c>
      <c r="L269" s="84" t="n">
        <v>0.848999498066454</v>
      </c>
      <c r="M269" s="84" t="n">
        <v>0.633986928104575</v>
      </c>
      <c r="N269" s="84" t="n">
        <v>0.753424657534247</v>
      </c>
      <c r="O269" s="84" t="n">
        <v>1</v>
      </c>
      <c r="P269" s="85">
        <f>AVERAGE(D269:I269)</f>
        <v/>
      </c>
      <c r="Q269" s="85">
        <f>AVERAGE(J269:L269)</f>
        <v/>
      </c>
      <c r="R269" s="85">
        <f>AVERAGE(M269:O269)</f>
        <v/>
      </c>
      <c r="S269" s="85">
        <f>'02_지표정의'!$C$22*P269+'02_지표정의'!$C$23*Q269+'02_지표정의'!$C$24*R269</f>
        <v/>
      </c>
      <c r="T269" s="73">
        <f>IF(OR(AND(B269="gemini",C269="gemma"),AND(B269="qwen3_6",C269="qwen"),AND(B269="mistral",C269="ministral")),1,0)</f>
        <v/>
      </c>
      <c r="U269" s="73">
        <f>IF(LEFT(A269,3)="PAT","특허","보고서")</f>
        <v/>
      </c>
      <c r="V269" s="86">
        <f>COUNTIF($S$2:$S$976,"&lt;"&amp;S269)+(COUNTIF($S$2:$S$976,"="&amp;S269)+1)/2</f>
        <v/>
      </c>
      <c r="W269" s="73">
        <f>IF(C269="qwen",0,COUNTIFS($C$2:$C$976,"&lt;&gt;qwen",$S$2:$S$976,"&lt;"&amp;S269)+1)</f>
        <v/>
      </c>
      <c r="X269" s="73">
        <f>IF(C269="ministral",0,COUNTIFS($C$2:$C$976,"&lt;&gt;ministral",$S$2:$S$976,"&lt;"&amp;S269)+1)</f>
        <v/>
      </c>
      <c r="Y269" s="73">
        <f>IF(C269="gemma",0,COUNTIFS($C$2:$C$976,"&lt;&gt;gemma",$S$2:$S$976,"&lt;"&amp;S269)+1)</f>
        <v/>
      </c>
      <c r="Z269" s="87">
        <f>COUNTIFS($B$2:$B$976,B269,$C$2:$C$976,C269,$S$2:$S$976,"&lt;"&amp;S269)+1</f>
        <v/>
      </c>
      <c r="AA269" s="88">
        <f>ABS(S269-SUMPRODUCT(('05B_가정검정'!$A$5:$A$19=B269)*('05B_가정검정'!$B$5:$B$19=C269)*'05B_가정검정'!$E$5:$E$19))</f>
        <v/>
      </c>
      <c r="AB269" s="88">
        <f>S269-AVERAGEIFS($S$2:$S$976,$B$2:$B$976,B269,$C$2:$C$976,C269)</f>
        <v/>
      </c>
    </row>
    <row r="270" ht="15" customHeight="1" s="68">
      <c r="A270" s="83" t="inlineStr">
        <is>
          <t>PAT-18</t>
        </is>
      </c>
      <c r="B270" s="83" t="inlineStr">
        <is>
          <t>qwen3_6</t>
        </is>
      </c>
      <c r="C270" s="83" t="inlineStr">
        <is>
          <t>ministral</t>
        </is>
      </c>
      <c r="D270" s="84" t="n">
        <v>0.236413043478261</v>
      </c>
      <c r="E270" s="84" t="n">
        <v>0.215384615384615</v>
      </c>
      <c r="F270" s="84" t="n">
        <v>0.0990712074303406</v>
      </c>
      <c r="G270" s="84" t="n">
        <v>0.203076923076923</v>
      </c>
      <c r="H270" s="84" t="n">
        <v>0.245200744268697</v>
      </c>
      <c r="I270" s="84" t="n">
        <v>0.419286403224526</v>
      </c>
      <c r="J270" s="84" t="n">
        <v>0.706877374086891</v>
      </c>
      <c r="K270" s="84" t="n">
        <v>0.707324915142046</v>
      </c>
      <c r="L270" s="84" t="n">
        <v>0.851352800185729</v>
      </c>
      <c r="M270" s="84" t="n">
        <v>0.431111111111111</v>
      </c>
      <c r="N270" s="84" t="n">
        <v>0.44</v>
      </c>
      <c r="O270" s="84" t="n">
        <v>1</v>
      </c>
      <c r="P270" s="85">
        <f>AVERAGE(D270:I270)</f>
        <v/>
      </c>
      <c r="Q270" s="85">
        <f>AVERAGE(J270:L270)</f>
        <v/>
      </c>
      <c r="R270" s="85">
        <f>AVERAGE(M270:O270)</f>
        <v/>
      </c>
      <c r="S270" s="85">
        <f>'02_지표정의'!$C$22*P270+'02_지표정의'!$C$23*Q270+'02_지표정의'!$C$24*R270</f>
        <v/>
      </c>
      <c r="T270" s="73">
        <f>IF(OR(AND(B270="gemini",C270="gemma"),AND(B270="qwen3_6",C270="qwen"),AND(B270="mistral",C270="ministral")),1,0)</f>
        <v/>
      </c>
      <c r="U270" s="73">
        <f>IF(LEFT(A270,3)="PAT","특허","보고서")</f>
        <v/>
      </c>
      <c r="V270" s="86">
        <f>COUNTIF($S$2:$S$976,"&lt;"&amp;S270)+(COUNTIF($S$2:$S$976,"="&amp;S270)+1)/2</f>
        <v/>
      </c>
      <c r="W270" s="73">
        <f>IF(C270="qwen",0,COUNTIFS($C$2:$C$976,"&lt;&gt;qwen",$S$2:$S$976,"&lt;"&amp;S270)+1)</f>
        <v/>
      </c>
      <c r="X270" s="73">
        <f>IF(C270="ministral",0,COUNTIFS($C$2:$C$976,"&lt;&gt;ministral",$S$2:$S$976,"&lt;"&amp;S270)+1)</f>
        <v/>
      </c>
      <c r="Y270" s="73">
        <f>IF(C270="gemma",0,COUNTIFS($C$2:$C$976,"&lt;&gt;gemma",$S$2:$S$976,"&lt;"&amp;S270)+1)</f>
        <v/>
      </c>
      <c r="Z270" s="87">
        <f>COUNTIFS($B$2:$B$976,B270,$C$2:$C$976,C270,$S$2:$S$976,"&lt;"&amp;S270)+1</f>
        <v/>
      </c>
      <c r="AA270" s="88">
        <f>ABS(S270-SUMPRODUCT(('05B_가정검정'!$A$5:$A$19=B270)*('05B_가정검정'!$B$5:$B$19=C270)*'05B_가정검정'!$E$5:$E$19))</f>
        <v/>
      </c>
      <c r="AB270" s="88">
        <f>S270-AVERAGEIFS($S$2:$S$976,$B$2:$B$976,B270,$C$2:$C$976,C270)</f>
        <v/>
      </c>
    </row>
    <row r="271" ht="15" customHeight="1" s="68">
      <c r="A271" s="83" t="inlineStr">
        <is>
          <t>PAT-18</t>
        </is>
      </c>
      <c r="B271" s="83" t="inlineStr">
        <is>
          <t>qwen3_6</t>
        </is>
      </c>
      <c r="C271" s="83" t="inlineStr">
        <is>
          <t>qwen</t>
        </is>
      </c>
      <c r="D271" s="84" t="n">
        <v>0.297258297258297</v>
      </c>
      <c r="E271" s="84" t="n">
        <v>0.436893203883495</v>
      </c>
      <c r="F271" s="84" t="n">
        <v>0.215686274509804</v>
      </c>
      <c r="G271" s="84" t="n">
        <v>0.320388349514563</v>
      </c>
      <c r="H271" s="84" t="n">
        <v>0.470437314405891</v>
      </c>
      <c r="I271" s="84" t="n">
        <v>0.441859843003942</v>
      </c>
      <c r="J271" s="84" t="n">
        <v>0.733688117309607</v>
      </c>
      <c r="K271" s="84" t="n">
        <v>0.719754197124024</v>
      </c>
      <c r="L271" s="84" t="n">
        <v>0.905003470930993</v>
      </c>
      <c r="M271" s="84" t="n">
        <v>0.906542056074766</v>
      </c>
      <c r="N271" s="84" t="n">
        <v>0.916666666666667</v>
      </c>
      <c r="O271" s="84" t="n">
        <v>1</v>
      </c>
      <c r="P271" s="85">
        <f>AVERAGE(D271:I271)</f>
        <v/>
      </c>
      <c r="Q271" s="85">
        <f>AVERAGE(J271:L271)</f>
        <v/>
      </c>
      <c r="R271" s="85">
        <f>AVERAGE(M271:O271)</f>
        <v/>
      </c>
      <c r="S271" s="85">
        <f>'02_지표정의'!$C$22*P271+'02_지표정의'!$C$23*Q271+'02_지표정의'!$C$24*R271</f>
        <v/>
      </c>
      <c r="T271" s="73">
        <f>IF(OR(AND(B271="gemini",C271="gemma"),AND(B271="qwen3_6",C271="qwen"),AND(B271="mistral",C271="ministral")),1,0)</f>
        <v/>
      </c>
      <c r="U271" s="73">
        <f>IF(LEFT(A271,3)="PAT","특허","보고서")</f>
        <v/>
      </c>
      <c r="V271" s="86">
        <f>COUNTIF($S$2:$S$976,"&lt;"&amp;S271)+(COUNTIF($S$2:$S$976,"="&amp;S271)+1)/2</f>
        <v/>
      </c>
      <c r="W271" s="73">
        <f>IF(C271="qwen",0,COUNTIFS($C$2:$C$976,"&lt;&gt;qwen",$S$2:$S$976,"&lt;"&amp;S271)+1)</f>
        <v/>
      </c>
      <c r="X271" s="73">
        <f>IF(C271="ministral",0,COUNTIFS($C$2:$C$976,"&lt;&gt;ministral",$S$2:$S$976,"&lt;"&amp;S271)+1)</f>
        <v/>
      </c>
      <c r="Y271" s="73">
        <f>IF(C271="gemma",0,COUNTIFS($C$2:$C$976,"&lt;&gt;gemma",$S$2:$S$976,"&lt;"&amp;S271)+1)</f>
        <v/>
      </c>
      <c r="Z271" s="87">
        <f>COUNTIFS($B$2:$B$976,B271,$C$2:$C$976,C271,$S$2:$S$976,"&lt;"&amp;S271)+1</f>
        <v/>
      </c>
      <c r="AA271" s="88">
        <f>ABS(S271-SUMPRODUCT(('05B_가정검정'!$A$5:$A$19=B271)*('05B_가정검정'!$B$5:$B$19=C271)*'05B_가정검정'!$E$5:$E$19))</f>
        <v/>
      </c>
      <c r="AB271" s="88">
        <f>S271-AVERAGEIFS($S$2:$S$976,$B$2:$B$976,B271,$C$2:$C$976,C271)</f>
        <v/>
      </c>
    </row>
    <row r="272" ht="15" customHeight="1" s="68">
      <c r="A272" s="83" t="inlineStr">
        <is>
          <t>PAT-19</t>
        </is>
      </c>
      <c r="B272" s="83" t="inlineStr">
        <is>
          <t>chatgpt</t>
        </is>
      </c>
      <c r="C272" s="83" t="inlineStr">
        <is>
          <t>gemma</t>
        </is>
      </c>
      <c r="D272" s="84" t="n">
        <v>0.214012738853503</v>
      </c>
      <c r="E272" s="84" t="n">
        <v>0.256</v>
      </c>
      <c r="F272" s="84" t="n">
        <v>0.08064516129032261</v>
      </c>
      <c r="G272" s="84" t="n">
        <v>0.2</v>
      </c>
      <c r="H272" s="84" t="n">
        <v>0.19855080115144</v>
      </c>
      <c r="I272" s="84" t="n">
        <v>0.154277926729313</v>
      </c>
      <c r="J272" s="84" t="n">
        <v>0.63925621623217</v>
      </c>
      <c r="K272" s="84" t="n">
        <v>0.617385235311212</v>
      </c>
      <c r="L272" s="84" t="n">
        <v>0.8042251369150351</v>
      </c>
      <c r="M272" s="84" t="n">
        <v>0.562913907284768</v>
      </c>
      <c r="N272" s="84" t="n">
        <v>0.231707317073171</v>
      </c>
      <c r="O272" s="84" t="n">
        <v>1</v>
      </c>
      <c r="P272" s="85">
        <f>AVERAGE(D272:I272)</f>
        <v/>
      </c>
      <c r="Q272" s="85">
        <f>AVERAGE(J272:L272)</f>
        <v/>
      </c>
      <c r="R272" s="85">
        <f>AVERAGE(M272:O272)</f>
        <v/>
      </c>
      <c r="S272" s="85">
        <f>'02_지표정의'!$C$22*P272+'02_지표정의'!$C$23*Q272+'02_지표정의'!$C$24*R272</f>
        <v/>
      </c>
      <c r="T272" s="73">
        <f>IF(OR(AND(B272="gemini",C272="gemma"),AND(B272="qwen3_6",C272="qwen"),AND(B272="mistral",C272="ministral")),1,0)</f>
        <v/>
      </c>
      <c r="U272" s="73">
        <f>IF(LEFT(A272,3)="PAT","특허","보고서")</f>
        <v/>
      </c>
      <c r="V272" s="86">
        <f>COUNTIF($S$2:$S$976,"&lt;"&amp;S272)+(COUNTIF($S$2:$S$976,"="&amp;S272)+1)/2</f>
        <v/>
      </c>
      <c r="W272" s="73">
        <f>IF(C272="qwen",0,COUNTIFS($C$2:$C$976,"&lt;&gt;qwen",$S$2:$S$976,"&lt;"&amp;S272)+1)</f>
        <v/>
      </c>
      <c r="X272" s="73">
        <f>IF(C272="ministral",0,COUNTIFS($C$2:$C$976,"&lt;&gt;ministral",$S$2:$S$976,"&lt;"&amp;S272)+1)</f>
        <v/>
      </c>
      <c r="Y272" s="73">
        <f>IF(C272="gemma",0,COUNTIFS($C$2:$C$976,"&lt;&gt;gemma",$S$2:$S$976,"&lt;"&amp;S272)+1)</f>
        <v/>
      </c>
      <c r="Z272" s="87">
        <f>COUNTIFS($B$2:$B$976,B272,$C$2:$C$976,C272,$S$2:$S$976,"&lt;"&amp;S272)+1</f>
        <v/>
      </c>
      <c r="AA272" s="88">
        <f>ABS(S272-SUMPRODUCT(('05B_가정검정'!$A$5:$A$19=B272)*('05B_가정검정'!$B$5:$B$19=C272)*'05B_가정검정'!$E$5:$E$19))</f>
        <v/>
      </c>
      <c r="AB272" s="88">
        <f>S272-AVERAGEIFS($S$2:$S$976,$B$2:$B$976,B272,$C$2:$C$976,C272)</f>
        <v/>
      </c>
    </row>
    <row r="273" ht="15" customHeight="1" s="68">
      <c r="A273" s="83" t="inlineStr">
        <is>
          <t>PAT-19</t>
        </is>
      </c>
      <c r="B273" s="83" t="inlineStr">
        <is>
          <t>chatgpt</t>
        </is>
      </c>
      <c r="C273" s="83" t="inlineStr">
        <is>
          <t>ministral</t>
        </is>
      </c>
      <c r="D273" s="84" t="n">
        <v>0.266857962697274</v>
      </c>
      <c r="E273" s="84" t="n">
        <v>0.268041237113402</v>
      </c>
      <c r="F273" s="84" t="n">
        <v>0.0899653979238754</v>
      </c>
      <c r="G273" s="84" t="n">
        <v>0.213058419243986</v>
      </c>
      <c r="H273" s="84" t="n">
        <v>0.128440185955337</v>
      </c>
      <c r="I273" s="84" t="n">
        <v>0.229785452190122</v>
      </c>
      <c r="J273" s="84" t="n">
        <v>0.69089128028641</v>
      </c>
      <c r="K273" s="84" t="n">
        <v>0.712338437209834</v>
      </c>
      <c r="L273" s="84" t="n">
        <v>0.841348762778206</v>
      </c>
      <c r="M273" s="84" t="n">
        <v>0.292433537832311</v>
      </c>
      <c r="N273" s="84" t="n">
        <v>0.0388349514563107</v>
      </c>
      <c r="O273" s="84" t="n">
        <v>0.6052631578947369</v>
      </c>
      <c r="P273" s="85">
        <f>AVERAGE(D273:I273)</f>
        <v/>
      </c>
      <c r="Q273" s="85">
        <f>AVERAGE(J273:L273)</f>
        <v/>
      </c>
      <c r="R273" s="85">
        <f>AVERAGE(M273:O273)</f>
        <v/>
      </c>
      <c r="S273" s="85">
        <f>'02_지표정의'!$C$22*P273+'02_지표정의'!$C$23*Q273+'02_지표정의'!$C$24*R273</f>
        <v/>
      </c>
      <c r="T273" s="73">
        <f>IF(OR(AND(B273="gemini",C273="gemma"),AND(B273="qwen3_6",C273="qwen"),AND(B273="mistral",C273="ministral")),1,0)</f>
        <v/>
      </c>
      <c r="U273" s="73">
        <f>IF(LEFT(A273,3)="PAT","특허","보고서")</f>
        <v/>
      </c>
      <c r="V273" s="86">
        <f>COUNTIF($S$2:$S$976,"&lt;"&amp;S273)+(COUNTIF($S$2:$S$976,"="&amp;S273)+1)/2</f>
        <v/>
      </c>
      <c r="W273" s="73">
        <f>IF(C273="qwen",0,COUNTIFS($C$2:$C$976,"&lt;&gt;qwen",$S$2:$S$976,"&lt;"&amp;S273)+1)</f>
        <v/>
      </c>
      <c r="X273" s="73">
        <f>IF(C273="ministral",0,COUNTIFS($C$2:$C$976,"&lt;&gt;ministral",$S$2:$S$976,"&lt;"&amp;S273)+1)</f>
        <v/>
      </c>
      <c r="Y273" s="73">
        <f>IF(C273="gemma",0,COUNTIFS($C$2:$C$976,"&lt;&gt;gemma",$S$2:$S$976,"&lt;"&amp;S273)+1)</f>
        <v/>
      </c>
      <c r="Z273" s="87">
        <f>COUNTIFS($B$2:$B$976,B273,$C$2:$C$976,C273,$S$2:$S$976,"&lt;"&amp;S273)+1</f>
        <v/>
      </c>
      <c r="AA273" s="88">
        <f>ABS(S273-SUMPRODUCT(('05B_가정검정'!$A$5:$A$19=B273)*('05B_가정검정'!$B$5:$B$19=C273)*'05B_가정검정'!$E$5:$E$19))</f>
        <v/>
      </c>
      <c r="AB273" s="88">
        <f>S273-AVERAGEIFS($S$2:$S$976,$B$2:$B$976,B273,$C$2:$C$976,C273)</f>
        <v/>
      </c>
    </row>
    <row r="274" ht="15" customHeight="1" s="68">
      <c r="A274" s="83" t="inlineStr">
        <is>
          <t>PAT-19</t>
        </is>
      </c>
      <c r="B274" s="83" t="inlineStr">
        <is>
          <t>chatgpt</t>
        </is>
      </c>
      <c r="C274" s="83" t="inlineStr">
        <is>
          <t>qwen</t>
        </is>
      </c>
      <c r="D274" s="84" t="n">
        <v>0.25609756097561</v>
      </c>
      <c r="E274" s="84" t="n">
        <v>0.508108108108108</v>
      </c>
      <c r="F274" s="84" t="n">
        <v>0.142076502732241</v>
      </c>
      <c r="G274" s="84" t="n">
        <v>0.345945945945946</v>
      </c>
      <c r="H274" s="84" t="n">
        <v>0.230899984840467</v>
      </c>
      <c r="I274" s="84" t="n">
        <v>0.319140866189809</v>
      </c>
      <c r="J274" s="84" t="n">
        <v>0.721953466878718</v>
      </c>
      <c r="K274" s="84" t="n">
        <v>0.630147107805046</v>
      </c>
      <c r="L274" s="84" t="n">
        <v>0.845378403801516</v>
      </c>
      <c r="M274" s="84" t="n">
        <v>0.490066225165563</v>
      </c>
      <c r="N274" s="84" t="n">
        <v>0</v>
      </c>
      <c r="O274" s="84" t="n">
        <v>1</v>
      </c>
      <c r="P274" s="85">
        <f>AVERAGE(D274:I274)</f>
        <v/>
      </c>
      <c r="Q274" s="85">
        <f>AVERAGE(J274:L274)</f>
        <v/>
      </c>
      <c r="R274" s="85">
        <f>AVERAGE(M274:O274)</f>
        <v/>
      </c>
      <c r="S274" s="85">
        <f>'02_지표정의'!$C$22*P274+'02_지표정의'!$C$23*Q274+'02_지표정의'!$C$24*R274</f>
        <v/>
      </c>
      <c r="T274" s="73">
        <f>IF(OR(AND(B274="gemini",C274="gemma"),AND(B274="qwen3_6",C274="qwen"),AND(B274="mistral",C274="ministral")),1,0)</f>
        <v/>
      </c>
      <c r="U274" s="73">
        <f>IF(LEFT(A274,3)="PAT","특허","보고서")</f>
        <v/>
      </c>
      <c r="V274" s="86">
        <f>COUNTIF($S$2:$S$976,"&lt;"&amp;S274)+(COUNTIF($S$2:$S$976,"="&amp;S274)+1)/2</f>
        <v/>
      </c>
      <c r="W274" s="73">
        <f>IF(C274="qwen",0,COUNTIFS($C$2:$C$976,"&lt;&gt;qwen",$S$2:$S$976,"&lt;"&amp;S274)+1)</f>
        <v/>
      </c>
      <c r="X274" s="73">
        <f>IF(C274="ministral",0,COUNTIFS($C$2:$C$976,"&lt;&gt;ministral",$S$2:$S$976,"&lt;"&amp;S274)+1)</f>
        <v/>
      </c>
      <c r="Y274" s="73">
        <f>IF(C274="gemma",0,COUNTIFS($C$2:$C$976,"&lt;&gt;gemma",$S$2:$S$976,"&lt;"&amp;S274)+1)</f>
        <v/>
      </c>
      <c r="Z274" s="87">
        <f>COUNTIFS($B$2:$B$976,B274,$C$2:$C$976,C274,$S$2:$S$976,"&lt;"&amp;S274)+1</f>
        <v/>
      </c>
      <c r="AA274" s="88">
        <f>ABS(S274-SUMPRODUCT(('05B_가정검정'!$A$5:$A$19=B274)*('05B_가정검정'!$B$5:$B$19=C274)*'05B_가정검정'!$E$5:$E$19))</f>
        <v/>
      </c>
      <c r="AB274" s="88">
        <f>S274-AVERAGEIFS($S$2:$S$976,$B$2:$B$976,B274,$C$2:$C$976,C274)</f>
        <v/>
      </c>
    </row>
    <row r="275" ht="15" customHeight="1" s="68">
      <c r="A275" s="83" t="inlineStr">
        <is>
          <t>PAT-19</t>
        </is>
      </c>
      <c r="B275" s="83" t="inlineStr">
        <is>
          <t>claude</t>
        </is>
      </c>
      <c r="C275" s="83" t="inlineStr">
        <is>
          <t>gemma</t>
        </is>
      </c>
      <c r="D275" s="84" t="n">
        <v>0.23956442831216</v>
      </c>
      <c r="E275" s="84" t="n">
        <v>0.307692307692308</v>
      </c>
      <c r="F275" s="84" t="n">
        <v>0.0586666666666667</v>
      </c>
      <c r="G275" s="84" t="n">
        <v>0.185676392572944</v>
      </c>
      <c r="H275" s="84" t="n">
        <v>0.321750914934754</v>
      </c>
      <c r="I275" s="84" t="n">
        <v>0.147876782648723</v>
      </c>
      <c r="J275" s="84" t="n">
        <v>0.668291799073173</v>
      </c>
      <c r="K275" s="84" t="n">
        <v>0.632117717353157</v>
      </c>
      <c r="L275" s="84" t="n">
        <v>0.847822063414157</v>
      </c>
      <c r="M275" s="84" t="n">
        <v>0.5588235294117651</v>
      </c>
      <c r="N275" s="84" t="n">
        <v>0.505154639175258</v>
      </c>
      <c r="O275" s="84" t="n">
        <v>1</v>
      </c>
      <c r="P275" s="85">
        <f>AVERAGE(D275:I275)</f>
        <v/>
      </c>
      <c r="Q275" s="85">
        <f>AVERAGE(J275:L275)</f>
        <v/>
      </c>
      <c r="R275" s="85">
        <f>AVERAGE(M275:O275)</f>
        <v/>
      </c>
      <c r="S275" s="85">
        <f>'02_지표정의'!$C$22*P275+'02_지표정의'!$C$23*Q275+'02_지표정의'!$C$24*R275</f>
        <v/>
      </c>
      <c r="T275" s="73">
        <f>IF(OR(AND(B275="gemini",C275="gemma"),AND(B275="qwen3_6",C275="qwen"),AND(B275="mistral",C275="ministral")),1,0)</f>
        <v/>
      </c>
      <c r="U275" s="73">
        <f>IF(LEFT(A275,3)="PAT","특허","보고서")</f>
        <v/>
      </c>
      <c r="V275" s="86">
        <f>COUNTIF($S$2:$S$976,"&lt;"&amp;S275)+(COUNTIF($S$2:$S$976,"="&amp;S275)+1)/2</f>
        <v/>
      </c>
      <c r="W275" s="73">
        <f>IF(C275="qwen",0,COUNTIFS($C$2:$C$976,"&lt;&gt;qwen",$S$2:$S$976,"&lt;"&amp;S275)+1)</f>
        <v/>
      </c>
      <c r="X275" s="73">
        <f>IF(C275="ministral",0,COUNTIFS($C$2:$C$976,"&lt;&gt;ministral",$S$2:$S$976,"&lt;"&amp;S275)+1)</f>
        <v/>
      </c>
      <c r="Y275" s="73">
        <f>IF(C275="gemma",0,COUNTIFS($C$2:$C$976,"&lt;&gt;gemma",$S$2:$S$976,"&lt;"&amp;S275)+1)</f>
        <v/>
      </c>
      <c r="Z275" s="87">
        <f>COUNTIFS($B$2:$B$976,B275,$C$2:$C$976,C275,$S$2:$S$976,"&lt;"&amp;S275)+1</f>
        <v/>
      </c>
      <c r="AA275" s="88">
        <f>ABS(S275-SUMPRODUCT(('05B_가정검정'!$A$5:$A$19=B275)*('05B_가정검정'!$B$5:$B$19=C275)*'05B_가정검정'!$E$5:$E$19))</f>
        <v/>
      </c>
      <c r="AB275" s="88">
        <f>S275-AVERAGEIFS($S$2:$S$976,$B$2:$B$976,B275,$C$2:$C$976,C275)</f>
        <v/>
      </c>
    </row>
    <row r="276" ht="15" customHeight="1" s="68">
      <c r="A276" s="83" t="inlineStr">
        <is>
          <t>PAT-19</t>
        </is>
      </c>
      <c r="B276" s="83" t="inlineStr">
        <is>
          <t>claude</t>
        </is>
      </c>
      <c r="C276" s="83" t="inlineStr">
        <is>
          <t>ministral</t>
        </is>
      </c>
      <c r="D276" s="84" t="n">
        <v>0.244575936883629</v>
      </c>
      <c r="E276" s="84" t="n">
        <v>0.291866028708134</v>
      </c>
      <c r="F276" s="84" t="n">
        <v>0.105769230769231</v>
      </c>
      <c r="G276" s="84" t="n">
        <v>0.229665071770335</v>
      </c>
      <c r="H276" s="84" t="n">
        <v>0.236313658888537</v>
      </c>
      <c r="I276" s="84" t="n">
        <v>0.217673928744348</v>
      </c>
      <c r="J276" s="84" t="n">
        <v>0.698126138390786</v>
      </c>
      <c r="K276" s="84" t="n">
        <v>0.6487577897018521</v>
      </c>
      <c r="L276" s="84" t="n">
        <v>0.847521680156797</v>
      </c>
      <c r="M276" s="84" t="n">
        <v>0.329243353783231</v>
      </c>
      <c r="N276" s="84" t="n">
        <v>0.237864077669903</v>
      </c>
      <c r="O276" s="84" t="n">
        <v>0.6165413533834589</v>
      </c>
      <c r="P276" s="85">
        <f>AVERAGE(D276:I276)</f>
        <v/>
      </c>
      <c r="Q276" s="85">
        <f>AVERAGE(J276:L276)</f>
        <v/>
      </c>
      <c r="R276" s="85">
        <f>AVERAGE(M276:O276)</f>
        <v/>
      </c>
      <c r="S276" s="85">
        <f>'02_지표정의'!$C$22*P276+'02_지표정의'!$C$23*Q276+'02_지표정의'!$C$24*R276</f>
        <v/>
      </c>
      <c r="T276" s="73">
        <f>IF(OR(AND(B276="gemini",C276="gemma"),AND(B276="qwen3_6",C276="qwen"),AND(B276="mistral",C276="ministral")),1,0)</f>
        <v/>
      </c>
      <c r="U276" s="73">
        <f>IF(LEFT(A276,3)="PAT","특허","보고서")</f>
        <v/>
      </c>
      <c r="V276" s="86">
        <f>COUNTIF($S$2:$S$976,"&lt;"&amp;S276)+(COUNTIF($S$2:$S$976,"="&amp;S276)+1)/2</f>
        <v/>
      </c>
      <c r="W276" s="73">
        <f>IF(C276="qwen",0,COUNTIFS($C$2:$C$976,"&lt;&gt;qwen",$S$2:$S$976,"&lt;"&amp;S276)+1)</f>
        <v/>
      </c>
      <c r="X276" s="73">
        <f>IF(C276="ministral",0,COUNTIFS($C$2:$C$976,"&lt;&gt;ministral",$S$2:$S$976,"&lt;"&amp;S276)+1)</f>
        <v/>
      </c>
      <c r="Y276" s="73">
        <f>IF(C276="gemma",0,COUNTIFS($C$2:$C$976,"&lt;&gt;gemma",$S$2:$S$976,"&lt;"&amp;S276)+1)</f>
        <v/>
      </c>
      <c r="Z276" s="87">
        <f>COUNTIFS($B$2:$B$976,B276,$C$2:$C$976,C276,$S$2:$S$976,"&lt;"&amp;S276)+1</f>
        <v/>
      </c>
      <c r="AA276" s="88">
        <f>ABS(S276-SUMPRODUCT(('05B_가정검정'!$A$5:$A$19=B276)*('05B_가정검정'!$B$5:$B$19=C276)*'05B_가정검정'!$E$5:$E$19))</f>
        <v/>
      </c>
      <c r="AB276" s="88">
        <f>S276-AVERAGEIFS($S$2:$S$976,$B$2:$B$976,B276,$C$2:$C$976,C276)</f>
        <v/>
      </c>
    </row>
    <row r="277" ht="15" customHeight="1" s="68">
      <c r="A277" s="83" t="inlineStr">
        <is>
          <t>PAT-19</t>
        </is>
      </c>
      <c r="B277" s="83" t="inlineStr">
        <is>
          <t>claude</t>
        </is>
      </c>
      <c r="C277" s="83" t="inlineStr">
        <is>
          <t>qwen</t>
        </is>
      </c>
      <c r="D277" s="84" t="n">
        <v>0.25693730729702</v>
      </c>
      <c r="E277" s="84" t="n">
        <v>0.391025641025641</v>
      </c>
      <c r="F277" s="84" t="n">
        <v>0.109677419354839</v>
      </c>
      <c r="G277" s="84" t="n">
        <v>0.262820512820513</v>
      </c>
      <c r="H277" s="84" t="n">
        <v>0.312776565107916</v>
      </c>
      <c r="I277" s="84" t="n">
        <v>0.548169328824557</v>
      </c>
      <c r="J277" s="84" t="n">
        <v>0.704993686522235</v>
      </c>
      <c r="K277" s="84" t="n">
        <v>0.6401951965643879</v>
      </c>
      <c r="L277" s="84" t="n">
        <v>0.857874011984942</v>
      </c>
      <c r="M277" s="84" t="n">
        <v>0.717647058823529</v>
      </c>
      <c r="N277" s="84" t="n">
        <v>0.711340206185567</v>
      </c>
      <c r="O277" s="84" t="n">
        <v>1</v>
      </c>
      <c r="P277" s="85">
        <f>AVERAGE(D277:I277)</f>
        <v/>
      </c>
      <c r="Q277" s="85">
        <f>AVERAGE(J277:L277)</f>
        <v/>
      </c>
      <c r="R277" s="85">
        <f>AVERAGE(M277:O277)</f>
        <v/>
      </c>
      <c r="S277" s="85">
        <f>'02_지표정의'!$C$22*P277+'02_지표정의'!$C$23*Q277+'02_지표정의'!$C$24*R277</f>
        <v/>
      </c>
      <c r="T277" s="73">
        <f>IF(OR(AND(B277="gemini",C277="gemma"),AND(B277="qwen3_6",C277="qwen"),AND(B277="mistral",C277="ministral")),1,0)</f>
        <v/>
      </c>
      <c r="U277" s="73">
        <f>IF(LEFT(A277,3)="PAT","특허","보고서")</f>
        <v/>
      </c>
      <c r="V277" s="86">
        <f>COUNTIF($S$2:$S$976,"&lt;"&amp;S277)+(COUNTIF($S$2:$S$976,"="&amp;S277)+1)/2</f>
        <v/>
      </c>
      <c r="W277" s="73">
        <f>IF(C277="qwen",0,COUNTIFS($C$2:$C$976,"&lt;&gt;qwen",$S$2:$S$976,"&lt;"&amp;S277)+1)</f>
        <v/>
      </c>
      <c r="X277" s="73">
        <f>IF(C277="ministral",0,COUNTIFS($C$2:$C$976,"&lt;&gt;ministral",$S$2:$S$976,"&lt;"&amp;S277)+1)</f>
        <v/>
      </c>
      <c r="Y277" s="73">
        <f>IF(C277="gemma",0,COUNTIFS($C$2:$C$976,"&lt;&gt;gemma",$S$2:$S$976,"&lt;"&amp;S277)+1)</f>
        <v/>
      </c>
      <c r="Z277" s="87">
        <f>COUNTIFS($B$2:$B$976,B277,$C$2:$C$976,C277,$S$2:$S$976,"&lt;"&amp;S277)+1</f>
        <v/>
      </c>
      <c r="AA277" s="88">
        <f>ABS(S277-SUMPRODUCT(('05B_가정검정'!$A$5:$A$19=B277)*('05B_가정검정'!$B$5:$B$19=C277)*'05B_가정검정'!$E$5:$E$19))</f>
        <v/>
      </c>
      <c r="AB277" s="88">
        <f>S277-AVERAGEIFS($S$2:$S$976,$B$2:$B$976,B277,$C$2:$C$976,C277)</f>
        <v/>
      </c>
    </row>
    <row r="278" ht="15" customHeight="1" s="68">
      <c r="A278" s="83" t="inlineStr">
        <is>
          <t>PAT-19</t>
        </is>
      </c>
      <c r="B278" s="83" t="inlineStr">
        <is>
          <t>gemini</t>
        </is>
      </c>
      <c r="C278" s="83" t="inlineStr">
        <is>
          <t>gemma</t>
        </is>
      </c>
      <c r="D278" s="84" t="n">
        <v>0.219013237063779</v>
      </c>
      <c r="E278" s="84" t="n">
        <v>0.2734375</v>
      </c>
      <c r="F278" s="84" t="n">
        <v>0.078740157480315</v>
      </c>
      <c r="G278" s="84" t="n">
        <v>0.1875</v>
      </c>
      <c r="H278" s="84" t="n">
        <v>0.24017005709499</v>
      </c>
      <c r="I278" s="84" t="n">
        <v>0.117500244100387</v>
      </c>
      <c r="J278" s="84" t="n">
        <v>0.718580972955856</v>
      </c>
      <c r="K278" s="84" t="n">
        <v>0.780345753508028</v>
      </c>
      <c r="L278" s="84" t="n">
        <v>0.898741197633414</v>
      </c>
      <c r="M278" s="84" t="n">
        <v>0.906542056074766</v>
      </c>
      <c r="N278" s="84" t="n">
        <v>0.916666666666667</v>
      </c>
      <c r="O278" s="84" t="n">
        <v>1</v>
      </c>
      <c r="P278" s="85">
        <f>AVERAGE(D278:I278)</f>
        <v/>
      </c>
      <c r="Q278" s="85">
        <f>AVERAGE(J278:L278)</f>
        <v/>
      </c>
      <c r="R278" s="85">
        <f>AVERAGE(M278:O278)</f>
        <v/>
      </c>
      <c r="S278" s="85">
        <f>'02_지표정의'!$C$22*P278+'02_지표정의'!$C$23*Q278+'02_지표정의'!$C$24*R278</f>
        <v/>
      </c>
      <c r="T278" s="73">
        <f>IF(OR(AND(B278="gemini",C278="gemma"),AND(B278="qwen3_6",C278="qwen"),AND(B278="mistral",C278="ministral")),1,0)</f>
        <v/>
      </c>
      <c r="U278" s="73">
        <f>IF(LEFT(A278,3)="PAT","특허","보고서")</f>
        <v/>
      </c>
      <c r="V278" s="86">
        <f>COUNTIF($S$2:$S$976,"&lt;"&amp;S278)+(COUNTIF($S$2:$S$976,"="&amp;S278)+1)/2</f>
        <v/>
      </c>
      <c r="W278" s="73">
        <f>IF(C278="qwen",0,COUNTIFS($C$2:$C$976,"&lt;&gt;qwen",$S$2:$S$976,"&lt;"&amp;S278)+1)</f>
        <v/>
      </c>
      <c r="X278" s="73">
        <f>IF(C278="ministral",0,COUNTIFS($C$2:$C$976,"&lt;&gt;ministral",$S$2:$S$976,"&lt;"&amp;S278)+1)</f>
        <v/>
      </c>
      <c r="Y278" s="73">
        <f>IF(C278="gemma",0,COUNTIFS($C$2:$C$976,"&lt;&gt;gemma",$S$2:$S$976,"&lt;"&amp;S278)+1)</f>
        <v/>
      </c>
      <c r="Z278" s="87">
        <f>COUNTIFS($B$2:$B$976,B278,$C$2:$C$976,C278,$S$2:$S$976,"&lt;"&amp;S278)+1</f>
        <v/>
      </c>
      <c r="AA278" s="88">
        <f>ABS(S278-SUMPRODUCT(('05B_가정검정'!$A$5:$A$19=B278)*('05B_가정검정'!$B$5:$B$19=C278)*'05B_가정검정'!$E$5:$E$19))</f>
        <v/>
      </c>
      <c r="AB278" s="88">
        <f>S278-AVERAGEIFS($S$2:$S$976,$B$2:$B$976,B278,$C$2:$C$976,C278)</f>
        <v/>
      </c>
    </row>
    <row r="279" ht="15" customHeight="1" s="68">
      <c r="A279" s="83" t="inlineStr">
        <is>
          <t>PAT-19</t>
        </is>
      </c>
      <c r="B279" s="83" t="inlineStr">
        <is>
          <t>gemini</t>
        </is>
      </c>
      <c r="C279" s="83" t="inlineStr">
        <is>
          <t>ministral</t>
        </is>
      </c>
      <c r="D279" s="84" t="n">
        <v>0.258411843876178</v>
      </c>
      <c r="E279" s="84" t="n">
        <v>0.249158249158249</v>
      </c>
      <c r="F279" s="84" t="n">
        <v>0.088135593220339</v>
      </c>
      <c r="G279" s="84" t="n">
        <v>0.188552188552189</v>
      </c>
      <c r="H279" s="84" t="n">
        <v>0.153322934755664</v>
      </c>
      <c r="I279" s="84" t="n">
        <v>0.171756307492706</v>
      </c>
      <c r="J279" s="84" t="n">
        <v>0.764013168334438</v>
      </c>
      <c r="K279" s="84" t="n">
        <v>0.759274301670276</v>
      </c>
      <c r="L279" s="84" t="n">
        <v>0.880504609816513</v>
      </c>
      <c r="M279" s="84" t="n">
        <v>0.198364008179959</v>
      </c>
      <c r="N279" s="84" t="n">
        <v>0.20873786407767</v>
      </c>
      <c r="O279" s="84" t="n">
        <v>0.6052631578947369</v>
      </c>
      <c r="P279" s="85">
        <f>AVERAGE(D279:I279)</f>
        <v/>
      </c>
      <c r="Q279" s="85">
        <f>AVERAGE(J279:L279)</f>
        <v/>
      </c>
      <c r="R279" s="85">
        <f>AVERAGE(M279:O279)</f>
        <v/>
      </c>
      <c r="S279" s="85">
        <f>'02_지표정의'!$C$22*P279+'02_지표정의'!$C$23*Q279+'02_지표정의'!$C$24*R279</f>
        <v/>
      </c>
      <c r="T279" s="73">
        <f>IF(OR(AND(B279="gemini",C279="gemma"),AND(B279="qwen3_6",C279="qwen"),AND(B279="mistral",C279="ministral")),1,0)</f>
        <v/>
      </c>
      <c r="U279" s="73">
        <f>IF(LEFT(A279,3)="PAT","특허","보고서")</f>
        <v/>
      </c>
      <c r="V279" s="86">
        <f>COUNTIF($S$2:$S$976,"&lt;"&amp;S279)+(COUNTIF($S$2:$S$976,"="&amp;S279)+1)/2</f>
        <v/>
      </c>
      <c r="W279" s="73">
        <f>IF(C279="qwen",0,COUNTIFS($C$2:$C$976,"&lt;&gt;qwen",$S$2:$S$976,"&lt;"&amp;S279)+1)</f>
        <v/>
      </c>
      <c r="X279" s="73">
        <f>IF(C279="ministral",0,COUNTIFS($C$2:$C$976,"&lt;&gt;ministral",$S$2:$S$976,"&lt;"&amp;S279)+1)</f>
        <v/>
      </c>
      <c r="Y279" s="73">
        <f>IF(C279="gemma",0,COUNTIFS($C$2:$C$976,"&lt;&gt;gemma",$S$2:$S$976,"&lt;"&amp;S279)+1)</f>
        <v/>
      </c>
      <c r="Z279" s="87">
        <f>COUNTIFS($B$2:$B$976,B279,$C$2:$C$976,C279,$S$2:$S$976,"&lt;"&amp;S279)+1</f>
        <v/>
      </c>
      <c r="AA279" s="88">
        <f>ABS(S279-SUMPRODUCT(('05B_가정검정'!$A$5:$A$19=B279)*('05B_가정검정'!$B$5:$B$19=C279)*'05B_가정검정'!$E$5:$E$19))</f>
        <v/>
      </c>
      <c r="AB279" s="88">
        <f>S279-AVERAGEIFS($S$2:$S$976,$B$2:$B$976,B279,$C$2:$C$976,C279)</f>
        <v/>
      </c>
    </row>
    <row r="280" ht="15" customHeight="1" s="68">
      <c r="A280" s="83" t="inlineStr">
        <is>
          <t>PAT-19</t>
        </is>
      </c>
      <c r="B280" s="83" t="inlineStr">
        <is>
          <t>gemini</t>
        </is>
      </c>
      <c r="C280" s="83" t="inlineStr">
        <is>
          <t>qwen</t>
        </is>
      </c>
      <c r="D280" s="84" t="n">
        <v>0.296296296296296</v>
      </c>
      <c r="E280" s="84" t="n">
        <v>0.429319371727749</v>
      </c>
      <c r="F280" s="84" t="n">
        <v>0.148148148148148</v>
      </c>
      <c r="G280" s="84" t="n">
        <v>0.303664921465969</v>
      </c>
      <c r="H280" s="84" t="n">
        <v>0.301389145380949</v>
      </c>
      <c r="I280" s="84" t="n">
        <v>0.478375467581513</v>
      </c>
      <c r="J280" s="84" t="n">
        <v>0.787475115471159</v>
      </c>
      <c r="K280" s="84" t="n">
        <v>0.762594395621257</v>
      </c>
      <c r="L280" s="84" t="n">
        <v>0.8828459339847879</v>
      </c>
      <c r="M280" s="84" t="n">
        <v>0.713235294117647</v>
      </c>
      <c r="N280" s="84" t="n">
        <v>0.6875</v>
      </c>
      <c r="O280" s="84" t="n">
        <v>1</v>
      </c>
      <c r="P280" s="85">
        <f>AVERAGE(D280:I280)</f>
        <v/>
      </c>
      <c r="Q280" s="85">
        <f>AVERAGE(J280:L280)</f>
        <v/>
      </c>
      <c r="R280" s="85">
        <f>AVERAGE(M280:O280)</f>
        <v/>
      </c>
      <c r="S280" s="85">
        <f>'02_지표정의'!$C$22*P280+'02_지표정의'!$C$23*Q280+'02_지표정의'!$C$24*R280</f>
        <v/>
      </c>
      <c r="T280" s="73">
        <f>IF(OR(AND(B280="gemini",C280="gemma"),AND(B280="qwen3_6",C280="qwen"),AND(B280="mistral",C280="ministral")),1,0)</f>
        <v/>
      </c>
      <c r="U280" s="73">
        <f>IF(LEFT(A280,3)="PAT","특허","보고서")</f>
        <v/>
      </c>
      <c r="V280" s="86">
        <f>COUNTIF($S$2:$S$976,"&lt;"&amp;S280)+(COUNTIF($S$2:$S$976,"="&amp;S280)+1)/2</f>
        <v/>
      </c>
      <c r="W280" s="73">
        <f>IF(C280="qwen",0,COUNTIFS($C$2:$C$976,"&lt;&gt;qwen",$S$2:$S$976,"&lt;"&amp;S280)+1)</f>
        <v/>
      </c>
      <c r="X280" s="73">
        <f>IF(C280="ministral",0,COUNTIFS($C$2:$C$976,"&lt;&gt;ministral",$S$2:$S$976,"&lt;"&amp;S280)+1)</f>
        <v/>
      </c>
      <c r="Y280" s="73">
        <f>IF(C280="gemma",0,COUNTIFS($C$2:$C$976,"&lt;&gt;gemma",$S$2:$S$976,"&lt;"&amp;S280)+1)</f>
        <v/>
      </c>
      <c r="Z280" s="87">
        <f>COUNTIFS($B$2:$B$976,B280,$C$2:$C$976,C280,$S$2:$S$976,"&lt;"&amp;S280)+1</f>
        <v/>
      </c>
      <c r="AA280" s="88">
        <f>ABS(S280-SUMPRODUCT(('05B_가정검정'!$A$5:$A$19=B280)*('05B_가정검정'!$B$5:$B$19=C280)*'05B_가정검정'!$E$5:$E$19))</f>
        <v/>
      </c>
      <c r="AB280" s="88">
        <f>S280-AVERAGEIFS($S$2:$S$976,$B$2:$B$976,B280,$C$2:$C$976,C280)</f>
        <v/>
      </c>
    </row>
    <row r="281" ht="15" customHeight="1" s="68">
      <c r="A281" s="83" t="inlineStr">
        <is>
          <t>PAT-19</t>
        </is>
      </c>
      <c r="B281" s="83" t="inlineStr">
        <is>
          <t>mistral</t>
        </is>
      </c>
      <c r="C281" s="83" t="inlineStr">
        <is>
          <t>gemma</t>
        </is>
      </c>
      <c r="D281" s="84" t="n">
        <v>0.251046025104603</v>
      </c>
      <c r="E281" s="84" t="n">
        <v>0.269794721407625</v>
      </c>
      <c r="F281" s="84" t="n">
        <v>0.0766961651917404</v>
      </c>
      <c r="G281" s="84" t="n">
        <v>0.187683284457478</v>
      </c>
      <c r="H281" s="84" t="n">
        <v>0.330683481295104</v>
      </c>
      <c r="I281" s="84" t="n">
        <v>0.135610840921802</v>
      </c>
      <c r="J281" s="84" t="n">
        <v>0.656876227831705</v>
      </c>
      <c r="K281" s="84" t="n">
        <v>0.60506125933187</v>
      </c>
      <c r="L281" s="84" t="n">
        <v>0.77513855245759</v>
      </c>
      <c r="M281" s="84" t="n">
        <v>0.373493975903614</v>
      </c>
      <c r="N281" s="84" t="n">
        <v>0.360294117647059</v>
      </c>
      <c r="O281" s="84" t="n">
        <v>1</v>
      </c>
      <c r="P281" s="85">
        <f>AVERAGE(D281:I281)</f>
        <v/>
      </c>
      <c r="Q281" s="85">
        <f>AVERAGE(J281:L281)</f>
        <v/>
      </c>
      <c r="R281" s="85">
        <f>AVERAGE(M281:O281)</f>
        <v/>
      </c>
      <c r="S281" s="85">
        <f>'02_지표정의'!$C$22*P281+'02_지표정의'!$C$23*Q281+'02_지표정의'!$C$24*R281</f>
        <v/>
      </c>
      <c r="T281" s="73">
        <f>IF(OR(AND(B281="gemini",C281="gemma"),AND(B281="qwen3_6",C281="qwen"),AND(B281="mistral",C281="ministral")),1,0)</f>
        <v/>
      </c>
      <c r="U281" s="73">
        <f>IF(LEFT(A281,3)="PAT","특허","보고서")</f>
        <v/>
      </c>
      <c r="V281" s="86">
        <f>COUNTIF($S$2:$S$976,"&lt;"&amp;S281)+(COUNTIF($S$2:$S$976,"="&amp;S281)+1)/2</f>
        <v/>
      </c>
      <c r="W281" s="73">
        <f>IF(C281="qwen",0,COUNTIFS($C$2:$C$976,"&lt;&gt;qwen",$S$2:$S$976,"&lt;"&amp;S281)+1)</f>
        <v/>
      </c>
      <c r="X281" s="73">
        <f>IF(C281="ministral",0,COUNTIFS($C$2:$C$976,"&lt;&gt;ministral",$S$2:$S$976,"&lt;"&amp;S281)+1)</f>
        <v/>
      </c>
      <c r="Y281" s="73">
        <f>IF(C281="gemma",0,COUNTIFS($C$2:$C$976,"&lt;&gt;gemma",$S$2:$S$976,"&lt;"&amp;S281)+1)</f>
        <v/>
      </c>
      <c r="Z281" s="87">
        <f>COUNTIFS($B$2:$B$976,B281,$C$2:$C$976,C281,$S$2:$S$976,"&lt;"&amp;S281)+1</f>
        <v/>
      </c>
      <c r="AA281" s="88">
        <f>ABS(S281-SUMPRODUCT(('05B_가정검정'!$A$5:$A$19=B281)*('05B_가정검정'!$B$5:$B$19=C281)*'05B_가정검정'!$E$5:$E$19))</f>
        <v/>
      </c>
      <c r="AB281" s="88">
        <f>S281-AVERAGEIFS($S$2:$S$976,$B$2:$B$976,B281,$C$2:$C$976,C281)</f>
        <v/>
      </c>
    </row>
    <row r="282" ht="15" customHeight="1" s="68">
      <c r="A282" s="83" t="inlineStr">
        <is>
          <t>PAT-19</t>
        </is>
      </c>
      <c r="B282" s="83" t="inlineStr">
        <is>
          <t>mistral</t>
        </is>
      </c>
      <c r="C282" s="83" t="inlineStr">
        <is>
          <t>ministral</t>
        </is>
      </c>
      <c r="D282" s="84" t="n">
        <v>0.329493087557604</v>
      </c>
      <c r="E282" s="84" t="n">
        <v>0.340314136125655</v>
      </c>
      <c r="F282" s="84" t="n">
        <v>0.121052631578947</v>
      </c>
      <c r="G282" s="84" t="n">
        <v>0.240837696335079</v>
      </c>
      <c r="H282" s="84" t="n">
        <v>0.31699101879019</v>
      </c>
      <c r="I282" s="84" t="n">
        <v>0.219242946479163</v>
      </c>
      <c r="J282" s="84" t="n">
        <v>0.717980979601219</v>
      </c>
      <c r="K282" s="84" t="n">
        <v>0.623929364441724</v>
      </c>
      <c r="L282" s="84" t="n">
        <v>0.813824625186632</v>
      </c>
      <c r="M282" s="84" t="n">
        <v>0.443762781186094</v>
      </c>
      <c r="N282" s="84" t="n">
        <v>0.286407766990291</v>
      </c>
      <c r="O282" s="84" t="n">
        <v>0.625</v>
      </c>
      <c r="P282" s="85">
        <f>AVERAGE(D282:I282)</f>
        <v/>
      </c>
      <c r="Q282" s="85">
        <f>AVERAGE(J282:L282)</f>
        <v/>
      </c>
      <c r="R282" s="85">
        <f>AVERAGE(M282:O282)</f>
        <v/>
      </c>
      <c r="S282" s="85">
        <f>'02_지표정의'!$C$22*P282+'02_지표정의'!$C$23*Q282+'02_지표정의'!$C$24*R282</f>
        <v/>
      </c>
      <c r="T282" s="73">
        <f>IF(OR(AND(B282="gemini",C282="gemma"),AND(B282="qwen3_6",C282="qwen"),AND(B282="mistral",C282="ministral")),1,0)</f>
        <v/>
      </c>
      <c r="U282" s="73">
        <f>IF(LEFT(A282,3)="PAT","특허","보고서")</f>
        <v/>
      </c>
      <c r="V282" s="86">
        <f>COUNTIF($S$2:$S$976,"&lt;"&amp;S282)+(COUNTIF($S$2:$S$976,"="&amp;S282)+1)/2</f>
        <v/>
      </c>
      <c r="W282" s="73">
        <f>IF(C282="qwen",0,COUNTIFS($C$2:$C$976,"&lt;&gt;qwen",$S$2:$S$976,"&lt;"&amp;S282)+1)</f>
        <v/>
      </c>
      <c r="X282" s="73">
        <f>IF(C282="ministral",0,COUNTIFS($C$2:$C$976,"&lt;&gt;ministral",$S$2:$S$976,"&lt;"&amp;S282)+1)</f>
        <v/>
      </c>
      <c r="Y282" s="73">
        <f>IF(C282="gemma",0,COUNTIFS($C$2:$C$976,"&lt;&gt;gemma",$S$2:$S$976,"&lt;"&amp;S282)+1)</f>
        <v/>
      </c>
      <c r="Z282" s="87">
        <f>COUNTIFS($B$2:$B$976,B282,$C$2:$C$976,C282,$S$2:$S$976,"&lt;"&amp;S282)+1</f>
        <v/>
      </c>
      <c r="AA282" s="88">
        <f>ABS(S282-SUMPRODUCT(('05B_가정검정'!$A$5:$A$19=B282)*('05B_가정검정'!$B$5:$B$19=C282)*'05B_가정검정'!$E$5:$E$19))</f>
        <v/>
      </c>
      <c r="AB282" s="88">
        <f>S282-AVERAGEIFS($S$2:$S$976,$B$2:$B$976,B282,$C$2:$C$976,C282)</f>
        <v/>
      </c>
    </row>
    <row r="283" ht="15" customHeight="1" s="68">
      <c r="A283" s="83" t="inlineStr">
        <is>
          <t>PAT-19</t>
        </is>
      </c>
      <c r="B283" s="83" t="inlineStr">
        <is>
          <t>mistral</t>
        </is>
      </c>
      <c r="C283" s="83" t="inlineStr">
        <is>
          <t>qwen</t>
        </is>
      </c>
      <c r="D283" s="84" t="n">
        <v>0.287787182587666</v>
      </c>
      <c r="E283" s="84" t="n">
        <v>0.391304347826087</v>
      </c>
      <c r="F283" s="84" t="n">
        <v>0.116788321167883</v>
      </c>
      <c r="G283" s="84" t="n">
        <v>0.268115942028986</v>
      </c>
      <c r="H283" s="84" t="n">
        <v>0.325525700779424</v>
      </c>
      <c r="I283" s="84" t="n">
        <v>0.292760958103261</v>
      </c>
      <c r="J283" s="84" t="n">
        <v>0.730083259876841</v>
      </c>
      <c r="K283" s="84" t="n">
        <v>0.641950579742811</v>
      </c>
      <c r="L283" s="84" t="n">
        <v>0.850107493907066</v>
      </c>
      <c r="M283" s="84" t="n">
        <v>0.48995983935743</v>
      </c>
      <c r="N283" s="84" t="n">
        <v>0.507352941176471</v>
      </c>
      <c r="O283" s="84" t="n">
        <v>1</v>
      </c>
      <c r="P283" s="85">
        <f>AVERAGE(D283:I283)</f>
        <v/>
      </c>
      <c r="Q283" s="85">
        <f>AVERAGE(J283:L283)</f>
        <v/>
      </c>
      <c r="R283" s="85">
        <f>AVERAGE(M283:O283)</f>
        <v/>
      </c>
      <c r="S283" s="85">
        <f>'02_지표정의'!$C$22*P283+'02_지표정의'!$C$23*Q283+'02_지표정의'!$C$24*R283</f>
        <v/>
      </c>
      <c r="T283" s="73">
        <f>IF(OR(AND(B283="gemini",C283="gemma"),AND(B283="qwen3_6",C283="qwen"),AND(B283="mistral",C283="ministral")),1,0)</f>
        <v/>
      </c>
      <c r="U283" s="73">
        <f>IF(LEFT(A283,3)="PAT","특허","보고서")</f>
        <v/>
      </c>
      <c r="V283" s="86">
        <f>COUNTIF($S$2:$S$976,"&lt;"&amp;S283)+(COUNTIF($S$2:$S$976,"="&amp;S283)+1)/2</f>
        <v/>
      </c>
      <c r="W283" s="73">
        <f>IF(C283="qwen",0,COUNTIFS($C$2:$C$976,"&lt;&gt;qwen",$S$2:$S$976,"&lt;"&amp;S283)+1)</f>
        <v/>
      </c>
      <c r="X283" s="73">
        <f>IF(C283="ministral",0,COUNTIFS($C$2:$C$976,"&lt;&gt;ministral",$S$2:$S$976,"&lt;"&amp;S283)+1)</f>
        <v/>
      </c>
      <c r="Y283" s="73">
        <f>IF(C283="gemma",0,COUNTIFS($C$2:$C$976,"&lt;&gt;gemma",$S$2:$S$976,"&lt;"&amp;S283)+1)</f>
        <v/>
      </c>
      <c r="Z283" s="87">
        <f>COUNTIFS($B$2:$B$976,B283,$C$2:$C$976,C283,$S$2:$S$976,"&lt;"&amp;S283)+1</f>
        <v/>
      </c>
      <c r="AA283" s="88">
        <f>ABS(S283-SUMPRODUCT(('05B_가정검정'!$A$5:$A$19=B283)*('05B_가정검정'!$B$5:$B$19=C283)*'05B_가정검정'!$E$5:$E$19))</f>
        <v/>
      </c>
      <c r="AB283" s="88">
        <f>S283-AVERAGEIFS($S$2:$S$976,$B$2:$B$976,B283,$C$2:$C$976,C283)</f>
        <v/>
      </c>
    </row>
    <row r="284" ht="15" customHeight="1" s="68">
      <c r="A284" s="83" t="inlineStr">
        <is>
          <t>PAT-19</t>
        </is>
      </c>
      <c r="B284" s="83" t="inlineStr">
        <is>
          <t>qwen3_6</t>
        </is>
      </c>
      <c r="C284" s="83" t="inlineStr">
        <is>
          <t>gemma</t>
        </is>
      </c>
      <c r="D284" s="84" t="n">
        <v>0.197424892703863</v>
      </c>
      <c r="E284" s="84" t="n">
        <v>0.257668711656442</v>
      </c>
      <c r="F284" s="84" t="n">
        <v>0.0740740740740741</v>
      </c>
      <c r="G284" s="84" t="n">
        <v>0.177914110429448</v>
      </c>
      <c r="H284" s="84" t="n">
        <v>0.31678912194783</v>
      </c>
      <c r="I284" s="84" t="n">
        <v>0.0936357366221193</v>
      </c>
      <c r="J284" s="84" t="n">
        <v>0.673655534252203</v>
      </c>
      <c r="K284" s="84" t="n">
        <v>0.65720787726413</v>
      </c>
      <c r="L284" s="84" t="n">
        <v>0.817129254349189</v>
      </c>
      <c r="M284" s="84" t="n">
        <v>0.906542056074766</v>
      </c>
      <c r="N284" s="84" t="n">
        <v>0.916666666666667</v>
      </c>
      <c r="O284" s="84" t="n">
        <v>1</v>
      </c>
      <c r="P284" s="85">
        <f>AVERAGE(D284:I284)</f>
        <v/>
      </c>
      <c r="Q284" s="85">
        <f>AVERAGE(J284:L284)</f>
        <v/>
      </c>
      <c r="R284" s="85">
        <f>AVERAGE(M284:O284)</f>
        <v/>
      </c>
      <c r="S284" s="85">
        <f>'02_지표정의'!$C$22*P284+'02_지표정의'!$C$23*Q284+'02_지표정의'!$C$24*R284</f>
        <v/>
      </c>
      <c r="T284" s="73">
        <f>IF(OR(AND(B284="gemini",C284="gemma"),AND(B284="qwen3_6",C284="qwen"),AND(B284="mistral",C284="ministral")),1,0)</f>
        <v/>
      </c>
      <c r="U284" s="73">
        <f>IF(LEFT(A284,3)="PAT","특허","보고서")</f>
        <v/>
      </c>
      <c r="V284" s="86">
        <f>COUNTIF($S$2:$S$976,"&lt;"&amp;S284)+(COUNTIF($S$2:$S$976,"="&amp;S284)+1)/2</f>
        <v/>
      </c>
      <c r="W284" s="73">
        <f>IF(C284="qwen",0,COUNTIFS($C$2:$C$976,"&lt;&gt;qwen",$S$2:$S$976,"&lt;"&amp;S284)+1)</f>
        <v/>
      </c>
      <c r="X284" s="73">
        <f>IF(C284="ministral",0,COUNTIFS($C$2:$C$976,"&lt;&gt;ministral",$S$2:$S$976,"&lt;"&amp;S284)+1)</f>
        <v/>
      </c>
      <c r="Y284" s="73">
        <f>IF(C284="gemma",0,COUNTIFS($C$2:$C$976,"&lt;&gt;gemma",$S$2:$S$976,"&lt;"&amp;S284)+1)</f>
        <v/>
      </c>
      <c r="Z284" s="87">
        <f>COUNTIFS($B$2:$B$976,B284,$C$2:$C$976,C284,$S$2:$S$976,"&lt;"&amp;S284)+1</f>
        <v/>
      </c>
      <c r="AA284" s="88">
        <f>ABS(S284-SUMPRODUCT(('05B_가정검정'!$A$5:$A$19=B284)*('05B_가정검정'!$B$5:$B$19=C284)*'05B_가정검정'!$E$5:$E$19))</f>
        <v/>
      </c>
      <c r="AB284" s="88">
        <f>S284-AVERAGEIFS($S$2:$S$976,$B$2:$B$976,B284,$C$2:$C$976,C284)</f>
        <v/>
      </c>
    </row>
    <row r="285" ht="15" customHeight="1" s="68">
      <c r="A285" s="83" t="inlineStr">
        <is>
          <t>PAT-19</t>
        </is>
      </c>
      <c r="B285" s="83" t="inlineStr">
        <is>
          <t>qwen3_6</t>
        </is>
      </c>
      <c r="C285" s="83" t="inlineStr">
        <is>
          <t>ministral</t>
        </is>
      </c>
      <c r="D285" s="84" t="n">
        <v>0.248815165876777</v>
      </c>
      <c r="E285" s="84" t="n">
        <v>0.239782016348774</v>
      </c>
      <c r="F285" s="84" t="n">
        <v>0.07671232876712331</v>
      </c>
      <c r="G285" s="84" t="n">
        <v>0.174386920980926</v>
      </c>
      <c r="H285" s="84" t="n">
        <v>0.210692691652501</v>
      </c>
      <c r="I285" s="84" t="n">
        <v>0.17228652721001</v>
      </c>
      <c r="J285" s="84" t="n">
        <v>0.709672649999308</v>
      </c>
      <c r="K285" s="84" t="n">
        <v>0.663990730599432</v>
      </c>
      <c r="L285" s="84" t="n">
        <v>0.8263650426686771</v>
      </c>
      <c r="M285" s="84" t="n">
        <v>0.198364008179959</v>
      </c>
      <c r="N285" s="84" t="n">
        <v>0.20873786407767</v>
      </c>
      <c r="O285" s="84" t="n">
        <v>0.6052631578947369</v>
      </c>
      <c r="P285" s="85">
        <f>AVERAGE(D285:I285)</f>
        <v/>
      </c>
      <c r="Q285" s="85">
        <f>AVERAGE(J285:L285)</f>
        <v/>
      </c>
      <c r="R285" s="85">
        <f>AVERAGE(M285:O285)</f>
        <v/>
      </c>
      <c r="S285" s="85">
        <f>'02_지표정의'!$C$22*P285+'02_지표정의'!$C$23*Q285+'02_지표정의'!$C$24*R285</f>
        <v/>
      </c>
      <c r="T285" s="73">
        <f>IF(OR(AND(B285="gemini",C285="gemma"),AND(B285="qwen3_6",C285="qwen"),AND(B285="mistral",C285="ministral")),1,0)</f>
        <v/>
      </c>
      <c r="U285" s="73">
        <f>IF(LEFT(A285,3)="PAT","특허","보고서")</f>
        <v/>
      </c>
      <c r="V285" s="86">
        <f>COUNTIF($S$2:$S$976,"&lt;"&amp;S285)+(COUNTIF($S$2:$S$976,"="&amp;S285)+1)/2</f>
        <v/>
      </c>
      <c r="W285" s="73">
        <f>IF(C285="qwen",0,COUNTIFS($C$2:$C$976,"&lt;&gt;qwen",$S$2:$S$976,"&lt;"&amp;S285)+1)</f>
        <v/>
      </c>
      <c r="X285" s="73">
        <f>IF(C285="ministral",0,COUNTIFS($C$2:$C$976,"&lt;&gt;ministral",$S$2:$S$976,"&lt;"&amp;S285)+1)</f>
        <v/>
      </c>
      <c r="Y285" s="73">
        <f>IF(C285="gemma",0,COUNTIFS($C$2:$C$976,"&lt;&gt;gemma",$S$2:$S$976,"&lt;"&amp;S285)+1)</f>
        <v/>
      </c>
      <c r="Z285" s="87">
        <f>COUNTIFS($B$2:$B$976,B285,$C$2:$C$976,C285,$S$2:$S$976,"&lt;"&amp;S285)+1</f>
        <v/>
      </c>
      <c r="AA285" s="88">
        <f>ABS(S285-SUMPRODUCT(('05B_가정검정'!$A$5:$A$19=B285)*('05B_가정검정'!$B$5:$B$19=C285)*'05B_가정검정'!$E$5:$E$19))</f>
        <v/>
      </c>
      <c r="AB285" s="88">
        <f>S285-AVERAGEIFS($S$2:$S$976,$B$2:$B$976,B285,$C$2:$C$976,C285)</f>
        <v/>
      </c>
    </row>
    <row r="286" ht="15" customHeight="1" s="68">
      <c r="A286" s="83" t="inlineStr">
        <is>
          <t>PAT-19</t>
        </is>
      </c>
      <c r="B286" s="83" t="inlineStr">
        <is>
          <t>qwen3_6</t>
        </is>
      </c>
      <c r="C286" s="83" t="inlineStr">
        <is>
          <t>qwen</t>
        </is>
      </c>
      <c r="D286" s="84" t="n">
        <v>0.286425902864259</v>
      </c>
      <c r="E286" s="84" t="n">
        <v>0.375478927203065</v>
      </c>
      <c r="F286" s="84" t="n">
        <v>0.0926640926640927</v>
      </c>
      <c r="G286" s="84" t="n">
        <v>0.283524904214559</v>
      </c>
      <c r="H286" s="84" t="n">
        <v>0.396323824166108</v>
      </c>
      <c r="I286" s="84" t="n">
        <v>0.433350735831835</v>
      </c>
      <c r="J286" s="84" t="n">
        <v>0.713746515494957</v>
      </c>
      <c r="K286" s="84" t="n">
        <v>0.710322551254538</v>
      </c>
      <c r="L286" s="84" t="n">
        <v>0.8890053797220669</v>
      </c>
      <c r="M286" s="84" t="n">
        <v>0.713235294117647</v>
      </c>
      <c r="N286" s="84" t="n">
        <v>0.6875</v>
      </c>
      <c r="O286" s="84" t="n">
        <v>1</v>
      </c>
      <c r="P286" s="85">
        <f>AVERAGE(D286:I286)</f>
        <v/>
      </c>
      <c r="Q286" s="85">
        <f>AVERAGE(J286:L286)</f>
        <v/>
      </c>
      <c r="R286" s="85">
        <f>AVERAGE(M286:O286)</f>
        <v/>
      </c>
      <c r="S286" s="85">
        <f>'02_지표정의'!$C$22*P286+'02_지표정의'!$C$23*Q286+'02_지표정의'!$C$24*R286</f>
        <v/>
      </c>
      <c r="T286" s="73">
        <f>IF(OR(AND(B286="gemini",C286="gemma"),AND(B286="qwen3_6",C286="qwen"),AND(B286="mistral",C286="ministral")),1,0)</f>
        <v/>
      </c>
      <c r="U286" s="73">
        <f>IF(LEFT(A286,3)="PAT","특허","보고서")</f>
        <v/>
      </c>
      <c r="V286" s="86">
        <f>COUNTIF($S$2:$S$976,"&lt;"&amp;S286)+(COUNTIF($S$2:$S$976,"="&amp;S286)+1)/2</f>
        <v/>
      </c>
      <c r="W286" s="73">
        <f>IF(C286="qwen",0,COUNTIFS($C$2:$C$976,"&lt;&gt;qwen",$S$2:$S$976,"&lt;"&amp;S286)+1)</f>
        <v/>
      </c>
      <c r="X286" s="73">
        <f>IF(C286="ministral",0,COUNTIFS($C$2:$C$976,"&lt;&gt;ministral",$S$2:$S$976,"&lt;"&amp;S286)+1)</f>
        <v/>
      </c>
      <c r="Y286" s="73">
        <f>IF(C286="gemma",0,COUNTIFS($C$2:$C$976,"&lt;&gt;gemma",$S$2:$S$976,"&lt;"&amp;S286)+1)</f>
        <v/>
      </c>
      <c r="Z286" s="87">
        <f>COUNTIFS($B$2:$B$976,B286,$C$2:$C$976,C286,$S$2:$S$976,"&lt;"&amp;S286)+1</f>
        <v/>
      </c>
      <c r="AA286" s="88">
        <f>ABS(S286-SUMPRODUCT(('05B_가정검정'!$A$5:$A$19=B286)*('05B_가정검정'!$B$5:$B$19=C286)*'05B_가정검정'!$E$5:$E$19))</f>
        <v/>
      </c>
      <c r="AB286" s="88">
        <f>S286-AVERAGEIFS($S$2:$S$976,$B$2:$B$976,B286,$C$2:$C$976,C286)</f>
        <v/>
      </c>
    </row>
    <row r="287" ht="15" customHeight="1" s="68">
      <c r="A287" s="83" t="inlineStr">
        <is>
          <t>PAT-20</t>
        </is>
      </c>
      <c r="B287" s="83" t="inlineStr">
        <is>
          <t>chatgpt</t>
        </is>
      </c>
      <c r="C287" s="83" t="inlineStr">
        <is>
          <t>gemma</t>
        </is>
      </c>
      <c r="D287" s="84" t="n">
        <v>0.208044382801664</v>
      </c>
      <c r="E287" s="84" t="n">
        <v>0.354166666666667</v>
      </c>
      <c r="F287" s="84" t="n">
        <v>0.105263157894737</v>
      </c>
      <c r="G287" s="84" t="n">
        <v>0.270833333333333</v>
      </c>
      <c r="H287" s="84" t="n">
        <v>0.229827035135169</v>
      </c>
      <c r="I287" s="84" t="n">
        <v>0.165719660350313</v>
      </c>
      <c r="J287" s="84" t="n">
        <v>0.709411468374138</v>
      </c>
      <c r="K287" s="84" t="n">
        <v>0.586485168388013</v>
      </c>
      <c r="L287" s="84" t="n">
        <v>0.7932502059411</v>
      </c>
      <c r="M287" s="84" t="n">
        <v>0.562913907284768</v>
      </c>
      <c r="N287" s="84" t="n">
        <v>0.231707317073171</v>
      </c>
      <c r="O287" s="84" t="n">
        <v>1</v>
      </c>
      <c r="P287" s="85">
        <f>AVERAGE(D287:I287)</f>
        <v/>
      </c>
      <c r="Q287" s="85">
        <f>AVERAGE(J287:L287)</f>
        <v/>
      </c>
      <c r="R287" s="85">
        <f>AVERAGE(M287:O287)</f>
        <v/>
      </c>
      <c r="S287" s="85">
        <f>'02_지표정의'!$C$22*P287+'02_지표정의'!$C$23*Q287+'02_지표정의'!$C$24*R287</f>
        <v/>
      </c>
      <c r="T287" s="73">
        <f>IF(OR(AND(B287="gemini",C287="gemma"),AND(B287="qwen3_6",C287="qwen"),AND(B287="mistral",C287="ministral")),1,0)</f>
        <v/>
      </c>
      <c r="U287" s="73">
        <f>IF(LEFT(A287,3)="PAT","특허","보고서")</f>
        <v/>
      </c>
      <c r="V287" s="86">
        <f>COUNTIF($S$2:$S$976,"&lt;"&amp;S287)+(COUNTIF($S$2:$S$976,"="&amp;S287)+1)/2</f>
        <v/>
      </c>
      <c r="W287" s="73">
        <f>IF(C287="qwen",0,COUNTIFS($C$2:$C$976,"&lt;&gt;qwen",$S$2:$S$976,"&lt;"&amp;S287)+1)</f>
        <v/>
      </c>
      <c r="X287" s="73">
        <f>IF(C287="ministral",0,COUNTIFS($C$2:$C$976,"&lt;&gt;ministral",$S$2:$S$976,"&lt;"&amp;S287)+1)</f>
        <v/>
      </c>
      <c r="Y287" s="73">
        <f>IF(C287="gemma",0,COUNTIFS($C$2:$C$976,"&lt;&gt;gemma",$S$2:$S$976,"&lt;"&amp;S287)+1)</f>
        <v/>
      </c>
      <c r="Z287" s="87">
        <f>COUNTIFS($B$2:$B$976,B287,$C$2:$C$976,C287,$S$2:$S$976,"&lt;"&amp;S287)+1</f>
        <v/>
      </c>
      <c r="AA287" s="88">
        <f>ABS(S287-SUMPRODUCT(('05B_가정검정'!$A$5:$A$19=B287)*('05B_가정검정'!$B$5:$B$19=C287)*'05B_가정검정'!$E$5:$E$19))</f>
        <v/>
      </c>
      <c r="AB287" s="88">
        <f>S287-AVERAGEIFS($S$2:$S$976,$B$2:$B$976,B287,$C$2:$C$976,C287)</f>
        <v/>
      </c>
    </row>
    <row r="288" ht="15" customHeight="1" s="68">
      <c r="A288" s="83" t="inlineStr">
        <is>
          <t>PAT-20</t>
        </is>
      </c>
      <c r="B288" s="83" t="inlineStr">
        <is>
          <t>chatgpt</t>
        </is>
      </c>
      <c r="C288" s="83" t="inlineStr">
        <is>
          <t>ministral</t>
        </is>
      </c>
      <c r="D288" s="84" t="n">
        <v>0.265546218487395</v>
      </c>
      <c r="E288" s="84" t="n">
        <v>0.302788844621514</v>
      </c>
      <c r="F288" s="84" t="n">
        <v>0.112449799196787</v>
      </c>
      <c r="G288" s="84" t="n">
        <v>0.254980079681275</v>
      </c>
      <c r="H288" s="84" t="n">
        <v>0.155464861833687</v>
      </c>
      <c r="I288" s="84" t="n">
        <v>0.207503801799955</v>
      </c>
      <c r="J288" s="84" t="n">
        <v>0.705438159846532</v>
      </c>
      <c r="K288" s="84" t="n">
        <v>0.70139124662982</v>
      </c>
      <c r="L288" s="84" t="n">
        <v>0.830847766358391</v>
      </c>
      <c r="M288" s="84" t="n">
        <v>0.429787234042553</v>
      </c>
      <c r="N288" s="84" t="n">
        <v>0.0260869565217391</v>
      </c>
      <c r="O288" s="84" t="n">
        <v>1</v>
      </c>
      <c r="P288" s="85">
        <f>AVERAGE(D288:I288)</f>
        <v/>
      </c>
      <c r="Q288" s="85">
        <f>AVERAGE(J288:L288)</f>
        <v/>
      </c>
      <c r="R288" s="85">
        <f>AVERAGE(M288:O288)</f>
        <v/>
      </c>
      <c r="S288" s="85">
        <f>'02_지표정의'!$C$22*P288+'02_지표정의'!$C$23*Q288+'02_지표정의'!$C$24*R288</f>
        <v/>
      </c>
      <c r="T288" s="73">
        <f>IF(OR(AND(B288="gemini",C288="gemma"),AND(B288="qwen3_6",C288="qwen"),AND(B288="mistral",C288="ministral")),1,0)</f>
        <v/>
      </c>
      <c r="U288" s="73">
        <f>IF(LEFT(A288,3)="PAT","특허","보고서")</f>
        <v/>
      </c>
      <c r="V288" s="86">
        <f>COUNTIF($S$2:$S$976,"&lt;"&amp;S288)+(COUNTIF($S$2:$S$976,"="&amp;S288)+1)/2</f>
        <v/>
      </c>
      <c r="W288" s="73">
        <f>IF(C288="qwen",0,COUNTIFS($C$2:$C$976,"&lt;&gt;qwen",$S$2:$S$976,"&lt;"&amp;S288)+1)</f>
        <v/>
      </c>
      <c r="X288" s="73">
        <f>IF(C288="ministral",0,COUNTIFS($C$2:$C$976,"&lt;&gt;ministral",$S$2:$S$976,"&lt;"&amp;S288)+1)</f>
        <v/>
      </c>
      <c r="Y288" s="73">
        <f>IF(C288="gemma",0,COUNTIFS($C$2:$C$976,"&lt;&gt;gemma",$S$2:$S$976,"&lt;"&amp;S288)+1)</f>
        <v/>
      </c>
      <c r="Z288" s="87">
        <f>COUNTIFS($B$2:$B$976,B288,$C$2:$C$976,C288,$S$2:$S$976,"&lt;"&amp;S288)+1</f>
        <v/>
      </c>
      <c r="AA288" s="88">
        <f>ABS(S288-SUMPRODUCT(('05B_가정검정'!$A$5:$A$19=B288)*('05B_가정검정'!$B$5:$B$19=C288)*'05B_가정검정'!$E$5:$E$19))</f>
        <v/>
      </c>
      <c r="AB288" s="88">
        <f>S288-AVERAGEIFS($S$2:$S$976,$B$2:$B$976,B288,$C$2:$C$976,C288)</f>
        <v/>
      </c>
    </row>
    <row r="289" ht="15" customHeight="1" s="68">
      <c r="A289" s="83" t="inlineStr">
        <is>
          <t>PAT-20</t>
        </is>
      </c>
      <c r="B289" s="83" t="inlineStr">
        <is>
          <t>chatgpt</t>
        </is>
      </c>
      <c r="C289" s="83" t="inlineStr">
        <is>
          <t>qwen</t>
        </is>
      </c>
      <c r="D289" s="84" t="n">
        <v>0.23728813559322</v>
      </c>
      <c r="E289" s="84" t="n">
        <v>0.355769230769231</v>
      </c>
      <c r="F289" s="84" t="n">
        <v>0.16504854368932</v>
      </c>
      <c r="G289" s="84" t="n">
        <v>0.298076923076923</v>
      </c>
      <c r="H289" s="84" t="n">
        <v>0.171564842511702</v>
      </c>
      <c r="I289" s="84" t="n">
        <v>0.147867819831788</v>
      </c>
      <c r="J289" s="84" t="n">
        <v>0.674689268469518</v>
      </c>
      <c r="K289" s="84" t="n">
        <v>0.60484805838582</v>
      </c>
      <c r="L289" s="84" t="n">
        <v>0.805445611677347</v>
      </c>
      <c r="M289" s="84" t="n">
        <v>0.447236180904523</v>
      </c>
      <c r="N289" s="84" t="n">
        <v>0</v>
      </c>
      <c r="O289" s="84" t="n">
        <v>1</v>
      </c>
      <c r="P289" s="85">
        <f>AVERAGE(D289:I289)</f>
        <v/>
      </c>
      <c r="Q289" s="85">
        <f>AVERAGE(J289:L289)</f>
        <v/>
      </c>
      <c r="R289" s="85">
        <f>AVERAGE(M289:O289)</f>
        <v/>
      </c>
      <c r="S289" s="85">
        <f>'02_지표정의'!$C$22*P289+'02_지표정의'!$C$23*Q289+'02_지표정의'!$C$24*R289</f>
        <v/>
      </c>
      <c r="T289" s="73">
        <f>IF(OR(AND(B289="gemini",C289="gemma"),AND(B289="qwen3_6",C289="qwen"),AND(B289="mistral",C289="ministral")),1,0)</f>
        <v/>
      </c>
      <c r="U289" s="73">
        <f>IF(LEFT(A289,3)="PAT","특허","보고서")</f>
        <v/>
      </c>
      <c r="V289" s="86">
        <f>COUNTIF($S$2:$S$976,"&lt;"&amp;S289)+(COUNTIF($S$2:$S$976,"="&amp;S289)+1)/2</f>
        <v/>
      </c>
      <c r="W289" s="73">
        <f>IF(C289="qwen",0,COUNTIFS($C$2:$C$976,"&lt;&gt;qwen",$S$2:$S$976,"&lt;"&amp;S289)+1)</f>
        <v/>
      </c>
      <c r="X289" s="73">
        <f>IF(C289="ministral",0,COUNTIFS($C$2:$C$976,"&lt;&gt;ministral",$S$2:$S$976,"&lt;"&amp;S289)+1)</f>
        <v/>
      </c>
      <c r="Y289" s="73">
        <f>IF(C289="gemma",0,COUNTIFS($C$2:$C$976,"&lt;&gt;gemma",$S$2:$S$976,"&lt;"&amp;S289)+1)</f>
        <v/>
      </c>
      <c r="Z289" s="87">
        <f>COUNTIFS($B$2:$B$976,B289,$C$2:$C$976,C289,$S$2:$S$976,"&lt;"&amp;S289)+1</f>
        <v/>
      </c>
      <c r="AA289" s="88">
        <f>ABS(S289-SUMPRODUCT(('05B_가정검정'!$A$5:$A$19=B289)*('05B_가정검정'!$B$5:$B$19=C289)*'05B_가정검정'!$E$5:$E$19))</f>
        <v/>
      </c>
      <c r="AB289" s="88">
        <f>S289-AVERAGEIFS($S$2:$S$976,$B$2:$B$976,B289,$C$2:$C$976,C289)</f>
        <v/>
      </c>
    </row>
    <row r="290" ht="15" customHeight="1" s="68">
      <c r="A290" s="83" t="inlineStr">
        <is>
          <t>PAT-20</t>
        </is>
      </c>
      <c r="B290" s="83" t="inlineStr">
        <is>
          <t>claude</t>
        </is>
      </c>
      <c r="C290" s="83" t="inlineStr">
        <is>
          <t>gemma</t>
        </is>
      </c>
      <c r="D290" s="84" t="n">
        <v>0.215867158671587</v>
      </c>
      <c r="E290" s="84" t="n">
        <v>0.348684210526316</v>
      </c>
      <c r="F290" s="84" t="n">
        <v>0.119205298013245</v>
      </c>
      <c r="G290" s="84" t="n">
        <v>0.223684210526316</v>
      </c>
      <c r="H290" s="84" t="n">
        <v>0.286851225907866</v>
      </c>
      <c r="I290" s="84" t="n">
        <v>0.170779759354716</v>
      </c>
      <c r="J290" s="84" t="n">
        <v>0.715009384564704</v>
      </c>
      <c r="K290" s="84" t="n">
        <v>0.672044044287499</v>
      </c>
      <c r="L290" s="84" t="n">
        <v>0.83271755898307</v>
      </c>
      <c r="M290" s="84" t="n">
        <v>0.664285714285714</v>
      </c>
      <c r="N290" s="84" t="n">
        <v>0.597560975609756</v>
      </c>
      <c r="O290" s="84" t="n">
        <v>1</v>
      </c>
      <c r="P290" s="85">
        <f>AVERAGE(D290:I290)</f>
        <v/>
      </c>
      <c r="Q290" s="85">
        <f>AVERAGE(J290:L290)</f>
        <v/>
      </c>
      <c r="R290" s="85">
        <f>AVERAGE(M290:O290)</f>
        <v/>
      </c>
      <c r="S290" s="85">
        <f>'02_지표정의'!$C$22*P290+'02_지표정의'!$C$23*Q290+'02_지표정의'!$C$24*R290</f>
        <v/>
      </c>
      <c r="T290" s="73">
        <f>IF(OR(AND(B290="gemini",C290="gemma"),AND(B290="qwen3_6",C290="qwen"),AND(B290="mistral",C290="ministral")),1,0)</f>
        <v/>
      </c>
      <c r="U290" s="73">
        <f>IF(LEFT(A290,3)="PAT","특허","보고서")</f>
        <v/>
      </c>
      <c r="V290" s="86">
        <f>COUNTIF($S$2:$S$976,"&lt;"&amp;S290)+(COUNTIF($S$2:$S$976,"="&amp;S290)+1)/2</f>
        <v/>
      </c>
      <c r="W290" s="73">
        <f>IF(C290="qwen",0,COUNTIFS($C$2:$C$976,"&lt;&gt;qwen",$S$2:$S$976,"&lt;"&amp;S290)+1)</f>
        <v/>
      </c>
      <c r="X290" s="73">
        <f>IF(C290="ministral",0,COUNTIFS($C$2:$C$976,"&lt;&gt;ministral",$S$2:$S$976,"&lt;"&amp;S290)+1)</f>
        <v/>
      </c>
      <c r="Y290" s="73">
        <f>IF(C290="gemma",0,COUNTIFS($C$2:$C$976,"&lt;&gt;gemma",$S$2:$S$976,"&lt;"&amp;S290)+1)</f>
        <v/>
      </c>
      <c r="Z290" s="87">
        <f>COUNTIFS($B$2:$B$976,B290,$C$2:$C$976,C290,$S$2:$S$976,"&lt;"&amp;S290)+1</f>
        <v/>
      </c>
      <c r="AA290" s="88">
        <f>ABS(S290-SUMPRODUCT(('05B_가정검정'!$A$5:$A$19=B290)*('05B_가정검정'!$B$5:$B$19=C290)*'05B_가정검정'!$E$5:$E$19))</f>
        <v/>
      </c>
      <c r="AB290" s="88">
        <f>S290-AVERAGEIFS($S$2:$S$976,$B$2:$B$976,B290,$C$2:$C$976,C290)</f>
        <v/>
      </c>
    </row>
    <row r="291" ht="15" customHeight="1" s="68">
      <c r="A291" s="83" t="inlineStr">
        <is>
          <t>PAT-20</t>
        </is>
      </c>
      <c r="B291" s="83" t="inlineStr">
        <is>
          <t>claude</t>
        </is>
      </c>
      <c r="C291" s="83" t="inlineStr">
        <is>
          <t>ministral</t>
        </is>
      </c>
      <c r="D291" s="84" t="n">
        <v>0.267223382045929</v>
      </c>
      <c r="E291" s="84" t="n">
        <v>0.341597796143251</v>
      </c>
      <c r="F291" s="84" t="n">
        <v>0.110803324099723</v>
      </c>
      <c r="G291" s="84" t="n">
        <v>0.214876033057851</v>
      </c>
      <c r="H291" s="84" t="n">
        <v>0.27284210491845</v>
      </c>
      <c r="I291" s="84" t="n">
        <v>0.199865319180001</v>
      </c>
      <c r="J291" s="84" t="n">
        <v>0.714040027124915</v>
      </c>
      <c r="K291" s="84" t="n">
        <v>0.676504624931217</v>
      </c>
      <c r="L291" s="84" t="n">
        <v>0.840446520363257</v>
      </c>
      <c r="M291" s="84" t="n">
        <v>0.557446808510638</v>
      </c>
      <c r="N291" s="84" t="n">
        <v>0.582608695652174</v>
      </c>
      <c r="O291" s="84" t="n">
        <v>1</v>
      </c>
      <c r="P291" s="85">
        <f>AVERAGE(D291:I291)</f>
        <v/>
      </c>
      <c r="Q291" s="85">
        <f>AVERAGE(J291:L291)</f>
        <v/>
      </c>
      <c r="R291" s="85">
        <f>AVERAGE(M291:O291)</f>
        <v/>
      </c>
      <c r="S291" s="85">
        <f>'02_지표정의'!$C$22*P291+'02_지표정의'!$C$23*Q291+'02_지표정의'!$C$24*R291</f>
        <v/>
      </c>
      <c r="T291" s="73">
        <f>IF(OR(AND(B291="gemini",C291="gemma"),AND(B291="qwen3_6",C291="qwen"),AND(B291="mistral",C291="ministral")),1,0)</f>
        <v/>
      </c>
      <c r="U291" s="73">
        <f>IF(LEFT(A291,3)="PAT","특허","보고서")</f>
        <v/>
      </c>
      <c r="V291" s="86">
        <f>COUNTIF($S$2:$S$976,"&lt;"&amp;S291)+(COUNTIF($S$2:$S$976,"="&amp;S291)+1)/2</f>
        <v/>
      </c>
      <c r="W291" s="73">
        <f>IF(C291="qwen",0,COUNTIFS($C$2:$C$976,"&lt;&gt;qwen",$S$2:$S$976,"&lt;"&amp;S291)+1)</f>
        <v/>
      </c>
      <c r="X291" s="73">
        <f>IF(C291="ministral",0,COUNTIFS($C$2:$C$976,"&lt;&gt;ministral",$S$2:$S$976,"&lt;"&amp;S291)+1)</f>
        <v/>
      </c>
      <c r="Y291" s="73">
        <f>IF(C291="gemma",0,COUNTIFS($C$2:$C$976,"&lt;&gt;gemma",$S$2:$S$976,"&lt;"&amp;S291)+1)</f>
        <v/>
      </c>
      <c r="Z291" s="87">
        <f>COUNTIFS($B$2:$B$976,B291,$C$2:$C$976,C291,$S$2:$S$976,"&lt;"&amp;S291)+1</f>
        <v/>
      </c>
      <c r="AA291" s="88">
        <f>ABS(S291-SUMPRODUCT(('05B_가정검정'!$A$5:$A$19=B291)*('05B_가정검정'!$B$5:$B$19=C291)*'05B_가정검정'!$E$5:$E$19))</f>
        <v/>
      </c>
      <c r="AB291" s="88">
        <f>S291-AVERAGEIFS($S$2:$S$976,$B$2:$B$976,B291,$C$2:$C$976,C291)</f>
        <v/>
      </c>
    </row>
    <row r="292" ht="15" customHeight="1" s="68">
      <c r="A292" s="83" t="inlineStr">
        <is>
          <t>PAT-20</t>
        </is>
      </c>
      <c r="B292" s="83" t="inlineStr">
        <is>
          <t>claude</t>
        </is>
      </c>
      <c r="C292" s="83" t="inlineStr">
        <is>
          <t>qwen</t>
        </is>
      </c>
      <c r="D292" s="84" t="n">
        <v>0.270796460176991</v>
      </c>
      <c r="E292" s="84" t="n">
        <v>0.44375</v>
      </c>
      <c r="F292" s="84" t="n">
        <v>0.169811320754717</v>
      </c>
      <c r="G292" s="84" t="n">
        <v>0.28125</v>
      </c>
      <c r="H292" s="84" t="n">
        <v>0.336114446061011</v>
      </c>
      <c r="I292" s="84" t="n">
        <v>0.206978575612037</v>
      </c>
      <c r="J292" s="84" t="n">
        <v>0.732346435039812</v>
      </c>
      <c r="K292" s="84" t="n">
        <v>0.653525252954846</v>
      </c>
      <c r="L292" s="84" t="n">
        <v>0.813507942839889</v>
      </c>
      <c r="M292" s="84" t="n">
        <v>0.613065326633166</v>
      </c>
      <c r="N292" s="84" t="n">
        <v>0.626168224299065</v>
      </c>
      <c r="O292" s="84" t="n">
        <v>1</v>
      </c>
      <c r="P292" s="85">
        <f>AVERAGE(D292:I292)</f>
        <v/>
      </c>
      <c r="Q292" s="85">
        <f>AVERAGE(J292:L292)</f>
        <v/>
      </c>
      <c r="R292" s="85">
        <f>AVERAGE(M292:O292)</f>
        <v/>
      </c>
      <c r="S292" s="85">
        <f>'02_지표정의'!$C$22*P292+'02_지표정의'!$C$23*Q292+'02_지표정의'!$C$24*R292</f>
        <v/>
      </c>
      <c r="T292" s="73">
        <f>IF(OR(AND(B292="gemini",C292="gemma"),AND(B292="qwen3_6",C292="qwen"),AND(B292="mistral",C292="ministral")),1,0)</f>
        <v/>
      </c>
      <c r="U292" s="73">
        <f>IF(LEFT(A292,3)="PAT","특허","보고서")</f>
        <v/>
      </c>
      <c r="V292" s="86">
        <f>COUNTIF($S$2:$S$976,"&lt;"&amp;S292)+(COUNTIF($S$2:$S$976,"="&amp;S292)+1)/2</f>
        <v/>
      </c>
      <c r="W292" s="73">
        <f>IF(C292="qwen",0,COUNTIFS($C$2:$C$976,"&lt;&gt;qwen",$S$2:$S$976,"&lt;"&amp;S292)+1)</f>
        <v/>
      </c>
      <c r="X292" s="73">
        <f>IF(C292="ministral",0,COUNTIFS($C$2:$C$976,"&lt;&gt;ministral",$S$2:$S$976,"&lt;"&amp;S292)+1)</f>
        <v/>
      </c>
      <c r="Y292" s="73">
        <f>IF(C292="gemma",0,COUNTIFS($C$2:$C$976,"&lt;&gt;gemma",$S$2:$S$976,"&lt;"&amp;S292)+1)</f>
        <v/>
      </c>
      <c r="Z292" s="87">
        <f>COUNTIFS($B$2:$B$976,B292,$C$2:$C$976,C292,$S$2:$S$976,"&lt;"&amp;S292)+1</f>
        <v/>
      </c>
      <c r="AA292" s="88">
        <f>ABS(S292-SUMPRODUCT(('05B_가정검정'!$A$5:$A$19=B292)*('05B_가정검정'!$B$5:$B$19=C292)*'05B_가정검정'!$E$5:$E$19))</f>
        <v/>
      </c>
      <c r="AB292" s="88">
        <f>S292-AVERAGEIFS($S$2:$S$976,$B$2:$B$976,B292,$C$2:$C$976,C292)</f>
        <v/>
      </c>
    </row>
    <row r="293" ht="15" customHeight="1" s="68">
      <c r="A293" s="83" t="inlineStr">
        <is>
          <t>PAT-20</t>
        </is>
      </c>
      <c r="B293" s="83" t="inlineStr">
        <is>
          <t>gemini</t>
        </is>
      </c>
      <c r="C293" s="83" t="inlineStr">
        <is>
          <t>gemma</t>
        </is>
      </c>
      <c r="D293" s="84" t="n">
        <v>0.257281553398058</v>
      </c>
      <c r="E293" s="84" t="n">
        <v>0.377880184331797</v>
      </c>
      <c r="F293" s="84" t="n">
        <v>0.12093023255814</v>
      </c>
      <c r="G293" s="84" t="n">
        <v>0.258064516129032</v>
      </c>
      <c r="H293" s="84" t="n">
        <v>0.333929837881732</v>
      </c>
      <c r="I293" s="84" t="n">
        <v>0.209556143459025</v>
      </c>
      <c r="J293" s="84" t="n">
        <v>0.7454574346910881</v>
      </c>
      <c r="K293" s="84" t="n">
        <v>0.793864836446677</v>
      </c>
      <c r="L293" s="84" t="n">
        <v>0.90581384398954</v>
      </c>
      <c r="M293" s="84" t="n">
        <v>0.906542056074766</v>
      </c>
      <c r="N293" s="84" t="n">
        <v>0.916666666666667</v>
      </c>
      <c r="O293" s="84" t="n">
        <v>1</v>
      </c>
      <c r="P293" s="85">
        <f>AVERAGE(D293:I293)</f>
        <v/>
      </c>
      <c r="Q293" s="85">
        <f>AVERAGE(J293:L293)</f>
        <v/>
      </c>
      <c r="R293" s="85">
        <f>AVERAGE(M293:O293)</f>
        <v/>
      </c>
      <c r="S293" s="85">
        <f>'02_지표정의'!$C$22*P293+'02_지표정의'!$C$23*Q293+'02_지표정의'!$C$24*R293</f>
        <v/>
      </c>
      <c r="T293" s="73">
        <f>IF(OR(AND(B293="gemini",C293="gemma"),AND(B293="qwen3_6",C293="qwen"),AND(B293="mistral",C293="ministral")),1,0)</f>
        <v/>
      </c>
      <c r="U293" s="73">
        <f>IF(LEFT(A293,3)="PAT","특허","보고서")</f>
        <v/>
      </c>
      <c r="V293" s="86">
        <f>COUNTIF($S$2:$S$976,"&lt;"&amp;S293)+(COUNTIF($S$2:$S$976,"="&amp;S293)+1)/2</f>
        <v/>
      </c>
      <c r="W293" s="73">
        <f>IF(C293="qwen",0,COUNTIFS($C$2:$C$976,"&lt;&gt;qwen",$S$2:$S$976,"&lt;"&amp;S293)+1)</f>
        <v/>
      </c>
      <c r="X293" s="73">
        <f>IF(C293="ministral",0,COUNTIFS($C$2:$C$976,"&lt;&gt;ministral",$S$2:$S$976,"&lt;"&amp;S293)+1)</f>
        <v/>
      </c>
      <c r="Y293" s="73">
        <f>IF(C293="gemma",0,COUNTIFS($C$2:$C$976,"&lt;&gt;gemma",$S$2:$S$976,"&lt;"&amp;S293)+1)</f>
        <v/>
      </c>
      <c r="Z293" s="87">
        <f>COUNTIFS($B$2:$B$976,B293,$C$2:$C$976,C293,$S$2:$S$976,"&lt;"&amp;S293)+1</f>
        <v/>
      </c>
      <c r="AA293" s="88">
        <f>ABS(S293-SUMPRODUCT(('05B_가정검정'!$A$5:$A$19=B293)*('05B_가정검정'!$B$5:$B$19=C293)*'05B_가정검정'!$E$5:$E$19))</f>
        <v/>
      </c>
      <c r="AB293" s="88">
        <f>S293-AVERAGEIFS($S$2:$S$976,$B$2:$B$976,B293,$C$2:$C$976,C293)</f>
        <v/>
      </c>
    </row>
    <row r="294" ht="15" customHeight="1" s="68">
      <c r="A294" s="83" t="inlineStr">
        <is>
          <t>PAT-20</t>
        </is>
      </c>
      <c r="B294" s="83" t="inlineStr">
        <is>
          <t>gemini</t>
        </is>
      </c>
      <c r="C294" s="83" t="inlineStr">
        <is>
          <t>ministral</t>
        </is>
      </c>
      <c r="D294" s="84" t="n">
        <v>0.269340974212034</v>
      </c>
      <c r="E294" s="84" t="n">
        <v>0.340579710144928</v>
      </c>
      <c r="F294" s="84" t="n">
        <v>0.124087591240876</v>
      </c>
      <c r="G294" s="84" t="n">
        <v>0.246376811594203</v>
      </c>
      <c r="H294" s="84" t="n">
        <v>0.215857414386754</v>
      </c>
      <c r="I294" s="84" t="n">
        <v>0.213502530223847</v>
      </c>
      <c r="J294" s="84" t="n">
        <v>0.742133411557606</v>
      </c>
      <c r="K294" s="84" t="n">
        <v>0.716162700342361</v>
      </c>
      <c r="L294" s="84" t="n">
        <v>0.868132067004467</v>
      </c>
      <c r="M294" s="84" t="n">
        <v>0.412765957446809</v>
      </c>
      <c r="N294" s="84" t="n">
        <v>0.478260869565217</v>
      </c>
      <c r="O294" s="84" t="n">
        <v>1</v>
      </c>
      <c r="P294" s="85">
        <f>AVERAGE(D294:I294)</f>
        <v/>
      </c>
      <c r="Q294" s="85">
        <f>AVERAGE(J294:L294)</f>
        <v/>
      </c>
      <c r="R294" s="85">
        <f>AVERAGE(M294:O294)</f>
        <v/>
      </c>
      <c r="S294" s="85">
        <f>'02_지표정의'!$C$22*P294+'02_지표정의'!$C$23*Q294+'02_지표정의'!$C$24*R294</f>
        <v/>
      </c>
      <c r="T294" s="73">
        <f>IF(OR(AND(B294="gemini",C294="gemma"),AND(B294="qwen3_6",C294="qwen"),AND(B294="mistral",C294="ministral")),1,0)</f>
        <v/>
      </c>
      <c r="U294" s="73">
        <f>IF(LEFT(A294,3)="PAT","특허","보고서")</f>
        <v/>
      </c>
      <c r="V294" s="86">
        <f>COUNTIF($S$2:$S$976,"&lt;"&amp;S294)+(COUNTIF($S$2:$S$976,"="&amp;S294)+1)/2</f>
        <v/>
      </c>
      <c r="W294" s="73">
        <f>IF(C294="qwen",0,COUNTIFS($C$2:$C$976,"&lt;&gt;qwen",$S$2:$S$976,"&lt;"&amp;S294)+1)</f>
        <v/>
      </c>
      <c r="X294" s="73">
        <f>IF(C294="ministral",0,COUNTIFS($C$2:$C$976,"&lt;&gt;ministral",$S$2:$S$976,"&lt;"&amp;S294)+1)</f>
        <v/>
      </c>
      <c r="Y294" s="73">
        <f>IF(C294="gemma",0,COUNTIFS($C$2:$C$976,"&lt;&gt;gemma",$S$2:$S$976,"&lt;"&amp;S294)+1)</f>
        <v/>
      </c>
      <c r="Z294" s="87">
        <f>COUNTIFS($B$2:$B$976,B294,$C$2:$C$976,C294,$S$2:$S$976,"&lt;"&amp;S294)+1</f>
        <v/>
      </c>
      <c r="AA294" s="88">
        <f>ABS(S294-SUMPRODUCT(('05B_가정검정'!$A$5:$A$19=B294)*('05B_가정검정'!$B$5:$B$19=C294)*'05B_가정검정'!$E$5:$E$19))</f>
        <v/>
      </c>
      <c r="AB294" s="88">
        <f>S294-AVERAGEIFS($S$2:$S$976,$B$2:$B$976,B294,$C$2:$C$976,C294)</f>
        <v/>
      </c>
    </row>
    <row r="295" ht="15" customHeight="1" s="68">
      <c r="A295" s="83" t="inlineStr">
        <is>
          <t>PAT-20</t>
        </is>
      </c>
      <c r="B295" s="83" t="inlineStr">
        <is>
          <t>gemini</t>
        </is>
      </c>
      <c r="C295" s="83" t="inlineStr">
        <is>
          <t>qwen</t>
        </is>
      </c>
      <c r="D295" s="84" t="n">
        <v>0.255172413793104</v>
      </c>
      <c r="E295" s="84" t="n">
        <v>0.437768240343348</v>
      </c>
      <c r="F295" s="84" t="n">
        <v>0.181818181818182</v>
      </c>
      <c r="G295" s="84" t="n">
        <v>0.300429184549356</v>
      </c>
      <c r="H295" s="84" t="n">
        <v>0.249277827501026</v>
      </c>
      <c r="I295" s="84" t="n">
        <v>0.198942244570889</v>
      </c>
      <c r="J295" s="84" t="n">
        <v>0.761600938314268</v>
      </c>
      <c r="K295" s="84" t="n">
        <v>0.774584811978477</v>
      </c>
      <c r="L295" s="84" t="n">
        <v>0.896340288703743</v>
      </c>
      <c r="M295" s="84" t="n">
        <v>0.487437185929648</v>
      </c>
      <c r="N295" s="84" t="n">
        <v>0.514018691588785</v>
      </c>
      <c r="O295" s="84" t="n">
        <v>1</v>
      </c>
      <c r="P295" s="85">
        <f>AVERAGE(D295:I295)</f>
        <v/>
      </c>
      <c r="Q295" s="85">
        <f>AVERAGE(J295:L295)</f>
        <v/>
      </c>
      <c r="R295" s="85">
        <f>AVERAGE(M295:O295)</f>
        <v/>
      </c>
      <c r="S295" s="85">
        <f>'02_지표정의'!$C$22*P295+'02_지표정의'!$C$23*Q295+'02_지표정의'!$C$24*R295</f>
        <v/>
      </c>
      <c r="T295" s="73">
        <f>IF(OR(AND(B295="gemini",C295="gemma"),AND(B295="qwen3_6",C295="qwen"),AND(B295="mistral",C295="ministral")),1,0)</f>
        <v/>
      </c>
      <c r="U295" s="73">
        <f>IF(LEFT(A295,3)="PAT","특허","보고서")</f>
        <v/>
      </c>
      <c r="V295" s="86">
        <f>COUNTIF($S$2:$S$976,"&lt;"&amp;S295)+(COUNTIF($S$2:$S$976,"="&amp;S295)+1)/2</f>
        <v/>
      </c>
      <c r="W295" s="73">
        <f>IF(C295="qwen",0,COUNTIFS($C$2:$C$976,"&lt;&gt;qwen",$S$2:$S$976,"&lt;"&amp;S295)+1)</f>
        <v/>
      </c>
      <c r="X295" s="73">
        <f>IF(C295="ministral",0,COUNTIFS($C$2:$C$976,"&lt;&gt;ministral",$S$2:$S$976,"&lt;"&amp;S295)+1)</f>
        <v/>
      </c>
      <c r="Y295" s="73">
        <f>IF(C295="gemma",0,COUNTIFS($C$2:$C$976,"&lt;&gt;gemma",$S$2:$S$976,"&lt;"&amp;S295)+1)</f>
        <v/>
      </c>
      <c r="Z295" s="87">
        <f>COUNTIFS($B$2:$B$976,B295,$C$2:$C$976,C295,$S$2:$S$976,"&lt;"&amp;S295)+1</f>
        <v/>
      </c>
      <c r="AA295" s="88">
        <f>ABS(S295-SUMPRODUCT(('05B_가정검정'!$A$5:$A$19=B295)*('05B_가정검정'!$B$5:$B$19=C295)*'05B_가정검정'!$E$5:$E$19))</f>
        <v/>
      </c>
      <c r="AB295" s="88">
        <f>S295-AVERAGEIFS($S$2:$S$976,$B$2:$B$976,B295,$C$2:$C$976,C295)</f>
        <v/>
      </c>
    </row>
    <row r="296" ht="15" customHeight="1" s="68">
      <c r="A296" s="83" t="inlineStr">
        <is>
          <t>PAT-20</t>
        </is>
      </c>
      <c r="B296" s="83" t="inlineStr">
        <is>
          <t>mistral</t>
        </is>
      </c>
      <c r="C296" s="83" t="inlineStr">
        <is>
          <t>gemma</t>
        </is>
      </c>
      <c r="D296" s="84" t="n">
        <v>0.256800870511426</v>
      </c>
      <c r="E296" s="84" t="n">
        <v>0.291044776119403</v>
      </c>
      <c r="F296" s="84" t="n">
        <v>0.0902255639097744</v>
      </c>
      <c r="G296" s="84" t="n">
        <v>0.23134328358209</v>
      </c>
      <c r="H296" s="84" t="n">
        <v>0.280748650889527</v>
      </c>
      <c r="I296" s="84" t="n">
        <v>0.194035892919413</v>
      </c>
      <c r="J296" s="84" t="n">
        <v>0.702469564883745</v>
      </c>
      <c r="K296" s="84" t="n">
        <v>0.64496465237692</v>
      </c>
      <c r="L296" s="84" t="n">
        <v>0.852212434255091</v>
      </c>
      <c r="M296" s="84" t="n">
        <v>0.373493975903614</v>
      </c>
      <c r="N296" s="84" t="n">
        <v>0.360294117647059</v>
      </c>
      <c r="O296" s="84" t="n">
        <v>1</v>
      </c>
      <c r="P296" s="85">
        <f>AVERAGE(D296:I296)</f>
        <v/>
      </c>
      <c r="Q296" s="85">
        <f>AVERAGE(J296:L296)</f>
        <v/>
      </c>
      <c r="R296" s="85">
        <f>AVERAGE(M296:O296)</f>
        <v/>
      </c>
      <c r="S296" s="85">
        <f>'02_지표정의'!$C$22*P296+'02_지표정의'!$C$23*Q296+'02_지표정의'!$C$24*R296</f>
        <v/>
      </c>
      <c r="T296" s="73">
        <f>IF(OR(AND(B296="gemini",C296="gemma"),AND(B296="qwen3_6",C296="qwen"),AND(B296="mistral",C296="ministral")),1,0)</f>
        <v/>
      </c>
      <c r="U296" s="73">
        <f>IF(LEFT(A296,3)="PAT","특허","보고서")</f>
        <v/>
      </c>
      <c r="V296" s="86">
        <f>COUNTIF($S$2:$S$976,"&lt;"&amp;S296)+(COUNTIF($S$2:$S$976,"="&amp;S296)+1)/2</f>
        <v/>
      </c>
      <c r="W296" s="73">
        <f>IF(C296="qwen",0,COUNTIFS($C$2:$C$976,"&lt;&gt;qwen",$S$2:$S$976,"&lt;"&amp;S296)+1)</f>
        <v/>
      </c>
      <c r="X296" s="73">
        <f>IF(C296="ministral",0,COUNTIFS($C$2:$C$976,"&lt;&gt;ministral",$S$2:$S$976,"&lt;"&amp;S296)+1)</f>
        <v/>
      </c>
      <c r="Y296" s="73">
        <f>IF(C296="gemma",0,COUNTIFS($C$2:$C$976,"&lt;&gt;gemma",$S$2:$S$976,"&lt;"&amp;S296)+1)</f>
        <v/>
      </c>
      <c r="Z296" s="87">
        <f>COUNTIFS($B$2:$B$976,B296,$C$2:$C$976,C296,$S$2:$S$976,"&lt;"&amp;S296)+1</f>
        <v/>
      </c>
      <c r="AA296" s="88">
        <f>ABS(S296-SUMPRODUCT(('05B_가정검정'!$A$5:$A$19=B296)*('05B_가정검정'!$B$5:$B$19=C296)*'05B_가정검정'!$E$5:$E$19))</f>
        <v/>
      </c>
      <c r="AB296" s="88">
        <f>S296-AVERAGEIFS($S$2:$S$976,$B$2:$B$976,B296,$C$2:$C$976,C296)</f>
        <v/>
      </c>
    </row>
    <row r="297" ht="15" customHeight="1" s="68">
      <c r="A297" s="83" t="inlineStr">
        <is>
          <t>PAT-20</t>
        </is>
      </c>
      <c r="B297" s="83" t="inlineStr">
        <is>
          <t>mistral</t>
        </is>
      </c>
      <c r="C297" s="83" t="inlineStr">
        <is>
          <t>ministral</t>
        </is>
      </c>
      <c r="D297" s="84" t="n">
        <v>0.337957124842371</v>
      </c>
      <c r="E297" s="84" t="n">
        <v>0.477064220183486</v>
      </c>
      <c r="F297" s="84" t="n">
        <v>0.16</v>
      </c>
      <c r="G297" s="84" t="n">
        <v>0.299694189602447</v>
      </c>
      <c r="H297" s="84" t="n">
        <v>0.350606180697521</v>
      </c>
      <c r="I297" s="84" t="n">
        <v>0.29446489683272</v>
      </c>
      <c r="J297" s="84" t="n">
        <v>0.7310087636103469</v>
      </c>
      <c r="K297" s="84" t="n">
        <v>0.7042263197894399</v>
      </c>
      <c r="L297" s="84" t="n">
        <v>0.875568914064036</v>
      </c>
      <c r="M297" s="84" t="n">
        <v>0.614457831325301</v>
      </c>
      <c r="N297" s="84" t="n">
        <v>0.6838235294117651</v>
      </c>
      <c r="O297" s="84" t="n">
        <v>1</v>
      </c>
      <c r="P297" s="85">
        <f>AVERAGE(D297:I297)</f>
        <v/>
      </c>
      <c r="Q297" s="85">
        <f>AVERAGE(J297:L297)</f>
        <v/>
      </c>
      <c r="R297" s="85">
        <f>AVERAGE(M297:O297)</f>
        <v/>
      </c>
      <c r="S297" s="85">
        <f>'02_지표정의'!$C$22*P297+'02_지표정의'!$C$23*Q297+'02_지표정의'!$C$24*R297</f>
        <v/>
      </c>
      <c r="T297" s="73">
        <f>IF(OR(AND(B297="gemini",C297="gemma"),AND(B297="qwen3_6",C297="qwen"),AND(B297="mistral",C297="ministral")),1,0)</f>
        <v/>
      </c>
      <c r="U297" s="73">
        <f>IF(LEFT(A297,3)="PAT","특허","보고서")</f>
        <v/>
      </c>
      <c r="V297" s="86">
        <f>COUNTIF($S$2:$S$976,"&lt;"&amp;S297)+(COUNTIF($S$2:$S$976,"="&amp;S297)+1)/2</f>
        <v/>
      </c>
      <c r="W297" s="73">
        <f>IF(C297="qwen",0,COUNTIFS($C$2:$C$976,"&lt;&gt;qwen",$S$2:$S$976,"&lt;"&amp;S297)+1)</f>
        <v/>
      </c>
      <c r="X297" s="73">
        <f>IF(C297="ministral",0,COUNTIFS($C$2:$C$976,"&lt;&gt;ministral",$S$2:$S$976,"&lt;"&amp;S297)+1)</f>
        <v/>
      </c>
      <c r="Y297" s="73">
        <f>IF(C297="gemma",0,COUNTIFS($C$2:$C$976,"&lt;&gt;gemma",$S$2:$S$976,"&lt;"&amp;S297)+1)</f>
        <v/>
      </c>
      <c r="Z297" s="87">
        <f>COUNTIFS($B$2:$B$976,B297,$C$2:$C$976,C297,$S$2:$S$976,"&lt;"&amp;S297)+1</f>
        <v/>
      </c>
      <c r="AA297" s="88">
        <f>ABS(S297-SUMPRODUCT(('05B_가정검정'!$A$5:$A$19=B297)*('05B_가정검정'!$B$5:$B$19=C297)*'05B_가정검정'!$E$5:$E$19))</f>
        <v/>
      </c>
      <c r="AB297" s="88">
        <f>S297-AVERAGEIFS($S$2:$S$976,$B$2:$B$976,B297,$C$2:$C$976,C297)</f>
        <v/>
      </c>
    </row>
    <row r="298" ht="15" customHeight="1" s="68">
      <c r="A298" s="83" t="inlineStr">
        <is>
          <t>PAT-20</t>
        </is>
      </c>
      <c r="B298" s="83" t="inlineStr">
        <is>
          <t>mistral</t>
        </is>
      </c>
      <c r="C298" s="83" t="inlineStr">
        <is>
          <t>qwen</t>
        </is>
      </c>
      <c r="D298" s="84" t="n">
        <v>0.290155440414508</v>
      </c>
      <c r="E298" s="84" t="n">
        <v>0.542253521126761</v>
      </c>
      <c r="F298" s="84" t="n">
        <v>0.191489361702128</v>
      </c>
      <c r="G298" s="84" t="n">
        <v>0.373239436619718</v>
      </c>
      <c r="H298" s="84" t="n">
        <v>0.385065177333988</v>
      </c>
      <c r="I298" s="84" t="n">
        <v>0.209107094481998</v>
      </c>
      <c r="J298" s="84" t="n">
        <v>0.729204675298878</v>
      </c>
      <c r="K298" s="84" t="n">
        <v>0.655981916269986</v>
      </c>
      <c r="L298" s="84" t="n">
        <v>0.837235969249655</v>
      </c>
      <c r="M298" s="84" t="n">
        <v>0.698795180722892</v>
      </c>
      <c r="N298" s="84" t="n">
        <v>0.6911764705882349</v>
      </c>
      <c r="O298" s="84" t="n">
        <v>1</v>
      </c>
      <c r="P298" s="85">
        <f>AVERAGE(D298:I298)</f>
        <v/>
      </c>
      <c r="Q298" s="85">
        <f>AVERAGE(J298:L298)</f>
        <v/>
      </c>
      <c r="R298" s="85">
        <f>AVERAGE(M298:O298)</f>
        <v/>
      </c>
      <c r="S298" s="85">
        <f>'02_지표정의'!$C$22*P298+'02_지표정의'!$C$23*Q298+'02_지표정의'!$C$24*R298</f>
        <v/>
      </c>
      <c r="T298" s="73">
        <f>IF(OR(AND(B298="gemini",C298="gemma"),AND(B298="qwen3_6",C298="qwen"),AND(B298="mistral",C298="ministral")),1,0)</f>
        <v/>
      </c>
      <c r="U298" s="73">
        <f>IF(LEFT(A298,3)="PAT","특허","보고서")</f>
        <v/>
      </c>
      <c r="V298" s="86">
        <f>COUNTIF($S$2:$S$976,"&lt;"&amp;S298)+(COUNTIF($S$2:$S$976,"="&amp;S298)+1)/2</f>
        <v/>
      </c>
      <c r="W298" s="73">
        <f>IF(C298="qwen",0,COUNTIFS($C$2:$C$976,"&lt;&gt;qwen",$S$2:$S$976,"&lt;"&amp;S298)+1)</f>
        <v/>
      </c>
      <c r="X298" s="73">
        <f>IF(C298="ministral",0,COUNTIFS($C$2:$C$976,"&lt;&gt;ministral",$S$2:$S$976,"&lt;"&amp;S298)+1)</f>
        <v/>
      </c>
      <c r="Y298" s="73">
        <f>IF(C298="gemma",0,COUNTIFS($C$2:$C$976,"&lt;&gt;gemma",$S$2:$S$976,"&lt;"&amp;S298)+1)</f>
        <v/>
      </c>
      <c r="Z298" s="87">
        <f>COUNTIFS($B$2:$B$976,B298,$C$2:$C$976,C298,$S$2:$S$976,"&lt;"&amp;S298)+1</f>
        <v/>
      </c>
      <c r="AA298" s="88">
        <f>ABS(S298-SUMPRODUCT(('05B_가정검정'!$A$5:$A$19=B298)*('05B_가정검정'!$B$5:$B$19=C298)*'05B_가정검정'!$E$5:$E$19))</f>
        <v/>
      </c>
      <c r="AB298" s="88">
        <f>S298-AVERAGEIFS($S$2:$S$976,$B$2:$B$976,B298,$C$2:$C$976,C298)</f>
        <v/>
      </c>
    </row>
    <row r="299" ht="15" customHeight="1" s="68">
      <c r="A299" s="83" t="inlineStr">
        <is>
          <t>PAT-20</t>
        </is>
      </c>
      <c r="B299" s="83" t="inlineStr">
        <is>
          <t>qwen3_6</t>
        </is>
      </c>
      <c r="C299" s="83" t="inlineStr">
        <is>
          <t>gemma</t>
        </is>
      </c>
      <c r="D299" s="84" t="n">
        <v>0.246941045606229</v>
      </c>
      <c r="E299" s="84" t="n">
        <v>0.354716981132075</v>
      </c>
      <c r="F299" s="84" t="n">
        <v>0.121673003802281</v>
      </c>
      <c r="G299" s="84" t="n">
        <v>0.264150943396227</v>
      </c>
      <c r="H299" s="84" t="n">
        <v>0.375187591927087</v>
      </c>
      <c r="I299" s="84" t="n">
        <v>0.156554868927145</v>
      </c>
      <c r="J299" s="84" t="n">
        <v>0.696951720745446</v>
      </c>
      <c r="K299" s="84" t="n">
        <v>0.6889402464495959</v>
      </c>
      <c r="L299" s="84" t="n">
        <v>0.875812175978351</v>
      </c>
      <c r="M299" s="84" t="n">
        <v>0.906542056074766</v>
      </c>
      <c r="N299" s="84" t="n">
        <v>0.916666666666667</v>
      </c>
      <c r="O299" s="84" t="n">
        <v>1</v>
      </c>
      <c r="P299" s="85">
        <f>AVERAGE(D299:I299)</f>
        <v/>
      </c>
      <c r="Q299" s="85">
        <f>AVERAGE(J299:L299)</f>
        <v/>
      </c>
      <c r="R299" s="85">
        <f>AVERAGE(M299:O299)</f>
        <v/>
      </c>
      <c r="S299" s="85">
        <f>'02_지표정의'!$C$22*P299+'02_지표정의'!$C$23*Q299+'02_지표정의'!$C$24*R299</f>
        <v/>
      </c>
      <c r="T299" s="73">
        <f>IF(OR(AND(B299="gemini",C299="gemma"),AND(B299="qwen3_6",C299="qwen"),AND(B299="mistral",C299="ministral")),1,0)</f>
        <v/>
      </c>
      <c r="U299" s="73">
        <f>IF(LEFT(A299,3)="PAT","특허","보고서")</f>
        <v/>
      </c>
      <c r="V299" s="86">
        <f>COUNTIF($S$2:$S$976,"&lt;"&amp;S299)+(COUNTIF($S$2:$S$976,"="&amp;S299)+1)/2</f>
        <v/>
      </c>
      <c r="W299" s="73">
        <f>IF(C299="qwen",0,COUNTIFS($C$2:$C$976,"&lt;&gt;qwen",$S$2:$S$976,"&lt;"&amp;S299)+1)</f>
        <v/>
      </c>
      <c r="X299" s="73">
        <f>IF(C299="ministral",0,COUNTIFS($C$2:$C$976,"&lt;&gt;ministral",$S$2:$S$976,"&lt;"&amp;S299)+1)</f>
        <v/>
      </c>
      <c r="Y299" s="73">
        <f>IF(C299="gemma",0,COUNTIFS($C$2:$C$976,"&lt;&gt;gemma",$S$2:$S$976,"&lt;"&amp;S299)+1)</f>
        <v/>
      </c>
      <c r="Z299" s="87">
        <f>COUNTIFS($B$2:$B$976,B299,$C$2:$C$976,C299,$S$2:$S$976,"&lt;"&amp;S299)+1</f>
        <v/>
      </c>
      <c r="AA299" s="88">
        <f>ABS(S299-SUMPRODUCT(('05B_가정검정'!$A$5:$A$19=B299)*('05B_가정검정'!$B$5:$B$19=C299)*'05B_가정검정'!$E$5:$E$19))</f>
        <v/>
      </c>
      <c r="AB299" s="88">
        <f>S299-AVERAGEIFS($S$2:$S$976,$B$2:$B$976,B299,$C$2:$C$976,C299)</f>
        <v/>
      </c>
    </row>
    <row r="300" ht="15" customHeight="1" s="68">
      <c r="A300" s="83" t="inlineStr">
        <is>
          <t>PAT-20</t>
        </is>
      </c>
      <c r="B300" s="83" t="inlineStr">
        <is>
          <t>qwen3_6</t>
        </is>
      </c>
      <c r="C300" s="83" t="inlineStr">
        <is>
          <t>ministral</t>
        </is>
      </c>
      <c r="D300" s="84" t="n">
        <v>0.243208279430789</v>
      </c>
      <c r="E300" s="84" t="n">
        <v>0.382716049382716</v>
      </c>
      <c r="F300" s="84" t="n">
        <v>0.142857142857143</v>
      </c>
      <c r="G300" s="84" t="n">
        <v>0.290123456790124</v>
      </c>
      <c r="H300" s="84" t="n">
        <v>0.240291365422943</v>
      </c>
      <c r="I300" s="84" t="n">
        <v>0.157889321559533</v>
      </c>
      <c r="J300" s="84" t="n">
        <v>0.693096067971933</v>
      </c>
      <c r="K300" s="84" t="n">
        <v>0.670361727682114</v>
      </c>
      <c r="L300" s="84" t="n">
        <v>0.848292013129059</v>
      </c>
      <c r="M300" s="84" t="n">
        <v>0.412765957446809</v>
      </c>
      <c r="N300" s="84" t="n">
        <v>0.478260869565217</v>
      </c>
      <c r="O300" s="84" t="n">
        <v>1</v>
      </c>
      <c r="P300" s="85">
        <f>AVERAGE(D300:I300)</f>
        <v/>
      </c>
      <c r="Q300" s="85">
        <f>AVERAGE(J300:L300)</f>
        <v/>
      </c>
      <c r="R300" s="85">
        <f>AVERAGE(M300:O300)</f>
        <v/>
      </c>
      <c r="S300" s="85">
        <f>'02_지표정의'!$C$22*P300+'02_지표정의'!$C$23*Q300+'02_지표정의'!$C$24*R300</f>
        <v/>
      </c>
      <c r="T300" s="73">
        <f>IF(OR(AND(B300="gemini",C300="gemma"),AND(B300="qwen3_6",C300="qwen"),AND(B300="mistral",C300="ministral")),1,0)</f>
        <v/>
      </c>
      <c r="U300" s="73">
        <f>IF(LEFT(A300,3)="PAT","특허","보고서")</f>
        <v/>
      </c>
      <c r="V300" s="86">
        <f>COUNTIF($S$2:$S$976,"&lt;"&amp;S300)+(COUNTIF($S$2:$S$976,"="&amp;S300)+1)/2</f>
        <v/>
      </c>
      <c r="W300" s="73">
        <f>IF(C300="qwen",0,COUNTIFS($C$2:$C$976,"&lt;&gt;qwen",$S$2:$S$976,"&lt;"&amp;S300)+1)</f>
        <v/>
      </c>
      <c r="X300" s="73">
        <f>IF(C300="ministral",0,COUNTIFS($C$2:$C$976,"&lt;&gt;ministral",$S$2:$S$976,"&lt;"&amp;S300)+1)</f>
        <v/>
      </c>
      <c r="Y300" s="73">
        <f>IF(C300="gemma",0,COUNTIFS($C$2:$C$976,"&lt;&gt;gemma",$S$2:$S$976,"&lt;"&amp;S300)+1)</f>
        <v/>
      </c>
      <c r="Z300" s="87">
        <f>COUNTIFS($B$2:$B$976,B300,$C$2:$C$976,C300,$S$2:$S$976,"&lt;"&amp;S300)+1</f>
        <v/>
      </c>
      <c r="AA300" s="88">
        <f>ABS(S300-SUMPRODUCT(('05B_가정검정'!$A$5:$A$19=B300)*('05B_가정검정'!$B$5:$B$19=C300)*'05B_가정검정'!$E$5:$E$19))</f>
        <v/>
      </c>
      <c r="AB300" s="88">
        <f>S300-AVERAGEIFS($S$2:$S$976,$B$2:$B$976,B300,$C$2:$C$976,C300)</f>
        <v/>
      </c>
    </row>
    <row r="301" ht="15" customHeight="1" s="68">
      <c r="A301" s="83" t="inlineStr">
        <is>
          <t>PAT-20</t>
        </is>
      </c>
      <c r="B301" s="83" t="inlineStr">
        <is>
          <t>qwen3_6</t>
        </is>
      </c>
      <c r="C301" s="83" t="inlineStr">
        <is>
          <t>qwen</t>
        </is>
      </c>
      <c r="D301" s="84" t="n">
        <v>0.253968253968254</v>
      </c>
      <c r="E301" s="84" t="n">
        <v>0.540925266903915</v>
      </c>
      <c r="F301" s="84" t="n">
        <v>0.222222222222222</v>
      </c>
      <c r="G301" s="84" t="n">
        <v>0.362989323843416</v>
      </c>
      <c r="H301" s="84" t="n">
        <v>0.288072843232668</v>
      </c>
      <c r="I301" s="84" t="n">
        <v>0.181196320207122</v>
      </c>
      <c r="J301" s="84" t="n">
        <v>0.725874877400847</v>
      </c>
      <c r="K301" s="84" t="n">
        <v>0.6831609297511539</v>
      </c>
      <c r="L301" s="84" t="n">
        <v>0.843023790932506</v>
      </c>
      <c r="M301" s="84" t="n">
        <v>0.487437185929648</v>
      </c>
      <c r="N301" s="84" t="n">
        <v>0.514018691588785</v>
      </c>
      <c r="O301" s="84" t="n">
        <v>1</v>
      </c>
      <c r="P301" s="85">
        <f>AVERAGE(D301:I301)</f>
        <v/>
      </c>
      <c r="Q301" s="85">
        <f>AVERAGE(J301:L301)</f>
        <v/>
      </c>
      <c r="R301" s="85">
        <f>AVERAGE(M301:O301)</f>
        <v/>
      </c>
      <c r="S301" s="85">
        <f>'02_지표정의'!$C$22*P301+'02_지표정의'!$C$23*Q301+'02_지표정의'!$C$24*R301</f>
        <v/>
      </c>
      <c r="T301" s="73">
        <f>IF(OR(AND(B301="gemini",C301="gemma"),AND(B301="qwen3_6",C301="qwen"),AND(B301="mistral",C301="ministral")),1,0)</f>
        <v/>
      </c>
      <c r="U301" s="73">
        <f>IF(LEFT(A301,3)="PAT","특허","보고서")</f>
        <v/>
      </c>
      <c r="V301" s="86">
        <f>COUNTIF($S$2:$S$976,"&lt;"&amp;S301)+(COUNTIF($S$2:$S$976,"="&amp;S301)+1)/2</f>
        <v/>
      </c>
      <c r="W301" s="73">
        <f>IF(C301="qwen",0,COUNTIFS($C$2:$C$976,"&lt;&gt;qwen",$S$2:$S$976,"&lt;"&amp;S301)+1)</f>
        <v/>
      </c>
      <c r="X301" s="73">
        <f>IF(C301="ministral",0,COUNTIFS($C$2:$C$976,"&lt;&gt;ministral",$S$2:$S$976,"&lt;"&amp;S301)+1)</f>
        <v/>
      </c>
      <c r="Y301" s="73">
        <f>IF(C301="gemma",0,COUNTIFS($C$2:$C$976,"&lt;&gt;gemma",$S$2:$S$976,"&lt;"&amp;S301)+1)</f>
        <v/>
      </c>
      <c r="Z301" s="87">
        <f>COUNTIFS($B$2:$B$976,B301,$C$2:$C$976,C301,$S$2:$S$976,"&lt;"&amp;S301)+1</f>
        <v/>
      </c>
      <c r="AA301" s="88">
        <f>ABS(S301-SUMPRODUCT(('05B_가정검정'!$A$5:$A$19=B301)*('05B_가정검정'!$B$5:$B$19=C301)*'05B_가정검정'!$E$5:$E$19))</f>
        <v/>
      </c>
      <c r="AB301" s="88">
        <f>S301-AVERAGEIFS($S$2:$S$976,$B$2:$B$976,B301,$C$2:$C$976,C301)</f>
        <v/>
      </c>
    </row>
    <row r="302" ht="15" customHeight="1" s="68">
      <c r="A302" s="83" t="inlineStr">
        <is>
          <t>PAT-21</t>
        </is>
      </c>
      <c r="B302" s="83" t="inlineStr">
        <is>
          <t>chatgpt</t>
        </is>
      </c>
      <c r="C302" s="83" t="inlineStr">
        <is>
          <t>gemma</t>
        </is>
      </c>
      <c r="D302" s="84" t="n">
        <v>0.262626262626263</v>
      </c>
      <c r="E302" s="84" t="n">
        <v>0.328638497652582</v>
      </c>
      <c r="F302" s="84" t="n">
        <v>0.113744075829384</v>
      </c>
      <c r="G302" s="84" t="n">
        <v>0.253521126760563</v>
      </c>
      <c r="H302" s="84" t="n">
        <v>0.225486729981457</v>
      </c>
      <c r="I302" s="84" t="n">
        <v>0.270474669809233</v>
      </c>
      <c r="J302" s="84" t="n">
        <v>0.6650024304566921</v>
      </c>
      <c r="K302" s="84" t="n">
        <v>0.591922219964605</v>
      </c>
      <c r="L302" s="84" t="n">
        <v>0.787369158244854</v>
      </c>
      <c r="M302" s="84" t="n">
        <v>0.562913907284768</v>
      </c>
      <c r="N302" s="84" t="n">
        <v>0.231707317073171</v>
      </c>
      <c r="O302" s="84" t="n">
        <v>1</v>
      </c>
      <c r="P302" s="85">
        <f>AVERAGE(D302:I302)</f>
        <v/>
      </c>
      <c r="Q302" s="85">
        <f>AVERAGE(J302:L302)</f>
        <v/>
      </c>
      <c r="R302" s="85">
        <f>AVERAGE(M302:O302)</f>
        <v/>
      </c>
      <c r="S302" s="85">
        <f>'02_지표정의'!$C$22*P302+'02_지표정의'!$C$23*Q302+'02_지표정의'!$C$24*R302</f>
        <v/>
      </c>
      <c r="T302" s="73">
        <f>IF(OR(AND(B302="gemini",C302="gemma"),AND(B302="qwen3_6",C302="qwen"),AND(B302="mistral",C302="ministral")),1,0)</f>
        <v/>
      </c>
      <c r="U302" s="73">
        <f>IF(LEFT(A302,3)="PAT","특허","보고서")</f>
        <v/>
      </c>
      <c r="V302" s="86">
        <f>COUNTIF($S$2:$S$976,"&lt;"&amp;S302)+(COUNTIF($S$2:$S$976,"="&amp;S302)+1)/2</f>
        <v/>
      </c>
      <c r="W302" s="73">
        <f>IF(C302="qwen",0,COUNTIFS($C$2:$C$976,"&lt;&gt;qwen",$S$2:$S$976,"&lt;"&amp;S302)+1)</f>
        <v/>
      </c>
      <c r="X302" s="73">
        <f>IF(C302="ministral",0,COUNTIFS($C$2:$C$976,"&lt;&gt;ministral",$S$2:$S$976,"&lt;"&amp;S302)+1)</f>
        <v/>
      </c>
      <c r="Y302" s="73">
        <f>IF(C302="gemma",0,COUNTIFS($C$2:$C$976,"&lt;&gt;gemma",$S$2:$S$976,"&lt;"&amp;S302)+1)</f>
        <v/>
      </c>
      <c r="Z302" s="87">
        <f>COUNTIFS($B$2:$B$976,B302,$C$2:$C$976,C302,$S$2:$S$976,"&lt;"&amp;S302)+1</f>
        <v/>
      </c>
      <c r="AA302" s="88">
        <f>ABS(S302-SUMPRODUCT(('05B_가정검정'!$A$5:$A$19=B302)*('05B_가정검정'!$B$5:$B$19=C302)*'05B_가정검정'!$E$5:$E$19))</f>
        <v/>
      </c>
      <c r="AB302" s="88">
        <f>S302-AVERAGEIFS($S$2:$S$976,$B$2:$B$976,B302,$C$2:$C$976,C302)</f>
        <v/>
      </c>
    </row>
    <row r="303" ht="15" customHeight="1" s="68">
      <c r="A303" s="83" t="inlineStr">
        <is>
          <t>PAT-21</t>
        </is>
      </c>
      <c r="B303" s="83" t="inlineStr">
        <is>
          <t>chatgpt</t>
        </is>
      </c>
      <c r="C303" s="83" t="inlineStr">
        <is>
          <t>ministral</t>
        </is>
      </c>
      <c r="D303" s="84" t="n">
        <v>0.308219178082192</v>
      </c>
      <c r="E303" s="84" t="n">
        <v>0.296</v>
      </c>
      <c r="F303" s="84" t="n">
        <v>0.120967741935484</v>
      </c>
      <c r="G303" s="84" t="n">
        <v>0.256</v>
      </c>
      <c r="H303" s="84" t="n">
        <v>0.167633864885841</v>
      </c>
      <c r="I303" s="84" t="n">
        <v>0.218282187181363</v>
      </c>
      <c r="J303" s="84" t="n">
        <v>0.707854276330376</v>
      </c>
      <c r="K303" s="84" t="n">
        <v>0.678568994249223</v>
      </c>
      <c r="L303" s="84" t="n">
        <v>0.838274255847734</v>
      </c>
      <c r="M303" s="84" t="n">
        <v>0.452282157676349</v>
      </c>
      <c r="N303" s="84" t="n">
        <v>0.0254237288135594</v>
      </c>
      <c r="O303" s="84" t="n">
        <v>1</v>
      </c>
      <c r="P303" s="85">
        <f>AVERAGE(D303:I303)</f>
        <v/>
      </c>
      <c r="Q303" s="85">
        <f>AVERAGE(J303:L303)</f>
        <v/>
      </c>
      <c r="R303" s="85">
        <f>AVERAGE(M303:O303)</f>
        <v/>
      </c>
      <c r="S303" s="85">
        <f>'02_지표정의'!$C$22*P303+'02_지표정의'!$C$23*Q303+'02_지표정의'!$C$24*R303</f>
        <v/>
      </c>
      <c r="T303" s="73">
        <f>IF(OR(AND(B303="gemini",C303="gemma"),AND(B303="qwen3_6",C303="qwen"),AND(B303="mistral",C303="ministral")),1,0)</f>
        <v/>
      </c>
      <c r="U303" s="73">
        <f>IF(LEFT(A303,3)="PAT","특허","보고서")</f>
        <v/>
      </c>
      <c r="V303" s="86">
        <f>COUNTIF($S$2:$S$976,"&lt;"&amp;S303)+(COUNTIF($S$2:$S$976,"="&amp;S303)+1)/2</f>
        <v/>
      </c>
      <c r="W303" s="73">
        <f>IF(C303="qwen",0,COUNTIFS($C$2:$C$976,"&lt;&gt;qwen",$S$2:$S$976,"&lt;"&amp;S303)+1)</f>
        <v/>
      </c>
      <c r="X303" s="73">
        <f>IF(C303="ministral",0,COUNTIFS($C$2:$C$976,"&lt;&gt;ministral",$S$2:$S$976,"&lt;"&amp;S303)+1)</f>
        <v/>
      </c>
      <c r="Y303" s="73">
        <f>IF(C303="gemma",0,COUNTIFS($C$2:$C$976,"&lt;&gt;gemma",$S$2:$S$976,"&lt;"&amp;S303)+1)</f>
        <v/>
      </c>
      <c r="Z303" s="87">
        <f>COUNTIFS($B$2:$B$976,B303,$C$2:$C$976,C303,$S$2:$S$976,"&lt;"&amp;S303)+1</f>
        <v/>
      </c>
      <c r="AA303" s="88">
        <f>ABS(S303-SUMPRODUCT(('05B_가정검정'!$A$5:$A$19=B303)*('05B_가정검정'!$B$5:$B$19=C303)*'05B_가정검정'!$E$5:$E$19))</f>
        <v/>
      </c>
      <c r="AB303" s="88">
        <f>S303-AVERAGEIFS($S$2:$S$976,$B$2:$B$976,B303,$C$2:$C$976,C303)</f>
        <v/>
      </c>
    </row>
    <row r="304" ht="15" customHeight="1" s="68">
      <c r="A304" s="83" t="inlineStr">
        <is>
          <t>PAT-21</t>
        </is>
      </c>
      <c r="B304" s="83" t="inlineStr">
        <is>
          <t>chatgpt</t>
        </is>
      </c>
      <c r="C304" s="83" t="inlineStr">
        <is>
          <t>qwen</t>
        </is>
      </c>
      <c r="D304" s="84" t="n">
        <v>0.273775216138329</v>
      </c>
      <c r="E304" s="84" t="n">
        <v>0.365482233502538</v>
      </c>
      <c r="F304" s="84" t="n">
        <v>0.174358974358974</v>
      </c>
      <c r="G304" s="84" t="n">
        <v>0.304568527918782</v>
      </c>
      <c r="H304" s="84" t="n">
        <v>0.213538373695271</v>
      </c>
      <c r="I304" s="84" t="n">
        <v>0.276724128991632</v>
      </c>
      <c r="J304" s="84" t="n">
        <v>0.692093794371576</v>
      </c>
      <c r="K304" s="84" t="n">
        <v>0.6136925402835099</v>
      </c>
      <c r="L304" s="84" t="n">
        <v>0.798316666643439</v>
      </c>
      <c r="M304" s="84" t="n">
        <v>0.403508771929825</v>
      </c>
      <c r="N304" s="84" t="n">
        <v>0</v>
      </c>
      <c r="O304" s="84" t="n">
        <v>1</v>
      </c>
      <c r="P304" s="85">
        <f>AVERAGE(D304:I304)</f>
        <v/>
      </c>
      <c r="Q304" s="85">
        <f>AVERAGE(J304:L304)</f>
        <v/>
      </c>
      <c r="R304" s="85">
        <f>AVERAGE(M304:O304)</f>
        <v/>
      </c>
      <c r="S304" s="85">
        <f>'02_지표정의'!$C$22*P304+'02_지표정의'!$C$23*Q304+'02_지표정의'!$C$24*R304</f>
        <v/>
      </c>
      <c r="T304" s="73">
        <f>IF(OR(AND(B304="gemini",C304="gemma"),AND(B304="qwen3_6",C304="qwen"),AND(B304="mistral",C304="ministral")),1,0)</f>
        <v/>
      </c>
      <c r="U304" s="73">
        <f>IF(LEFT(A304,3)="PAT","특허","보고서")</f>
        <v/>
      </c>
      <c r="V304" s="86">
        <f>COUNTIF($S$2:$S$976,"&lt;"&amp;S304)+(COUNTIF($S$2:$S$976,"="&amp;S304)+1)/2</f>
        <v/>
      </c>
      <c r="W304" s="73">
        <f>IF(C304="qwen",0,COUNTIFS($C$2:$C$976,"&lt;&gt;qwen",$S$2:$S$976,"&lt;"&amp;S304)+1)</f>
        <v/>
      </c>
      <c r="X304" s="73">
        <f>IF(C304="ministral",0,COUNTIFS($C$2:$C$976,"&lt;&gt;ministral",$S$2:$S$976,"&lt;"&amp;S304)+1)</f>
        <v/>
      </c>
      <c r="Y304" s="73">
        <f>IF(C304="gemma",0,COUNTIFS($C$2:$C$976,"&lt;&gt;gemma",$S$2:$S$976,"&lt;"&amp;S304)+1)</f>
        <v/>
      </c>
      <c r="Z304" s="87">
        <f>COUNTIFS($B$2:$B$976,B304,$C$2:$C$976,C304,$S$2:$S$976,"&lt;"&amp;S304)+1</f>
        <v/>
      </c>
      <c r="AA304" s="88">
        <f>ABS(S304-SUMPRODUCT(('05B_가정검정'!$A$5:$A$19=B304)*('05B_가정검정'!$B$5:$B$19=C304)*'05B_가정검정'!$E$5:$E$19))</f>
        <v/>
      </c>
      <c r="AB304" s="88">
        <f>S304-AVERAGEIFS($S$2:$S$976,$B$2:$B$976,B304,$C$2:$C$976,C304)</f>
        <v/>
      </c>
    </row>
    <row r="305" ht="15" customHeight="1" s="68">
      <c r="A305" s="83" t="inlineStr">
        <is>
          <t>PAT-21</t>
        </is>
      </c>
      <c r="B305" s="83" t="inlineStr">
        <is>
          <t>claude</t>
        </is>
      </c>
      <c r="C305" s="83" t="inlineStr">
        <is>
          <t>gemma</t>
        </is>
      </c>
      <c r="D305" s="84" t="n">
        <v>0.256493506493507</v>
      </c>
      <c r="E305" s="84" t="n">
        <v>0.304093567251462</v>
      </c>
      <c r="F305" s="84" t="n">
        <v>0.0941176470588235</v>
      </c>
      <c r="G305" s="84" t="n">
        <v>0.204678362573099</v>
      </c>
      <c r="H305" s="84" t="n">
        <v>0.306340710283927</v>
      </c>
      <c r="I305" s="84" t="n">
        <v>0.242378917632183</v>
      </c>
      <c r="J305" s="84" t="n">
        <v>0.694332066113117</v>
      </c>
      <c r="K305" s="84" t="n">
        <v>0.657493191652474</v>
      </c>
      <c r="L305" s="84" t="n">
        <v>0.868864590185141</v>
      </c>
      <c r="M305" s="84" t="n">
        <v>0.525423728813559</v>
      </c>
      <c r="N305" s="84" t="n">
        <v>0.462264150943396</v>
      </c>
      <c r="O305" s="84" t="n">
        <v>1</v>
      </c>
      <c r="P305" s="85">
        <f>AVERAGE(D305:I305)</f>
        <v/>
      </c>
      <c r="Q305" s="85">
        <f>AVERAGE(J305:L305)</f>
        <v/>
      </c>
      <c r="R305" s="85">
        <f>AVERAGE(M305:O305)</f>
        <v/>
      </c>
      <c r="S305" s="85">
        <f>'02_지표정의'!$C$22*P305+'02_지표정의'!$C$23*Q305+'02_지표정의'!$C$24*R305</f>
        <v/>
      </c>
      <c r="T305" s="73">
        <f>IF(OR(AND(B305="gemini",C305="gemma"),AND(B305="qwen3_6",C305="qwen"),AND(B305="mistral",C305="ministral")),1,0)</f>
        <v/>
      </c>
      <c r="U305" s="73">
        <f>IF(LEFT(A305,3)="PAT","특허","보고서")</f>
        <v/>
      </c>
      <c r="V305" s="86">
        <f>COUNTIF($S$2:$S$976,"&lt;"&amp;S305)+(COUNTIF($S$2:$S$976,"="&amp;S305)+1)/2</f>
        <v/>
      </c>
      <c r="W305" s="73">
        <f>IF(C305="qwen",0,COUNTIFS($C$2:$C$976,"&lt;&gt;qwen",$S$2:$S$976,"&lt;"&amp;S305)+1)</f>
        <v/>
      </c>
      <c r="X305" s="73">
        <f>IF(C305="ministral",0,COUNTIFS($C$2:$C$976,"&lt;&gt;ministral",$S$2:$S$976,"&lt;"&amp;S305)+1)</f>
        <v/>
      </c>
      <c r="Y305" s="73">
        <f>IF(C305="gemma",0,COUNTIFS($C$2:$C$976,"&lt;&gt;gemma",$S$2:$S$976,"&lt;"&amp;S305)+1)</f>
        <v/>
      </c>
      <c r="Z305" s="87">
        <f>COUNTIFS($B$2:$B$976,B305,$C$2:$C$976,C305,$S$2:$S$976,"&lt;"&amp;S305)+1</f>
        <v/>
      </c>
      <c r="AA305" s="88">
        <f>ABS(S305-SUMPRODUCT(('05B_가정검정'!$A$5:$A$19=B305)*('05B_가정검정'!$B$5:$B$19=C305)*'05B_가정검정'!$E$5:$E$19))</f>
        <v/>
      </c>
      <c r="AB305" s="88">
        <f>S305-AVERAGEIFS($S$2:$S$976,$B$2:$B$976,B305,$C$2:$C$976,C305)</f>
        <v/>
      </c>
    </row>
    <row r="306" ht="15" customHeight="1" s="68">
      <c r="A306" s="83" t="inlineStr">
        <is>
          <t>PAT-21</t>
        </is>
      </c>
      <c r="B306" s="83" t="inlineStr">
        <is>
          <t>claude</t>
        </is>
      </c>
      <c r="C306" s="83" t="inlineStr">
        <is>
          <t>ministral</t>
        </is>
      </c>
      <c r="D306" s="84" t="n">
        <v>0.271484375</v>
      </c>
      <c r="E306" s="84" t="n">
        <v>0.327176781002639</v>
      </c>
      <c r="F306" s="84" t="n">
        <v>0.122015915119363</v>
      </c>
      <c r="G306" s="84" t="n">
        <v>0.258575197889182</v>
      </c>
      <c r="H306" s="84" t="n">
        <v>0.217232488058733</v>
      </c>
      <c r="I306" s="84" t="n">
        <v>0.189268271244185</v>
      </c>
      <c r="J306" s="84" t="n">
        <v>0.714451296493506</v>
      </c>
      <c r="K306" s="84" t="n">
        <v>0.668777839783234</v>
      </c>
      <c r="L306" s="84" t="n">
        <v>0.848987280565232</v>
      </c>
      <c r="M306" s="84" t="n">
        <v>0.634854771784232</v>
      </c>
      <c r="N306" s="84" t="n">
        <v>0.720338983050848</v>
      </c>
      <c r="O306" s="84" t="n">
        <v>1</v>
      </c>
      <c r="P306" s="85">
        <f>AVERAGE(D306:I306)</f>
        <v/>
      </c>
      <c r="Q306" s="85">
        <f>AVERAGE(J306:L306)</f>
        <v/>
      </c>
      <c r="R306" s="85">
        <f>AVERAGE(M306:O306)</f>
        <v/>
      </c>
      <c r="S306" s="85">
        <f>'02_지표정의'!$C$22*P306+'02_지표정의'!$C$23*Q306+'02_지표정의'!$C$24*R306</f>
        <v/>
      </c>
      <c r="T306" s="73">
        <f>IF(OR(AND(B306="gemini",C306="gemma"),AND(B306="qwen3_6",C306="qwen"),AND(B306="mistral",C306="ministral")),1,0)</f>
        <v/>
      </c>
      <c r="U306" s="73">
        <f>IF(LEFT(A306,3)="PAT","특허","보고서")</f>
        <v/>
      </c>
      <c r="V306" s="86">
        <f>COUNTIF($S$2:$S$976,"&lt;"&amp;S306)+(COUNTIF($S$2:$S$976,"="&amp;S306)+1)/2</f>
        <v/>
      </c>
      <c r="W306" s="73">
        <f>IF(C306="qwen",0,COUNTIFS($C$2:$C$976,"&lt;&gt;qwen",$S$2:$S$976,"&lt;"&amp;S306)+1)</f>
        <v/>
      </c>
      <c r="X306" s="73">
        <f>IF(C306="ministral",0,COUNTIFS($C$2:$C$976,"&lt;&gt;ministral",$S$2:$S$976,"&lt;"&amp;S306)+1)</f>
        <v/>
      </c>
      <c r="Y306" s="73">
        <f>IF(C306="gemma",0,COUNTIFS($C$2:$C$976,"&lt;&gt;gemma",$S$2:$S$976,"&lt;"&amp;S306)+1)</f>
        <v/>
      </c>
      <c r="Z306" s="87">
        <f>COUNTIFS($B$2:$B$976,B306,$C$2:$C$976,C306,$S$2:$S$976,"&lt;"&amp;S306)+1</f>
        <v/>
      </c>
      <c r="AA306" s="88">
        <f>ABS(S306-SUMPRODUCT(('05B_가정검정'!$A$5:$A$19=B306)*('05B_가정검정'!$B$5:$B$19=C306)*'05B_가정검정'!$E$5:$E$19))</f>
        <v/>
      </c>
      <c r="AB306" s="88">
        <f>S306-AVERAGEIFS($S$2:$S$976,$B$2:$B$976,B306,$C$2:$C$976,C306)</f>
        <v/>
      </c>
    </row>
    <row r="307" ht="15" customHeight="1" s="68">
      <c r="A307" s="83" t="inlineStr">
        <is>
          <t>PAT-21</t>
        </is>
      </c>
      <c r="B307" s="83" t="inlineStr">
        <is>
          <t>claude</t>
        </is>
      </c>
      <c r="C307" s="83" t="inlineStr">
        <is>
          <t>qwen</t>
        </is>
      </c>
      <c r="D307" s="84" t="n">
        <v>0.241622574955908</v>
      </c>
      <c r="E307" s="84" t="n">
        <v>0.417177914110429</v>
      </c>
      <c r="F307" s="84" t="n">
        <v>0.179012345679012</v>
      </c>
      <c r="G307" s="84" t="n">
        <v>0.312883435582822</v>
      </c>
      <c r="H307" s="84" t="n">
        <v>0.307476903211212</v>
      </c>
      <c r="I307" s="84" t="n">
        <v>0.23555760938082</v>
      </c>
      <c r="J307" s="84" t="n">
        <v>0.720440604537391</v>
      </c>
      <c r="K307" s="84" t="n">
        <v>0.666163693384146</v>
      </c>
      <c r="L307" s="84" t="n">
        <v>0.871219227934929</v>
      </c>
      <c r="M307" s="84" t="n">
        <v>0.819209039548023</v>
      </c>
      <c r="N307" s="84" t="n">
        <v>0.8301886792452829</v>
      </c>
      <c r="O307" s="84" t="n">
        <v>1</v>
      </c>
      <c r="P307" s="85">
        <f>AVERAGE(D307:I307)</f>
        <v/>
      </c>
      <c r="Q307" s="85">
        <f>AVERAGE(J307:L307)</f>
        <v/>
      </c>
      <c r="R307" s="85">
        <f>AVERAGE(M307:O307)</f>
        <v/>
      </c>
      <c r="S307" s="85">
        <f>'02_지표정의'!$C$22*P307+'02_지표정의'!$C$23*Q307+'02_지표정의'!$C$24*R307</f>
        <v/>
      </c>
      <c r="T307" s="73">
        <f>IF(OR(AND(B307="gemini",C307="gemma"),AND(B307="qwen3_6",C307="qwen"),AND(B307="mistral",C307="ministral")),1,0)</f>
        <v/>
      </c>
      <c r="U307" s="73">
        <f>IF(LEFT(A307,3)="PAT","특허","보고서")</f>
        <v/>
      </c>
      <c r="V307" s="86">
        <f>COUNTIF($S$2:$S$976,"&lt;"&amp;S307)+(COUNTIF($S$2:$S$976,"="&amp;S307)+1)/2</f>
        <v/>
      </c>
      <c r="W307" s="73">
        <f>IF(C307="qwen",0,COUNTIFS($C$2:$C$976,"&lt;&gt;qwen",$S$2:$S$976,"&lt;"&amp;S307)+1)</f>
        <v/>
      </c>
      <c r="X307" s="73">
        <f>IF(C307="ministral",0,COUNTIFS($C$2:$C$976,"&lt;&gt;ministral",$S$2:$S$976,"&lt;"&amp;S307)+1)</f>
        <v/>
      </c>
      <c r="Y307" s="73">
        <f>IF(C307="gemma",0,COUNTIFS($C$2:$C$976,"&lt;&gt;gemma",$S$2:$S$976,"&lt;"&amp;S307)+1)</f>
        <v/>
      </c>
      <c r="Z307" s="87">
        <f>COUNTIFS($B$2:$B$976,B307,$C$2:$C$976,C307,$S$2:$S$976,"&lt;"&amp;S307)+1</f>
        <v/>
      </c>
      <c r="AA307" s="88">
        <f>ABS(S307-SUMPRODUCT(('05B_가정검정'!$A$5:$A$19=B307)*('05B_가정검정'!$B$5:$B$19=C307)*'05B_가정검정'!$E$5:$E$19))</f>
        <v/>
      </c>
      <c r="AB307" s="88">
        <f>S307-AVERAGEIFS($S$2:$S$976,$B$2:$B$976,B307,$C$2:$C$976,C307)</f>
        <v/>
      </c>
    </row>
    <row r="308" ht="15" customHeight="1" s="68">
      <c r="A308" s="83" t="inlineStr">
        <is>
          <t>PAT-21</t>
        </is>
      </c>
      <c r="B308" s="83" t="inlineStr">
        <is>
          <t>gemini</t>
        </is>
      </c>
      <c r="C308" s="83" t="inlineStr">
        <is>
          <t>gemma</t>
        </is>
      </c>
      <c r="D308" s="84" t="n">
        <v>0.271028037383178</v>
      </c>
      <c r="E308" s="84" t="n">
        <v>0.31858407079646</v>
      </c>
      <c r="F308" s="84" t="n">
        <v>0.116071428571429</v>
      </c>
      <c r="G308" s="84" t="n">
        <v>0.221238938053097</v>
      </c>
      <c r="H308" s="84" t="n">
        <v>0.27007932300113</v>
      </c>
      <c r="I308" s="84" t="n">
        <v>0.215079433732895</v>
      </c>
      <c r="J308" s="84" t="n">
        <v>0.735248611477536</v>
      </c>
      <c r="K308" s="84" t="n">
        <v>0.720659591805217</v>
      </c>
      <c r="L308" s="84" t="n">
        <v>0.856667803013347</v>
      </c>
      <c r="M308" s="84" t="n">
        <v>0.906542056074766</v>
      </c>
      <c r="N308" s="84" t="n">
        <v>0.916666666666667</v>
      </c>
      <c r="O308" s="84" t="n">
        <v>1</v>
      </c>
      <c r="P308" s="85">
        <f>AVERAGE(D308:I308)</f>
        <v/>
      </c>
      <c r="Q308" s="85">
        <f>AVERAGE(J308:L308)</f>
        <v/>
      </c>
      <c r="R308" s="85">
        <f>AVERAGE(M308:O308)</f>
        <v/>
      </c>
      <c r="S308" s="85">
        <f>'02_지표정의'!$C$22*P308+'02_지표정의'!$C$23*Q308+'02_지표정의'!$C$24*R308</f>
        <v/>
      </c>
      <c r="T308" s="73">
        <f>IF(OR(AND(B308="gemini",C308="gemma"),AND(B308="qwen3_6",C308="qwen"),AND(B308="mistral",C308="ministral")),1,0)</f>
        <v/>
      </c>
      <c r="U308" s="73">
        <f>IF(LEFT(A308,3)="PAT","특허","보고서")</f>
        <v/>
      </c>
      <c r="V308" s="86">
        <f>COUNTIF($S$2:$S$976,"&lt;"&amp;S308)+(COUNTIF($S$2:$S$976,"="&amp;S308)+1)/2</f>
        <v/>
      </c>
      <c r="W308" s="73">
        <f>IF(C308="qwen",0,COUNTIFS($C$2:$C$976,"&lt;&gt;qwen",$S$2:$S$976,"&lt;"&amp;S308)+1)</f>
        <v/>
      </c>
      <c r="X308" s="73">
        <f>IF(C308="ministral",0,COUNTIFS($C$2:$C$976,"&lt;&gt;ministral",$S$2:$S$976,"&lt;"&amp;S308)+1)</f>
        <v/>
      </c>
      <c r="Y308" s="73">
        <f>IF(C308="gemma",0,COUNTIFS($C$2:$C$976,"&lt;&gt;gemma",$S$2:$S$976,"&lt;"&amp;S308)+1)</f>
        <v/>
      </c>
      <c r="Z308" s="87">
        <f>COUNTIFS($B$2:$B$976,B308,$C$2:$C$976,C308,$S$2:$S$976,"&lt;"&amp;S308)+1</f>
        <v/>
      </c>
      <c r="AA308" s="88">
        <f>ABS(S308-SUMPRODUCT(('05B_가정검정'!$A$5:$A$19=B308)*('05B_가정검정'!$B$5:$B$19=C308)*'05B_가정검정'!$E$5:$E$19))</f>
        <v/>
      </c>
      <c r="AB308" s="88">
        <f>S308-AVERAGEIFS($S$2:$S$976,$B$2:$B$976,B308,$C$2:$C$976,C308)</f>
        <v/>
      </c>
    </row>
    <row r="309" ht="15" customHeight="1" s="68">
      <c r="A309" s="83" t="inlineStr">
        <is>
          <t>PAT-21</t>
        </is>
      </c>
      <c r="B309" s="83" t="inlineStr">
        <is>
          <t>gemini</t>
        </is>
      </c>
      <c r="C309" s="83" t="inlineStr">
        <is>
          <t>ministral</t>
        </is>
      </c>
      <c r="D309" s="84" t="n">
        <v>0.259259259259259</v>
      </c>
      <c r="E309" s="84" t="n">
        <v>0.243346007604563</v>
      </c>
      <c r="F309" s="84" t="n">
        <v>0.0689655172413793</v>
      </c>
      <c r="G309" s="84" t="n">
        <v>0.197718631178707</v>
      </c>
      <c r="H309" s="84" t="n">
        <v>0.196269844548698</v>
      </c>
      <c r="I309" s="84" t="n">
        <v>0.174246112292477</v>
      </c>
      <c r="J309" s="84" t="n">
        <v>0.742801200399699</v>
      </c>
      <c r="K309" s="84" t="n">
        <v>0.763421144788717</v>
      </c>
      <c r="L309" s="84" t="n">
        <v>0.882614789667438</v>
      </c>
      <c r="M309" s="84" t="n">
        <v>0.402489626556017</v>
      </c>
      <c r="N309" s="84" t="n">
        <v>0.466101694915254</v>
      </c>
      <c r="O309" s="84" t="n">
        <v>1</v>
      </c>
      <c r="P309" s="85">
        <f>AVERAGE(D309:I309)</f>
        <v/>
      </c>
      <c r="Q309" s="85">
        <f>AVERAGE(J309:L309)</f>
        <v/>
      </c>
      <c r="R309" s="85">
        <f>AVERAGE(M309:O309)</f>
        <v/>
      </c>
      <c r="S309" s="85">
        <f>'02_지표정의'!$C$22*P309+'02_지표정의'!$C$23*Q309+'02_지표정의'!$C$24*R309</f>
        <v/>
      </c>
      <c r="T309" s="73">
        <f>IF(OR(AND(B309="gemini",C309="gemma"),AND(B309="qwen3_6",C309="qwen"),AND(B309="mistral",C309="ministral")),1,0)</f>
        <v/>
      </c>
      <c r="U309" s="73">
        <f>IF(LEFT(A309,3)="PAT","특허","보고서")</f>
        <v/>
      </c>
      <c r="V309" s="86">
        <f>COUNTIF($S$2:$S$976,"&lt;"&amp;S309)+(COUNTIF($S$2:$S$976,"="&amp;S309)+1)/2</f>
        <v/>
      </c>
      <c r="W309" s="73">
        <f>IF(C309="qwen",0,COUNTIFS($C$2:$C$976,"&lt;&gt;qwen",$S$2:$S$976,"&lt;"&amp;S309)+1)</f>
        <v/>
      </c>
      <c r="X309" s="73">
        <f>IF(C309="ministral",0,COUNTIFS($C$2:$C$976,"&lt;&gt;ministral",$S$2:$S$976,"&lt;"&amp;S309)+1)</f>
        <v/>
      </c>
      <c r="Y309" s="73">
        <f>IF(C309="gemma",0,COUNTIFS($C$2:$C$976,"&lt;&gt;gemma",$S$2:$S$976,"&lt;"&amp;S309)+1)</f>
        <v/>
      </c>
      <c r="Z309" s="87">
        <f>COUNTIFS($B$2:$B$976,B309,$C$2:$C$976,C309,$S$2:$S$976,"&lt;"&amp;S309)+1</f>
        <v/>
      </c>
      <c r="AA309" s="88">
        <f>ABS(S309-SUMPRODUCT(('05B_가정검정'!$A$5:$A$19=B309)*('05B_가정검정'!$B$5:$B$19=C309)*'05B_가정검정'!$E$5:$E$19))</f>
        <v/>
      </c>
      <c r="AB309" s="88">
        <f>S309-AVERAGEIFS($S$2:$S$976,$B$2:$B$976,B309,$C$2:$C$976,C309)</f>
        <v/>
      </c>
    </row>
    <row r="310" ht="15" customHeight="1" s="68">
      <c r="A310" s="83" t="inlineStr">
        <is>
          <t>PAT-21</t>
        </is>
      </c>
      <c r="B310" s="83" t="inlineStr">
        <is>
          <t>gemini</t>
        </is>
      </c>
      <c r="C310" s="83" t="inlineStr">
        <is>
          <t>qwen</t>
        </is>
      </c>
      <c r="D310" s="84" t="n">
        <v>0.277044854881267</v>
      </c>
      <c r="E310" s="84" t="n">
        <v>0.323809523809524</v>
      </c>
      <c r="F310" s="84" t="n">
        <v>0.134615384615385</v>
      </c>
      <c r="G310" s="84" t="n">
        <v>0.266666666666667</v>
      </c>
      <c r="H310" s="84" t="n">
        <v>0.274155995128569</v>
      </c>
      <c r="I310" s="84" t="n">
        <v>0.240076736493077</v>
      </c>
      <c r="J310" s="84" t="n">
        <v>0.769029317223806</v>
      </c>
      <c r="K310" s="84" t="n">
        <v>0.745888236200396</v>
      </c>
      <c r="L310" s="84" t="n">
        <v>0.891808842523908</v>
      </c>
      <c r="M310" s="84" t="n">
        <v>0.567251461988304</v>
      </c>
      <c r="N310" s="84" t="n">
        <v>0.5339805825242721</v>
      </c>
      <c r="O310" s="84" t="n">
        <v>1</v>
      </c>
      <c r="P310" s="85">
        <f>AVERAGE(D310:I310)</f>
        <v/>
      </c>
      <c r="Q310" s="85">
        <f>AVERAGE(J310:L310)</f>
        <v/>
      </c>
      <c r="R310" s="85">
        <f>AVERAGE(M310:O310)</f>
        <v/>
      </c>
      <c r="S310" s="85">
        <f>'02_지표정의'!$C$22*P310+'02_지표정의'!$C$23*Q310+'02_지표정의'!$C$24*R310</f>
        <v/>
      </c>
      <c r="T310" s="73">
        <f>IF(OR(AND(B310="gemini",C310="gemma"),AND(B310="qwen3_6",C310="qwen"),AND(B310="mistral",C310="ministral")),1,0)</f>
        <v/>
      </c>
      <c r="U310" s="73">
        <f>IF(LEFT(A310,3)="PAT","특허","보고서")</f>
        <v/>
      </c>
      <c r="V310" s="86">
        <f>COUNTIF($S$2:$S$976,"&lt;"&amp;S310)+(COUNTIF($S$2:$S$976,"="&amp;S310)+1)/2</f>
        <v/>
      </c>
      <c r="W310" s="73">
        <f>IF(C310="qwen",0,COUNTIFS($C$2:$C$976,"&lt;&gt;qwen",$S$2:$S$976,"&lt;"&amp;S310)+1)</f>
        <v/>
      </c>
      <c r="X310" s="73">
        <f>IF(C310="ministral",0,COUNTIFS($C$2:$C$976,"&lt;&gt;ministral",$S$2:$S$976,"&lt;"&amp;S310)+1)</f>
        <v/>
      </c>
      <c r="Y310" s="73">
        <f>IF(C310="gemma",0,COUNTIFS($C$2:$C$976,"&lt;&gt;gemma",$S$2:$S$976,"&lt;"&amp;S310)+1)</f>
        <v/>
      </c>
      <c r="Z310" s="87">
        <f>COUNTIFS($B$2:$B$976,B310,$C$2:$C$976,C310,$S$2:$S$976,"&lt;"&amp;S310)+1</f>
        <v/>
      </c>
      <c r="AA310" s="88">
        <f>ABS(S310-SUMPRODUCT(('05B_가정검정'!$A$5:$A$19=B310)*('05B_가정검정'!$B$5:$B$19=C310)*'05B_가정검정'!$E$5:$E$19))</f>
        <v/>
      </c>
      <c r="AB310" s="88">
        <f>S310-AVERAGEIFS($S$2:$S$976,$B$2:$B$976,B310,$C$2:$C$976,C310)</f>
        <v/>
      </c>
    </row>
    <row r="311" ht="15" customHeight="1" s="68">
      <c r="A311" s="83" t="inlineStr">
        <is>
          <t>PAT-21</t>
        </is>
      </c>
      <c r="B311" s="83" t="inlineStr">
        <is>
          <t>mistral</t>
        </is>
      </c>
      <c r="C311" s="83" t="inlineStr">
        <is>
          <t>gemma</t>
        </is>
      </c>
      <c r="D311" s="84" t="n">
        <v>0.268806419257773</v>
      </c>
      <c r="E311" s="84" t="n">
        <v>0.30921052631579</v>
      </c>
      <c r="F311" s="84" t="n">
        <v>0.105960264900662</v>
      </c>
      <c r="G311" s="84" t="n">
        <v>0.223684210526316</v>
      </c>
      <c r="H311" s="84" t="n">
        <v>0.305668742370141</v>
      </c>
      <c r="I311" s="84" t="n">
        <v>0.226220322423588</v>
      </c>
      <c r="J311" s="84" t="n">
        <v>0.702868545121407</v>
      </c>
      <c r="K311" s="84" t="n">
        <v>0.621604049204044</v>
      </c>
      <c r="L311" s="84" t="n">
        <v>0.863071772125985</v>
      </c>
      <c r="M311" s="84" t="n">
        <v>0.330960854092527</v>
      </c>
      <c r="N311" s="84" t="n">
        <v>0.324503311258278</v>
      </c>
      <c r="O311" s="84" t="n">
        <v>1</v>
      </c>
      <c r="P311" s="85">
        <f>AVERAGE(D311:I311)</f>
        <v/>
      </c>
      <c r="Q311" s="85">
        <f>AVERAGE(J311:L311)</f>
        <v/>
      </c>
      <c r="R311" s="85">
        <f>AVERAGE(M311:O311)</f>
        <v/>
      </c>
      <c r="S311" s="85">
        <f>'02_지표정의'!$C$22*P311+'02_지표정의'!$C$23*Q311+'02_지표정의'!$C$24*R311</f>
        <v/>
      </c>
      <c r="T311" s="73">
        <f>IF(OR(AND(B311="gemini",C311="gemma"),AND(B311="qwen3_6",C311="qwen"),AND(B311="mistral",C311="ministral")),1,0)</f>
        <v/>
      </c>
      <c r="U311" s="73">
        <f>IF(LEFT(A311,3)="PAT","특허","보고서")</f>
        <v/>
      </c>
      <c r="V311" s="86">
        <f>COUNTIF($S$2:$S$976,"&lt;"&amp;S311)+(COUNTIF($S$2:$S$976,"="&amp;S311)+1)/2</f>
        <v/>
      </c>
      <c r="W311" s="73">
        <f>IF(C311="qwen",0,COUNTIFS($C$2:$C$976,"&lt;&gt;qwen",$S$2:$S$976,"&lt;"&amp;S311)+1)</f>
        <v/>
      </c>
      <c r="X311" s="73">
        <f>IF(C311="ministral",0,COUNTIFS($C$2:$C$976,"&lt;&gt;ministral",$S$2:$S$976,"&lt;"&amp;S311)+1)</f>
        <v/>
      </c>
      <c r="Y311" s="73">
        <f>IF(C311="gemma",0,COUNTIFS($C$2:$C$976,"&lt;&gt;gemma",$S$2:$S$976,"&lt;"&amp;S311)+1)</f>
        <v/>
      </c>
      <c r="Z311" s="87">
        <f>COUNTIFS($B$2:$B$976,B311,$C$2:$C$976,C311,$S$2:$S$976,"&lt;"&amp;S311)+1</f>
        <v/>
      </c>
      <c r="AA311" s="88">
        <f>ABS(S311-SUMPRODUCT(('05B_가정검정'!$A$5:$A$19=B311)*('05B_가정검정'!$B$5:$B$19=C311)*'05B_가정검정'!$E$5:$E$19))</f>
        <v/>
      </c>
      <c r="AB311" s="88">
        <f>S311-AVERAGEIFS($S$2:$S$976,$B$2:$B$976,B311,$C$2:$C$976,C311)</f>
        <v/>
      </c>
    </row>
    <row r="312" ht="15" customHeight="1" s="68">
      <c r="A312" s="83" t="inlineStr">
        <is>
          <t>PAT-21</t>
        </is>
      </c>
      <c r="B312" s="83" t="inlineStr">
        <is>
          <t>mistral</t>
        </is>
      </c>
      <c r="C312" s="83" t="inlineStr">
        <is>
          <t>ministral</t>
        </is>
      </c>
      <c r="D312" s="84" t="n">
        <v>0.349809885931559</v>
      </c>
      <c r="E312" s="84" t="n">
        <v>0.422287390029326</v>
      </c>
      <c r="F312" s="84" t="n">
        <v>0.135693215339233</v>
      </c>
      <c r="G312" s="84" t="n">
        <v>0.304985337243402</v>
      </c>
      <c r="H312" s="84" t="n">
        <v>0.313158557952512</v>
      </c>
      <c r="I312" s="84" t="n">
        <v>0.318600340546638</v>
      </c>
      <c r="J312" s="84" t="n">
        <v>0.729318424646671</v>
      </c>
      <c r="K312" s="84" t="n">
        <v>0.686665810630285</v>
      </c>
      <c r="L312" s="84" t="n">
        <v>0.873978593071267</v>
      </c>
      <c r="M312" s="84" t="n">
        <v>0.580071174377224</v>
      </c>
      <c r="N312" s="84" t="n">
        <v>0.6490066225165561</v>
      </c>
      <c r="O312" s="84" t="n">
        <v>1</v>
      </c>
      <c r="P312" s="85">
        <f>AVERAGE(D312:I312)</f>
        <v/>
      </c>
      <c r="Q312" s="85">
        <f>AVERAGE(J312:L312)</f>
        <v/>
      </c>
      <c r="R312" s="85">
        <f>AVERAGE(M312:O312)</f>
        <v/>
      </c>
      <c r="S312" s="85">
        <f>'02_지표정의'!$C$22*P312+'02_지표정의'!$C$23*Q312+'02_지표정의'!$C$24*R312</f>
        <v/>
      </c>
      <c r="T312" s="73">
        <f>IF(OR(AND(B312="gemini",C312="gemma"),AND(B312="qwen3_6",C312="qwen"),AND(B312="mistral",C312="ministral")),1,0)</f>
        <v/>
      </c>
      <c r="U312" s="73">
        <f>IF(LEFT(A312,3)="PAT","특허","보고서")</f>
        <v/>
      </c>
      <c r="V312" s="86">
        <f>COUNTIF($S$2:$S$976,"&lt;"&amp;S312)+(COUNTIF($S$2:$S$976,"="&amp;S312)+1)/2</f>
        <v/>
      </c>
      <c r="W312" s="73">
        <f>IF(C312="qwen",0,COUNTIFS($C$2:$C$976,"&lt;&gt;qwen",$S$2:$S$976,"&lt;"&amp;S312)+1)</f>
        <v/>
      </c>
      <c r="X312" s="73">
        <f>IF(C312="ministral",0,COUNTIFS($C$2:$C$976,"&lt;&gt;ministral",$S$2:$S$976,"&lt;"&amp;S312)+1)</f>
        <v/>
      </c>
      <c r="Y312" s="73">
        <f>IF(C312="gemma",0,COUNTIFS($C$2:$C$976,"&lt;&gt;gemma",$S$2:$S$976,"&lt;"&amp;S312)+1)</f>
        <v/>
      </c>
      <c r="Z312" s="87">
        <f>COUNTIFS($B$2:$B$976,B312,$C$2:$C$976,C312,$S$2:$S$976,"&lt;"&amp;S312)+1</f>
        <v/>
      </c>
      <c r="AA312" s="88">
        <f>ABS(S312-SUMPRODUCT(('05B_가정검정'!$A$5:$A$19=B312)*('05B_가정검정'!$B$5:$B$19=C312)*'05B_가정검정'!$E$5:$E$19))</f>
        <v/>
      </c>
      <c r="AB312" s="88">
        <f>S312-AVERAGEIFS($S$2:$S$976,$B$2:$B$976,B312,$C$2:$C$976,C312)</f>
        <v/>
      </c>
    </row>
    <row r="313" ht="15" customHeight="1" s="68">
      <c r="A313" s="83" t="inlineStr">
        <is>
          <t>PAT-21</t>
        </is>
      </c>
      <c r="B313" s="83" t="inlineStr">
        <is>
          <t>mistral</t>
        </is>
      </c>
      <c r="C313" s="83" t="inlineStr">
        <is>
          <t>qwen</t>
        </is>
      </c>
      <c r="D313" s="84" t="n">
        <v>0.280311457174639</v>
      </c>
      <c r="E313" s="84" t="n">
        <v>0.465277777777778</v>
      </c>
      <c r="F313" s="84" t="n">
        <v>0.195804195804196</v>
      </c>
      <c r="G313" s="84" t="n">
        <v>0.340277777777778</v>
      </c>
      <c r="H313" s="84" t="n">
        <v>0.343231154212659</v>
      </c>
      <c r="I313" s="84" t="n">
        <v>0.281295727982989</v>
      </c>
      <c r="J313" s="84" t="n">
        <v>0.7248912659889371</v>
      </c>
      <c r="K313" s="84" t="n">
        <v>0.638531320756446</v>
      </c>
      <c r="L313" s="84" t="n">
        <v>0.860972322259975</v>
      </c>
      <c r="M313" s="84" t="n">
        <v>0.537366548042705</v>
      </c>
      <c r="N313" s="84" t="n">
        <v>0.596026490066225</v>
      </c>
      <c r="O313" s="84" t="n">
        <v>1</v>
      </c>
      <c r="P313" s="85">
        <f>AVERAGE(D313:I313)</f>
        <v/>
      </c>
      <c r="Q313" s="85">
        <f>AVERAGE(J313:L313)</f>
        <v/>
      </c>
      <c r="R313" s="85">
        <f>AVERAGE(M313:O313)</f>
        <v/>
      </c>
      <c r="S313" s="85">
        <f>'02_지표정의'!$C$22*P313+'02_지표정의'!$C$23*Q313+'02_지표정의'!$C$24*R313</f>
        <v/>
      </c>
      <c r="T313" s="73">
        <f>IF(OR(AND(B313="gemini",C313="gemma"),AND(B313="qwen3_6",C313="qwen"),AND(B313="mistral",C313="ministral")),1,0)</f>
        <v/>
      </c>
      <c r="U313" s="73">
        <f>IF(LEFT(A313,3)="PAT","특허","보고서")</f>
        <v/>
      </c>
      <c r="V313" s="86">
        <f>COUNTIF($S$2:$S$976,"&lt;"&amp;S313)+(COUNTIF($S$2:$S$976,"="&amp;S313)+1)/2</f>
        <v/>
      </c>
      <c r="W313" s="73">
        <f>IF(C313="qwen",0,COUNTIFS($C$2:$C$976,"&lt;&gt;qwen",$S$2:$S$976,"&lt;"&amp;S313)+1)</f>
        <v/>
      </c>
      <c r="X313" s="73">
        <f>IF(C313="ministral",0,COUNTIFS($C$2:$C$976,"&lt;&gt;ministral",$S$2:$S$976,"&lt;"&amp;S313)+1)</f>
        <v/>
      </c>
      <c r="Y313" s="73">
        <f>IF(C313="gemma",0,COUNTIFS($C$2:$C$976,"&lt;&gt;gemma",$S$2:$S$976,"&lt;"&amp;S313)+1)</f>
        <v/>
      </c>
      <c r="Z313" s="87">
        <f>COUNTIFS($B$2:$B$976,B313,$C$2:$C$976,C313,$S$2:$S$976,"&lt;"&amp;S313)+1</f>
        <v/>
      </c>
      <c r="AA313" s="88">
        <f>ABS(S313-SUMPRODUCT(('05B_가정검정'!$A$5:$A$19=B313)*('05B_가정검정'!$B$5:$B$19=C313)*'05B_가정검정'!$E$5:$E$19))</f>
        <v/>
      </c>
      <c r="AB313" s="88">
        <f>S313-AVERAGEIFS($S$2:$S$976,$B$2:$B$976,B313,$C$2:$C$976,C313)</f>
        <v/>
      </c>
    </row>
    <row r="314" ht="15" customHeight="1" s="68">
      <c r="A314" s="83" t="inlineStr">
        <is>
          <t>PAT-21</t>
        </is>
      </c>
      <c r="B314" s="83" t="inlineStr">
        <is>
          <t>qwen3_6</t>
        </is>
      </c>
      <c r="C314" s="83" t="inlineStr">
        <is>
          <t>gemma</t>
        </is>
      </c>
      <c r="D314" s="84" t="n">
        <v>0.249194414607948</v>
      </c>
      <c r="E314" s="84" t="n">
        <v>0.352059925093633</v>
      </c>
      <c r="F314" s="84" t="n">
        <v>0.120754716981132</v>
      </c>
      <c r="G314" s="84" t="n">
        <v>0.277153558052435</v>
      </c>
      <c r="H314" s="84" t="n">
        <v>0.33885226999074</v>
      </c>
      <c r="I314" s="84" t="n">
        <v>0.195185625278137</v>
      </c>
      <c r="J314" s="84" t="n">
        <v>0.718136598535095</v>
      </c>
      <c r="K314" s="84" t="n">
        <v>0.686226669868065</v>
      </c>
      <c r="L314" s="84" t="n">
        <v>0.87769242213566</v>
      </c>
      <c r="M314" s="84" t="n">
        <v>0.906542056074766</v>
      </c>
      <c r="N314" s="84" t="n">
        <v>0.916666666666667</v>
      </c>
      <c r="O314" s="84" t="n">
        <v>1</v>
      </c>
      <c r="P314" s="85">
        <f>AVERAGE(D314:I314)</f>
        <v/>
      </c>
      <c r="Q314" s="85">
        <f>AVERAGE(J314:L314)</f>
        <v/>
      </c>
      <c r="R314" s="85">
        <f>AVERAGE(M314:O314)</f>
        <v/>
      </c>
      <c r="S314" s="85">
        <f>'02_지표정의'!$C$22*P314+'02_지표정의'!$C$23*Q314+'02_지표정의'!$C$24*R314</f>
        <v/>
      </c>
      <c r="T314" s="73">
        <f>IF(OR(AND(B314="gemini",C314="gemma"),AND(B314="qwen3_6",C314="qwen"),AND(B314="mistral",C314="ministral")),1,0)</f>
        <v/>
      </c>
      <c r="U314" s="73">
        <f>IF(LEFT(A314,3)="PAT","특허","보고서")</f>
        <v/>
      </c>
      <c r="V314" s="86">
        <f>COUNTIF($S$2:$S$976,"&lt;"&amp;S314)+(COUNTIF($S$2:$S$976,"="&amp;S314)+1)/2</f>
        <v/>
      </c>
      <c r="W314" s="73">
        <f>IF(C314="qwen",0,COUNTIFS($C$2:$C$976,"&lt;&gt;qwen",$S$2:$S$976,"&lt;"&amp;S314)+1)</f>
        <v/>
      </c>
      <c r="X314" s="73">
        <f>IF(C314="ministral",0,COUNTIFS($C$2:$C$976,"&lt;&gt;ministral",$S$2:$S$976,"&lt;"&amp;S314)+1)</f>
        <v/>
      </c>
      <c r="Y314" s="73">
        <f>IF(C314="gemma",0,COUNTIFS($C$2:$C$976,"&lt;&gt;gemma",$S$2:$S$976,"&lt;"&amp;S314)+1)</f>
        <v/>
      </c>
      <c r="Z314" s="87">
        <f>COUNTIFS($B$2:$B$976,B314,$C$2:$C$976,C314,$S$2:$S$976,"&lt;"&amp;S314)+1</f>
        <v/>
      </c>
      <c r="AA314" s="88">
        <f>ABS(S314-SUMPRODUCT(('05B_가정검정'!$A$5:$A$19=B314)*('05B_가정검정'!$B$5:$B$19=C314)*'05B_가정검정'!$E$5:$E$19))</f>
        <v/>
      </c>
      <c r="AB314" s="88">
        <f>S314-AVERAGEIFS($S$2:$S$976,$B$2:$B$976,B314,$C$2:$C$976,C314)</f>
        <v/>
      </c>
    </row>
    <row r="315" ht="15" customHeight="1" s="68">
      <c r="A315" s="83" t="inlineStr">
        <is>
          <t>PAT-21</t>
        </is>
      </c>
      <c r="B315" s="83" t="inlineStr">
        <is>
          <t>qwen3_6</t>
        </is>
      </c>
      <c r="C315" s="83" t="inlineStr">
        <is>
          <t>ministral</t>
        </is>
      </c>
      <c r="D315" s="84" t="n">
        <v>0.268326417704011</v>
      </c>
      <c r="E315" s="84" t="n">
        <v>0.322368421052632</v>
      </c>
      <c r="F315" s="84" t="n">
        <v>0.125827814569536</v>
      </c>
      <c r="G315" s="84" t="n">
        <v>0.256578947368421</v>
      </c>
      <c r="H315" s="84" t="n">
        <v>0.229595067701899</v>
      </c>
      <c r="I315" s="84" t="n">
        <v>0.182740904027819</v>
      </c>
      <c r="J315" s="84" t="n">
        <v>0.706354330695423</v>
      </c>
      <c r="K315" s="84" t="n">
        <v>0.691845800396631</v>
      </c>
      <c r="L315" s="84" t="n">
        <v>0.8585173650672</v>
      </c>
      <c r="M315" s="84" t="n">
        <v>0.402489626556017</v>
      </c>
      <c r="N315" s="84" t="n">
        <v>0.466101694915254</v>
      </c>
      <c r="O315" s="84" t="n">
        <v>1</v>
      </c>
      <c r="P315" s="85">
        <f>AVERAGE(D315:I315)</f>
        <v/>
      </c>
      <c r="Q315" s="85">
        <f>AVERAGE(J315:L315)</f>
        <v/>
      </c>
      <c r="R315" s="85">
        <f>AVERAGE(M315:O315)</f>
        <v/>
      </c>
      <c r="S315" s="85">
        <f>'02_지표정의'!$C$22*P315+'02_지표정의'!$C$23*Q315+'02_지표정의'!$C$24*R315</f>
        <v/>
      </c>
      <c r="T315" s="73">
        <f>IF(OR(AND(B315="gemini",C315="gemma"),AND(B315="qwen3_6",C315="qwen"),AND(B315="mistral",C315="ministral")),1,0)</f>
        <v/>
      </c>
      <c r="U315" s="73">
        <f>IF(LEFT(A315,3)="PAT","특허","보고서")</f>
        <v/>
      </c>
      <c r="V315" s="86">
        <f>COUNTIF($S$2:$S$976,"&lt;"&amp;S315)+(COUNTIF($S$2:$S$976,"="&amp;S315)+1)/2</f>
        <v/>
      </c>
      <c r="W315" s="73">
        <f>IF(C315="qwen",0,COUNTIFS($C$2:$C$976,"&lt;&gt;qwen",$S$2:$S$976,"&lt;"&amp;S315)+1)</f>
        <v/>
      </c>
      <c r="X315" s="73">
        <f>IF(C315="ministral",0,COUNTIFS($C$2:$C$976,"&lt;&gt;ministral",$S$2:$S$976,"&lt;"&amp;S315)+1)</f>
        <v/>
      </c>
      <c r="Y315" s="73">
        <f>IF(C315="gemma",0,COUNTIFS($C$2:$C$976,"&lt;&gt;gemma",$S$2:$S$976,"&lt;"&amp;S315)+1)</f>
        <v/>
      </c>
      <c r="Z315" s="87">
        <f>COUNTIFS($B$2:$B$976,B315,$C$2:$C$976,C315,$S$2:$S$976,"&lt;"&amp;S315)+1</f>
        <v/>
      </c>
      <c r="AA315" s="88">
        <f>ABS(S315-SUMPRODUCT(('05B_가정검정'!$A$5:$A$19=B315)*('05B_가정검정'!$B$5:$B$19=C315)*'05B_가정검정'!$E$5:$E$19))</f>
        <v/>
      </c>
      <c r="AB315" s="88">
        <f>S315-AVERAGEIFS($S$2:$S$976,$B$2:$B$976,B315,$C$2:$C$976,C315)</f>
        <v/>
      </c>
    </row>
    <row r="316" ht="15" customHeight="1" s="68">
      <c r="A316" s="83" t="inlineStr">
        <is>
          <t>PAT-21</t>
        </is>
      </c>
      <c r="B316" s="83" t="inlineStr">
        <is>
          <t>qwen3_6</t>
        </is>
      </c>
      <c r="C316" s="83" t="inlineStr">
        <is>
          <t>qwen</t>
        </is>
      </c>
      <c r="D316" s="84" t="n">
        <v>0.290516206482593</v>
      </c>
      <c r="E316" s="84" t="n">
        <v>0.398406374501992</v>
      </c>
      <c r="F316" s="84" t="n">
        <v>0.144578313253012</v>
      </c>
      <c r="G316" s="84" t="n">
        <v>0.302788844621514</v>
      </c>
      <c r="H316" s="84" t="n">
        <v>0.360699649826826</v>
      </c>
      <c r="I316" s="84" t="n">
        <v>0.258255163551067</v>
      </c>
      <c r="J316" s="84" t="n">
        <v>0.736207635269059</v>
      </c>
      <c r="K316" s="84" t="n">
        <v>0.684284140123278</v>
      </c>
      <c r="L316" s="84" t="n">
        <v>0.8743411050259829</v>
      </c>
      <c r="M316" s="84" t="n">
        <v>0.567251461988304</v>
      </c>
      <c r="N316" s="84" t="n">
        <v>0.5339805825242721</v>
      </c>
      <c r="O316" s="84" t="n">
        <v>1</v>
      </c>
      <c r="P316" s="85">
        <f>AVERAGE(D316:I316)</f>
        <v/>
      </c>
      <c r="Q316" s="85">
        <f>AVERAGE(J316:L316)</f>
        <v/>
      </c>
      <c r="R316" s="85">
        <f>AVERAGE(M316:O316)</f>
        <v/>
      </c>
      <c r="S316" s="85">
        <f>'02_지표정의'!$C$22*P316+'02_지표정의'!$C$23*Q316+'02_지표정의'!$C$24*R316</f>
        <v/>
      </c>
      <c r="T316" s="73">
        <f>IF(OR(AND(B316="gemini",C316="gemma"),AND(B316="qwen3_6",C316="qwen"),AND(B316="mistral",C316="ministral")),1,0)</f>
        <v/>
      </c>
      <c r="U316" s="73">
        <f>IF(LEFT(A316,3)="PAT","특허","보고서")</f>
        <v/>
      </c>
      <c r="V316" s="86">
        <f>COUNTIF($S$2:$S$976,"&lt;"&amp;S316)+(COUNTIF($S$2:$S$976,"="&amp;S316)+1)/2</f>
        <v/>
      </c>
      <c r="W316" s="73">
        <f>IF(C316="qwen",0,COUNTIFS($C$2:$C$976,"&lt;&gt;qwen",$S$2:$S$976,"&lt;"&amp;S316)+1)</f>
        <v/>
      </c>
      <c r="X316" s="73">
        <f>IF(C316="ministral",0,COUNTIFS($C$2:$C$976,"&lt;&gt;ministral",$S$2:$S$976,"&lt;"&amp;S316)+1)</f>
        <v/>
      </c>
      <c r="Y316" s="73">
        <f>IF(C316="gemma",0,COUNTIFS($C$2:$C$976,"&lt;&gt;gemma",$S$2:$S$976,"&lt;"&amp;S316)+1)</f>
        <v/>
      </c>
      <c r="Z316" s="87">
        <f>COUNTIFS($B$2:$B$976,B316,$C$2:$C$976,C316,$S$2:$S$976,"&lt;"&amp;S316)+1</f>
        <v/>
      </c>
      <c r="AA316" s="88">
        <f>ABS(S316-SUMPRODUCT(('05B_가정검정'!$A$5:$A$19=B316)*('05B_가정검정'!$B$5:$B$19=C316)*'05B_가정검정'!$E$5:$E$19))</f>
        <v/>
      </c>
      <c r="AB316" s="88">
        <f>S316-AVERAGEIFS($S$2:$S$976,$B$2:$B$976,B316,$C$2:$C$976,C316)</f>
        <v/>
      </c>
    </row>
    <row r="317" ht="15" customHeight="1" s="68">
      <c r="A317" s="83" t="inlineStr">
        <is>
          <t>PAT-22</t>
        </is>
      </c>
      <c r="B317" s="83" t="inlineStr">
        <is>
          <t>chatgpt</t>
        </is>
      </c>
      <c r="C317" s="83" t="inlineStr">
        <is>
          <t>gemma</t>
        </is>
      </c>
      <c r="D317" s="84" t="n">
        <v>0.206451612903226</v>
      </c>
      <c r="E317" s="84" t="n">
        <v>0.228813559322034</v>
      </c>
      <c r="F317" s="84" t="n">
        <v>0.094017094017094</v>
      </c>
      <c r="G317" s="84" t="n">
        <v>0.211864406779661</v>
      </c>
      <c r="H317" s="84" t="n">
        <v>0.212735756955375</v>
      </c>
      <c r="I317" s="84" t="n">
        <v>0.128054466391326</v>
      </c>
      <c r="J317" s="84" t="n">
        <v>0.646901890502206</v>
      </c>
      <c r="K317" s="84" t="n">
        <v>0.613139050325599</v>
      </c>
      <c r="L317" s="84" t="n">
        <v>0.802479869597552</v>
      </c>
      <c r="M317" s="84" t="n">
        <v>0.562913907284768</v>
      </c>
      <c r="N317" s="84" t="n">
        <v>0.109756097560976</v>
      </c>
      <c r="O317" s="84" t="n">
        <v>1</v>
      </c>
      <c r="P317" s="85">
        <f>AVERAGE(D317:I317)</f>
        <v/>
      </c>
      <c r="Q317" s="85">
        <f>AVERAGE(J317:L317)</f>
        <v/>
      </c>
      <c r="R317" s="85">
        <f>AVERAGE(M317:O317)</f>
        <v/>
      </c>
      <c r="S317" s="85">
        <f>'02_지표정의'!$C$22*P317+'02_지표정의'!$C$23*Q317+'02_지표정의'!$C$24*R317</f>
        <v/>
      </c>
      <c r="T317" s="73">
        <f>IF(OR(AND(B317="gemini",C317="gemma"),AND(B317="qwen3_6",C317="qwen"),AND(B317="mistral",C317="ministral")),1,0)</f>
        <v/>
      </c>
      <c r="U317" s="73">
        <f>IF(LEFT(A317,3)="PAT","특허","보고서")</f>
        <v/>
      </c>
      <c r="V317" s="86">
        <f>COUNTIF($S$2:$S$976,"&lt;"&amp;S317)+(COUNTIF($S$2:$S$976,"="&amp;S317)+1)/2</f>
        <v/>
      </c>
      <c r="W317" s="73">
        <f>IF(C317="qwen",0,COUNTIFS($C$2:$C$976,"&lt;&gt;qwen",$S$2:$S$976,"&lt;"&amp;S317)+1)</f>
        <v/>
      </c>
      <c r="X317" s="73">
        <f>IF(C317="ministral",0,COUNTIFS($C$2:$C$976,"&lt;&gt;ministral",$S$2:$S$976,"&lt;"&amp;S317)+1)</f>
        <v/>
      </c>
      <c r="Y317" s="73">
        <f>IF(C317="gemma",0,COUNTIFS($C$2:$C$976,"&lt;&gt;gemma",$S$2:$S$976,"&lt;"&amp;S317)+1)</f>
        <v/>
      </c>
      <c r="Z317" s="87">
        <f>COUNTIFS($B$2:$B$976,B317,$C$2:$C$976,C317,$S$2:$S$976,"&lt;"&amp;S317)+1</f>
        <v/>
      </c>
      <c r="AA317" s="88">
        <f>ABS(S317-SUMPRODUCT(('05B_가정검정'!$A$5:$A$19=B317)*('05B_가정검정'!$B$5:$B$19=C317)*'05B_가정검정'!$E$5:$E$19))</f>
        <v/>
      </c>
      <c r="AB317" s="88">
        <f>S317-AVERAGEIFS($S$2:$S$976,$B$2:$B$976,B317,$C$2:$C$976,C317)</f>
        <v/>
      </c>
    </row>
    <row r="318" ht="15" customHeight="1" s="68">
      <c r="A318" s="83" t="inlineStr">
        <is>
          <t>PAT-22</t>
        </is>
      </c>
      <c r="B318" s="83" t="inlineStr">
        <is>
          <t>chatgpt</t>
        </is>
      </c>
      <c r="C318" s="83" t="inlineStr">
        <is>
          <t>ministral</t>
        </is>
      </c>
      <c r="D318" s="84" t="n">
        <v>0.260614934114202</v>
      </c>
      <c r="E318" s="84" t="n">
        <v>0.267857142857143</v>
      </c>
      <c r="F318" s="84" t="n">
        <v>0.117117117117117</v>
      </c>
      <c r="G318" s="84" t="n">
        <v>0.241071428571429</v>
      </c>
      <c r="H318" s="84" t="n">
        <v>0.154782692232491</v>
      </c>
      <c r="I318" s="84" t="n">
        <v>0.216527161694419</v>
      </c>
      <c r="J318" s="84" t="n">
        <v>0.640661113317023</v>
      </c>
      <c r="K318" s="84" t="n">
        <v>0.668963290089264</v>
      </c>
      <c r="L318" s="84" t="n">
        <v>0.822316012072444</v>
      </c>
      <c r="M318" s="84" t="n">
        <v>0.532967032967033</v>
      </c>
      <c r="N318" s="84" t="n">
        <v>0</v>
      </c>
      <c r="O318" s="84" t="n">
        <v>1</v>
      </c>
      <c r="P318" s="85">
        <f>AVERAGE(D318:I318)</f>
        <v/>
      </c>
      <c r="Q318" s="85">
        <f>AVERAGE(J318:L318)</f>
        <v/>
      </c>
      <c r="R318" s="85">
        <f>AVERAGE(M318:O318)</f>
        <v/>
      </c>
      <c r="S318" s="85">
        <f>'02_지표정의'!$C$22*P318+'02_지표정의'!$C$23*Q318+'02_지표정의'!$C$24*R318</f>
        <v/>
      </c>
      <c r="T318" s="73">
        <f>IF(OR(AND(B318="gemini",C318="gemma"),AND(B318="qwen3_6",C318="qwen"),AND(B318="mistral",C318="ministral")),1,0)</f>
        <v/>
      </c>
      <c r="U318" s="73">
        <f>IF(LEFT(A318,3)="PAT","특허","보고서")</f>
        <v/>
      </c>
      <c r="V318" s="86">
        <f>COUNTIF($S$2:$S$976,"&lt;"&amp;S318)+(COUNTIF($S$2:$S$976,"="&amp;S318)+1)/2</f>
        <v/>
      </c>
      <c r="W318" s="73">
        <f>IF(C318="qwen",0,COUNTIFS($C$2:$C$976,"&lt;&gt;qwen",$S$2:$S$976,"&lt;"&amp;S318)+1)</f>
        <v/>
      </c>
      <c r="X318" s="73">
        <f>IF(C318="ministral",0,COUNTIFS($C$2:$C$976,"&lt;&gt;ministral",$S$2:$S$976,"&lt;"&amp;S318)+1)</f>
        <v/>
      </c>
      <c r="Y318" s="73">
        <f>IF(C318="gemma",0,COUNTIFS($C$2:$C$976,"&lt;&gt;gemma",$S$2:$S$976,"&lt;"&amp;S318)+1)</f>
        <v/>
      </c>
      <c r="Z318" s="87">
        <f>COUNTIFS($B$2:$B$976,B318,$C$2:$C$976,C318,$S$2:$S$976,"&lt;"&amp;S318)+1</f>
        <v/>
      </c>
      <c r="AA318" s="88">
        <f>ABS(S318-SUMPRODUCT(('05B_가정검정'!$A$5:$A$19=B318)*('05B_가정검정'!$B$5:$B$19=C318)*'05B_가정검정'!$E$5:$E$19))</f>
        <v/>
      </c>
      <c r="AB318" s="88">
        <f>S318-AVERAGEIFS($S$2:$S$976,$B$2:$B$976,B318,$C$2:$C$976,C318)</f>
        <v/>
      </c>
    </row>
    <row r="319" ht="15" customHeight="1" s="68">
      <c r="A319" s="83" t="inlineStr">
        <is>
          <t>PAT-22</t>
        </is>
      </c>
      <c r="B319" s="83" t="inlineStr">
        <is>
          <t>chatgpt</t>
        </is>
      </c>
      <c r="C319" s="83" t="inlineStr">
        <is>
          <t>qwen</t>
        </is>
      </c>
      <c r="D319" s="84" t="n">
        <v>0.271816881258941</v>
      </c>
      <c r="E319" s="84" t="n">
        <v>0.361904761904762</v>
      </c>
      <c r="F319" s="84" t="n">
        <v>0.163461538461539</v>
      </c>
      <c r="G319" s="84" t="n">
        <v>0.295238095238095</v>
      </c>
      <c r="H319" s="84" t="n">
        <v>0.219904532669921</v>
      </c>
      <c r="I319" s="84" t="n">
        <v>0.348126226062434</v>
      </c>
      <c r="J319" s="84" t="n">
        <v>0.713932546128242</v>
      </c>
      <c r="K319" s="84" t="n">
        <v>0.680425398060687</v>
      </c>
      <c r="L319" s="84" t="n">
        <v>0.829485042861407</v>
      </c>
      <c r="M319" s="84" t="n">
        <v>0.396449704142012</v>
      </c>
      <c r="N319" s="84" t="n">
        <v>0</v>
      </c>
      <c r="O319" s="84" t="n">
        <v>1</v>
      </c>
      <c r="P319" s="85">
        <f>AVERAGE(D319:I319)</f>
        <v/>
      </c>
      <c r="Q319" s="85">
        <f>AVERAGE(J319:L319)</f>
        <v/>
      </c>
      <c r="R319" s="85">
        <f>AVERAGE(M319:O319)</f>
        <v/>
      </c>
      <c r="S319" s="85">
        <f>'02_지표정의'!$C$22*P319+'02_지표정의'!$C$23*Q319+'02_지표정의'!$C$24*R319</f>
        <v/>
      </c>
      <c r="T319" s="73">
        <f>IF(OR(AND(B319="gemini",C319="gemma"),AND(B319="qwen3_6",C319="qwen"),AND(B319="mistral",C319="ministral")),1,0)</f>
        <v/>
      </c>
      <c r="U319" s="73">
        <f>IF(LEFT(A319,3)="PAT","특허","보고서")</f>
        <v/>
      </c>
      <c r="V319" s="86">
        <f>COUNTIF($S$2:$S$976,"&lt;"&amp;S319)+(COUNTIF($S$2:$S$976,"="&amp;S319)+1)/2</f>
        <v/>
      </c>
      <c r="W319" s="73">
        <f>IF(C319="qwen",0,COUNTIFS($C$2:$C$976,"&lt;&gt;qwen",$S$2:$S$976,"&lt;"&amp;S319)+1)</f>
        <v/>
      </c>
      <c r="X319" s="73">
        <f>IF(C319="ministral",0,COUNTIFS($C$2:$C$976,"&lt;&gt;ministral",$S$2:$S$976,"&lt;"&amp;S319)+1)</f>
        <v/>
      </c>
      <c r="Y319" s="73">
        <f>IF(C319="gemma",0,COUNTIFS($C$2:$C$976,"&lt;&gt;gemma",$S$2:$S$976,"&lt;"&amp;S319)+1)</f>
        <v/>
      </c>
      <c r="Z319" s="87">
        <f>COUNTIFS($B$2:$B$976,B319,$C$2:$C$976,C319,$S$2:$S$976,"&lt;"&amp;S319)+1</f>
        <v/>
      </c>
      <c r="AA319" s="88">
        <f>ABS(S319-SUMPRODUCT(('05B_가정검정'!$A$5:$A$19=B319)*('05B_가정검정'!$B$5:$B$19=C319)*'05B_가정검정'!$E$5:$E$19))</f>
        <v/>
      </c>
      <c r="AB319" s="88">
        <f>S319-AVERAGEIFS($S$2:$S$976,$B$2:$B$976,B319,$C$2:$C$976,C319)</f>
        <v/>
      </c>
    </row>
    <row r="320" ht="15" customHeight="1" s="68">
      <c r="A320" s="83" t="inlineStr">
        <is>
          <t>PAT-22</t>
        </is>
      </c>
      <c r="B320" s="83" t="inlineStr">
        <is>
          <t>claude</t>
        </is>
      </c>
      <c r="C320" s="83" t="inlineStr">
        <is>
          <t>gemma</t>
        </is>
      </c>
      <c r="D320" s="84" t="n">
        <v>0.223819301848049</v>
      </c>
      <c r="E320" s="84" t="n">
        <v>0.298932384341637</v>
      </c>
      <c r="F320" s="84" t="n">
        <v>0.08602150537634411</v>
      </c>
      <c r="G320" s="84" t="n">
        <v>0.199288256227758</v>
      </c>
      <c r="H320" s="84" t="n">
        <v>0.277081510413788</v>
      </c>
      <c r="I320" s="84" t="n">
        <v>0.181266409967715</v>
      </c>
      <c r="J320" s="84" t="n">
        <v>0.701682719931089</v>
      </c>
      <c r="K320" s="84" t="n">
        <v>0.623337997319345</v>
      </c>
      <c r="L320" s="84" t="n">
        <v>0.804461441413339</v>
      </c>
      <c r="M320" s="84" t="n">
        <v>0.6326530612244901</v>
      </c>
      <c r="N320" s="84" t="n">
        <v>0.757142857142857</v>
      </c>
      <c r="O320" s="84" t="n">
        <v>1</v>
      </c>
      <c r="P320" s="85">
        <f>AVERAGE(D320:I320)</f>
        <v/>
      </c>
      <c r="Q320" s="85">
        <f>AVERAGE(J320:L320)</f>
        <v/>
      </c>
      <c r="R320" s="85">
        <f>AVERAGE(M320:O320)</f>
        <v/>
      </c>
      <c r="S320" s="85">
        <f>'02_지표정의'!$C$22*P320+'02_지표정의'!$C$23*Q320+'02_지표정의'!$C$24*R320</f>
        <v/>
      </c>
      <c r="T320" s="73">
        <f>IF(OR(AND(B320="gemini",C320="gemma"),AND(B320="qwen3_6",C320="qwen"),AND(B320="mistral",C320="ministral")),1,0)</f>
        <v/>
      </c>
      <c r="U320" s="73">
        <f>IF(LEFT(A320,3)="PAT","특허","보고서")</f>
        <v/>
      </c>
      <c r="V320" s="86">
        <f>COUNTIF($S$2:$S$976,"&lt;"&amp;S320)+(COUNTIF($S$2:$S$976,"="&amp;S320)+1)/2</f>
        <v/>
      </c>
      <c r="W320" s="73">
        <f>IF(C320="qwen",0,COUNTIFS($C$2:$C$976,"&lt;&gt;qwen",$S$2:$S$976,"&lt;"&amp;S320)+1)</f>
        <v/>
      </c>
      <c r="X320" s="73">
        <f>IF(C320="ministral",0,COUNTIFS($C$2:$C$976,"&lt;&gt;ministral",$S$2:$S$976,"&lt;"&amp;S320)+1)</f>
        <v/>
      </c>
      <c r="Y320" s="73">
        <f>IF(C320="gemma",0,COUNTIFS($C$2:$C$976,"&lt;&gt;gemma",$S$2:$S$976,"&lt;"&amp;S320)+1)</f>
        <v/>
      </c>
      <c r="Z320" s="87">
        <f>COUNTIFS($B$2:$B$976,B320,$C$2:$C$976,C320,$S$2:$S$976,"&lt;"&amp;S320)+1</f>
        <v/>
      </c>
      <c r="AA320" s="88">
        <f>ABS(S320-SUMPRODUCT(('05B_가정검정'!$A$5:$A$19=B320)*('05B_가정검정'!$B$5:$B$19=C320)*'05B_가정검정'!$E$5:$E$19))</f>
        <v/>
      </c>
      <c r="AB320" s="88">
        <f>S320-AVERAGEIFS($S$2:$S$976,$B$2:$B$976,B320,$C$2:$C$976,C320)</f>
        <v/>
      </c>
    </row>
    <row r="321" ht="15" customHeight="1" s="68">
      <c r="A321" s="83" t="inlineStr">
        <is>
          <t>PAT-22</t>
        </is>
      </c>
      <c r="B321" s="83" t="inlineStr">
        <is>
          <t>claude</t>
        </is>
      </c>
      <c r="C321" s="83" t="inlineStr">
        <is>
          <t>ministral</t>
        </is>
      </c>
      <c r="D321" s="84" t="n">
        <v>0.247165532879819</v>
      </c>
      <c r="E321" s="84" t="n">
        <v>0.260223048327138</v>
      </c>
      <c r="F321" s="84" t="n">
        <v>0.0898876404494382</v>
      </c>
      <c r="G321" s="84" t="n">
        <v>0.215613382899628</v>
      </c>
      <c r="H321" s="84" t="n">
        <v>0.196037482683757</v>
      </c>
      <c r="I321" s="84" t="n">
        <v>0.233632794960724</v>
      </c>
      <c r="J321" s="84" t="n">
        <v>0.668475210091484</v>
      </c>
      <c r="K321" s="84" t="n">
        <v>0.685951279541691</v>
      </c>
      <c r="L321" s="84" t="n">
        <v>0.821728672377154</v>
      </c>
      <c r="M321" s="84" t="n">
        <v>0.521978021978022</v>
      </c>
      <c r="N321" s="84" t="n">
        <v>0.540816326530612</v>
      </c>
      <c r="O321" s="84" t="n">
        <v>1</v>
      </c>
      <c r="P321" s="85">
        <f>AVERAGE(D321:I321)</f>
        <v/>
      </c>
      <c r="Q321" s="85">
        <f>AVERAGE(J321:L321)</f>
        <v/>
      </c>
      <c r="R321" s="85">
        <f>AVERAGE(M321:O321)</f>
        <v/>
      </c>
      <c r="S321" s="85">
        <f>'02_지표정의'!$C$22*P321+'02_지표정의'!$C$23*Q321+'02_지표정의'!$C$24*R321</f>
        <v/>
      </c>
      <c r="T321" s="73">
        <f>IF(OR(AND(B321="gemini",C321="gemma"),AND(B321="qwen3_6",C321="qwen"),AND(B321="mistral",C321="ministral")),1,0)</f>
        <v/>
      </c>
      <c r="U321" s="73">
        <f>IF(LEFT(A321,3)="PAT","특허","보고서")</f>
        <v/>
      </c>
      <c r="V321" s="86">
        <f>COUNTIF($S$2:$S$976,"&lt;"&amp;S321)+(COUNTIF($S$2:$S$976,"="&amp;S321)+1)/2</f>
        <v/>
      </c>
      <c r="W321" s="73">
        <f>IF(C321="qwen",0,COUNTIFS($C$2:$C$976,"&lt;&gt;qwen",$S$2:$S$976,"&lt;"&amp;S321)+1)</f>
        <v/>
      </c>
      <c r="X321" s="73">
        <f>IF(C321="ministral",0,COUNTIFS($C$2:$C$976,"&lt;&gt;ministral",$S$2:$S$976,"&lt;"&amp;S321)+1)</f>
        <v/>
      </c>
      <c r="Y321" s="73">
        <f>IF(C321="gemma",0,COUNTIFS($C$2:$C$976,"&lt;&gt;gemma",$S$2:$S$976,"&lt;"&amp;S321)+1)</f>
        <v/>
      </c>
      <c r="Z321" s="87">
        <f>COUNTIFS($B$2:$B$976,B321,$C$2:$C$976,C321,$S$2:$S$976,"&lt;"&amp;S321)+1</f>
        <v/>
      </c>
      <c r="AA321" s="88">
        <f>ABS(S321-SUMPRODUCT(('05B_가정검정'!$A$5:$A$19=B321)*('05B_가정검정'!$B$5:$B$19=C321)*'05B_가정검정'!$E$5:$E$19))</f>
        <v/>
      </c>
      <c r="AB321" s="88">
        <f>S321-AVERAGEIFS($S$2:$S$976,$B$2:$B$976,B321,$C$2:$C$976,C321)</f>
        <v/>
      </c>
    </row>
    <row r="322" ht="15" customHeight="1" s="68">
      <c r="A322" s="83" t="inlineStr">
        <is>
          <t>PAT-22</t>
        </is>
      </c>
      <c r="B322" s="83" t="inlineStr">
        <is>
          <t>claude</t>
        </is>
      </c>
      <c r="C322" s="83" t="inlineStr">
        <is>
          <t>qwen</t>
        </is>
      </c>
      <c r="D322" s="84" t="n">
        <v>0.258351893095768</v>
      </c>
      <c r="E322" s="84" t="n">
        <v>0.345098039215686</v>
      </c>
      <c r="F322" s="84" t="n">
        <v>0.110671936758893</v>
      </c>
      <c r="G322" s="84" t="n">
        <v>0.235294117647059</v>
      </c>
      <c r="H322" s="84" t="n">
        <v>0.278723027019408</v>
      </c>
      <c r="I322" s="84" t="n">
        <v>0.326980388986027</v>
      </c>
      <c r="J322" s="84" t="n">
        <v>0.717540239894645</v>
      </c>
      <c r="K322" s="84" t="n">
        <v>0.6779137800539941</v>
      </c>
      <c r="L322" s="84" t="n">
        <v>0.851255794029156</v>
      </c>
      <c r="M322" s="84" t="n">
        <v>0.562130177514793</v>
      </c>
      <c r="N322" s="84" t="n">
        <v>0.5196078431372551</v>
      </c>
      <c r="O322" s="84" t="n">
        <v>1</v>
      </c>
      <c r="P322" s="85">
        <f>AVERAGE(D322:I322)</f>
        <v/>
      </c>
      <c r="Q322" s="85">
        <f>AVERAGE(J322:L322)</f>
        <v/>
      </c>
      <c r="R322" s="85">
        <f>AVERAGE(M322:O322)</f>
        <v/>
      </c>
      <c r="S322" s="85">
        <f>'02_지표정의'!$C$22*P322+'02_지표정의'!$C$23*Q322+'02_지표정의'!$C$24*R322</f>
        <v/>
      </c>
      <c r="T322" s="73">
        <f>IF(OR(AND(B322="gemini",C322="gemma"),AND(B322="qwen3_6",C322="qwen"),AND(B322="mistral",C322="ministral")),1,0)</f>
        <v/>
      </c>
      <c r="U322" s="73">
        <f>IF(LEFT(A322,3)="PAT","특허","보고서")</f>
        <v/>
      </c>
      <c r="V322" s="86">
        <f>COUNTIF($S$2:$S$976,"&lt;"&amp;S322)+(COUNTIF($S$2:$S$976,"="&amp;S322)+1)/2</f>
        <v/>
      </c>
      <c r="W322" s="73">
        <f>IF(C322="qwen",0,COUNTIFS($C$2:$C$976,"&lt;&gt;qwen",$S$2:$S$976,"&lt;"&amp;S322)+1)</f>
        <v/>
      </c>
      <c r="X322" s="73">
        <f>IF(C322="ministral",0,COUNTIFS($C$2:$C$976,"&lt;&gt;ministral",$S$2:$S$976,"&lt;"&amp;S322)+1)</f>
        <v/>
      </c>
      <c r="Y322" s="73">
        <f>IF(C322="gemma",0,COUNTIFS($C$2:$C$976,"&lt;&gt;gemma",$S$2:$S$976,"&lt;"&amp;S322)+1)</f>
        <v/>
      </c>
      <c r="Z322" s="87">
        <f>COUNTIFS($B$2:$B$976,B322,$C$2:$C$976,C322,$S$2:$S$976,"&lt;"&amp;S322)+1</f>
        <v/>
      </c>
      <c r="AA322" s="88">
        <f>ABS(S322-SUMPRODUCT(('05B_가정검정'!$A$5:$A$19=B322)*('05B_가정검정'!$B$5:$B$19=C322)*'05B_가정검정'!$E$5:$E$19))</f>
        <v/>
      </c>
      <c r="AB322" s="88">
        <f>S322-AVERAGEIFS($S$2:$S$976,$B$2:$B$976,B322,$C$2:$C$976,C322)</f>
        <v/>
      </c>
    </row>
    <row r="323" ht="15" customHeight="1" s="68">
      <c r="A323" s="83" t="inlineStr">
        <is>
          <t>PAT-22</t>
        </is>
      </c>
      <c r="B323" s="83" t="inlineStr">
        <is>
          <t>gemini</t>
        </is>
      </c>
      <c r="C323" s="83" t="inlineStr">
        <is>
          <t>gemma</t>
        </is>
      </c>
      <c r="D323" s="84" t="n">
        <v>0.223004694835681</v>
      </c>
      <c r="E323" s="84" t="n">
        <v>0.284518828451883</v>
      </c>
      <c r="F323" s="84" t="n">
        <v>0.08438818565400839</v>
      </c>
      <c r="G323" s="84" t="n">
        <v>0.200836820083682</v>
      </c>
      <c r="H323" s="84" t="n">
        <v>0.277014282471654</v>
      </c>
      <c r="I323" s="84" t="n">
        <v>0.185595806150952</v>
      </c>
      <c r="J323" s="84" t="n">
        <v>0.71724904081853</v>
      </c>
      <c r="K323" s="84" t="n">
        <v>0.7339435575702909</v>
      </c>
      <c r="L323" s="84" t="n">
        <v>0.879196975914935</v>
      </c>
      <c r="M323" s="84" t="n">
        <v>0.659863945578231</v>
      </c>
      <c r="N323" s="84" t="n">
        <v>0.785714285714286</v>
      </c>
      <c r="O323" s="84" t="n">
        <v>1</v>
      </c>
      <c r="P323" s="85">
        <f>AVERAGE(D323:I323)</f>
        <v/>
      </c>
      <c r="Q323" s="85">
        <f>AVERAGE(J323:L323)</f>
        <v/>
      </c>
      <c r="R323" s="85">
        <f>AVERAGE(M323:O323)</f>
        <v/>
      </c>
      <c r="S323" s="85">
        <f>'02_지표정의'!$C$22*P323+'02_지표정의'!$C$23*Q323+'02_지표정의'!$C$24*R323</f>
        <v/>
      </c>
      <c r="T323" s="73">
        <f>IF(OR(AND(B323="gemini",C323="gemma"),AND(B323="qwen3_6",C323="qwen"),AND(B323="mistral",C323="ministral")),1,0)</f>
        <v/>
      </c>
      <c r="U323" s="73">
        <f>IF(LEFT(A323,3)="PAT","특허","보고서")</f>
        <v/>
      </c>
      <c r="V323" s="86">
        <f>COUNTIF($S$2:$S$976,"&lt;"&amp;S323)+(COUNTIF($S$2:$S$976,"="&amp;S323)+1)/2</f>
        <v/>
      </c>
      <c r="W323" s="73">
        <f>IF(C323="qwen",0,COUNTIFS($C$2:$C$976,"&lt;&gt;qwen",$S$2:$S$976,"&lt;"&amp;S323)+1)</f>
        <v/>
      </c>
      <c r="X323" s="73">
        <f>IF(C323="ministral",0,COUNTIFS($C$2:$C$976,"&lt;&gt;ministral",$S$2:$S$976,"&lt;"&amp;S323)+1)</f>
        <v/>
      </c>
      <c r="Y323" s="73">
        <f>IF(C323="gemma",0,COUNTIFS($C$2:$C$976,"&lt;&gt;gemma",$S$2:$S$976,"&lt;"&amp;S323)+1)</f>
        <v/>
      </c>
      <c r="Z323" s="87">
        <f>COUNTIFS($B$2:$B$976,B323,$C$2:$C$976,C323,$S$2:$S$976,"&lt;"&amp;S323)+1</f>
        <v/>
      </c>
      <c r="AA323" s="88">
        <f>ABS(S323-SUMPRODUCT(('05B_가정검정'!$A$5:$A$19=B323)*('05B_가정검정'!$B$5:$B$19=C323)*'05B_가정검정'!$E$5:$E$19))</f>
        <v/>
      </c>
      <c r="AB323" s="88">
        <f>S323-AVERAGEIFS($S$2:$S$976,$B$2:$B$976,B323,$C$2:$C$976,C323)</f>
        <v/>
      </c>
    </row>
    <row r="324" ht="15" customHeight="1" s="68">
      <c r="A324" s="83" t="inlineStr">
        <is>
          <t>PAT-22</t>
        </is>
      </c>
      <c r="B324" s="83" t="inlineStr">
        <is>
          <t>gemini</t>
        </is>
      </c>
      <c r="C324" s="83" t="inlineStr">
        <is>
          <t>ministral</t>
        </is>
      </c>
      <c r="D324" s="84" t="n">
        <v>0.257894736842105</v>
      </c>
      <c r="E324" s="84" t="n">
        <v>0.246696035242291</v>
      </c>
      <c r="F324" s="84" t="n">
        <v>0.0977777777777778</v>
      </c>
      <c r="G324" s="84" t="n">
        <v>0.193832599118943</v>
      </c>
      <c r="H324" s="84" t="n">
        <v>0.21184803291226</v>
      </c>
      <c r="I324" s="84" t="n">
        <v>0.264849642668748</v>
      </c>
      <c r="J324" s="84" t="n">
        <v>0.716796831873453</v>
      </c>
      <c r="K324" s="84" t="n">
        <v>0.811902333336581</v>
      </c>
      <c r="L324" s="84" t="n">
        <v>0.907024539223809</v>
      </c>
      <c r="M324" s="84" t="n">
        <v>0.532967032967033</v>
      </c>
      <c r="N324" s="84" t="n">
        <v>0.561224489795918</v>
      </c>
      <c r="O324" s="84" t="n">
        <v>1</v>
      </c>
      <c r="P324" s="85">
        <f>AVERAGE(D324:I324)</f>
        <v/>
      </c>
      <c r="Q324" s="85">
        <f>AVERAGE(J324:L324)</f>
        <v/>
      </c>
      <c r="R324" s="85">
        <f>AVERAGE(M324:O324)</f>
        <v/>
      </c>
      <c r="S324" s="85">
        <f>'02_지표정의'!$C$22*P324+'02_지표정의'!$C$23*Q324+'02_지표정의'!$C$24*R324</f>
        <v/>
      </c>
      <c r="T324" s="73">
        <f>IF(OR(AND(B324="gemini",C324="gemma"),AND(B324="qwen3_6",C324="qwen"),AND(B324="mistral",C324="ministral")),1,0)</f>
        <v/>
      </c>
      <c r="U324" s="73">
        <f>IF(LEFT(A324,3)="PAT","특허","보고서")</f>
        <v/>
      </c>
      <c r="V324" s="86">
        <f>COUNTIF($S$2:$S$976,"&lt;"&amp;S324)+(COUNTIF($S$2:$S$976,"="&amp;S324)+1)/2</f>
        <v/>
      </c>
      <c r="W324" s="73">
        <f>IF(C324="qwen",0,COUNTIFS($C$2:$C$976,"&lt;&gt;qwen",$S$2:$S$976,"&lt;"&amp;S324)+1)</f>
        <v/>
      </c>
      <c r="X324" s="73">
        <f>IF(C324="ministral",0,COUNTIFS($C$2:$C$976,"&lt;&gt;ministral",$S$2:$S$976,"&lt;"&amp;S324)+1)</f>
        <v/>
      </c>
      <c r="Y324" s="73">
        <f>IF(C324="gemma",0,COUNTIFS($C$2:$C$976,"&lt;&gt;gemma",$S$2:$S$976,"&lt;"&amp;S324)+1)</f>
        <v/>
      </c>
      <c r="Z324" s="87">
        <f>COUNTIFS($B$2:$B$976,B324,$C$2:$C$976,C324,$S$2:$S$976,"&lt;"&amp;S324)+1</f>
        <v/>
      </c>
      <c r="AA324" s="88">
        <f>ABS(S324-SUMPRODUCT(('05B_가정검정'!$A$5:$A$19=B324)*('05B_가정검정'!$B$5:$B$19=C324)*'05B_가정검정'!$E$5:$E$19))</f>
        <v/>
      </c>
      <c r="AB324" s="88">
        <f>S324-AVERAGEIFS($S$2:$S$976,$B$2:$B$976,B324,$C$2:$C$976,C324)</f>
        <v/>
      </c>
    </row>
    <row r="325" ht="15" customHeight="1" s="68">
      <c r="A325" s="83" t="inlineStr">
        <is>
          <t>PAT-22</t>
        </is>
      </c>
      <c r="B325" s="83" t="inlineStr">
        <is>
          <t>gemini</t>
        </is>
      </c>
      <c r="C325" s="83" t="inlineStr">
        <is>
          <t>qwen</t>
        </is>
      </c>
      <c r="D325" s="84" t="n">
        <v>0.260309278350516</v>
      </c>
      <c r="E325" s="84" t="n">
        <v>0.347417840375587</v>
      </c>
      <c r="F325" s="84" t="n">
        <v>0.123222748815166</v>
      </c>
      <c r="G325" s="84" t="n">
        <v>0.272300469483568</v>
      </c>
      <c r="H325" s="84" t="n">
        <v>0.29398310112377</v>
      </c>
      <c r="I325" s="84" t="n">
        <v>0.345485442739896</v>
      </c>
      <c r="J325" s="84" t="n">
        <v>0.761540570473752</v>
      </c>
      <c r="K325" s="84" t="n">
        <v>0.793976638204313</v>
      </c>
      <c r="L325" s="84" t="n">
        <v>0.905662072181332</v>
      </c>
      <c r="M325" s="84" t="n">
        <v>0.5739644970414201</v>
      </c>
      <c r="N325" s="84" t="n">
        <v>0.53921568627451</v>
      </c>
      <c r="O325" s="84" t="n">
        <v>1</v>
      </c>
      <c r="P325" s="85">
        <f>AVERAGE(D325:I325)</f>
        <v/>
      </c>
      <c r="Q325" s="85">
        <f>AVERAGE(J325:L325)</f>
        <v/>
      </c>
      <c r="R325" s="85">
        <f>AVERAGE(M325:O325)</f>
        <v/>
      </c>
      <c r="S325" s="85">
        <f>'02_지표정의'!$C$22*P325+'02_지표정의'!$C$23*Q325+'02_지표정의'!$C$24*R325</f>
        <v/>
      </c>
      <c r="T325" s="73">
        <f>IF(OR(AND(B325="gemini",C325="gemma"),AND(B325="qwen3_6",C325="qwen"),AND(B325="mistral",C325="ministral")),1,0)</f>
        <v/>
      </c>
      <c r="U325" s="73">
        <f>IF(LEFT(A325,3)="PAT","특허","보고서")</f>
        <v/>
      </c>
      <c r="V325" s="86">
        <f>COUNTIF($S$2:$S$976,"&lt;"&amp;S325)+(COUNTIF($S$2:$S$976,"="&amp;S325)+1)/2</f>
        <v/>
      </c>
      <c r="W325" s="73">
        <f>IF(C325="qwen",0,COUNTIFS($C$2:$C$976,"&lt;&gt;qwen",$S$2:$S$976,"&lt;"&amp;S325)+1)</f>
        <v/>
      </c>
      <c r="X325" s="73">
        <f>IF(C325="ministral",0,COUNTIFS($C$2:$C$976,"&lt;&gt;ministral",$S$2:$S$976,"&lt;"&amp;S325)+1)</f>
        <v/>
      </c>
      <c r="Y325" s="73">
        <f>IF(C325="gemma",0,COUNTIFS($C$2:$C$976,"&lt;&gt;gemma",$S$2:$S$976,"&lt;"&amp;S325)+1)</f>
        <v/>
      </c>
      <c r="Z325" s="87">
        <f>COUNTIFS($B$2:$B$976,B325,$C$2:$C$976,C325,$S$2:$S$976,"&lt;"&amp;S325)+1</f>
        <v/>
      </c>
      <c r="AA325" s="88">
        <f>ABS(S325-SUMPRODUCT(('05B_가정검정'!$A$5:$A$19=B325)*('05B_가정검정'!$B$5:$B$19=C325)*'05B_가정검정'!$E$5:$E$19))</f>
        <v/>
      </c>
      <c r="AB325" s="88">
        <f>S325-AVERAGEIFS($S$2:$S$976,$B$2:$B$976,B325,$C$2:$C$976,C325)</f>
        <v/>
      </c>
    </row>
    <row r="326" ht="15" customHeight="1" s="68">
      <c r="A326" s="83" t="inlineStr">
        <is>
          <t>PAT-22</t>
        </is>
      </c>
      <c r="B326" s="83" t="inlineStr">
        <is>
          <t>mistral</t>
        </is>
      </c>
      <c r="C326" s="83" t="inlineStr">
        <is>
          <t>gemma</t>
        </is>
      </c>
      <c r="D326" s="84" t="n">
        <v>0.241657077100115</v>
      </c>
      <c r="E326" s="84" t="n">
        <v>0.297101449275362</v>
      </c>
      <c r="F326" s="84" t="n">
        <v>0.08029197080291969</v>
      </c>
      <c r="G326" s="84" t="n">
        <v>0.210144927536232</v>
      </c>
      <c r="H326" s="84" t="n">
        <v>0.304149739481078</v>
      </c>
      <c r="I326" s="84" t="n">
        <v>0.17139251520012</v>
      </c>
      <c r="J326" s="84" t="n">
        <v>0.6920286528469</v>
      </c>
      <c r="K326" s="84" t="n">
        <v>0.673427025818265</v>
      </c>
      <c r="L326" s="84" t="n">
        <v>0.83706282683908</v>
      </c>
      <c r="M326" s="84" t="n">
        <v>0.666666666666667</v>
      </c>
      <c r="N326" s="84" t="n">
        <v>0.552941176470588</v>
      </c>
      <c r="O326" s="84" t="n">
        <v>0.68421052631579</v>
      </c>
      <c r="P326" s="85">
        <f>AVERAGE(D326:I326)</f>
        <v/>
      </c>
      <c r="Q326" s="85">
        <f>AVERAGE(J326:L326)</f>
        <v/>
      </c>
      <c r="R326" s="85">
        <f>AVERAGE(M326:O326)</f>
        <v/>
      </c>
      <c r="S326" s="85">
        <f>'02_지표정의'!$C$22*P326+'02_지표정의'!$C$23*Q326+'02_지표정의'!$C$24*R326</f>
        <v/>
      </c>
      <c r="T326" s="73">
        <f>IF(OR(AND(B326="gemini",C326="gemma"),AND(B326="qwen3_6",C326="qwen"),AND(B326="mistral",C326="ministral")),1,0)</f>
        <v/>
      </c>
      <c r="U326" s="73">
        <f>IF(LEFT(A326,3)="PAT","특허","보고서")</f>
        <v/>
      </c>
      <c r="V326" s="86">
        <f>COUNTIF($S$2:$S$976,"&lt;"&amp;S326)+(COUNTIF($S$2:$S$976,"="&amp;S326)+1)/2</f>
        <v/>
      </c>
      <c r="W326" s="73">
        <f>IF(C326="qwen",0,COUNTIFS($C$2:$C$976,"&lt;&gt;qwen",$S$2:$S$976,"&lt;"&amp;S326)+1)</f>
        <v/>
      </c>
      <c r="X326" s="73">
        <f>IF(C326="ministral",0,COUNTIFS($C$2:$C$976,"&lt;&gt;ministral",$S$2:$S$976,"&lt;"&amp;S326)+1)</f>
        <v/>
      </c>
      <c r="Y326" s="73">
        <f>IF(C326="gemma",0,COUNTIFS($C$2:$C$976,"&lt;&gt;gemma",$S$2:$S$976,"&lt;"&amp;S326)+1)</f>
        <v/>
      </c>
      <c r="Z326" s="87">
        <f>COUNTIFS($B$2:$B$976,B326,$C$2:$C$976,C326,$S$2:$S$976,"&lt;"&amp;S326)+1</f>
        <v/>
      </c>
      <c r="AA326" s="88">
        <f>ABS(S326-SUMPRODUCT(('05B_가정검정'!$A$5:$A$19=B326)*('05B_가정검정'!$B$5:$B$19=C326)*'05B_가정검정'!$E$5:$E$19))</f>
        <v/>
      </c>
      <c r="AB326" s="88">
        <f>S326-AVERAGEIFS($S$2:$S$976,$B$2:$B$976,B326,$C$2:$C$976,C326)</f>
        <v/>
      </c>
    </row>
    <row r="327" ht="15" customHeight="1" s="68">
      <c r="A327" s="83" t="inlineStr">
        <is>
          <t>PAT-22</t>
        </is>
      </c>
      <c r="B327" s="83" t="inlineStr">
        <is>
          <t>mistral</t>
        </is>
      </c>
      <c r="C327" s="83" t="inlineStr">
        <is>
          <t>ministral</t>
        </is>
      </c>
      <c r="D327" s="84" t="n">
        <v>0.306306306306306</v>
      </c>
      <c r="E327" s="84" t="n">
        <v>0.310606060606061</v>
      </c>
      <c r="F327" s="84" t="n">
        <v>0.099236641221374</v>
      </c>
      <c r="G327" s="84" t="n">
        <v>0.234848484848485</v>
      </c>
      <c r="H327" s="84" t="n">
        <v>0.256970310395758</v>
      </c>
      <c r="I327" s="84" t="n">
        <v>0.270839817698218</v>
      </c>
      <c r="J327" s="84" t="n">
        <v>0.719059319549575</v>
      </c>
      <c r="K327" s="84" t="n">
        <v>0.763608746216793</v>
      </c>
      <c r="L327" s="84" t="n">
        <v>0.886252260959867</v>
      </c>
      <c r="M327" s="84" t="n">
        <v>0.650273224043716</v>
      </c>
      <c r="N327" s="84" t="n">
        <v>0.438775510204082</v>
      </c>
      <c r="O327" s="84" t="n">
        <v>0.68421052631579</v>
      </c>
      <c r="P327" s="85">
        <f>AVERAGE(D327:I327)</f>
        <v/>
      </c>
      <c r="Q327" s="85">
        <f>AVERAGE(J327:L327)</f>
        <v/>
      </c>
      <c r="R327" s="85">
        <f>AVERAGE(M327:O327)</f>
        <v/>
      </c>
      <c r="S327" s="85">
        <f>'02_지표정의'!$C$22*P327+'02_지표정의'!$C$23*Q327+'02_지표정의'!$C$24*R327</f>
        <v/>
      </c>
      <c r="T327" s="73">
        <f>IF(OR(AND(B327="gemini",C327="gemma"),AND(B327="qwen3_6",C327="qwen"),AND(B327="mistral",C327="ministral")),1,0)</f>
        <v/>
      </c>
      <c r="U327" s="73">
        <f>IF(LEFT(A327,3)="PAT","특허","보고서")</f>
        <v/>
      </c>
      <c r="V327" s="86">
        <f>COUNTIF($S$2:$S$976,"&lt;"&amp;S327)+(COUNTIF($S$2:$S$976,"="&amp;S327)+1)/2</f>
        <v/>
      </c>
      <c r="W327" s="73">
        <f>IF(C327="qwen",0,COUNTIFS($C$2:$C$976,"&lt;&gt;qwen",$S$2:$S$976,"&lt;"&amp;S327)+1)</f>
        <v/>
      </c>
      <c r="X327" s="73">
        <f>IF(C327="ministral",0,COUNTIFS($C$2:$C$976,"&lt;&gt;ministral",$S$2:$S$976,"&lt;"&amp;S327)+1)</f>
        <v/>
      </c>
      <c r="Y327" s="73">
        <f>IF(C327="gemma",0,COUNTIFS($C$2:$C$976,"&lt;&gt;gemma",$S$2:$S$976,"&lt;"&amp;S327)+1)</f>
        <v/>
      </c>
      <c r="Z327" s="87">
        <f>COUNTIFS($B$2:$B$976,B327,$C$2:$C$976,C327,$S$2:$S$976,"&lt;"&amp;S327)+1</f>
        <v/>
      </c>
      <c r="AA327" s="88">
        <f>ABS(S327-SUMPRODUCT(('05B_가정검정'!$A$5:$A$19=B327)*('05B_가정검정'!$B$5:$B$19=C327)*'05B_가정검정'!$E$5:$E$19))</f>
        <v/>
      </c>
      <c r="AB327" s="88">
        <f>S327-AVERAGEIFS($S$2:$S$976,$B$2:$B$976,B327,$C$2:$C$976,C327)</f>
        <v/>
      </c>
    </row>
    <row r="328" ht="15" customHeight="1" s="68">
      <c r="A328" s="83" t="inlineStr">
        <is>
          <t>PAT-22</t>
        </is>
      </c>
      <c r="B328" s="83" t="inlineStr">
        <is>
          <t>mistral</t>
        </is>
      </c>
      <c r="C328" s="83" t="inlineStr">
        <is>
          <t>qwen</t>
        </is>
      </c>
      <c r="D328" s="84" t="n">
        <v>0.292559899117276</v>
      </c>
      <c r="E328" s="84" t="n">
        <v>0.448</v>
      </c>
      <c r="F328" s="84" t="n">
        <v>0.169354838709677</v>
      </c>
      <c r="G328" s="84" t="n">
        <v>0.264</v>
      </c>
      <c r="H328" s="84" t="n">
        <v>0.312766748628832</v>
      </c>
      <c r="I328" s="84" t="n">
        <v>0.358723393035672</v>
      </c>
      <c r="J328" s="84" t="n">
        <v>0.751957539976327</v>
      </c>
      <c r="K328" s="84" t="n">
        <v>0.724596433009395</v>
      </c>
      <c r="L328" s="84" t="n">
        <v>0.864820638600637</v>
      </c>
      <c r="M328" s="84" t="n">
        <v>0.409836065573771</v>
      </c>
      <c r="N328" s="84" t="n">
        <v>0.117647058823529</v>
      </c>
      <c r="O328" s="84" t="n">
        <v>0.68421052631579</v>
      </c>
      <c r="P328" s="85">
        <f>AVERAGE(D328:I328)</f>
        <v/>
      </c>
      <c r="Q328" s="85">
        <f>AVERAGE(J328:L328)</f>
        <v/>
      </c>
      <c r="R328" s="85">
        <f>AVERAGE(M328:O328)</f>
        <v/>
      </c>
      <c r="S328" s="85">
        <f>'02_지표정의'!$C$22*P328+'02_지표정의'!$C$23*Q328+'02_지표정의'!$C$24*R328</f>
        <v/>
      </c>
      <c r="T328" s="73">
        <f>IF(OR(AND(B328="gemini",C328="gemma"),AND(B328="qwen3_6",C328="qwen"),AND(B328="mistral",C328="ministral")),1,0)</f>
        <v/>
      </c>
      <c r="U328" s="73">
        <f>IF(LEFT(A328,3)="PAT","특허","보고서")</f>
        <v/>
      </c>
      <c r="V328" s="86">
        <f>COUNTIF($S$2:$S$976,"&lt;"&amp;S328)+(COUNTIF($S$2:$S$976,"="&amp;S328)+1)/2</f>
        <v/>
      </c>
      <c r="W328" s="73">
        <f>IF(C328="qwen",0,COUNTIFS($C$2:$C$976,"&lt;&gt;qwen",$S$2:$S$976,"&lt;"&amp;S328)+1)</f>
        <v/>
      </c>
      <c r="X328" s="73">
        <f>IF(C328="ministral",0,COUNTIFS($C$2:$C$976,"&lt;&gt;ministral",$S$2:$S$976,"&lt;"&amp;S328)+1)</f>
        <v/>
      </c>
      <c r="Y328" s="73">
        <f>IF(C328="gemma",0,COUNTIFS($C$2:$C$976,"&lt;&gt;gemma",$S$2:$S$976,"&lt;"&amp;S328)+1)</f>
        <v/>
      </c>
      <c r="Z328" s="87">
        <f>COUNTIFS($B$2:$B$976,B328,$C$2:$C$976,C328,$S$2:$S$976,"&lt;"&amp;S328)+1</f>
        <v/>
      </c>
      <c r="AA328" s="88">
        <f>ABS(S328-SUMPRODUCT(('05B_가정검정'!$A$5:$A$19=B328)*('05B_가정검정'!$B$5:$B$19=C328)*'05B_가정검정'!$E$5:$E$19))</f>
        <v/>
      </c>
      <c r="AB328" s="88">
        <f>S328-AVERAGEIFS($S$2:$S$976,$B$2:$B$976,B328,$C$2:$C$976,C328)</f>
        <v/>
      </c>
    </row>
    <row r="329" ht="15" customHeight="1" s="68">
      <c r="A329" s="83" t="inlineStr">
        <is>
          <t>PAT-22</t>
        </is>
      </c>
      <c r="B329" s="83" t="inlineStr">
        <is>
          <t>qwen3_6</t>
        </is>
      </c>
      <c r="C329" s="83" t="inlineStr">
        <is>
          <t>gemma</t>
        </is>
      </c>
      <c r="D329" s="84" t="n">
        <v>0.235162374020157</v>
      </c>
      <c r="E329" s="84" t="n">
        <v>0.291338582677165</v>
      </c>
      <c r="F329" s="84" t="n">
        <v>0.126984126984127</v>
      </c>
      <c r="G329" s="84" t="n">
        <v>0.259842519685039</v>
      </c>
      <c r="H329" s="84" t="n">
        <v>0.304661820061673</v>
      </c>
      <c r="I329" s="84" t="n">
        <v>0.141000528557323</v>
      </c>
      <c r="J329" s="84" t="n">
        <v>0.703668190703398</v>
      </c>
      <c r="K329" s="84" t="n">
        <v>0.6746479224198541</v>
      </c>
      <c r="L329" s="84" t="n">
        <v>0.816721714044956</v>
      </c>
      <c r="M329" s="84" t="n">
        <v>0.659863945578231</v>
      </c>
      <c r="N329" s="84" t="n">
        <v>0.785714285714286</v>
      </c>
      <c r="O329" s="84" t="n">
        <v>1</v>
      </c>
      <c r="P329" s="85">
        <f>AVERAGE(D329:I329)</f>
        <v/>
      </c>
      <c r="Q329" s="85">
        <f>AVERAGE(J329:L329)</f>
        <v/>
      </c>
      <c r="R329" s="85">
        <f>AVERAGE(M329:O329)</f>
        <v/>
      </c>
      <c r="S329" s="85">
        <f>'02_지표정의'!$C$22*P329+'02_지표정의'!$C$23*Q329+'02_지표정의'!$C$24*R329</f>
        <v/>
      </c>
      <c r="T329" s="73">
        <f>IF(OR(AND(B329="gemini",C329="gemma"),AND(B329="qwen3_6",C329="qwen"),AND(B329="mistral",C329="ministral")),1,0)</f>
        <v/>
      </c>
      <c r="U329" s="73">
        <f>IF(LEFT(A329,3)="PAT","특허","보고서")</f>
        <v/>
      </c>
      <c r="V329" s="86">
        <f>COUNTIF($S$2:$S$976,"&lt;"&amp;S329)+(COUNTIF($S$2:$S$976,"="&amp;S329)+1)/2</f>
        <v/>
      </c>
      <c r="W329" s="73">
        <f>IF(C329="qwen",0,COUNTIFS($C$2:$C$976,"&lt;&gt;qwen",$S$2:$S$976,"&lt;"&amp;S329)+1)</f>
        <v/>
      </c>
      <c r="X329" s="73">
        <f>IF(C329="ministral",0,COUNTIFS($C$2:$C$976,"&lt;&gt;ministral",$S$2:$S$976,"&lt;"&amp;S329)+1)</f>
        <v/>
      </c>
      <c r="Y329" s="73">
        <f>IF(C329="gemma",0,COUNTIFS($C$2:$C$976,"&lt;&gt;gemma",$S$2:$S$976,"&lt;"&amp;S329)+1)</f>
        <v/>
      </c>
      <c r="Z329" s="87">
        <f>COUNTIFS($B$2:$B$976,B329,$C$2:$C$976,C329,$S$2:$S$976,"&lt;"&amp;S329)+1</f>
        <v/>
      </c>
      <c r="AA329" s="88">
        <f>ABS(S329-SUMPRODUCT(('05B_가정검정'!$A$5:$A$19=B329)*('05B_가정검정'!$B$5:$B$19=C329)*'05B_가정검정'!$E$5:$E$19))</f>
        <v/>
      </c>
      <c r="AB329" s="88">
        <f>S329-AVERAGEIFS($S$2:$S$976,$B$2:$B$976,B329,$C$2:$C$976,C329)</f>
        <v/>
      </c>
    </row>
    <row r="330" ht="15" customHeight="1" s="68">
      <c r="A330" s="83" t="inlineStr">
        <is>
          <t>PAT-22</t>
        </is>
      </c>
      <c r="B330" s="83" t="inlineStr">
        <is>
          <t>qwen3_6</t>
        </is>
      </c>
      <c r="C330" s="83" t="inlineStr">
        <is>
          <t>ministral</t>
        </is>
      </c>
      <c r="D330" s="84" t="n">
        <v>0.267166042446941</v>
      </c>
      <c r="E330" s="84" t="n">
        <v>0.31404958677686</v>
      </c>
      <c r="F330" s="84" t="n">
        <v>0.15</v>
      </c>
      <c r="G330" s="84" t="n">
        <v>0.264462809917355</v>
      </c>
      <c r="H330" s="84" t="n">
        <v>0.237954591865071</v>
      </c>
      <c r="I330" s="84" t="n">
        <v>0.250848584773104</v>
      </c>
      <c r="J330" s="84" t="n">
        <v>0.671260576415817</v>
      </c>
      <c r="K330" s="84" t="n">
        <v>0.691124371397413</v>
      </c>
      <c r="L330" s="84" t="n">
        <v>0.834308995054347</v>
      </c>
      <c r="M330" s="84" t="n">
        <v>0.532967032967033</v>
      </c>
      <c r="N330" s="84" t="n">
        <v>0.561224489795918</v>
      </c>
      <c r="O330" s="84" t="n">
        <v>1</v>
      </c>
      <c r="P330" s="85">
        <f>AVERAGE(D330:I330)</f>
        <v/>
      </c>
      <c r="Q330" s="85">
        <f>AVERAGE(J330:L330)</f>
        <v/>
      </c>
      <c r="R330" s="85">
        <f>AVERAGE(M330:O330)</f>
        <v/>
      </c>
      <c r="S330" s="85">
        <f>'02_지표정의'!$C$22*P330+'02_지표정의'!$C$23*Q330+'02_지표정의'!$C$24*R330</f>
        <v/>
      </c>
      <c r="T330" s="73">
        <f>IF(OR(AND(B330="gemini",C330="gemma"),AND(B330="qwen3_6",C330="qwen"),AND(B330="mistral",C330="ministral")),1,0)</f>
        <v/>
      </c>
      <c r="U330" s="73">
        <f>IF(LEFT(A330,3)="PAT","특허","보고서")</f>
        <v/>
      </c>
      <c r="V330" s="86">
        <f>COUNTIF($S$2:$S$976,"&lt;"&amp;S330)+(COUNTIF($S$2:$S$976,"="&amp;S330)+1)/2</f>
        <v/>
      </c>
      <c r="W330" s="73">
        <f>IF(C330="qwen",0,COUNTIFS($C$2:$C$976,"&lt;&gt;qwen",$S$2:$S$976,"&lt;"&amp;S330)+1)</f>
        <v/>
      </c>
      <c r="X330" s="73">
        <f>IF(C330="ministral",0,COUNTIFS($C$2:$C$976,"&lt;&gt;ministral",$S$2:$S$976,"&lt;"&amp;S330)+1)</f>
        <v/>
      </c>
      <c r="Y330" s="73">
        <f>IF(C330="gemma",0,COUNTIFS($C$2:$C$976,"&lt;&gt;gemma",$S$2:$S$976,"&lt;"&amp;S330)+1)</f>
        <v/>
      </c>
      <c r="Z330" s="87">
        <f>COUNTIFS($B$2:$B$976,B330,$C$2:$C$976,C330,$S$2:$S$976,"&lt;"&amp;S330)+1</f>
        <v/>
      </c>
      <c r="AA330" s="88">
        <f>ABS(S330-SUMPRODUCT(('05B_가정검정'!$A$5:$A$19=B330)*('05B_가정검정'!$B$5:$B$19=C330)*'05B_가정검정'!$E$5:$E$19))</f>
        <v/>
      </c>
      <c r="AB330" s="88">
        <f>S330-AVERAGEIFS($S$2:$S$976,$B$2:$B$976,B330,$C$2:$C$976,C330)</f>
        <v/>
      </c>
    </row>
    <row r="331" ht="15" customHeight="1" s="68">
      <c r="A331" s="83" t="inlineStr">
        <is>
          <t>PAT-22</t>
        </is>
      </c>
      <c r="B331" s="83" t="inlineStr">
        <is>
          <t>qwen3_6</t>
        </is>
      </c>
      <c r="C331" s="83" t="inlineStr">
        <is>
          <t>qwen</t>
        </is>
      </c>
      <c r="D331" s="84" t="n">
        <v>0.288861689106487</v>
      </c>
      <c r="E331" s="84" t="n">
        <v>0.403508771929825</v>
      </c>
      <c r="F331" s="84" t="n">
        <v>0.176991150442478</v>
      </c>
      <c r="G331" s="84" t="n">
        <v>0.280701754385965</v>
      </c>
      <c r="H331" s="84" t="n">
        <v>0.332020985608663</v>
      </c>
      <c r="I331" s="84" t="n">
        <v>0.395956531712533</v>
      </c>
      <c r="J331" s="84" t="n">
        <v>0.7176884772458469</v>
      </c>
      <c r="K331" s="84" t="n">
        <v>0.697624117243945</v>
      </c>
      <c r="L331" s="84" t="n">
        <v>0.872606263056552</v>
      </c>
      <c r="M331" s="84" t="n">
        <v>0.5739644970414201</v>
      </c>
      <c r="N331" s="84" t="n">
        <v>0.53921568627451</v>
      </c>
      <c r="O331" s="84" t="n">
        <v>1</v>
      </c>
      <c r="P331" s="85">
        <f>AVERAGE(D331:I331)</f>
        <v/>
      </c>
      <c r="Q331" s="85">
        <f>AVERAGE(J331:L331)</f>
        <v/>
      </c>
      <c r="R331" s="85">
        <f>AVERAGE(M331:O331)</f>
        <v/>
      </c>
      <c r="S331" s="85">
        <f>'02_지표정의'!$C$22*P331+'02_지표정의'!$C$23*Q331+'02_지표정의'!$C$24*R331</f>
        <v/>
      </c>
      <c r="T331" s="73">
        <f>IF(OR(AND(B331="gemini",C331="gemma"),AND(B331="qwen3_6",C331="qwen"),AND(B331="mistral",C331="ministral")),1,0)</f>
        <v/>
      </c>
      <c r="U331" s="73">
        <f>IF(LEFT(A331,3)="PAT","특허","보고서")</f>
        <v/>
      </c>
      <c r="V331" s="86">
        <f>COUNTIF($S$2:$S$976,"&lt;"&amp;S331)+(COUNTIF($S$2:$S$976,"="&amp;S331)+1)/2</f>
        <v/>
      </c>
      <c r="W331" s="73">
        <f>IF(C331="qwen",0,COUNTIFS($C$2:$C$976,"&lt;&gt;qwen",$S$2:$S$976,"&lt;"&amp;S331)+1)</f>
        <v/>
      </c>
      <c r="X331" s="73">
        <f>IF(C331="ministral",0,COUNTIFS($C$2:$C$976,"&lt;&gt;ministral",$S$2:$S$976,"&lt;"&amp;S331)+1)</f>
        <v/>
      </c>
      <c r="Y331" s="73">
        <f>IF(C331="gemma",0,COUNTIFS($C$2:$C$976,"&lt;&gt;gemma",$S$2:$S$976,"&lt;"&amp;S331)+1)</f>
        <v/>
      </c>
      <c r="Z331" s="87">
        <f>COUNTIFS($B$2:$B$976,B331,$C$2:$C$976,C331,$S$2:$S$976,"&lt;"&amp;S331)+1</f>
        <v/>
      </c>
      <c r="AA331" s="88">
        <f>ABS(S331-SUMPRODUCT(('05B_가정검정'!$A$5:$A$19=B331)*('05B_가정검정'!$B$5:$B$19=C331)*'05B_가정검정'!$E$5:$E$19))</f>
        <v/>
      </c>
      <c r="AB331" s="88">
        <f>S331-AVERAGEIFS($S$2:$S$976,$B$2:$B$976,B331,$C$2:$C$976,C331)</f>
        <v/>
      </c>
    </row>
    <row r="332" ht="15" customHeight="1" s="68">
      <c r="A332" s="83" t="inlineStr">
        <is>
          <t>PAT-23</t>
        </is>
      </c>
      <c r="B332" s="83" t="inlineStr">
        <is>
          <t>chatgpt</t>
        </is>
      </c>
      <c r="C332" s="83" t="inlineStr">
        <is>
          <t>gemma</t>
        </is>
      </c>
      <c r="D332" s="84" t="n">
        <v>0.263313609467456</v>
      </c>
      <c r="E332" s="84" t="n">
        <v>0.333333333333333</v>
      </c>
      <c r="F332" s="84" t="n">
        <v>0.128712871287129</v>
      </c>
      <c r="G332" s="84" t="n">
        <v>0.254901960784314</v>
      </c>
      <c r="H332" s="84" t="n">
        <v>0.252110788510392</v>
      </c>
      <c r="I332" s="84" t="n">
        <v>0.192704718809825</v>
      </c>
      <c r="J332" s="84" t="n">
        <v>0.702901941827065</v>
      </c>
      <c r="K332" s="84" t="n">
        <v>0.6044758563410439</v>
      </c>
      <c r="L332" s="84" t="n">
        <v>0.816436187509567</v>
      </c>
      <c r="M332" s="84" t="n">
        <v>0.562913907284768</v>
      </c>
      <c r="N332" s="84" t="n">
        <v>0.231707317073171</v>
      </c>
      <c r="O332" s="84" t="n">
        <v>1</v>
      </c>
      <c r="P332" s="85">
        <f>AVERAGE(D332:I332)</f>
        <v/>
      </c>
      <c r="Q332" s="85">
        <f>AVERAGE(J332:L332)</f>
        <v/>
      </c>
      <c r="R332" s="85">
        <f>AVERAGE(M332:O332)</f>
        <v/>
      </c>
      <c r="S332" s="85">
        <f>'02_지표정의'!$C$22*P332+'02_지표정의'!$C$23*Q332+'02_지표정의'!$C$24*R332</f>
        <v/>
      </c>
      <c r="T332" s="73">
        <f>IF(OR(AND(B332="gemini",C332="gemma"),AND(B332="qwen3_6",C332="qwen"),AND(B332="mistral",C332="ministral")),1,0)</f>
        <v/>
      </c>
      <c r="U332" s="73">
        <f>IF(LEFT(A332,3)="PAT","특허","보고서")</f>
        <v/>
      </c>
      <c r="V332" s="86">
        <f>COUNTIF($S$2:$S$976,"&lt;"&amp;S332)+(COUNTIF($S$2:$S$976,"="&amp;S332)+1)/2</f>
        <v/>
      </c>
      <c r="W332" s="73">
        <f>IF(C332="qwen",0,COUNTIFS($C$2:$C$976,"&lt;&gt;qwen",$S$2:$S$976,"&lt;"&amp;S332)+1)</f>
        <v/>
      </c>
      <c r="X332" s="73">
        <f>IF(C332="ministral",0,COUNTIFS($C$2:$C$976,"&lt;&gt;ministral",$S$2:$S$976,"&lt;"&amp;S332)+1)</f>
        <v/>
      </c>
      <c r="Y332" s="73">
        <f>IF(C332="gemma",0,COUNTIFS($C$2:$C$976,"&lt;&gt;gemma",$S$2:$S$976,"&lt;"&amp;S332)+1)</f>
        <v/>
      </c>
      <c r="Z332" s="87">
        <f>COUNTIFS($B$2:$B$976,B332,$C$2:$C$976,C332,$S$2:$S$976,"&lt;"&amp;S332)+1</f>
        <v/>
      </c>
      <c r="AA332" s="88">
        <f>ABS(S332-SUMPRODUCT(('05B_가정검정'!$A$5:$A$19=B332)*('05B_가정검정'!$B$5:$B$19=C332)*'05B_가정검정'!$E$5:$E$19))</f>
        <v/>
      </c>
      <c r="AB332" s="88">
        <f>S332-AVERAGEIFS($S$2:$S$976,$B$2:$B$976,B332,$C$2:$C$976,C332)</f>
        <v/>
      </c>
    </row>
    <row r="333" ht="15" customHeight="1" s="68">
      <c r="A333" s="83" t="inlineStr">
        <is>
          <t>PAT-23</t>
        </is>
      </c>
      <c r="B333" s="83" t="inlineStr">
        <is>
          <t>chatgpt</t>
        </is>
      </c>
      <c r="C333" s="83" t="inlineStr">
        <is>
          <t>ministral</t>
        </is>
      </c>
      <c r="D333" s="84" t="n">
        <v>0.286099865047233</v>
      </c>
      <c r="E333" s="84" t="n">
        <v>0.25249169435216</v>
      </c>
      <c r="F333" s="84" t="n">
        <v>0.0869565217391304</v>
      </c>
      <c r="G333" s="84" t="n">
        <v>0.205980066445183</v>
      </c>
      <c r="H333" s="84" t="n">
        <v>0.161131213563194</v>
      </c>
      <c r="I333" s="84" t="n">
        <v>0.202400368489087</v>
      </c>
      <c r="J333" s="84" t="n">
        <v>0.6702639231961171</v>
      </c>
      <c r="K333" s="84" t="n">
        <v>0.641888885661377</v>
      </c>
      <c r="L333" s="84" t="n">
        <v>0.81015769592817</v>
      </c>
      <c r="M333" s="84" t="n">
        <v>0.380281690140845</v>
      </c>
      <c r="N333" s="84" t="n">
        <v>0</v>
      </c>
      <c r="O333" s="84" t="n">
        <v>0.526315789473684</v>
      </c>
      <c r="P333" s="85">
        <f>AVERAGE(D333:I333)</f>
        <v/>
      </c>
      <c r="Q333" s="85">
        <f>AVERAGE(J333:L333)</f>
        <v/>
      </c>
      <c r="R333" s="85">
        <f>AVERAGE(M333:O333)</f>
        <v/>
      </c>
      <c r="S333" s="85">
        <f>'02_지표정의'!$C$22*P333+'02_지표정의'!$C$23*Q333+'02_지표정의'!$C$24*R333</f>
        <v/>
      </c>
      <c r="T333" s="73">
        <f>IF(OR(AND(B333="gemini",C333="gemma"),AND(B333="qwen3_6",C333="qwen"),AND(B333="mistral",C333="ministral")),1,0)</f>
        <v/>
      </c>
      <c r="U333" s="73">
        <f>IF(LEFT(A333,3)="PAT","특허","보고서")</f>
        <v/>
      </c>
      <c r="V333" s="86">
        <f>COUNTIF($S$2:$S$976,"&lt;"&amp;S333)+(COUNTIF($S$2:$S$976,"="&amp;S333)+1)/2</f>
        <v/>
      </c>
      <c r="W333" s="73">
        <f>IF(C333="qwen",0,COUNTIFS($C$2:$C$976,"&lt;&gt;qwen",$S$2:$S$976,"&lt;"&amp;S333)+1)</f>
        <v/>
      </c>
      <c r="X333" s="73">
        <f>IF(C333="ministral",0,COUNTIFS($C$2:$C$976,"&lt;&gt;ministral",$S$2:$S$976,"&lt;"&amp;S333)+1)</f>
        <v/>
      </c>
      <c r="Y333" s="73">
        <f>IF(C333="gemma",0,COUNTIFS($C$2:$C$976,"&lt;&gt;gemma",$S$2:$S$976,"&lt;"&amp;S333)+1)</f>
        <v/>
      </c>
      <c r="Z333" s="87">
        <f>COUNTIFS($B$2:$B$976,B333,$C$2:$C$976,C333,$S$2:$S$976,"&lt;"&amp;S333)+1</f>
        <v/>
      </c>
      <c r="AA333" s="88">
        <f>ABS(S333-SUMPRODUCT(('05B_가정검정'!$A$5:$A$19=B333)*('05B_가정검정'!$B$5:$B$19=C333)*'05B_가정검정'!$E$5:$E$19))</f>
        <v/>
      </c>
      <c r="AB333" s="88">
        <f>S333-AVERAGEIFS($S$2:$S$976,$B$2:$B$976,B333,$C$2:$C$976,C333)</f>
        <v/>
      </c>
    </row>
    <row r="334" ht="15" customHeight="1" s="68">
      <c r="A334" s="83" t="inlineStr">
        <is>
          <t>PAT-23</t>
        </is>
      </c>
      <c r="B334" s="83" t="inlineStr">
        <is>
          <t>chatgpt</t>
        </is>
      </c>
      <c r="C334" s="83" t="inlineStr">
        <is>
          <t>qwen</t>
        </is>
      </c>
      <c r="D334" s="84" t="n">
        <v>0.249394673123487</v>
      </c>
      <c r="E334" s="84" t="n">
        <v>0.313725490196079</v>
      </c>
      <c r="F334" s="84" t="n">
        <v>0.0869565217391305</v>
      </c>
      <c r="G334" s="84" t="n">
        <v>0.258823529411765</v>
      </c>
      <c r="H334" s="84" t="n">
        <v>0.165926233493979</v>
      </c>
      <c r="I334" s="84" t="n">
        <v>0.337055226317575</v>
      </c>
      <c r="J334" s="84" t="n">
        <v>0.655545866391312</v>
      </c>
      <c r="K334" s="84" t="n">
        <v>0.569577577121242</v>
      </c>
      <c r="L334" s="84" t="n">
        <v>0.785550019613133</v>
      </c>
      <c r="M334" s="84" t="n">
        <v>0.49438202247191</v>
      </c>
      <c r="N334" s="84" t="n">
        <v>0</v>
      </c>
      <c r="O334" s="84" t="n">
        <v>1</v>
      </c>
      <c r="P334" s="85">
        <f>AVERAGE(D334:I334)</f>
        <v/>
      </c>
      <c r="Q334" s="85">
        <f>AVERAGE(J334:L334)</f>
        <v/>
      </c>
      <c r="R334" s="85">
        <f>AVERAGE(M334:O334)</f>
        <v/>
      </c>
      <c r="S334" s="85">
        <f>'02_지표정의'!$C$22*P334+'02_지표정의'!$C$23*Q334+'02_지표정의'!$C$24*R334</f>
        <v/>
      </c>
      <c r="T334" s="73">
        <f>IF(OR(AND(B334="gemini",C334="gemma"),AND(B334="qwen3_6",C334="qwen"),AND(B334="mistral",C334="ministral")),1,0)</f>
        <v/>
      </c>
      <c r="U334" s="73">
        <f>IF(LEFT(A334,3)="PAT","특허","보고서")</f>
        <v/>
      </c>
      <c r="V334" s="86">
        <f>COUNTIF($S$2:$S$976,"&lt;"&amp;S334)+(COUNTIF($S$2:$S$976,"="&amp;S334)+1)/2</f>
        <v/>
      </c>
      <c r="W334" s="73">
        <f>IF(C334="qwen",0,COUNTIFS($C$2:$C$976,"&lt;&gt;qwen",$S$2:$S$976,"&lt;"&amp;S334)+1)</f>
        <v/>
      </c>
      <c r="X334" s="73">
        <f>IF(C334="ministral",0,COUNTIFS($C$2:$C$976,"&lt;&gt;ministral",$S$2:$S$976,"&lt;"&amp;S334)+1)</f>
        <v/>
      </c>
      <c r="Y334" s="73">
        <f>IF(C334="gemma",0,COUNTIFS($C$2:$C$976,"&lt;&gt;gemma",$S$2:$S$976,"&lt;"&amp;S334)+1)</f>
        <v/>
      </c>
      <c r="Z334" s="87">
        <f>COUNTIFS($B$2:$B$976,B334,$C$2:$C$976,C334,$S$2:$S$976,"&lt;"&amp;S334)+1</f>
        <v/>
      </c>
      <c r="AA334" s="88">
        <f>ABS(S334-SUMPRODUCT(('05B_가정검정'!$A$5:$A$19=B334)*('05B_가정검정'!$B$5:$B$19=C334)*'05B_가정검정'!$E$5:$E$19))</f>
        <v/>
      </c>
      <c r="AB334" s="88">
        <f>S334-AVERAGEIFS($S$2:$S$976,$B$2:$B$976,B334,$C$2:$C$976,C334)</f>
        <v/>
      </c>
    </row>
    <row r="335" ht="15" customHeight="1" s="68">
      <c r="A335" s="83" t="inlineStr">
        <is>
          <t>PAT-23</t>
        </is>
      </c>
      <c r="B335" s="83" t="inlineStr">
        <is>
          <t>claude</t>
        </is>
      </c>
      <c r="C335" s="83" t="inlineStr">
        <is>
          <t>gemma</t>
        </is>
      </c>
      <c r="D335" s="84" t="n">
        <v>0.223541048466865</v>
      </c>
      <c r="E335" s="84" t="n">
        <v>0.347266881028939</v>
      </c>
      <c r="F335" s="84" t="n">
        <v>0.09061488673139161</v>
      </c>
      <c r="G335" s="84" t="n">
        <v>0.192926045016077</v>
      </c>
      <c r="H335" s="84" t="n">
        <v>0.287859429434347</v>
      </c>
      <c r="I335" s="84" t="n">
        <v>0.165651554108491</v>
      </c>
      <c r="J335" s="84" t="n">
        <v>0.70659678153422</v>
      </c>
      <c r="K335" s="84" t="n">
        <v>0.645507455857664</v>
      </c>
      <c r="L335" s="84" t="n">
        <v>0.843200937776254</v>
      </c>
      <c r="M335" s="84" t="n">
        <v>0.567073170731707</v>
      </c>
      <c r="N335" s="84" t="n">
        <v>0.521276595744681</v>
      </c>
      <c r="O335" s="84" t="n">
        <v>1</v>
      </c>
      <c r="P335" s="85">
        <f>AVERAGE(D335:I335)</f>
        <v/>
      </c>
      <c r="Q335" s="85">
        <f>AVERAGE(J335:L335)</f>
        <v/>
      </c>
      <c r="R335" s="85">
        <f>AVERAGE(M335:O335)</f>
        <v/>
      </c>
      <c r="S335" s="85">
        <f>'02_지표정의'!$C$22*P335+'02_지표정의'!$C$23*Q335+'02_지표정의'!$C$24*R335</f>
        <v/>
      </c>
      <c r="T335" s="73">
        <f>IF(OR(AND(B335="gemini",C335="gemma"),AND(B335="qwen3_6",C335="qwen"),AND(B335="mistral",C335="ministral")),1,0)</f>
        <v/>
      </c>
      <c r="U335" s="73">
        <f>IF(LEFT(A335,3)="PAT","특허","보고서")</f>
        <v/>
      </c>
      <c r="V335" s="86">
        <f>COUNTIF($S$2:$S$976,"&lt;"&amp;S335)+(COUNTIF($S$2:$S$976,"="&amp;S335)+1)/2</f>
        <v/>
      </c>
      <c r="W335" s="73">
        <f>IF(C335="qwen",0,COUNTIFS($C$2:$C$976,"&lt;&gt;qwen",$S$2:$S$976,"&lt;"&amp;S335)+1)</f>
        <v/>
      </c>
      <c r="X335" s="73">
        <f>IF(C335="ministral",0,COUNTIFS($C$2:$C$976,"&lt;&gt;ministral",$S$2:$S$976,"&lt;"&amp;S335)+1)</f>
        <v/>
      </c>
      <c r="Y335" s="73">
        <f>IF(C335="gemma",0,COUNTIFS($C$2:$C$976,"&lt;&gt;gemma",$S$2:$S$976,"&lt;"&amp;S335)+1)</f>
        <v/>
      </c>
      <c r="Z335" s="87">
        <f>COUNTIFS($B$2:$B$976,B335,$C$2:$C$976,C335,$S$2:$S$976,"&lt;"&amp;S335)+1</f>
        <v/>
      </c>
      <c r="AA335" s="88">
        <f>ABS(S335-SUMPRODUCT(('05B_가정검정'!$A$5:$A$19=B335)*('05B_가정검정'!$B$5:$B$19=C335)*'05B_가정검정'!$E$5:$E$19))</f>
        <v/>
      </c>
      <c r="AB335" s="88">
        <f>S335-AVERAGEIFS($S$2:$S$976,$B$2:$B$976,B335,$C$2:$C$976,C335)</f>
        <v/>
      </c>
    </row>
    <row r="336" ht="15" customHeight="1" s="68">
      <c r="A336" s="83" t="inlineStr">
        <is>
          <t>PAT-23</t>
        </is>
      </c>
      <c r="B336" s="83" t="inlineStr">
        <is>
          <t>claude</t>
        </is>
      </c>
      <c r="C336" s="83" t="inlineStr">
        <is>
          <t>ministral</t>
        </is>
      </c>
      <c r="D336" s="84" t="n">
        <v>0.275092936802974</v>
      </c>
      <c r="E336" s="84" t="n">
        <v>0.32843137254902</v>
      </c>
      <c r="F336" s="84" t="n">
        <v>0.0886699507389163</v>
      </c>
      <c r="G336" s="84" t="n">
        <v>0.205882352941177</v>
      </c>
      <c r="H336" s="84" t="n">
        <v>0.275569786075797</v>
      </c>
      <c r="I336" s="84" t="n">
        <v>0.205391137084993</v>
      </c>
      <c r="J336" s="84" t="n">
        <v>0.709533674092935</v>
      </c>
      <c r="K336" s="84" t="n">
        <v>0.665275203023029</v>
      </c>
      <c r="L336" s="84" t="n">
        <v>0.84103301437385</v>
      </c>
      <c r="M336" s="84" t="n">
        <v>0.422535211267606</v>
      </c>
      <c r="N336" s="84" t="n">
        <v>0.202702702702703</v>
      </c>
      <c r="O336" s="84" t="n">
        <v>0.526315789473684</v>
      </c>
      <c r="P336" s="85">
        <f>AVERAGE(D336:I336)</f>
        <v/>
      </c>
      <c r="Q336" s="85">
        <f>AVERAGE(J336:L336)</f>
        <v/>
      </c>
      <c r="R336" s="85">
        <f>AVERAGE(M336:O336)</f>
        <v/>
      </c>
      <c r="S336" s="85">
        <f>'02_지표정의'!$C$22*P336+'02_지표정의'!$C$23*Q336+'02_지표정의'!$C$24*R336</f>
        <v/>
      </c>
      <c r="T336" s="73">
        <f>IF(OR(AND(B336="gemini",C336="gemma"),AND(B336="qwen3_6",C336="qwen"),AND(B336="mistral",C336="ministral")),1,0)</f>
        <v/>
      </c>
      <c r="U336" s="73">
        <f>IF(LEFT(A336,3)="PAT","특허","보고서")</f>
        <v/>
      </c>
      <c r="V336" s="86">
        <f>COUNTIF($S$2:$S$976,"&lt;"&amp;S336)+(COUNTIF($S$2:$S$976,"="&amp;S336)+1)/2</f>
        <v/>
      </c>
      <c r="W336" s="73">
        <f>IF(C336="qwen",0,COUNTIFS($C$2:$C$976,"&lt;&gt;qwen",$S$2:$S$976,"&lt;"&amp;S336)+1)</f>
        <v/>
      </c>
      <c r="X336" s="73">
        <f>IF(C336="ministral",0,COUNTIFS($C$2:$C$976,"&lt;&gt;ministral",$S$2:$S$976,"&lt;"&amp;S336)+1)</f>
        <v/>
      </c>
      <c r="Y336" s="73">
        <f>IF(C336="gemma",0,COUNTIFS($C$2:$C$976,"&lt;&gt;gemma",$S$2:$S$976,"&lt;"&amp;S336)+1)</f>
        <v/>
      </c>
      <c r="Z336" s="87">
        <f>COUNTIFS($B$2:$B$976,B336,$C$2:$C$976,C336,$S$2:$S$976,"&lt;"&amp;S336)+1</f>
        <v/>
      </c>
      <c r="AA336" s="88">
        <f>ABS(S336-SUMPRODUCT(('05B_가정검정'!$A$5:$A$19=B336)*('05B_가정검정'!$B$5:$B$19=C336)*'05B_가정검정'!$E$5:$E$19))</f>
        <v/>
      </c>
      <c r="AB336" s="88">
        <f>S336-AVERAGEIFS($S$2:$S$976,$B$2:$B$976,B336,$C$2:$C$976,C336)</f>
        <v/>
      </c>
    </row>
    <row r="337" ht="15" customHeight="1" s="68">
      <c r="A337" s="83" t="inlineStr">
        <is>
          <t>PAT-23</t>
        </is>
      </c>
      <c r="B337" s="83" t="inlineStr">
        <is>
          <t>claude</t>
        </is>
      </c>
      <c r="C337" s="83" t="inlineStr">
        <is>
          <t>qwen</t>
        </is>
      </c>
      <c r="D337" s="84" t="n">
        <v>0.260120585701981</v>
      </c>
      <c r="E337" s="84" t="n">
        <v>0.425414364640884</v>
      </c>
      <c r="F337" s="84" t="n">
        <v>0.105555555555556</v>
      </c>
      <c r="G337" s="84" t="n">
        <v>0.243093922651934</v>
      </c>
      <c r="H337" s="84" t="n">
        <v>0.315704859893892</v>
      </c>
      <c r="I337" s="84" t="n">
        <v>0.363093509465872</v>
      </c>
      <c r="J337" s="84" t="n">
        <v>0.706367628648394</v>
      </c>
      <c r="K337" s="84" t="n">
        <v>0.667610296320902</v>
      </c>
      <c r="L337" s="84" t="n">
        <v>0.80714973431354</v>
      </c>
      <c r="M337" s="84" t="n">
        <v>0.730337078651685</v>
      </c>
      <c r="N337" s="84" t="n">
        <v>0.627659574468085</v>
      </c>
      <c r="O337" s="84" t="n">
        <v>1</v>
      </c>
      <c r="P337" s="85">
        <f>AVERAGE(D337:I337)</f>
        <v/>
      </c>
      <c r="Q337" s="85">
        <f>AVERAGE(J337:L337)</f>
        <v/>
      </c>
      <c r="R337" s="85">
        <f>AVERAGE(M337:O337)</f>
        <v/>
      </c>
      <c r="S337" s="85">
        <f>'02_지표정의'!$C$22*P337+'02_지표정의'!$C$23*Q337+'02_지표정의'!$C$24*R337</f>
        <v/>
      </c>
      <c r="T337" s="73">
        <f>IF(OR(AND(B337="gemini",C337="gemma"),AND(B337="qwen3_6",C337="qwen"),AND(B337="mistral",C337="ministral")),1,0)</f>
        <v/>
      </c>
      <c r="U337" s="73">
        <f>IF(LEFT(A337,3)="PAT","특허","보고서")</f>
        <v/>
      </c>
      <c r="V337" s="86">
        <f>COUNTIF($S$2:$S$976,"&lt;"&amp;S337)+(COUNTIF($S$2:$S$976,"="&amp;S337)+1)/2</f>
        <v/>
      </c>
      <c r="W337" s="73">
        <f>IF(C337="qwen",0,COUNTIFS($C$2:$C$976,"&lt;&gt;qwen",$S$2:$S$976,"&lt;"&amp;S337)+1)</f>
        <v/>
      </c>
      <c r="X337" s="73">
        <f>IF(C337="ministral",0,COUNTIFS($C$2:$C$976,"&lt;&gt;ministral",$S$2:$S$976,"&lt;"&amp;S337)+1)</f>
        <v/>
      </c>
      <c r="Y337" s="73">
        <f>IF(C337="gemma",0,COUNTIFS($C$2:$C$976,"&lt;&gt;gemma",$S$2:$S$976,"&lt;"&amp;S337)+1)</f>
        <v/>
      </c>
      <c r="Z337" s="87">
        <f>COUNTIFS($B$2:$B$976,B337,$C$2:$C$976,C337,$S$2:$S$976,"&lt;"&amp;S337)+1</f>
        <v/>
      </c>
      <c r="AA337" s="88">
        <f>ABS(S337-SUMPRODUCT(('05B_가정검정'!$A$5:$A$19=B337)*('05B_가정검정'!$B$5:$B$19=C337)*'05B_가정검정'!$E$5:$E$19))</f>
        <v/>
      </c>
      <c r="AB337" s="88">
        <f>S337-AVERAGEIFS($S$2:$S$976,$B$2:$B$976,B337,$C$2:$C$976,C337)</f>
        <v/>
      </c>
    </row>
    <row r="338" ht="15" customHeight="1" s="68">
      <c r="A338" s="83" t="inlineStr">
        <is>
          <t>PAT-23</t>
        </is>
      </c>
      <c r="B338" s="83" t="inlineStr">
        <is>
          <t>gemini</t>
        </is>
      </c>
      <c r="C338" s="83" t="inlineStr">
        <is>
          <t>gemma</t>
        </is>
      </c>
      <c r="D338" s="84" t="n">
        <v>0.223418573351279</v>
      </c>
      <c r="E338" s="84" t="n">
        <v>0.342342342342342</v>
      </c>
      <c r="F338" s="84" t="n">
        <v>0.127272727272727</v>
      </c>
      <c r="G338" s="84" t="n">
        <v>0.252252252252252</v>
      </c>
      <c r="H338" s="84" t="n">
        <v>0.332982773689568</v>
      </c>
      <c r="I338" s="84" t="n">
        <v>0.170991895463389</v>
      </c>
      <c r="J338" s="84" t="n">
        <v>0.750700936848127</v>
      </c>
      <c r="K338" s="84" t="n">
        <v>0.742284437344314</v>
      </c>
      <c r="L338" s="84" t="n">
        <v>0.873439195839648</v>
      </c>
      <c r="M338" s="84" t="n">
        <v>0.906542056074766</v>
      </c>
      <c r="N338" s="84" t="n">
        <v>0.916666666666667</v>
      </c>
      <c r="O338" s="84" t="n">
        <v>1</v>
      </c>
      <c r="P338" s="85">
        <f>AVERAGE(D338:I338)</f>
        <v/>
      </c>
      <c r="Q338" s="85">
        <f>AVERAGE(J338:L338)</f>
        <v/>
      </c>
      <c r="R338" s="85">
        <f>AVERAGE(M338:O338)</f>
        <v/>
      </c>
      <c r="S338" s="85">
        <f>'02_지표정의'!$C$22*P338+'02_지표정의'!$C$23*Q338+'02_지표정의'!$C$24*R338</f>
        <v/>
      </c>
      <c r="T338" s="73">
        <f>IF(OR(AND(B338="gemini",C338="gemma"),AND(B338="qwen3_6",C338="qwen"),AND(B338="mistral",C338="ministral")),1,0)</f>
        <v/>
      </c>
      <c r="U338" s="73">
        <f>IF(LEFT(A338,3)="PAT","특허","보고서")</f>
        <v/>
      </c>
      <c r="V338" s="86">
        <f>COUNTIF($S$2:$S$976,"&lt;"&amp;S338)+(COUNTIF($S$2:$S$976,"="&amp;S338)+1)/2</f>
        <v/>
      </c>
      <c r="W338" s="73">
        <f>IF(C338="qwen",0,COUNTIFS($C$2:$C$976,"&lt;&gt;qwen",$S$2:$S$976,"&lt;"&amp;S338)+1)</f>
        <v/>
      </c>
      <c r="X338" s="73">
        <f>IF(C338="ministral",0,COUNTIFS($C$2:$C$976,"&lt;&gt;ministral",$S$2:$S$976,"&lt;"&amp;S338)+1)</f>
        <v/>
      </c>
      <c r="Y338" s="73">
        <f>IF(C338="gemma",0,COUNTIFS($C$2:$C$976,"&lt;&gt;gemma",$S$2:$S$976,"&lt;"&amp;S338)+1)</f>
        <v/>
      </c>
      <c r="Z338" s="87">
        <f>COUNTIFS($B$2:$B$976,B338,$C$2:$C$976,C338,$S$2:$S$976,"&lt;"&amp;S338)+1</f>
        <v/>
      </c>
      <c r="AA338" s="88">
        <f>ABS(S338-SUMPRODUCT(('05B_가정검정'!$A$5:$A$19=B338)*('05B_가정검정'!$B$5:$B$19=C338)*'05B_가정검정'!$E$5:$E$19))</f>
        <v/>
      </c>
      <c r="AB338" s="88">
        <f>S338-AVERAGEIFS($S$2:$S$976,$B$2:$B$976,B338,$C$2:$C$976,C338)</f>
        <v/>
      </c>
    </row>
    <row r="339" ht="15" customHeight="1" s="68">
      <c r="A339" s="83" t="inlineStr">
        <is>
          <t>PAT-23</t>
        </is>
      </c>
      <c r="B339" s="83" t="inlineStr">
        <is>
          <t>gemini</t>
        </is>
      </c>
      <c r="C339" s="83" t="inlineStr">
        <is>
          <t>ministral</t>
        </is>
      </c>
      <c r="D339" s="84" t="n">
        <v>0.254950495049505</v>
      </c>
      <c r="E339" s="84" t="n">
        <v>0.238244514106583</v>
      </c>
      <c r="F339" s="84" t="n">
        <v>0.0946372239747634</v>
      </c>
      <c r="G339" s="84" t="n">
        <v>0.175548589341693</v>
      </c>
      <c r="H339" s="84" t="n">
        <v>0.182688565435193</v>
      </c>
      <c r="I339" s="84" t="n">
        <v>0.16553803272731</v>
      </c>
      <c r="J339" s="84" t="n">
        <v>0.743437325398155</v>
      </c>
      <c r="K339" s="84" t="n">
        <v>0.780887690294447</v>
      </c>
      <c r="L339" s="84" t="n">
        <v>0.897313149427477</v>
      </c>
      <c r="M339" s="84" t="n">
        <v>0.273239436619718</v>
      </c>
      <c r="N339" s="84" t="n">
        <v>0.25</v>
      </c>
      <c r="O339" s="84" t="n">
        <v>0.526315789473684</v>
      </c>
      <c r="P339" s="85">
        <f>AVERAGE(D339:I339)</f>
        <v/>
      </c>
      <c r="Q339" s="85">
        <f>AVERAGE(J339:L339)</f>
        <v/>
      </c>
      <c r="R339" s="85">
        <f>AVERAGE(M339:O339)</f>
        <v/>
      </c>
      <c r="S339" s="85">
        <f>'02_지표정의'!$C$22*P339+'02_지표정의'!$C$23*Q339+'02_지표정의'!$C$24*R339</f>
        <v/>
      </c>
      <c r="T339" s="73">
        <f>IF(OR(AND(B339="gemini",C339="gemma"),AND(B339="qwen3_6",C339="qwen"),AND(B339="mistral",C339="ministral")),1,0)</f>
        <v/>
      </c>
      <c r="U339" s="73">
        <f>IF(LEFT(A339,3)="PAT","특허","보고서")</f>
        <v/>
      </c>
      <c r="V339" s="86">
        <f>COUNTIF($S$2:$S$976,"&lt;"&amp;S339)+(COUNTIF($S$2:$S$976,"="&amp;S339)+1)/2</f>
        <v/>
      </c>
      <c r="W339" s="73">
        <f>IF(C339="qwen",0,COUNTIFS($C$2:$C$976,"&lt;&gt;qwen",$S$2:$S$976,"&lt;"&amp;S339)+1)</f>
        <v/>
      </c>
      <c r="X339" s="73">
        <f>IF(C339="ministral",0,COUNTIFS($C$2:$C$976,"&lt;&gt;ministral",$S$2:$S$976,"&lt;"&amp;S339)+1)</f>
        <v/>
      </c>
      <c r="Y339" s="73">
        <f>IF(C339="gemma",0,COUNTIFS($C$2:$C$976,"&lt;&gt;gemma",$S$2:$S$976,"&lt;"&amp;S339)+1)</f>
        <v/>
      </c>
      <c r="Z339" s="87">
        <f>COUNTIFS($B$2:$B$976,B339,$C$2:$C$976,C339,$S$2:$S$976,"&lt;"&amp;S339)+1</f>
        <v/>
      </c>
      <c r="AA339" s="88">
        <f>ABS(S339-SUMPRODUCT(('05B_가정검정'!$A$5:$A$19=B339)*('05B_가정검정'!$B$5:$B$19=C339)*'05B_가정검정'!$E$5:$E$19))</f>
        <v/>
      </c>
      <c r="AB339" s="88">
        <f>S339-AVERAGEIFS($S$2:$S$976,$B$2:$B$976,B339,$C$2:$C$976,C339)</f>
        <v/>
      </c>
    </row>
    <row r="340" ht="15" customHeight="1" s="68">
      <c r="A340" s="83" t="inlineStr">
        <is>
          <t>PAT-23</t>
        </is>
      </c>
      <c r="B340" s="83" t="inlineStr">
        <is>
          <t>gemini</t>
        </is>
      </c>
      <c r="C340" s="83" t="inlineStr">
        <is>
          <t>qwen</t>
        </is>
      </c>
      <c r="D340" s="84" t="n">
        <v>0.268756998880179</v>
      </c>
      <c r="E340" s="84" t="n">
        <v>0.358974358974359</v>
      </c>
      <c r="F340" s="84" t="n">
        <v>0.118081180811808</v>
      </c>
      <c r="G340" s="84" t="n">
        <v>0.227106227106227</v>
      </c>
      <c r="H340" s="84" t="n">
        <v>0.228794707007613</v>
      </c>
      <c r="I340" s="84" t="n">
        <v>0.381325944234662</v>
      </c>
      <c r="J340" s="84" t="n">
        <v>0.74127026022878</v>
      </c>
      <c r="K340" s="84" t="n">
        <v>0.785057033983001</v>
      </c>
      <c r="L340" s="84" t="n">
        <v>0.900499583494586</v>
      </c>
      <c r="M340" s="84" t="n">
        <v>0.544943820224719</v>
      </c>
      <c r="N340" s="84" t="n">
        <v>0.604395604395605</v>
      </c>
      <c r="O340" s="84" t="n">
        <v>1</v>
      </c>
      <c r="P340" s="85">
        <f>AVERAGE(D340:I340)</f>
        <v/>
      </c>
      <c r="Q340" s="85">
        <f>AVERAGE(J340:L340)</f>
        <v/>
      </c>
      <c r="R340" s="85">
        <f>AVERAGE(M340:O340)</f>
        <v/>
      </c>
      <c r="S340" s="85">
        <f>'02_지표정의'!$C$22*P340+'02_지표정의'!$C$23*Q340+'02_지표정의'!$C$24*R340</f>
        <v/>
      </c>
      <c r="T340" s="73">
        <f>IF(OR(AND(B340="gemini",C340="gemma"),AND(B340="qwen3_6",C340="qwen"),AND(B340="mistral",C340="ministral")),1,0)</f>
        <v/>
      </c>
      <c r="U340" s="73">
        <f>IF(LEFT(A340,3)="PAT","특허","보고서")</f>
        <v/>
      </c>
      <c r="V340" s="86">
        <f>COUNTIF($S$2:$S$976,"&lt;"&amp;S340)+(COUNTIF($S$2:$S$976,"="&amp;S340)+1)/2</f>
        <v/>
      </c>
      <c r="W340" s="73">
        <f>IF(C340="qwen",0,COUNTIFS($C$2:$C$976,"&lt;&gt;qwen",$S$2:$S$976,"&lt;"&amp;S340)+1)</f>
        <v/>
      </c>
      <c r="X340" s="73">
        <f>IF(C340="ministral",0,COUNTIFS($C$2:$C$976,"&lt;&gt;ministral",$S$2:$S$976,"&lt;"&amp;S340)+1)</f>
        <v/>
      </c>
      <c r="Y340" s="73">
        <f>IF(C340="gemma",0,COUNTIFS($C$2:$C$976,"&lt;&gt;gemma",$S$2:$S$976,"&lt;"&amp;S340)+1)</f>
        <v/>
      </c>
      <c r="Z340" s="87">
        <f>COUNTIFS($B$2:$B$976,B340,$C$2:$C$976,C340,$S$2:$S$976,"&lt;"&amp;S340)+1</f>
        <v/>
      </c>
      <c r="AA340" s="88">
        <f>ABS(S340-SUMPRODUCT(('05B_가정검정'!$A$5:$A$19=B340)*('05B_가정검정'!$B$5:$B$19=C340)*'05B_가정검정'!$E$5:$E$19))</f>
        <v/>
      </c>
      <c r="AB340" s="88">
        <f>S340-AVERAGEIFS($S$2:$S$976,$B$2:$B$976,B340,$C$2:$C$976,C340)</f>
        <v/>
      </c>
    </row>
    <row r="341" ht="15" customHeight="1" s="68">
      <c r="A341" s="83" t="inlineStr">
        <is>
          <t>PAT-23</t>
        </is>
      </c>
      <c r="B341" s="83" t="inlineStr">
        <is>
          <t>mistral</t>
        </is>
      </c>
      <c r="C341" s="83" t="inlineStr">
        <is>
          <t>gemma</t>
        </is>
      </c>
      <c r="D341" s="84" t="n">
        <v>0.259675405742822</v>
      </c>
      <c r="E341" s="84" t="n">
        <v>0.344827586206897</v>
      </c>
      <c r="F341" s="84" t="n">
        <v>0.115830115830116</v>
      </c>
      <c r="G341" s="84" t="n">
        <v>0.245210727969349</v>
      </c>
      <c r="H341" s="84" t="n">
        <v>0.351014893886031</v>
      </c>
      <c r="I341" s="84" t="n">
        <v>0.191265038133262</v>
      </c>
      <c r="J341" s="84" t="n">
        <v>0.707170807389138</v>
      </c>
      <c r="K341" s="84" t="n">
        <v>0.621068586869737</v>
      </c>
      <c r="L341" s="84" t="n">
        <v>0.82950472538174</v>
      </c>
      <c r="M341" s="84" t="n">
        <v>0.447236180904523</v>
      </c>
      <c r="N341" s="84" t="n">
        <v>0.402173913043478</v>
      </c>
      <c r="O341" s="84" t="n">
        <v>0.68421052631579</v>
      </c>
      <c r="P341" s="85">
        <f>AVERAGE(D341:I341)</f>
        <v/>
      </c>
      <c r="Q341" s="85">
        <f>AVERAGE(J341:L341)</f>
        <v/>
      </c>
      <c r="R341" s="85">
        <f>AVERAGE(M341:O341)</f>
        <v/>
      </c>
      <c r="S341" s="85">
        <f>'02_지표정의'!$C$22*P341+'02_지표정의'!$C$23*Q341+'02_지표정의'!$C$24*R341</f>
        <v/>
      </c>
      <c r="T341" s="73">
        <f>IF(OR(AND(B341="gemini",C341="gemma"),AND(B341="qwen3_6",C341="qwen"),AND(B341="mistral",C341="ministral")),1,0)</f>
        <v/>
      </c>
      <c r="U341" s="73">
        <f>IF(LEFT(A341,3)="PAT","특허","보고서")</f>
        <v/>
      </c>
      <c r="V341" s="86">
        <f>COUNTIF($S$2:$S$976,"&lt;"&amp;S341)+(COUNTIF($S$2:$S$976,"="&amp;S341)+1)/2</f>
        <v/>
      </c>
      <c r="W341" s="73">
        <f>IF(C341="qwen",0,COUNTIFS($C$2:$C$976,"&lt;&gt;qwen",$S$2:$S$976,"&lt;"&amp;S341)+1)</f>
        <v/>
      </c>
      <c r="X341" s="73">
        <f>IF(C341="ministral",0,COUNTIFS($C$2:$C$976,"&lt;&gt;ministral",$S$2:$S$976,"&lt;"&amp;S341)+1)</f>
        <v/>
      </c>
      <c r="Y341" s="73">
        <f>IF(C341="gemma",0,COUNTIFS($C$2:$C$976,"&lt;&gt;gemma",$S$2:$S$976,"&lt;"&amp;S341)+1)</f>
        <v/>
      </c>
      <c r="Z341" s="87">
        <f>COUNTIFS($B$2:$B$976,B341,$C$2:$C$976,C341,$S$2:$S$976,"&lt;"&amp;S341)+1</f>
        <v/>
      </c>
      <c r="AA341" s="88">
        <f>ABS(S341-SUMPRODUCT(('05B_가정검정'!$A$5:$A$19=B341)*('05B_가정검정'!$B$5:$B$19=C341)*'05B_가정검정'!$E$5:$E$19))</f>
        <v/>
      </c>
      <c r="AB341" s="88">
        <f>S341-AVERAGEIFS($S$2:$S$976,$B$2:$B$976,B341,$C$2:$C$976,C341)</f>
        <v/>
      </c>
    </row>
    <row r="342" ht="15" customHeight="1" s="68">
      <c r="A342" s="83" t="inlineStr">
        <is>
          <t>PAT-23</t>
        </is>
      </c>
      <c r="B342" s="83" t="inlineStr">
        <is>
          <t>mistral</t>
        </is>
      </c>
      <c r="C342" s="83" t="inlineStr">
        <is>
          <t>ministral</t>
        </is>
      </c>
      <c r="D342" s="84" t="n">
        <v>0.314087759815243</v>
      </c>
      <c r="E342" s="84" t="n">
        <v>0.329608938547486</v>
      </c>
      <c r="F342" s="84" t="n">
        <v>0.112359550561798</v>
      </c>
      <c r="G342" s="84" t="n">
        <v>0.206703910614525</v>
      </c>
      <c r="H342" s="84" t="n">
        <v>0.285887586817913</v>
      </c>
      <c r="I342" s="84" t="n">
        <v>0.226920297106024</v>
      </c>
      <c r="J342" s="84" t="n">
        <v>0.705989449804149</v>
      </c>
      <c r="K342" s="84" t="n">
        <v>0.687963412538203</v>
      </c>
      <c r="L342" s="84" t="n">
        <v>0.832918617235508</v>
      </c>
      <c r="M342" s="84" t="n">
        <v>0.461971830985916</v>
      </c>
      <c r="N342" s="84" t="n">
        <v>0.297297297297297</v>
      </c>
      <c r="O342" s="84" t="n">
        <v>0.7692307692307691</v>
      </c>
      <c r="P342" s="85">
        <f>AVERAGE(D342:I342)</f>
        <v/>
      </c>
      <c r="Q342" s="85">
        <f>AVERAGE(J342:L342)</f>
        <v/>
      </c>
      <c r="R342" s="85">
        <f>AVERAGE(M342:O342)</f>
        <v/>
      </c>
      <c r="S342" s="85">
        <f>'02_지표정의'!$C$22*P342+'02_지표정의'!$C$23*Q342+'02_지표정의'!$C$24*R342</f>
        <v/>
      </c>
      <c r="T342" s="73">
        <f>IF(OR(AND(B342="gemini",C342="gemma"),AND(B342="qwen3_6",C342="qwen"),AND(B342="mistral",C342="ministral")),1,0)</f>
        <v/>
      </c>
      <c r="U342" s="73">
        <f>IF(LEFT(A342,3)="PAT","특허","보고서")</f>
        <v/>
      </c>
      <c r="V342" s="86">
        <f>COUNTIF($S$2:$S$976,"&lt;"&amp;S342)+(COUNTIF($S$2:$S$976,"="&amp;S342)+1)/2</f>
        <v/>
      </c>
      <c r="W342" s="73">
        <f>IF(C342="qwen",0,COUNTIFS($C$2:$C$976,"&lt;&gt;qwen",$S$2:$S$976,"&lt;"&amp;S342)+1)</f>
        <v/>
      </c>
      <c r="X342" s="73">
        <f>IF(C342="ministral",0,COUNTIFS($C$2:$C$976,"&lt;&gt;ministral",$S$2:$S$976,"&lt;"&amp;S342)+1)</f>
        <v/>
      </c>
      <c r="Y342" s="73">
        <f>IF(C342="gemma",0,COUNTIFS($C$2:$C$976,"&lt;&gt;gemma",$S$2:$S$976,"&lt;"&amp;S342)+1)</f>
        <v/>
      </c>
      <c r="Z342" s="87">
        <f>COUNTIFS($B$2:$B$976,B342,$C$2:$C$976,C342,$S$2:$S$976,"&lt;"&amp;S342)+1</f>
        <v/>
      </c>
      <c r="AA342" s="88">
        <f>ABS(S342-SUMPRODUCT(('05B_가정검정'!$A$5:$A$19=B342)*('05B_가정검정'!$B$5:$B$19=C342)*'05B_가정검정'!$E$5:$E$19))</f>
        <v/>
      </c>
      <c r="AB342" s="88">
        <f>S342-AVERAGEIFS($S$2:$S$976,$B$2:$B$976,B342,$C$2:$C$976,C342)</f>
        <v/>
      </c>
    </row>
    <row r="343" ht="15" customHeight="1" s="68">
      <c r="A343" s="83" t="inlineStr">
        <is>
          <t>PAT-23</t>
        </is>
      </c>
      <c r="B343" s="83" t="inlineStr">
        <is>
          <t>mistral</t>
        </is>
      </c>
      <c r="C343" s="83" t="inlineStr">
        <is>
          <t>qwen</t>
        </is>
      </c>
      <c r="D343" s="84" t="n">
        <v>0.262881177707676</v>
      </c>
      <c r="E343" s="84" t="n">
        <v>0.42948717948718</v>
      </c>
      <c r="F343" s="84" t="n">
        <v>0.167741935483871</v>
      </c>
      <c r="G343" s="84" t="n">
        <v>0.294871794871795</v>
      </c>
      <c r="H343" s="84" t="n">
        <v>0.264597205922864</v>
      </c>
      <c r="I343" s="84" t="n">
        <v>0.38436737596228</v>
      </c>
      <c r="J343" s="84" t="n">
        <v>0.681935915878765</v>
      </c>
      <c r="K343" s="84" t="n">
        <v>0.649663430798998</v>
      </c>
      <c r="L343" s="84" t="n">
        <v>0.808484410974873</v>
      </c>
      <c r="M343" s="84" t="n">
        <v>0.587939698492462</v>
      </c>
      <c r="N343" s="84" t="n">
        <v>0.282608695652174</v>
      </c>
      <c r="O343" s="84" t="n">
        <v>0.68421052631579</v>
      </c>
      <c r="P343" s="85">
        <f>AVERAGE(D343:I343)</f>
        <v/>
      </c>
      <c r="Q343" s="85">
        <f>AVERAGE(J343:L343)</f>
        <v/>
      </c>
      <c r="R343" s="85">
        <f>AVERAGE(M343:O343)</f>
        <v/>
      </c>
      <c r="S343" s="85">
        <f>'02_지표정의'!$C$22*P343+'02_지표정의'!$C$23*Q343+'02_지표정의'!$C$24*R343</f>
        <v/>
      </c>
      <c r="T343" s="73">
        <f>IF(OR(AND(B343="gemini",C343="gemma"),AND(B343="qwen3_6",C343="qwen"),AND(B343="mistral",C343="ministral")),1,0)</f>
        <v/>
      </c>
      <c r="U343" s="73">
        <f>IF(LEFT(A343,3)="PAT","특허","보고서")</f>
        <v/>
      </c>
      <c r="V343" s="86">
        <f>COUNTIF($S$2:$S$976,"&lt;"&amp;S343)+(COUNTIF($S$2:$S$976,"="&amp;S343)+1)/2</f>
        <v/>
      </c>
      <c r="W343" s="73">
        <f>IF(C343="qwen",0,COUNTIFS($C$2:$C$976,"&lt;&gt;qwen",$S$2:$S$976,"&lt;"&amp;S343)+1)</f>
        <v/>
      </c>
      <c r="X343" s="73">
        <f>IF(C343="ministral",0,COUNTIFS($C$2:$C$976,"&lt;&gt;ministral",$S$2:$S$976,"&lt;"&amp;S343)+1)</f>
        <v/>
      </c>
      <c r="Y343" s="73">
        <f>IF(C343="gemma",0,COUNTIFS($C$2:$C$976,"&lt;&gt;gemma",$S$2:$S$976,"&lt;"&amp;S343)+1)</f>
        <v/>
      </c>
      <c r="Z343" s="87">
        <f>COUNTIFS($B$2:$B$976,B343,$C$2:$C$976,C343,$S$2:$S$976,"&lt;"&amp;S343)+1</f>
        <v/>
      </c>
      <c r="AA343" s="88">
        <f>ABS(S343-SUMPRODUCT(('05B_가정검정'!$A$5:$A$19=B343)*('05B_가정검정'!$B$5:$B$19=C343)*'05B_가정검정'!$E$5:$E$19))</f>
        <v/>
      </c>
      <c r="AB343" s="88">
        <f>S343-AVERAGEIFS($S$2:$S$976,$B$2:$B$976,B343,$C$2:$C$976,C343)</f>
        <v/>
      </c>
    </row>
    <row r="344" ht="15" customHeight="1" s="68">
      <c r="A344" s="83" t="inlineStr">
        <is>
          <t>PAT-23</t>
        </is>
      </c>
      <c r="B344" s="83" t="inlineStr">
        <is>
          <t>qwen3_6</t>
        </is>
      </c>
      <c r="C344" s="83" t="inlineStr">
        <is>
          <t>gemma</t>
        </is>
      </c>
      <c r="D344" s="84" t="n">
        <v>0.261519302615193</v>
      </c>
      <c r="E344" s="84" t="n">
        <v>0.398305084745763</v>
      </c>
      <c r="F344" s="84" t="n">
        <v>0.145299145299145</v>
      </c>
      <c r="G344" s="84" t="n">
        <v>0.279661016949153</v>
      </c>
      <c r="H344" s="84" t="n">
        <v>0.377594532207687</v>
      </c>
      <c r="I344" s="84" t="n">
        <v>0.208867188275245</v>
      </c>
      <c r="J344" s="84" t="n">
        <v>0.725916003943664</v>
      </c>
      <c r="K344" s="84" t="n">
        <v>0.654502454719622</v>
      </c>
      <c r="L344" s="84" t="n">
        <v>0.873767429574667</v>
      </c>
      <c r="M344" s="84" t="n">
        <v>0.906542056074766</v>
      </c>
      <c r="N344" s="84" t="n">
        <v>0.916666666666667</v>
      </c>
      <c r="O344" s="84" t="n">
        <v>1</v>
      </c>
      <c r="P344" s="85">
        <f>AVERAGE(D344:I344)</f>
        <v/>
      </c>
      <c r="Q344" s="85">
        <f>AVERAGE(J344:L344)</f>
        <v/>
      </c>
      <c r="R344" s="85">
        <f>AVERAGE(M344:O344)</f>
        <v/>
      </c>
      <c r="S344" s="85">
        <f>'02_지표정의'!$C$22*P344+'02_지표정의'!$C$23*Q344+'02_지표정의'!$C$24*R344</f>
        <v/>
      </c>
      <c r="T344" s="73">
        <f>IF(OR(AND(B344="gemini",C344="gemma"),AND(B344="qwen3_6",C344="qwen"),AND(B344="mistral",C344="ministral")),1,0)</f>
        <v/>
      </c>
      <c r="U344" s="73">
        <f>IF(LEFT(A344,3)="PAT","특허","보고서")</f>
        <v/>
      </c>
      <c r="V344" s="86">
        <f>COUNTIF($S$2:$S$976,"&lt;"&amp;S344)+(COUNTIF($S$2:$S$976,"="&amp;S344)+1)/2</f>
        <v/>
      </c>
      <c r="W344" s="73">
        <f>IF(C344="qwen",0,COUNTIFS($C$2:$C$976,"&lt;&gt;qwen",$S$2:$S$976,"&lt;"&amp;S344)+1)</f>
        <v/>
      </c>
      <c r="X344" s="73">
        <f>IF(C344="ministral",0,COUNTIFS($C$2:$C$976,"&lt;&gt;ministral",$S$2:$S$976,"&lt;"&amp;S344)+1)</f>
        <v/>
      </c>
      <c r="Y344" s="73">
        <f>IF(C344="gemma",0,COUNTIFS($C$2:$C$976,"&lt;&gt;gemma",$S$2:$S$976,"&lt;"&amp;S344)+1)</f>
        <v/>
      </c>
      <c r="Z344" s="87">
        <f>COUNTIFS($B$2:$B$976,B344,$C$2:$C$976,C344,$S$2:$S$976,"&lt;"&amp;S344)+1</f>
        <v/>
      </c>
      <c r="AA344" s="88">
        <f>ABS(S344-SUMPRODUCT(('05B_가정검정'!$A$5:$A$19=B344)*('05B_가정검정'!$B$5:$B$19=C344)*'05B_가정검정'!$E$5:$E$19))</f>
        <v/>
      </c>
      <c r="AB344" s="88">
        <f>S344-AVERAGEIFS($S$2:$S$976,$B$2:$B$976,B344,$C$2:$C$976,C344)</f>
        <v/>
      </c>
    </row>
    <row r="345" ht="15" customHeight="1" s="68">
      <c r="A345" s="83" t="inlineStr">
        <is>
          <t>PAT-23</t>
        </is>
      </c>
      <c r="B345" s="83" t="inlineStr">
        <is>
          <t>qwen3_6</t>
        </is>
      </c>
      <c r="C345" s="83" t="inlineStr">
        <is>
          <t>ministral</t>
        </is>
      </c>
      <c r="D345" s="84" t="n">
        <v>0.26036866359447</v>
      </c>
      <c r="E345" s="84" t="n">
        <v>0.258258258258258</v>
      </c>
      <c r="F345" s="84" t="n">
        <v>0.108761329305136</v>
      </c>
      <c r="G345" s="84" t="n">
        <v>0.204204204204204</v>
      </c>
      <c r="H345" s="84" t="n">
        <v>0.210376876432781</v>
      </c>
      <c r="I345" s="84" t="n">
        <v>0.169172003697634</v>
      </c>
      <c r="J345" s="84" t="n">
        <v>0.718044376274835</v>
      </c>
      <c r="K345" s="84" t="n">
        <v>0.672369746777562</v>
      </c>
      <c r="L345" s="84" t="n">
        <v>0.827052678075341</v>
      </c>
      <c r="M345" s="84" t="n">
        <v>0.273239436619718</v>
      </c>
      <c r="N345" s="84" t="n">
        <v>0.25</v>
      </c>
      <c r="O345" s="84" t="n">
        <v>0.526315789473684</v>
      </c>
      <c r="P345" s="85">
        <f>AVERAGE(D345:I345)</f>
        <v/>
      </c>
      <c r="Q345" s="85">
        <f>AVERAGE(J345:L345)</f>
        <v/>
      </c>
      <c r="R345" s="85">
        <f>AVERAGE(M345:O345)</f>
        <v/>
      </c>
      <c r="S345" s="85">
        <f>'02_지표정의'!$C$22*P345+'02_지표정의'!$C$23*Q345+'02_지표정의'!$C$24*R345</f>
        <v/>
      </c>
      <c r="T345" s="73">
        <f>IF(OR(AND(B345="gemini",C345="gemma"),AND(B345="qwen3_6",C345="qwen"),AND(B345="mistral",C345="ministral")),1,0)</f>
        <v/>
      </c>
      <c r="U345" s="73">
        <f>IF(LEFT(A345,3)="PAT","특허","보고서")</f>
        <v/>
      </c>
      <c r="V345" s="86">
        <f>COUNTIF($S$2:$S$976,"&lt;"&amp;S345)+(COUNTIF($S$2:$S$976,"="&amp;S345)+1)/2</f>
        <v/>
      </c>
      <c r="W345" s="73">
        <f>IF(C345="qwen",0,COUNTIFS($C$2:$C$976,"&lt;&gt;qwen",$S$2:$S$976,"&lt;"&amp;S345)+1)</f>
        <v/>
      </c>
      <c r="X345" s="73">
        <f>IF(C345="ministral",0,COUNTIFS($C$2:$C$976,"&lt;&gt;ministral",$S$2:$S$976,"&lt;"&amp;S345)+1)</f>
        <v/>
      </c>
      <c r="Y345" s="73">
        <f>IF(C345="gemma",0,COUNTIFS($C$2:$C$976,"&lt;&gt;gemma",$S$2:$S$976,"&lt;"&amp;S345)+1)</f>
        <v/>
      </c>
      <c r="Z345" s="87">
        <f>COUNTIFS($B$2:$B$976,B345,$C$2:$C$976,C345,$S$2:$S$976,"&lt;"&amp;S345)+1</f>
        <v/>
      </c>
      <c r="AA345" s="88">
        <f>ABS(S345-SUMPRODUCT(('05B_가정검정'!$A$5:$A$19=B345)*('05B_가정검정'!$B$5:$B$19=C345)*'05B_가정검정'!$E$5:$E$19))</f>
        <v/>
      </c>
      <c r="AB345" s="88">
        <f>S345-AVERAGEIFS($S$2:$S$976,$B$2:$B$976,B345,$C$2:$C$976,C345)</f>
        <v/>
      </c>
    </row>
    <row r="346" ht="15" customHeight="1" s="68">
      <c r="A346" s="83" t="inlineStr">
        <is>
          <t>PAT-23</t>
        </is>
      </c>
      <c r="B346" s="83" t="inlineStr">
        <is>
          <t>qwen3_6</t>
        </is>
      </c>
      <c r="C346" s="83" t="inlineStr">
        <is>
          <t>qwen</t>
        </is>
      </c>
      <c r="D346" s="84" t="n">
        <v>0.285414480587618</v>
      </c>
      <c r="E346" s="84" t="n">
        <v>0.418118466898955</v>
      </c>
      <c r="F346" s="84" t="n">
        <v>0.16140350877193</v>
      </c>
      <c r="G346" s="84" t="n">
        <v>0.327526132404181</v>
      </c>
      <c r="H346" s="84" t="n">
        <v>0.263225533609727</v>
      </c>
      <c r="I346" s="84" t="n">
        <v>0.353457377060278</v>
      </c>
      <c r="J346" s="84" t="n">
        <v>0.704409496108758</v>
      </c>
      <c r="K346" s="84" t="n">
        <v>0.659874852038879</v>
      </c>
      <c r="L346" s="84" t="n">
        <v>0.8298983732060931</v>
      </c>
      <c r="M346" s="84" t="n">
        <v>0.544943820224719</v>
      </c>
      <c r="N346" s="84" t="n">
        <v>0.604395604395605</v>
      </c>
      <c r="O346" s="84" t="n">
        <v>1</v>
      </c>
      <c r="P346" s="85">
        <f>AVERAGE(D346:I346)</f>
        <v/>
      </c>
      <c r="Q346" s="85">
        <f>AVERAGE(J346:L346)</f>
        <v/>
      </c>
      <c r="R346" s="85">
        <f>AVERAGE(M346:O346)</f>
        <v/>
      </c>
      <c r="S346" s="85">
        <f>'02_지표정의'!$C$22*P346+'02_지표정의'!$C$23*Q346+'02_지표정의'!$C$24*R346</f>
        <v/>
      </c>
      <c r="T346" s="73">
        <f>IF(OR(AND(B346="gemini",C346="gemma"),AND(B346="qwen3_6",C346="qwen"),AND(B346="mistral",C346="ministral")),1,0)</f>
        <v/>
      </c>
      <c r="U346" s="73">
        <f>IF(LEFT(A346,3)="PAT","특허","보고서")</f>
        <v/>
      </c>
      <c r="V346" s="86">
        <f>COUNTIF($S$2:$S$976,"&lt;"&amp;S346)+(COUNTIF($S$2:$S$976,"="&amp;S346)+1)/2</f>
        <v/>
      </c>
      <c r="W346" s="73">
        <f>IF(C346="qwen",0,COUNTIFS($C$2:$C$976,"&lt;&gt;qwen",$S$2:$S$976,"&lt;"&amp;S346)+1)</f>
        <v/>
      </c>
      <c r="X346" s="73">
        <f>IF(C346="ministral",0,COUNTIFS($C$2:$C$976,"&lt;&gt;ministral",$S$2:$S$976,"&lt;"&amp;S346)+1)</f>
        <v/>
      </c>
      <c r="Y346" s="73">
        <f>IF(C346="gemma",0,COUNTIFS($C$2:$C$976,"&lt;&gt;gemma",$S$2:$S$976,"&lt;"&amp;S346)+1)</f>
        <v/>
      </c>
      <c r="Z346" s="87">
        <f>COUNTIFS($B$2:$B$976,B346,$C$2:$C$976,C346,$S$2:$S$976,"&lt;"&amp;S346)+1</f>
        <v/>
      </c>
      <c r="AA346" s="88">
        <f>ABS(S346-SUMPRODUCT(('05B_가정검정'!$A$5:$A$19=B346)*('05B_가정검정'!$B$5:$B$19=C346)*'05B_가정검정'!$E$5:$E$19))</f>
        <v/>
      </c>
      <c r="AB346" s="88">
        <f>S346-AVERAGEIFS($S$2:$S$976,$B$2:$B$976,B346,$C$2:$C$976,C346)</f>
        <v/>
      </c>
    </row>
    <row r="347" ht="15" customHeight="1" s="68">
      <c r="A347" s="83" t="inlineStr">
        <is>
          <t>PAT-24</t>
        </is>
      </c>
      <c r="B347" s="83" t="inlineStr">
        <is>
          <t>chatgpt</t>
        </is>
      </c>
      <c r="C347" s="83" t="inlineStr">
        <is>
          <t>gemma</t>
        </is>
      </c>
      <c r="D347" s="84" t="n">
        <v>0.231923601637108</v>
      </c>
      <c r="E347" s="84" t="n">
        <v>0.340659340659341</v>
      </c>
      <c r="F347" s="84" t="n">
        <v>0.133333333333333</v>
      </c>
      <c r="G347" s="84" t="n">
        <v>0.274725274725275</v>
      </c>
      <c r="H347" s="84" t="n">
        <v>0.252467135855589</v>
      </c>
      <c r="I347" s="84" t="n">
        <v>0.350323543032713</v>
      </c>
      <c r="J347" s="84" t="n">
        <v>0.7130185234625031</v>
      </c>
      <c r="K347" s="84" t="n">
        <v>0.692955035464682</v>
      </c>
      <c r="L347" s="84" t="n">
        <v>0.811300632272701</v>
      </c>
      <c r="M347" s="84" t="n">
        <v>0.562913907284768</v>
      </c>
      <c r="N347" s="84" t="n">
        <v>0.231707317073171</v>
      </c>
      <c r="O347" s="84" t="n">
        <v>1</v>
      </c>
      <c r="P347" s="85">
        <f>AVERAGE(D347:I347)</f>
        <v/>
      </c>
      <c r="Q347" s="85">
        <f>AVERAGE(J347:L347)</f>
        <v/>
      </c>
      <c r="R347" s="85">
        <f>AVERAGE(M347:O347)</f>
        <v/>
      </c>
      <c r="S347" s="85">
        <f>'02_지표정의'!$C$22*P347+'02_지표정의'!$C$23*Q347+'02_지표정의'!$C$24*R347</f>
        <v/>
      </c>
      <c r="T347" s="73">
        <f>IF(OR(AND(B347="gemini",C347="gemma"),AND(B347="qwen3_6",C347="qwen"),AND(B347="mistral",C347="ministral")),1,0)</f>
        <v/>
      </c>
      <c r="U347" s="73">
        <f>IF(LEFT(A347,3)="PAT","특허","보고서")</f>
        <v/>
      </c>
      <c r="V347" s="86">
        <f>COUNTIF($S$2:$S$976,"&lt;"&amp;S347)+(COUNTIF($S$2:$S$976,"="&amp;S347)+1)/2</f>
        <v/>
      </c>
      <c r="W347" s="73">
        <f>IF(C347="qwen",0,COUNTIFS($C$2:$C$976,"&lt;&gt;qwen",$S$2:$S$976,"&lt;"&amp;S347)+1)</f>
        <v/>
      </c>
      <c r="X347" s="73">
        <f>IF(C347="ministral",0,COUNTIFS($C$2:$C$976,"&lt;&gt;ministral",$S$2:$S$976,"&lt;"&amp;S347)+1)</f>
        <v/>
      </c>
      <c r="Y347" s="73">
        <f>IF(C347="gemma",0,COUNTIFS($C$2:$C$976,"&lt;&gt;gemma",$S$2:$S$976,"&lt;"&amp;S347)+1)</f>
        <v/>
      </c>
      <c r="Z347" s="87">
        <f>COUNTIFS($B$2:$B$976,B347,$C$2:$C$976,C347,$S$2:$S$976,"&lt;"&amp;S347)+1</f>
        <v/>
      </c>
      <c r="AA347" s="88">
        <f>ABS(S347-SUMPRODUCT(('05B_가정검정'!$A$5:$A$19=B347)*('05B_가정검정'!$B$5:$B$19=C347)*'05B_가정검정'!$E$5:$E$19))</f>
        <v/>
      </c>
      <c r="AB347" s="88">
        <f>S347-AVERAGEIFS($S$2:$S$976,$B$2:$B$976,B347,$C$2:$C$976,C347)</f>
        <v/>
      </c>
    </row>
    <row r="348" ht="15" customHeight="1" s="68">
      <c r="A348" s="83" t="inlineStr">
        <is>
          <t>PAT-24</t>
        </is>
      </c>
      <c r="B348" s="83" t="inlineStr">
        <is>
          <t>chatgpt</t>
        </is>
      </c>
      <c r="C348" s="83" t="inlineStr">
        <is>
          <t>ministral</t>
        </is>
      </c>
      <c r="D348" s="84" t="n">
        <v>0.325806451612903</v>
      </c>
      <c r="E348" s="84" t="n">
        <v>0.36734693877551</v>
      </c>
      <c r="F348" s="84" t="n">
        <v>0.164948453608247</v>
      </c>
      <c r="G348" s="84" t="n">
        <v>0.316326530612245</v>
      </c>
      <c r="H348" s="84" t="n">
        <v>0.195688535113568</v>
      </c>
      <c r="I348" s="84" t="n">
        <v>0.430760520331618</v>
      </c>
      <c r="J348" s="84" t="n">
        <v>0.679100255028171</v>
      </c>
      <c r="K348" s="84" t="n">
        <v>0.661128678049908</v>
      </c>
      <c r="L348" s="84" t="n">
        <v>0.818648990000997</v>
      </c>
      <c r="M348" s="84" t="n">
        <v>0.452380952380952</v>
      </c>
      <c r="N348" s="84" t="n">
        <v>0</v>
      </c>
      <c r="O348" s="84" t="n">
        <v>0.526315789473684</v>
      </c>
      <c r="P348" s="85">
        <f>AVERAGE(D348:I348)</f>
        <v/>
      </c>
      <c r="Q348" s="85">
        <f>AVERAGE(J348:L348)</f>
        <v/>
      </c>
      <c r="R348" s="85">
        <f>AVERAGE(M348:O348)</f>
        <v/>
      </c>
      <c r="S348" s="85">
        <f>'02_지표정의'!$C$22*P348+'02_지표정의'!$C$23*Q348+'02_지표정의'!$C$24*R348</f>
        <v/>
      </c>
      <c r="T348" s="73">
        <f>IF(OR(AND(B348="gemini",C348="gemma"),AND(B348="qwen3_6",C348="qwen"),AND(B348="mistral",C348="ministral")),1,0)</f>
        <v/>
      </c>
      <c r="U348" s="73">
        <f>IF(LEFT(A348,3)="PAT","특허","보고서")</f>
        <v/>
      </c>
      <c r="V348" s="86">
        <f>COUNTIF($S$2:$S$976,"&lt;"&amp;S348)+(COUNTIF($S$2:$S$976,"="&amp;S348)+1)/2</f>
        <v/>
      </c>
      <c r="W348" s="73">
        <f>IF(C348="qwen",0,COUNTIFS($C$2:$C$976,"&lt;&gt;qwen",$S$2:$S$976,"&lt;"&amp;S348)+1)</f>
        <v/>
      </c>
      <c r="X348" s="73">
        <f>IF(C348="ministral",0,COUNTIFS($C$2:$C$976,"&lt;&gt;ministral",$S$2:$S$976,"&lt;"&amp;S348)+1)</f>
        <v/>
      </c>
      <c r="Y348" s="73">
        <f>IF(C348="gemma",0,COUNTIFS($C$2:$C$976,"&lt;&gt;gemma",$S$2:$S$976,"&lt;"&amp;S348)+1)</f>
        <v/>
      </c>
      <c r="Z348" s="87">
        <f>COUNTIFS($B$2:$B$976,B348,$C$2:$C$976,C348,$S$2:$S$976,"&lt;"&amp;S348)+1</f>
        <v/>
      </c>
      <c r="AA348" s="88">
        <f>ABS(S348-SUMPRODUCT(('05B_가정검정'!$A$5:$A$19=B348)*('05B_가정검정'!$B$5:$B$19=C348)*'05B_가정검정'!$E$5:$E$19))</f>
        <v/>
      </c>
      <c r="AB348" s="88">
        <f>S348-AVERAGEIFS($S$2:$S$976,$B$2:$B$976,B348,$C$2:$C$976,C348)</f>
        <v/>
      </c>
    </row>
    <row r="349" ht="15" customHeight="1" s="68">
      <c r="A349" s="83" t="inlineStr">
        <is>
          <t>PAT-24</t>
        </is>
      </c>
      <c r="B349" s="83" t="inlineStr">
        <is>
          <t>chatgpt</t>
        </is>
      </c>
      <c r="C349" s="83" t="inlineStr">
        <is>
          <t>qwen</t>
        </is>
      </c>
      <c r="D349" s="84" t="n">
        <v>0.296503496503497</v>
      </c>
      <c r="E349" s="84" t="n">
        <v>0.404494382022472</v>
      </c>
      <c r="F349" s="84" t="n">
        <v>0.193181818181818</v>
      </c>
      <c r="G349" s="84" t="n">
        <v>0.325842696629214</v>
      </c>
      <c r="H349" s="84" t="n">
        <v>0.251509070600198</v>
      </c>
      <c r="I349" s="84" t="n">
        <v>0.535755375180098</v>
      </c>
      <c r="J349" s="84" t="n">
        <v>0.725395353991924</v>
      </c>
      <c r="K349" s="84" t="n">
        <v>0.63978405454697</v>
      </c>
      <c r="L349" s="84" t="n">
        <v>0.841684267597447</v>
      </c>
      <c r="M349" s="84" t="n">
        <v>0.490066225165563</v>
      </c>
      <c r="N349" s="84" t="n">
        <v>0</v>
      </c>
      <c r="O349" s="84" t="n">
        <v>1</v>
      </c>
      <c r="P349" s="85">
        <f>AVERAGE(D349:I349)</f>
        <v/>
      </c>
      <c r="Q349" s="85">
        <f>AVERAGE(J349:L349)</f>
        <v/>
      </c>
      <c r="R349" s="85">
        <f>AVERAGE(M349:O349)</f>
        <v/>
      </c>
      <c r="S349" s="85">
        <f>'02_지표정의'!$C$22*P349+'02_지표정의'!$C$23*Q349+'02_지표정의'!$C$24*R349</f>
        <v/>
      </c>
      <c r="T349" s="73">
        <f>IF(OR(AND(B349="gemini",C349="gemma"),AND(B349="qwen3_6",C349="qwen"),AND(B349="mistral",C349="ministral")),1,0)</f>
        <v/>
      </c>
      <c r="U349" s="73">
        <f>IF(LEFT(A349,3)="PAT","특허","보고서")</f>
        <v/>
      </c>
      <c r="V349" s="86">
        <f>COUNTIF($S$2:$S$976,"&lt;"&amp;S349)+(COUNTIF($S$2:$S$976,"="&amp;S349)+1)/2</f>
        <v/>
      </c>
      <c r="W349" s="73">
        <f>IF(C349="qwen",0,COUNTIFS($C$2:$C$976,"&lt;&gt;qwen",$S$2:$S$976,"&lt;"&amp;S349)+1)</f>
        <v/>
      </c>
      <c r="X349" s="73">
        <f>IF(C349="ministral",0,COUNTIFS($C$2:$C$976,"&lt;&gt;ministral",$S$2:$S$976,"&lt;"&amp;S349)+1)</f>
        <v/>
      </c>
      <c r="Y349" s="73">
        <f>IF(C349="gemma",0,COUNTIFS($C$2:$C$976,"&lt;&gt;gemma",$S$2:$S$976,"&lt;"&amp;S349)+1)</f>
        <v/>
      </c>
      <c r="Z349" s="87">
        <f>COUNTIFS($B$2:$B$976,B349,$C$2:$C$976,C349,$S$2:$S$976,"&lt;"&amp;S349)+1</f>
        <v/>
      </c>
      <c r="AA349" s="88">
        <f>ABS(S349-SUMPRODUCT(('05B_가정검정'!$A$5:$A$19=B349)*('05B_가정검정'!$B$5:$B$19=C349)*'05B_가정검정'!$E$5:$E$19))</f>
        <v/>
      </c>
      <c r="AB349" s="88">
        <f>S349-AVERAGEIFS($S$2:$S$976,$B$2:$B$976,B349,$C$2:$C$976,C349)</f>
        <v/>
      </c>
    </row>
    <row r="350" ht="15" customHeight="1" s="68">
      <c r="A350" s="83" t="inlineStr">
        <is>
          <t>PAT-24</t>
        </is>
      </c>
      <c r="B350" s="83" t="inlineStr">
        <is>
          <t>claude</t>
        </is>
      </c>
      <c r="C350" s="83" t="inlineStr">
        <is>
          <t>gemma</t>
        </is>
      </c>
      <c r="D350" s="84" t="n">
        <v>0.233265720081136</v>
      </c>
      <c r="E350" s="84" t="n">
        <v>0.352517985611511</v>
      </c>
      <c r="F350" s="84" t="n">
        <v>0.0869565217391305</v>
      </c>
      <c r="G350" s="84" t="n">
        <v>0.215827338129496</v>
      </c>
      <c r="H350" s="84" t="n">
        <v>0.314438721152496</v>
      </c>
      <c r="I350" s="84" t="n">
        <v>0.379392905141111</v>
      </c>
      <c r="J350" s="84" t="n">
        <v>0.682048448510909</v>
      </c>
      <c r="K350" s="84" t="n">
        <v>0.681539966350554</v>
      </c>
      <c r="L350" s="84" t="n">
        <v>0.833212147578953</v>
      </c>
      <c r="M350" s="84" t="n">
        <v>0.645833333333333</v>
      </c>
      <c r="N350" s="84" t="n">
        <v>0.583333333333333</v>
      </c>
      <c r="O350" s="84" t="n">
        <v>1</v>
      </c>
      <c r="P350" s="85">
        <f>AVERAGE(D350:I350)</f>
        <v/>
      </c>
      <c r="Q350" s="85">
        <f>AVERAGE(J350:L350)</f>
        <v/>
      </c>
      <c r="R350" s="85">
        <f>AVERAGE(M350:O350)</f>
        <v/>
      </c>
      <c r="S350" s="85">
        <f>'02_지표정의'!$C$22*P350+'02_지표정의'!$C$23*Q350+'02_지표정의'!$C$24*R350</f>
        <v/>
      </c>
      <c r="T350" s="73">
        <f>IF(OR(AND(B350="gemini",C350="gemma"),AND(B350="qwen3_6",C350="qwen"),AND(B350="mistral",C350="ministral")),1,0)</f>
        <v/>
      </c>
      <c r="U350" s="73">
        <f>IF(LEFT(A350,3)="PAT","특허","보고서")</f>
        <v/>
      </c>
      <c r="V350" s="86">
        <f>COUNTIF($S$2:$S$976,"&lt;"&amp;S350)+(COUNTIF($S$2:$S$976,"="&amp;S350)+1)/2</f>
        <v/>
      </c>
      <c r="W350" s="73">
        <f>IF(C350="qwen",0,COUNTIFS($C$2:$C$976,"&lt;&gt;qwen",$S$2:$S$976,"&lt;"&amp;S350)+1)</f>
        <v/>
      </c>
      <c r="X350" s="73">
        <f>IF(C350="ministral",0,COUNTIFS($C$2:$C$976,"&lt;&gt;ministral",$S$2:$S$976,"&lt;"&amp;S350)+1)</f>
        <v/>
      </c>
      <c r="Y350" s="73">
        <f>IF(C350="gemma",0,COUNTIFS($C$2:$C$976,"&lt;&gt;gemma",$S$2:$S$976,"&lt;"&amp;S350)+1)</f>
        <v/>
      </c>
      <c r="Z350" s="87">
        <f>COUNTIFS($B$2:$B$976,B350,$C$2:$C$976,C350,$S$2:$S$976,"&lt;"&amp;S350)+1</f>
        <v/>
      </c>
      <c r="AA350" s="88">
        <f>ABS(S350-SUMPRODUCT(('05B_가정검정'!$A$5:$A$19=B350)*('05B_가정검정'!$B$5:$B$19=C350)*'05B_가정검정'!$E$5:$E$19))</f>
        <v/>
      </c>
      <c r="AB350" s="88">
        <f>S350-AVERAGEIFS($S$2:$S$976,$B$2:$B$976,B350,$C$2:$C$976,C350)</f>
        <v/>
      </c>
    </row>
    <row r="351" ht="15" customHeight="1" s="68">
      <c r="A351" s="83" t="inlineStr">
        <is>
          <t>PAT-24</t>
        </is>
      </c>
      <c r="B351" s="83" t="inlineStr">
        <is>
          <t>claude</t>
        </is>
      </c>
      <c r="C351" s="83" t="inlineStr">
        <is>
          <t>ministral</t>
        </is>
      </c>
      <c r="D351" s="84" t="n">
        <v>0.281786941580756</v>
      </c>
      <c r="E351" s="84" t="n">
        <v>0.410958904109589</v>
      </c>
      <c r="F351" s="84" t="n">
        <v>0.16551724137931</v>
      </c>
      <c r="G351" s="84" t="n">
        <v>0.308219178082192</v>
      </c>
      <c r="H351" s="84" t="n">
        <v>0.310745215055034</v>
      </c>
      <c r="I351" s="84" t="n">
        <v>0.477478075507202</v>
      </c>
      <c r="J351" s="84" t="n">
        <v>0.699669297549988</v>
      </c>
      <c r="K351" s="84" t="n">
        <v>0.693893226634118</v>
      </c>
      <c r="L351" s="84" t="n">
        <v>0.838152342835026</v>
      </c>
      <c r="M351" s="84" t="n">
        <v>0.531746031746032</v>
      </c>
      <c r="N351" s="84" t="n">
        <v>0.31304347826087</v>
      </c>
      <c r="O351" s="84" t="n">
        <v>0.526315789473684</v>
      </c>
      <c r="P351" s="85">
        <f>AVERAGE(D351:I351)</f>
        <v/>
      </c>
      <c r="Q351" s="85">
        <f>AVERAGE(J351:L351)</f>
        <v/>
      </c>
      <c r="R351" s="85">
        <f>AVERAGE(M351:O351)</f>
        <v/>
      </c>
      <c r="S351" s="85">
        <f>'02_지표정의'!$C$22*P351+'02_지표정의'!$C$23*Q351+'02_지표정의'!$C$24*R351</f>
        <v/>
      </c>
      <c r="T351" s="73">
        <f>IF(OR(AND(B351="gemini",C351="gemma"),AND(B351="qwen3_6",C351="qwen"),AND(B351="mistral",C351="ministral")),1,0)</f>
        <v/>
      </c>
      <c r="U351" s="73">
        <f>IF(LEFT(A351,3)="PAT","특허","보고서")</f>
        <v/>
      </c>
      <c r="V351" s="86">
        <f>COUNTIF($S$2:$S$976,"&lt;"&amp;S351)+(COUNTIF($S$2:$S$976,"="&amp;S351)+1)/2</f>
        <v/>
      </c>
      <c r="W351" s="73">
        <f>IF(C351="qwen",0,COUNTIFS($C$2:$C$976,"&lt;&gt;qwen",$S$2:$S$976,"&lt;"&amp;S351)+1)</f>
        <v/>
      </c>
      <c r="X351" s="73">
        <f>IF(C351="ministral",0,COUNTIFS($C$2:$C$976,"&lt;&gt;ministral",$S$2:$S$976,"&lt;"&amp;S351)+1)</f>
        <v/>
      </c>
      <c r="Y351" s="73">
        <f>IF(C351="gemma",0,COUNTIFS($C$2:$C$976,"&lt;&gt;gemma",$S$2:$S$976,"&lt;"&amp;S351)+1)</f>
        <v/>
      </c>
      <c r="Z351" s="87">
        <f>COUNTIFS($B$2:$B$976,B351,$C$2:$C$976,C351,$S$2:$S$976,"&lt;"&amp;S351)+1</f>
        <v/>
      </c>
      <c r="AA351" s="88">
        <f>ABS(S351-SUMPRODUCT(('05B_가정검정'!$A$5:$A$19=B351)*('05B_가정검정'!$B$5:$B$19=C351)*'05B_가정검정'!$E$5:$E$19))</f>
        <v/>
      </c>
      <c r="AB351" s="88">
        <f>S351-AVERAGEIFS($S$2:$S$976,$B$2:$B$976,B351,$C$2:$C$976,C351)</f>
        <v/>
      </c>
    </row>
    <row r="352" ht="15" customHeight="1" s="68">
      <c r="A352" s="83" t="inlineStr">
        <is>
          <t>PAT-24</t>
        </is>
      </c>
      <c r="B352" s="83" t="inlineStr">
        <is>
          <t>claude</t>
        </is>
      </c>
      <c r="C352" s="83" t="inlineStr">
        <is>
          <t>qwen</t>
        </is>
      </c>
      <c r="D352" s="84" t="n">
        <v>0.301652892561984</v>
      </c>
      <c r="E352" s="84" t="n">
        <v>0.496350364963504</v>
      </c>
      <c r="F352" s="84" t="n">
        <v>0.198529411764706</v>
      </c>
      <c r="G352" s="84" t="n">
        <v>0.328467153284672</v>
      </c>
      <c r="H352" s="84" t="n">
        <v>0.372647459878026</v>
      </c>
      <c r="I352" s="84" t="n">
        <v>0.656038759708969</v>
      </c>
      <c r="J352" s="84" t="n">
        <v>0.739875418357985</v>
      </c>
      <c r="K352" s="84" t="n">
        <v>0.67219113626023</v>
      </c>
      <c r="L352" s="84" t="n">
        <v>0.84652312200385</v>
      </c>
      <c r="M352" s="84" t="n">
        <v>0.791666666666667</v>
      </c>
      <c r="N352" s="84" t="n">
        <v>0.821428571428571</v>
      </c>
      <c r="O352" s="84" t="n">
        <v>1</v>
      </c>
      <c r="P352" s="85">
        <f>AVERAGE(D352:I352)</f>
        <v/>
      </c>
      <c r="Q352" s="85">
        <f>AVERAGE(J352:L352)</f>
        <v/>
      </c>
      <c r="R352" s="85">
        <f>AVERAGE(M352:O352)</f>
        <v/>
      </c>
      <c r="S352" s="85">
        <f>'02_지표정의'!$C$22*P352+'02_지표정의'!$C$23*Q352+'02_지표정의'!$C$24*R352</f>
        <v/>
      </c>
      <c r="T352" s="73">
        <f>IF(OR(AND(B352="gemini",C352="gemma"),AND(B352="qwen3_6",C352="qwen"),AND(B352="mistral",C352="ministral")),1,0)</f>
        <v/>
      </c>
      <c r="U352" s="73">
        <f>IF(LEFT(A352,3)="PAT","특허","보고서")</f>
        <v/>
      </c>
      <c r="V352" s="86">
        <f>COUNTIF($S$2:$S$976,"&lt;"&amp;S352)+(COUNTIF($S$2:$S$976,"="&amp;S352)+1)/2</f>
        <v/>
      </c>
      <c r="W352" s="73">
        <f>IF(C352="qwen",0,COUNTIFS($C$2:$C$976,"&lt;&gt;qwen",$S$2:$S$976,"&lt;"&amp;S352)+1)</f>
        <v/>
      </c>
      <c r="X352" s="73">
        <f>IF(C352="ministral",0,COUNTIFS($C$2:$C$976,"&lt;&gt;ministral",$S$2:$S$976,"&lt;"&amp;S352)+1)</f>
        <v/>
      </c>
      <c r="Y352" s="73">
        <f>IF(C352="gemma",0,COUNTIFS($C$2:$C$976,"&lt;&gt;gemma",$S$2:$S$976,"&lt;"&amp;S352)+1)</f>
        <v/>
      </c>
      <c r="Z352" s="87">
        <f>COUNTIFS($B$2:$B$976,B352,$C$2:$C$976,C352,$S$2:$S$976,"&lt;"&amp;S352)+1</f>
        <v/>
      </c>
      <c r="AA352" s="88">
        <f>ABS(S352-SUMPRODUCT(('05B_가정검정'!$A$5:$A$19=B352)*('05B_가정검정'!$B$5:$B$19=C352)*'05B_가정검정'!$E$5:$E$19))</f>
        <v/>
      </c>
      <c r="AB352" s="88">
        <f>S352-AVERAGEIFS($S$2:$S$976,$B$2:$B$976,B352,$C$2:$C$976,C352)</f>
        <v/>
      </c>
    </row>
    <row r="353" ht="15" customHeight="1" s="68">
      <c r="A353" s="83" t="inlineStr">
        <is>
          <t>PAT-24</t>
        </is>
      </c>
      <c r="B353" s="83" t="inlineStr">
        <is>
          <t>gemini</t>
        </is>
      </c>
      <c r="C353" s="83" t="inlineStr">
        <is>
          <t>gemma</t>
        </is>
      </c>
      <c r="D353" s="84" t="n">
        <v>0.259119496855346</v>
      </c>
      <c r="E353" s="84" t="n">
        <v>0.329896907216495</v>
      </c>
      <c r="F353" s="84" t="n">
        <v>0.114583333333333</v>
      </c>
      <c r="G353" s="84" t="n">
        <v>0.257731958762887</v>
      </c>
      <c r="H353" s="84" t="n">
        <v>0.316483737667371</v>
      </c>
      <c r="I353" s="84" t="n">
        <v>0.342680317176409</v>
      </c>
      <c r="J353" s="84" t="n">
        <v>0.748740214997777</v>
      </c>
      <c r="K353" s="84" t="n">
        <v>0.792635237764708</v>
      </c>
      <c r="L353" s="84" t="n">
        <v>0.910003291161369</v>
      </c>
      <c r="M353" s="84" t="n">
        <v>0.906542056074766</v>
      </c>
      <c r="N353" s="84" t="n">
        <v>0.916666666666667</v>
      </c>
      <c r="O353" s="84" t="n">
        <v>1</v>
      </c>
      <c r="P353" s="85">
        <f>AVERAGE(D353:I353)</f>
        <v/>
      </c>
      <c r="Q353" s="85">
        <f>AVERAGE(J353:L353)</f>
        <v/>
      </c>
      <c r="R353" s="85">
        <f>AVERAGE(M353:O353)</f>
        <v/>
      </c>
      <c r="S353" s="85">
        <f>'02_지표정의'!$C$22*P353+'02_지표정의'!$C$23*Q353+'02_지표정의'!$C$24*R353</f>
        <v/>
      </c>
      <c r="T353" s="73">
        <f>IF(OR(AND(B353="gemini",C353="gemma"),AND(B353="qwen3_6",C353="qwen"),AND(B353="mistral",C353="ministral")),1,0)</f>
        <v/>
      </c>
      <c r="U353" s="73">
        <f>IF(LEFT(A353,3)="PAT","특허","보고서")</f>
        <v/>
      </c>
      <c r="V353" s="86">
        <f>COUNTIF($S$2:$S$976,"&lt;"&amp;S353)+(COUNTIF($S$2:$S$976,"="&amp;S353)+1)/2</f>
        <v/>
      </c>
      <c r="W353" s="73">
        <f>IF(C353="qwen",0,COUNTIFS($C$2:$C$976,"&lt;&gt;qwen",$S$2:$S$976,"&lt;"&amp;S353)+1)</f>
        <v/>
      </c>
      <c r="X353" s="73">
        <f>IF(C353="ministral",0,COUNTIFS($C$2:$C$976,"&lt;&gt;ministral",$S$2:$S$976,"&lt;"&amp;S353)+1)</f>
        <v/>
      </c>
      <c r="Y353" s="73">
        <f>IF(C353="gemma",0,COUNTIFS($C$2:$C$976,"&lt;&gt;gemma",$S$2:$S$976,"&lt;"&amp;S353)+1)</f>
        <v/>
      </c>
      <c r="Z353" s="87">
        <f>COUNTIFS($B$2:$B$976,B353,$C$2:$C$976,C353,$S$2:$S$976,"&lt;"&amp;S353)+1</f>
        <v/>
      </c>
      <c r="AA353" s="88">
        <f>ABS(S353-SUMPRODUCT(('05B_가정검정'!$A$5:$A$19=B353)*('05B_가정검정'!$B$5:$B$19=C353)*'05B_가정검정'!$E$5:$E$19))</f>
        <v/>
      </c>
      <c r="AB353" s="88">
        <f>S353-AVERAGEIFS($S$2:$S$976,$B$2:$B$976,B353,$C$2:$C$976,C353)</f>
        <v/>
      </c>
    </row>
    <row r="354" ht="15" customHeight="1" s="68">
      <c r="A354" s="83" t="inlineStr">
        <is>
          <t>PAT-24</t>
        </is>
      </c>
      <c r="B354" s="83" t="inlineStr">
        <is>
          <t>gemini</t>
        </is>
      </c>
      <c r="C354" s="83" t="inlineStr">
        <is>
          <t>ministral</t>
        </is>
      </c>
      <c r="D354" s="84" t="n">
        <v>0.275659824046921</v>
      </c>
      <c r="E354" s="84" t="n">
        <v>0.278846153846154</v>
      </c>
      <c r="F354" s="84" t="n">
        <v>0.116504854368932</v>
      </c>
      <c r="G354" s="84" t="n">
        <v>0.230769230769231</v>
      </c>
      <c r="H354" s="84" t="n">
        <v>0.217277246111964</v>
      </c>
      <c r="I354" s="84" t="n">
        <v>0.388381205655779</v>
      </c>
      <c r="J354" s="84" t="n">
        <v>0.724388963686411</v>
      </c>
      <c r="K354" s="84" t="n">
        <v>0.705654885115394</v>
      </c>
      <c r="L354" s="84" t="n">
        <v>0.859736123457453</v>
      </c>
      <c r="M354" s="84" t="n">
        <v>0.384920634920635</v>
      </c>
      <c r="N354" s="84" t="n">
        <v>0.321739130434783</v>
      </c>
      <c r="O354" s="84" t="n">
        <v>0.526315789473684</v>
      </c>
      <c r="P354" s="85">
        <f>AVERAGE(D354:I354)</f>
        <v/>
      </c>
      <c r="Q354" s="85">
        <f>AVERAGE(J354:L354)</f>
        <v/>
      </c>
      <c r="R354" s="85">
        <f>AVERAGE(M354:O354)</f>
        <v/>
      </c>
      <c r="S354" s="85">
        <f>'02_지표정의'!$C$22*P354+'02_지표정의'!$C$23*Q354+'02_지표정의'!$C$24*R354</f>
        <v/>
      </c>
      <c r="T354" s="73">
        <f>IF(OR(AND(B354="gemini",C354="gemma"),AND(B354="qwen3_6",C354="qwen"),AND(B354="mistral",C354="ministral")),1,0)</f>
        <v/>
      </c>
      <c r="U354" s="73">
        <f>IF(LEFT(A354,3)="PAT","특허","보고서")</f>
        <v/>
      </c>
      <c r="V354" s="86">
        <f>COUNTIF($S$2:$S$976,"&lt;"&amp;S354)+(COUNTIF($S$2:$S$976,"="&amp;S354)+1)/2</f>
        <v/>
      </c>
      <c r="W354" s="73">
        <f>IF(C354="qwen",0,COUNTIFS($C$2:$C$976,"&lt;&gt;qwen",$S$2:$S$976,"&lt;"&amp;S354)+1)</f>
        <v/>
      </c>
      <c r="X354" s="73">
        <f>IF(C354="ministral",0,COUNTIFS($C$2:$C$976,"&lt;&gt;ministral",$S$2:$S$976,"&lt;"&amp;S354)+1)</f>
        <v/>
      </c>
      <c r="Y354" s="73">
        <f>IF(C354="gemma",0,COUNTIFS($C$2:$C$976,"&lt;&gt;gemma",$S$2:$S$976,"&lt;"&amp;S354)+1)</f>
        <v/>
      </c>
      <c r="Z354" s="87">
        <f>COUNTIFS($B$2:$B$976,B354,$C$2:$C$976,C354,$S$2:$S$976,"&lt;"&amp;S354)+1</f>
        <v/>
      </c>
      <c r="AA354" s="88">
        <f>ABS(S354-SUMPRODUCT(('05B_가정검정'!$A$5:$A$19=B354)*('05B_가정검정'!$B$5:$B$19=C354)*'05B_가정검정'!$E$5:$E$19))</f>
        <v/>
      </c>
      <c r="AB354" s="88">
        <f>S354-AVERAGEIFS($S$2:$S$976,$B$2:$B$976,B354,$C$2:$C$976,C354)</f>
        <v/>
      </c>
    </row>
    <row r="355" ht="15" customHeight="1" s="68">
      <c r="A355" s="83" t="inlineStr">
        <is>
          <t>PAT-24</t>
        </is>
      </c>
      <c r="B355" s="83" t="inlineStr">
        <is>
          <t>gemini</t>
        </is>
      </c>
      <c r="C355" s="83" t="inlineStr">
        <is>
          <t>qwen</t>
        </is>
      </c>
      <c r="D355" s="84" t="n">
        <v>0.326898326898327</v>
      </c>
      <c r="E355" s="84" t="n">
        <v>0.347368421052632</v>
      </c>
      <c r="F355" s="84" t="n">
        <v>0.117021276595745</v>
      </c>
      <c r="G355" s="84" t="n">
        <v>0.263157894736842</v>
      </c>
      <c r="H355" s="84" t="n">
        <v>0.305739360847725</v>
      </c>
      <c r="I355" s="84" t="n">
        <v>0.497001625627849</v>
      </c>
      <c r="J355" s="84" t="n">
        <v>0.775483441205872</v>
      </c>
      <c r="K355" s="84" t="n">
        <v>0.772412260286129</v>
      </c>
      <c r="L355" s="84" t="n">
        <v>0.898540104264</v>
      </c>
      <c r="M355" s="84" t="n">
        <v>0.713235294117647</v>
      </c>
      <c r="N355" s="84" t="n">
        <v>0.6875</v>
      </c>
      <c r="O355" s="84" t="n">
        <v>1</v>
      </c>
      <c r="P355" s="85">
        <f>AVERAGE(D355:I355)</f>
        <v/>
      </c>
      <c r="Q355" s="85">
        <f>AVERAGE(J355:L355)</f>
        <v/>
      </c>
      <c r="R355" s="85">
        <f>AVERAGE(M355:O355)</f>
        <v/>
      </c>
      <c r="S355" s="85">
        <f>'02_지표정의'!$C$22*P355+'02_지표정의'!$C$23*Q355+'02_지표정의'!$C$24*R355</f>
        <v/>
      </c>
      <c r="T355" s="73">
        <f>IF(OR(AND(B355="gemini",C355="gemma"),AND(B355="qwen3_6",C355="qwen"),AND(B355="mistral",C355="ministral")),1,0)</f>
        <v/>
      </c>
      <c r="U355" s="73">
        <f>IF(LEFT(A355,3)="PAT","특허","보고서")</f>
        <v/>
      </c>
      <c r="V355" s="86">
        <f>COUNTIF($S$2:$S$976,"&lt;"&amp;S355)+(COUNTIF($S$2:$S$976,"="&amp;S355)+1)/2</f>
        <v/>
      </c>
      <c r="W355" s="73">
        <f>IF(C355="qwen",0,COUNTIFS($C$2:$C$976,"&lt;&gt;qwen",$S$2:$S$976,"&lt;"&amp;S355)+1)</f>
        <v/>
      </c>
      <c r="X355" s="73">
        <f>IF(C355="ministral",0,COUNTIFS($C$2:$C$976,"&lt;&gt;ministral",$S$2:$S$976,"&lt;"&amp;S355)+1)</f>
        <v/>
      </c>
      <c r="Y355" s="73">
        <f>IF(C355="gemma",0,COUNTIFS($C$2:$C$976,"&lt;&gt;gemma",$S$2:$S$976,"&lt;"&amp;S355)+1)</f>
        <v/>
      </c>
      <c r="Z355" s="87">
        <f>COUNTIFS($B$2:$B$976,B355,$C$2:$C$976,C355,$S$2:$S$976,"&lt;"&amp;S355)+1</f>
        <v/>
      </c>
      <c r="AA355" s="88">
        <f>ABS(S355-SUMPRODUCT(('05B_가정검정'!$A$5:$A$19=B355)*('05B_가정검정'!$B$5:$B$19=C355)*'05B_가정검정'!$E$5:$E$19))</f>
        <v/>
      </c>
      <c r="AB355" s="88">
        <f>S355-AVERAGEIFS($S$2:$S$976,$B$2:$B$976,B355,$C$2:$C$976,C355)</f>
        <v/>
      </c>
    </row>
    <row r="356" ht="15" customHeight="1" s="68">
      <c r="A356" s="83" t="inlineStr">
        <is>
          <t>PAT-24</t>
        </is>
      </c>
      <c r="B356" s="83" t="inlineStr">
        <is>
          <t>mistral</t>
        </is>
      </c>
      <c r="C356" s="83" t="inlineStr">
        <is>
          <t>gemma</t>
        </is>
      </c>
      <c r="D356" s="84" t="n">
        <v>0.281368821292776</v>
      </c>
      <c r="E356" s="84" t="n">
        <v>0.36036036036036</v>
      </c>
      <c r="F356" s="84" t="n">
        <v>0.136363636363636</v>
      </c>
      <c r="G356" s="84" t="n">
        <v>0.252252252252252</v>
      </c>
      <c r="H356" s="84" t="n">
        <v>0.313421938000571</v>
      </c>
      <c r="I356" s="84" t="n">
        <v>0.175063341882923</v>
      </c>
      <c r="J356" s="84" t="n">
        <v>0.692342621452352</v>
      </c>
      <c r="K356" s="84" t="n">
        <v>0.714716822352207</v>
      </c>
      <c r="L356" s="84" t="n">
        <v>0.853362495206499</v>
      </c>
      <c r="M356" s="84" t="n">
        <v>0.747899159663866</v>
      </c>
      <c r="N356" s="84" t="n">
        <v>0.742424242424242</v>
      </c>
      <c r="O356" s="84" t="n">
        <v>1</v>
      </c>
      <c r="P356" s="85">
        <f>AVERAGE(D356:I356)</f>
        <v/>
      </c>
      <c r="Q356" s="85">
        <f>AVERAGE(J356:L356)</f>
        <v/>
      </c>
      <c r="R356" s="85">
        <f>AVERAGE(M356:O356)</f>
        <v/>
      </c>
      <c r="S356" s="85">
        <f>'02_지표정의'!$C$22*P356+'02_지표정의'!$C$23*Q356+'02_지표정의'!$C$24*R356</f>
        <v/>
      </c>
      <c r="T356" s="73">
        <f>IF(OR(AND(B356="gemini",C356="gemma"),AND(B356="qwen3_6",C356="qwen"),AND(B356="mistral",C356="ministral")),1,0)</f>
        <v/>
      </c>
      <c r="U356" s="73">
        <f>IF(LEFT(A356,3)="PAT","특허","보고서")</f>
        <v/>
      </c>
      <c r="V356" s="86">
        <f>COUNTIF($S$2:$S$976,"&lt;"&amp;S356)+(COUNTIF($S$2:$S$976,"="&amp;S356)+1)/2</f>
        <v/>
      </c>
      <c r="W356" s="73">
        <f>IF(C356="qwen",0,COUNTIFS($C$2:$C$976,"&lt;&gt;qwen",$S$2:$S$976,"&lt;"&amp;S356)+1)</f>
        <v/>
      </c>
      <c r="X356" s="73">
        <f>IF(C356="ministral",0,COUNTIFS($C$2:$C$976,"&lt;&gt;ministral",$S$2:$S$976,"&lt;"&amp;S356)+1)</f>
        <v/>
      </c>
      <c r="Y356" s="73">
        <f>IF(C356="gemma",0,COUNTIFS($C$2:$C$976,"&lt;&gt;gemma",$S$2:$S$976,"&lt;"&amp;S356)+1)</f>
        <v/>
      </c>
      <c r="Z356" s="87">
        <f>COUNTIFS($B$2:$B$976,B356,$C$2:$C$976,C356,$S$2:$S$976,"&lt;"&amp;S356)+1</f>
        <v/>
      </c>
      <c r="AA356" s="88">
        <f>ABS(S356-SUMPRODUCT(('05B_가정검정'!$A$5:$A$19=B356)*('05B_가정검정'!$B$5:$B$19=C356)*'05B_가정검정'!$E$5:$E$19))</f>
        <v/>
      </c>
      <c r="AB356" s="88">
        <f>S356-AVERAGEIFS($S$2:$S$976,$B$2:$B$976,B356,$C$2:$C$976,C356)</f>
        <v/>
      </c>
    </row>
    <row r="357" ht="15" customHeight="1" s="68">
      <c r="A357" s="83" t="inlineStr">
        <is>
          <t>PAT-24</t>
        </is>
      </c>
      <c r="B357" s="83" t="inlineStr">
        <is>
          <t>mistral</t>
        </is>
      </c>
      <c r="C357" s="83" t="inlineStr">
        <is>
          <t>ministral</t>
        </is>
      </c>
      <c r="D357" s="84" t="n">
        <v>0.340236686390533</v>
      </c>
      <c r="E357" s="84" t="n">
        <v>0.398305084745763</v>
      </c>
      <c r="F357" s="84" t="n">
        <v>0.136752136752137</v>
      </c>
      <c r="G357" s="84" t="n">
        <v>0.271186440677966</v>
      </c>
      <c r="H357" s="84" t="n">
        <v>0.248286385239992</v>
      </c>
      <c r="I357" s="84" t="n">
        <v>0.223058426257507</v>
      </c>
      <c r="J357" s="84" t="n">
        <v>0.7286786803380511</v>
      </c>
      <c r="K357" s="84" t="n">
        <v>0.691921949828568</v>
      </c>
      <c r="L357" s="84" t="n">
        <v>0.825941290713414</v>
      </c>
      <c r="M357" s="84" t="n">
        <v>0.424603174603175</v>
      </c>
      <c r="N357" s="84" t="n">
        <v>0.252173913043478</v>
      </c>
      <c r="O357" s="84" t="n">
        <v>0.526315789473684</v>
      </c>
      <c r="P357" s="85">
        <f>AVERAGE(D357:I357)</f>
        <v/>
      </c>
      <c r="Q357" s="85">
        <f>AVERAGE(J357:L357)</f>
        <v/>
      </c>
      <c r="R357" s="85">
        <f>AVERAGE(M357:O357)</f>
        <v/>
      </c>
      <c r="S357" s="85">
        <f>'02_지표정의'!$C$22*P357+'02_지표정의'!$C$23*Q357+'02_지표정의'!$C$24*R357</f>
        <v/>
      </c>
      <c r="T357" s="73">
        <f>IF(OR(AND(B357="gemini",C357="gemma"),AND(B357="qwen3_6",C357="qwen"),AND(B357="mistral",C357="ministral")),1,0)</f>
        <v/>
      </c>
      <c r="U357" s="73">
        <f>IF(LEFT(A357,3)="PAT","특허","보고서")</f>
        <v/>
      </c>
      <c r="V357" s="86">
        <f>COUNTIF($S$2:$S$976,"&lt;"&amp;S357)+(COUNTIF($S$2:$S$976,"="&amp;S357)+1)/2</f>
        <v/>
      </c>
      <c r="W357" s="73">
        <f>IF(C357="qwen",0,COUNTIFS($C$2:$C$976,"&lt;&gt;qwen",$S$2:$S$976,"&lt;"&amp;S357)+1)</f>
        <v/>
      </c>
      <c r="X357" s="73">
        <f>IF(C357="ministral",0,COUNTIFS($C$2:$C$976,"&lt;&gt;ministral",$S$2:$S$976,"&lt;"&amp;S357)+1)</f>
        <v/>
      </c>
      <c r="Y357" s="73">
        <f>IF(C357="gemma",0,COUNTIFS($C$2:$C$976,"&lt;&gt;gemma",$S$2:$S$976,"&lt;"&amp;S357)+1)</f>
        <v/>
      </c>
      <c r="Z357" s="87">
        <f>COUNTIFS($B$2:$B$976,B357,$C$2:$C$976,C357,$S$2:$S$976,"&lt;"&amp;S357)+1</f>
        <v/>
      </c>
      <c r="AA357" s="88">
        <f>ABS(S357-SUMPRODUCT(('05B_가정검정'!$A$5:$A$19=B357)*('05B_가정검정'!$B$5:$B$19=C357)*'05B_가정검정'!$E$5:$E$19))</f>
        <v/>
      </c>
      <c r="AB357" s="88">
        <f>S357-AVERAGEIFS($S$2:$S$976,$B$2:$B$976,B357,$C$2:$C$976,C357)</f>
        <v/>
      </c>
    </row>
    <row r="358" ht="15" customHeight="1" s="68">
      <c r="A358" s="83" t="inlineStr">
        <is>
          <t>PAT-24</t>
        </is>
      </c>
      <c r="B358" s="83" t="inlineStr">
        <is>
          <t>mistral</t>
        </is>
      </c>
      <c r="C358" s="83" t="inlineStr">
        <is>
          <t>qwen</t>
        </is>
      </c>
      <c r="D358" s="84" t="n">
        <v>0.293125810635538</v>
      </c>
      <c r="E358" s="84" t="n">
        <v>0.357798165137615</v>
      </c>
      <c r="F358" s="84" t="n">
        <v>0.12962962962963</v>
      </c>
      <c r="G358" s="84" t="n">
        <v>0.284403669724771</v>
      </c>
      <c r="H358" s="84" t="n">
        <v>0.293592971743662</v>
      </c>
      <c r="I358" s="84" t="n">
        <v>0.242184957744368</v>
      </c>
      <c r="J358" s="84" t="n">
        <v>0.716029044722985</v>
      </c>
      <c r="K358" s="84" t="n">
        <v>0.657098093217482</v>
      </c>
      <c r="L358" s="84" t="n">
        <v>0.85187881754228</v>
      </c>
      <c r="M358" s="84" t="n">
        <v>0.580882352941176</v>
      </c>
      <c r="N358" s="84" t="n">
        <v>0.5375</v>
      </c>
      <c r="O358" s="84" t="n">
        <v>1</v>
      </c>
      <c r="P358" s="85">
        <f>AVERAGE(D358:I358)</f>
        <v/>
      </c>
      <c r="Q358" s="85">
        <f>AVERAGE(J358:L358)</f>
        <v/>
      </c>
      <c r="R358" s="85">
        <f>AVERAGE(M358:O358)</f>
        <v/>
      </c>
      <c r="S358" s="85">
        <f>'02_지표정의'!$C$22*P358+'02_지표정의'!$C$23*Q358+'02_지표정의'!$C$24*R358</f>
        <v/>
      </c>
      <c r="T358" s="73">
        <f>IF(OR(AND(B358="gemini",C358="gemma"),AND(B358="qwen3_6",C358="qwen"),AND(B358="mistral",C358="ministral")),1,0)</f>
        <v/>
      </c>
      <c r="U358" s="73">
        <f>IF(LEFT(A358,3)="PAT","특허","보고서")</f>
        <v/>
      </c>
      <c r="V358" s="86">
        <f>COUNTIF($S$2:$S$976,"&lt;"&amp;S358)+(COUNTIF($S$2:$S$976,"="&amp;S358)+1)/2</f>
        <v/>
      </c>
      <c r="W358" s="73">
        <f>IF(C358="qwen",0,COUNTIFS($C$2:$C$976,"&lt;&gt;qwen",$S$2:$S$976,"&lt;"&amp;S358)+1)</f>
        <v/>
      </c>
      <c r="X358" s="73">
        <f>IF(C358="ministral",0,COUNTIFS($C$2:$C$976,"&lt;&gt;ministral",$S$2:$S$976,"&lt;"&amp;S358)+1)</f>
        <v/>
      </c>
      <c r="Y358" s="73">
        <f>IF(C358="gemma",0,COUNTIFS($C$2:$C$976,"&lt;&gt;gemma",$S$2:$S$976,"&lt;"&amp;S358)+1)</f>
        <v/>
      </c>
      <c r="Z358" s="87">
        <f>COUNTIFS($B$2:$B$976,B358,$C$2:$C$976,C358,$S$2:$S$976,"&lt;"&amp;S358)+1</f>
        <v/>
      </c>
      <c r="AA358" s="88">
        <f>ABS(S358-SUMPRODUCT(('05B_가정검정'!$A$5:$A$19=B358)*('05B_가정검정'!$B$5:$B$19=C358)*'05B_가정검정'!$E$5:$E$19))</f>
        <v/>
      </c>
      <c r="AB358" s="88">
        <f>S358-AVERAGEIFS($S$2:$S$976,$B$2:$B$976,B358,$C$2:$C$976,C358)</f>
        <v/>
      </c>
    </row>
    <row r="359" ht="15" customHeight="1" s="68">
      <c r="A359" s="83" t="inlineStr">
        <is>
          <t>PAT-24</t>
        </is>
      </c>
      <c r="B359" s="83" t="inlineStr">
        <is>
          <t>qwen3_6</t>
        </is>
      </c>
      <c r="C359" s="83" t="inlineStr">
        <is>
          <t>gemma</t>
        </is>
      </c>
      <c r="D359" s="84" t="n">
        <v>0.253554502369668</v>
      </c>
      <c r="E359" s="84" t="n">
        <v>0.390697674418605</v>
      </c>
      <c r="F359" s="84" t="n">
        <v>0.131455399061033</v>
      </c>
      <c r="G359" s="84" t="n">
        <v>0.288372093023256</v>
      </c>
      <c r="H359" s="84" t="n">
        <v>0.34474781477075</v>
      </c>
      <c r="I359" s="84" t="n">
        <v>0.300365592088076</v>
      </c>
      <c r="J359" s="84" t="n">
        <v>0.700521072631816</v>
      </c>
      <c r="K359" s="84" t="n">
        <v>0.667862163022194</v>
      </c>
      <c r="L359" s="84" t="n">
        <v>0.855800418266582</v>
      </c>
      <c r="M359" s="84" t="n">
        <v>0.906542056074766</v>
      </c>
      <c r="N359" s="84" t="n">
        <v>0.916666666666667</v>
      </c>
      <c r="O359" s="84" t="n">
        <v>1</v>
      </c>
      <c r="P359" s="85">
        <f>AVERAGE(D359:I359)</f>
        <v/>
      </c>
      <c r="Q359" s="85">
        <f>AVERAGE(J359:L359)</f>
        <v/>
      </c>
      <c r="R359" s="85">
        <f>AVERAGE(M359:O359)</f>
        <v/>
      </c>
      <c r="S359" s="85">
        <f>'02_지표정의'!$C$22*P359+'02_지표정의'!$C$23*Q359+'02_지표정의'!$C$24*R359</f>
        <v/>
      </c>
      <c r="T359" s="73">
        <f>IF(OR(AND(B359="gemini",C359="gemma"),AND(B359="qwen3_6",C359="qwen"),AND(B359="mistral",C359="ministral")),1,0)</f>
        <v/>
      </c>
      <c r="U359" s="73">
        <f>IF(LEFT(A359,3)="PAT","특허","보고서")</f>
        <v/>
      </c>
      <c r="V359" s="86">
        <f>COUNTIF($S$2:$S$976,"&lt;"&amp;S359)+(COUNTIF($S$2:$S$976,"="&amp;S359)+1)/2</f>
        <v/>
      </c>
      <c r="W359" s="73">
        <f>IF(C359="qwen",0,COUNTIFS($C$2:$C$976,"&lt;&gt;qwen",$S$2:$S$976,"&lt;"&amp;S359)+1)</f>
        <v/>
      </c>
      <c r="X359" s="73">
        <f>IF(C359="ministral",0,COUNTIFS($C$2:$C$976,"&lt;&gt;ministral",$S$2:$S$976,"&lt;"&amp;S359)+1)</f>
        <v/>
      </c>
      <c r="Y359" s="73">
        <f>IF(C359="gemma",0,COUNTIFS($C$2:$C$976,"&lt;&gt;gemma",$S$2:$S$976,"&lt;"&amp;S359)+1)</f>
        <v/>
      </c>
      <c r="Z359" s="87">
        <f>COUNTIFS($B$2:$B$976,B359,$C$2:$C$976,C359,$S$2:$S$976,"&lt;"&amp;S359)+1</f>
        <v/>
      </c>
      <c r="AA359" s="88">
        <f>ABS(S359-SUMPRODUCT(('05B_가정검정'!$A$5:$A$19=B359)*('05B_가정검정'!$B$5:$B$19=C359)*'05B_가정검정'!$E$5:$E$19))</f>
        <v/>
      </c>
      <c r="AB359" s="88">
        <f>S359-AVERAGEIFS($S$2:$S$976,$B$2:$B$976,B359,$C$2:$C$976,C359)</f>
        <v/>
      </c>
    </row>
    <row r="360" ht="15" customHeight="1" s="68">
      <c r="A360" s="83" t="inlineStr">
        <is>
          <t>PAT-24</t>
        </is>
      </c>
      <c r="B360" s="83" t="inlineStr">
        <is>
          <t>qwen3_6</t>
        </is>
      </c>
      <c r="C360" s="83" t="inlineStr">
        <is>
          <t>ministral</t>
        </is>
      </c>
      <c r="D360" s="84" t="n">
        <v>0.26812585499316</v>
      </c>
      <c r="E360" s="84" t="n">
        <v>0.375545851528384</v>
      </c>
      <c r="F360" s="84" t="n">
        <v>0.149779735682819</v>
      </c>
      <c r="G360" s="84" t="n">
        <v>0.279475982532751</v>
      </c>
      <c r="H360" s="84" t="n">
        <v>0.247951752761283</v>
      </c>
      <c r="I360" s="84" t="n">
        <v>0.341237734789038</v>
      </c>
      <c r="J360" s="84" t="n">
        <v>0.713564788478173</v>
      </c>
      <c r="K360" s="84" t="n">
        <v>0.632016701143381</v>
      </c>
      <c r="L360" s="84" t="n">
        <v>0.800346628953191</v>
      </c>
      <c r="M360" s="84" t="n">
        <v>0.384920634920635</v>
      </c>
      <c r="N360" s="84" t="n">
        <v>0.321739130434783</v>
      </c>
      <c r="O360" s="84" t="n">
        <v>0.526315789473684</v>
      </c>
      <c r="P360" s="85">
        <f>AVERAGE(D360:I360)</f>
        <v/>
      </c>
      <c r="Q360" s="85">
        <f>AVERAGE(J360:L360)</f>
        <v/>
      </c>
      <c r="R360" s="85">
        <f>AVERAGE(M360:O360)</f>
        <v/>
      </c>
      <c r="S360" s="85">
        <f>'02_지표정의'!$C$22*P360+'02_지표정의'!$C$23*Q360+'02_지표정의'!$C$24*R360</f>
        <v/>
      </c>
      <c r="T360" s="73">
        <f>IF(OR(AND(B360="gemini",C360="gemma"),AND(B360="qwen3_6",C360="qwen"),AND(B360="mistral",C360="ministral")),1,0)</f>
        <v/>
      </c>
      <c r="U360" s="73">
        <f>IF(LEFT(A360,3)="PAT","특허","보고서")</f>
        <v/>
      </c>
      <c r="V360" s="86">
        <f>COUNTIF($S$2:$S$976,"&lt;"&amp;S360)+(COUNTIF($S$2:$S$976,"="&amp;S360)+1)/2</f>
        <v/>
      </c>
      <c r="W360" s="73">
        <f>IF(C360="qwen",0,COUNTIFS($C$2:$C$976,"&lt;&gt;qwen",$S$2:$S$976,"&lt;"&amp;S360)+1)</f>
        <v/>
      </c>
      <c r="X360" s="73">
        <f>IF(C360="ministral",0,COUNTIFS($C$2:$C$976,"&lt;&gt;ministral",$S$2:$S$976,"&lt;"&amp;S360)+1)</f>
        <v/>
      </c>
      <c r="Y360" s="73">
        <f>IF(C360="gemma",0,COUNTIFS($C$2:$C$976,"&lt;&gt;gemma",$S$2:$S$976,"&lt;"&amp;S360)+1)</f>
        <v/>
      </c>
      <c r="Z360" s="87">
        <f>COUNTIFS($B$2:$B$976,B360,$C$2:$C$976,C360,$S$2:$S$976,"&lt;"&amp;S360)+1</f>
        <v/>
      </c>
      <c r="AA360" s="88">
        <f>ABS(S360-SUMPRODUCT(('05B_가정검정'!$A$5:$A$19=B360)*('05B_가정검정'!$B$5:$B$19=C360)*'05B_가정검정'!$E$5:$E$19))</f>
        <v/>
      </c>
      <c r="AB360" s="88">
        <f>S360-AVERAGEIFS($S$2:$S$976,$B$2:$B$976,B360,$C$2:$C$976,C360)</f>
        <v/>
      </c>
    </row>
    <row r="361" ht="15" customHeight="1" s="68">
      <c r="A361" s="83" t="inlineStr">
        <is>
          <t>PAT-24</t>
        </is>
      </c>
      <c r="B361" s="83" t="inlineStr">
        <is>
          <t>qwen3_6</t>
        </is>
      </c>
      <c r="C361" s="83" t="inlineStr">
        <is>
          <t>qwen</t>
        </is>
      </c>
      <c r="D361" s="84" t="n">
        <v>0.309927360774818</v>
      </c>
      <c r="E361" s="84" t="n">
        <v>0.464454976303318</v>
      </c>
      <c r="F361" s="84" t="n">
        <v>0.133971291866029</v>
      </c>
      <c r="G361" s="84" t="n">
        <v>0.312796208530806</v>
      </c>
      <c r="H361" s="84" t="n">
        <v>0.356849646153272</v>
      </c>
      <c r="I361" s="84" t="n">
        <v>0.52250869416598</v>
      </c>
      <c r="J361" s="84" t="n">
        <v>0.721873503970119</v>
      </c>
      <c r="K361" s="84" t="n">
        <v>0.696205894325722</v>
      </c>
      <c r="L361" s="84" t="n">
        <v>0.888198710206937</v>
      </c>
      <c r="M361" s="84" t="n">
        <v>0.713235294117647</v>
      </c>
      <c r="N361" s="84" t="n">
        <v>0.6875</v>
      </c>
      <c r="O361" s="84" t="n">
        <v>1</v>
      </c>
      <c r="P361" s="85">
        <f>AVERAGE(D361:I361)</f>
        <v/>
      </c>
      <c r="Q361" s="85">
        <f>AVERAGE(J361:L361)</f>
        <v/>
      </c>
      <c r="R361" s="85">
        <f>AVERAGE(M361:O361)</f>
        <v/>
      </c>
      <c r="S361" s="85">
        <f>'02_지표정의'!$C$22*P361+'02_지표정의'!$C$23*Q361+'02_지표정의'!$C$24*R361</f>
        <v/>
      </c>
      <c r="T361" s="73">
        <f>IF(OR(AND(B361="gemini",C361="gemma"),AND(B361="qwen3_6",C361="qwen"),AND(B361="mistral",C361="ministral")),1,0)</f>
        <v/>
      </c>
      <c r="U361" s="73">
        <f>IF(LEFT(A361,3)="PAT","특허","보고서")</f>
        <v/>
      </c>
      <c r="V361" s="86">
        <f>COUNTIF($S$2:$S$976,"&lt;"&amp;S361)+(COUNTIF($S$2:$S$976,"="&amp;S361)+1)/2</f>
        <v/>
      </c>
      <c r="W361" s="73">
        <f>IF(C361="qwen",0,COUNTIFS($C$2:$C$976,"&lt;&gt;qwen",$S$2:$S$976,"&lt;"&amp;S361)+1)</f>
        <v/>
      </c>
      <c r="X361" s="73">
        <f>IF(C361="ministral",0,COUNTIFS($C$2:$C$976,"&lt;&gt;ministral",$S$2:$S$976,"&lt;"&amp;S361)+1)</f>
        <v/>
      </c>
      <c r="Y361" s="73">
        <f>IF(C361="gemma",0,COUNTIFS($C$2:$C$976,"&lt;&gt;gemma",$S$2:$S$976,"&lt;"&amp;S361)+1)</f>
        <v/>
      </c>
      <c r="Z361" s="87">
        <f>COUNTIFS($B$2:$B$976,B361,$C$2:$C$976,C361,$S$2:$S$976,"&lt;"&amp;S361)+1</f>
        <v/>
      </c>
      <c r="AA361" s="88">
        <f>ABS(S361-SUMPRODUCT(('05B_가정검정'!$A$5:$A$19=B361)*('05B_가정검정'!$B$5:$B$19=C361)*'05B_가정검정'!$E$5:$E$19))</f>
        <v/>
      </c>
      <c r="AB361" s="88">
        <f>S361-AVERAGEIFS($S$2:$S$976,$B$2:$B$976,B361,$C$2:$C$976,C361)</f>
        <v/>
      </c>
    </row>
    <row r="362" ht="15" customHeight="1" s="68">
      <c r="A362" s="83" t="inlineStr">
        <is>
          <t>PAT-25</t>
        </is>
      </c>
      <c r="B362" s="83" t="inlineStr">
        <is>
          <t>chatgpt</t>
        </is>
      </c>
      <c r="C362" s="83" t="inlineStr">
        <is>
          <t>gemma</t>
        </is>
      </c>
      <c r="D362" s="84" t="n">
        <v>0.2375</v>
      </c>
      <c r="E362" s="84" t="n">
        <v>0.344497607655502</v>
      </c>
      <c r="F362" s="84" t="n">
        <v>0.106280193236715</v>
      </c>
      <c r="G362" s="84" t="n">
        <v>0.239234449760766</v>
      </c>
      <c r="H362" s="84" t="n">
        <v>0.228864863486521</v>
      </c>
      <c r="I362" s="84" t="n">
        <v>0.282332366604305</v>
      </c>
      <c r="J362" s="84" t="n">
        <v>0.659258195332119</v>
      </c>
      <c r="K362" s="84" t="n">
        <v>0.641472967646314</v>
      </c>
      <c r="L362" s="84" t="n">
        <v>0.803916838832426</v>
      </c>
      <c r="M362" s="84" t="n">
        <v>0.503105590062112</v>
      </c>
      <c r="N362" s="84" t="n">
        <v>0.207317073170732</v>
      </c>
      <c r="O362" s="84" t="n">
        <v>1</v>
      </c>
      <c r="P362" s="85">
        <f>AVERAGE(D362:I362)</f>
        <v/>
      </c>
      <c r="Q362" s="85">
        <f>AVERAGE(J362:L362)</f>
        <v/>
      </c>
      <c r="R362" s="85">
        <f>AVERAGE(M362:O362)</f>
        <v/>
      </c>
      <c r="S362" s="85">
        <f>'02_지표정의'!$C$22*P362+'02_지표정의'!$C$23*Q362+'02_지표정의'!$C$24*R362</f>
        <v/>
      </c>
      <c r="T362" s="73">
        <f>IF(OR(AND(B362="gemini",C362="gemma"),AND(B362="qwen3_6",C362="qwen"),AND(B362="mistral",C362="ministral")),1,0)</f>
        <v/>
      </c>
      <c r="U362" s="73">
        <f>IF(LEFT(A362,3)="PAT","특허","보고서")</f>
        <v/>
      </c>
      <c r="V362" s="86">
        <f>COUNTIF($S$2:$S$976,"&lt;"&amp;S362)+(COUNTIF($S$2:$S$976,"="&amp;S362)+1)/2</f>
        <v/>
      </c>
      <c r="W362" s="73">
        <f>IF(C362="qwen",0,COUNTIFS($C$2:$C$976,"&lt;&gt;qwen",$S$2:$S$976,"&lt;"&amp;S362)+1)</f>
        <v/>
      </c>
      <c r="X362" s="73">
        <f>IF(C362="ministral",0,COUNTIFS($C$2:$C$976,"&lt;&gt;ministral",$S$2:$S$976,"&lt;"&amp;S362)+1)</f>
        <v/>
      </c>
      <c r="Y362" s="73">
        <f>IF(C362="gemma",0,COUNTIFS($C$2:$C$976,"&lt;&gt;gemma",$S$2:$S$976,"&lt;"&amp;S362)+1)</f>
        <v/>
      </c>
      <c r="Z362" s="87">
        <f>COUNTIFS($B$2:$B$976,B362,$C$2:$C$976,C362,$S$2:$S$976,"&lt;"&amp;S362)+1</f>
        <v/>
      </c>
      <c r="AA362" s="88">
        <f>ABS(S362-SUMPRODUCT(('05B_가정검정'!$A$5:$A$19=B362)*('05B_가정검정'!$B$5:$B$19=C362)*'05B_가정검정'!$E$5:$E$19))</f>
        <v/>
      </c>
      <c r="AB362" s="88">
        <f>S362-AVERAGEIFS($S$2:$S$976,$B$2:$B$976,B362,$C$2:$C$976,C362)</f>
        <v/>
      </c>
    </row>
    <row r="363" ht="15" customHeight="1" s="68">
      <c r="A363" s="83" t="inlineStr">
        <is>
          <t>PAT-25</t>
        </is>
      </c>
      <c r="B363" s="83" t="inlineStr">
        <is>
          <t>chatgpt</t>
        </is>
      </c>
      <c r="C363" s="83" t="inlineStr">
        <is>
          <t>ministral</t>
        </is>
      </c>
      <c r="D363" s="84" t="n">
        <v>0.3392</v>
      </c>
      <c r="E363" s="84" t="n">
        <v>0.210862619808307</v>
      </c>
      <c r="F363" s="84" t="n">
        <v>0.08360128617363349</v>
      </c>
      <c r="G363" s="84" t="n">
        <v>0.191693290734824</v>
      </c>
      <c r="H363" s="84" t="n">
        <v>0.168482122208332</v>
      </c>
      <c r="I363" s="84" t="n">
        <v>0.279127664617257</v>
      </c>
      <c r="J363" s="84" t="n">
        <v>0.714624433341093</v>
      </c>
      <c r="K363" s="84" t="n">
        <v>0.690539790571677</v>
      </c>
      <c r="L363" s="84" t="n">
        <v>0.838412942451181</v>
      </c>
      <c r="M363" s="84" t="n">
        <v>0.460674157303371</v>
      </c>
      <c r="N363" s="84" t="n">
        <v>0.07086614173228351</v>
      </c>
      <c r="O363" s="84" t="n">
        <v>1</v>
      </c>
      <c r="P363" s="85">
        <f>AVERAGE(D363:I363)</f>
        <v/>
      </c>
      <c r="Q363" s="85">
        <f>AVERAGE(J363:L363)</f>
        <v/>
      </c>
      <c r="R363" s="85">
        <f>AVERAGE(M363:O363)</f>
        <v/>
      </c>
      <c r="S363" s="85">
        <f>'02_지표정의'!$C$22*P363+'02_지표정의'!$C$23*Q363+'02_지표정의'!$C$24*R363</f>
        <v/>
      </c>
      <c r="T363" s="73">
        <f>IF(OR(AND(B363="gemini",C363="gemma"),AND(B363="qwen3_6",C363="qwen"),AND(B363="mistral",C363="ministral")),1,0)</f>
        <v/>
      </c>
      <c r="U363" s="73">
        <f>IF(LEFT(A363,3)="PAT","특허","보고서")</f>
        <v/>
      </c>
      <c r="V363" s="86">
        <f>COUNTIF($S$2:$S$976,"&lt;"&amp;S363)+(COUNTIF($S$2:$S$976,"="&amp;S363)+1)/2</f>
        <v/>
      </c>
      <c r="W363" s="73">
        <f>IF(C363="qwen",0,COUNTIFS($C$2:$C$976,"&lt;&gt;qwen",$S$2:$S$976,"&lt;"&amp;S363)+1)</f>
        <v/>
      </c>
      <c r="X363" s="73">
        <f>IF(C363="ministral",0,COUNTIFS($C$2:$C$976,"&lt;&gt;ministral",$S$2:$S$976,"&lt;"&amp;S363)+1)</f>
        <v/>
      </c>
      <c r="Y363" s="73">
        <f>IF(C363="gemma",0,COUNTIFS($C$2:$C$976,"&lt;&gt;gemma",$S$2:$S$976,"&lt;"&amp;S363)+1)</f>
        <v/>
      </c>
      <c r="Z363" s="87">
        <f>COUNTIFS($B$2:$B$976,B363,$C$2:$C$976,C363,$S$2:$S$976,"&lt;"&amp;S363)+1</f>
        <v/>
      </c>
      <c r="AA363" s="88">
        <f>ABS(S363-SUMPRODUCT(('05B_가정검정'!$A$5:$A$19=B363)*('05B_가정검정'!$B$5:$B$19=C363)*'05B_가정검정'!$E$5:$E$19))</f>
        <v/>
      </c>
      <c r="AB363" s="88">
        <f>S363-AVERAGEIFS($S$2:$S$976,$B$2:$B$976,B363,$C$2:$C$976,C363)</f>
        <v/>
      </c>
    </row>
    <row r="364" ht="15" customHeight="1" s="68">
      <c r="A364" s="83" t="inlineStr">
        <is>
          <t>PAT-25</t>
        </is>
      </c>
      <c r="B364" s="83" t="inlineStr">
        <is>
          <t>chatgpt</t>
        </is>
      </c>
      <c r="C364" s="83" t="inlineStr">
        <is>
          <t>qwen</t>
        </is>
      </c>
      <c r="D364" s="84" t="n">
        <v>0.282131661442006</v>
      </c>
      <c r="E364" s="84" t="n">
        <v>0.404371584699454</v>
      </c>
      <c r="F364" s="84" t="n">
        <v>0.220994475138122</v>
      </c>
      <c r="G364" s="84" t="n">
        <v>0.349726775956284</v>
      </c>
      <c r="H364" s="84" t="n">
        <v>0.299903314497118</v>
      </c>
      <c r="I364" s="84" t="n">
        <v>0.471476509949658</v>
      </c>
      <c r="J364" s="84" t="n">
        <v>0.734928013076768</v>
      </c>
      <c r="K364" s="84" t="n">
        <v>0.6529886155171269</v>
      </c>
      <c r="L364" s="84" t="n">
        <v>0.8617987129975609</v>
      </c>
      <c r="M364" s="84" t="n">
        <v>0.49438202247191</v>
      </c>
      <c r="N364" s="84" t="n">
        <v>0</v>
      </c>
      <c r="O364" s="84" t="n">
        <v>1</v>
      </c>
      <c r="P364" s="85">
        <f>AVERAGE(D364:I364)</f>
        <v/>
      </c>
      <c r="Q364" s="85">
        <f>AVERAGE(J364:L364)</f>
        <v/>
      </c>
      <c r="R364" s="85">
        <f>AVERAGE(M364:O364)</f>
        <v/>
      </c>
      <c r="S364" s="85">
        <f>'02_지표정의'!$C$22*P364+'02_지표정의'!$C$23*Q364+'02_지표정의'!$C$24*R364</f>
        <v/>
      </c>
      <c r="T364" s="73">
        <f>IF(OR(AND(B364="gemini",C364="gemma"),AND(B364="qwen3_6",C364="qwen"),AND(B364="mistral",C364="ministral")),1,0)</f>
        <v/>
      </c>
      <c r="U364" s="73">
        <f>IF(LEFT(A364,3)="PAT","특허","보고서")</f>
        <v/>
      </c>
      <c r="V364" s="86">
        <f>COUNTIF($S$2:$S$976,"&lt;"&amp;S364)+(COUNTIF($S$2:$S$976,"="&amp;S364)+1)/2</f>
        <v/>
      </c>
      <c r="W364" s="73">
        <f>IF(C364="qwen",0,COUNTIFS($C$2:$C$976,"&lt;&gt;qwen",$S$2:$S$976,"&lt;"&amp;S364)+1)</f>
        <v/>
      </c>
      <c r="X364" s="73">
        <f>IF(C364="ministral",0,COUNTIFS($C$2:$C$976,"&lt;&gt;ministral",$S$2:$S$976,"&lt;"&amp;S364)+1)</f>
        <v/>
      </c>
      <c r="Y364" s="73">
        <f>IF(C364="gemma",0,COUNTIFS($C$2:$C$976,"&lt;&gt;gemma",$S$2:$S$976,"&lt;"&amp;S364)+1)</f>
        <v/>
      </c>
      <c r="Z364" s="87">
        <f>COUNTIFS($B$2:$B$976,B364,$C$2:$C$976,C364,$S$2:$S$976,"&lt;"&amp;S364)+1</f>
        <v/>
      </c>
      <c r="AA364" s="88">
        <f>ABS(S364-SUMPRODUCT(('05B_가정검정'!$A$5:$A$19=B364)*('05B_가정검정'!$B$5:$B$19=C364)*'05B_가정검정'!$E$5:$E$19))</f>
        <v/>
      </c>
      <c r="AB364" s="88">
        <f>S364-AVERAGEIFS($S$2:$S$976,$B$2:$B$976,B364,$C$2:$C$976,C364)</f>
        <v/>
      </c>
    </row>
    <row r="365" ht="15" customHeight="1" s="68">
      <c r="A365" s="83" t="inlineStr">
        <is>
          <t>PAT-25</t>
        </is>
      </c>
      <c r="B365" s="83" t="inlineStr">
        <is>
          <t>claude</t>
        </is>
      </c>
      <c r="C365" s="83" t="inlineStr">
        <is>
          <t>gemma</t>
        </is>
      </c>
      <c r="D365" s="84" t="n">
        <v>0.224281742354032</v>
      </c>
      <c r="E365" s="84" t="n">
        <v>0.361538461538462</v>
      </c>
      <c r="F365" s="84" t="n">
        <v>0.108527131782946</v>
      </c>
      <c r="G365" s="84" t="n">
        <v>0.253846153846154</v>
      </c>
      <c r="H365" s="84" t="n">
        <v>0.331985501821305</v>
      </c>
      <c r="I365" s="84" t="n">
        <v>0.30070455675531</v>
      </c>
      <c r="J365" s="84" t="n">
        <v>0.71168488750518</v>
      </c>
      <c r="K365" s="84" t="n">
        <v>0.648001836548657</v>
      </c>
      <c r="L365" s="84" t="n">
        <v>0.857773757613839</v>
      </c>
      <c r="M365" s="84" t="n">
        <v>0.484472049689441</v>
      </c>
      <c r="N365" s="84" t="n">
        <v>0.359550561797753</v>
      </c>
      <c r="O365" s="84" t="n">
        <v>1</v>
      </c>
      <c r="P365" s="85">
        <f>AVERAGE(D365:I365)</f>
        <v/>
      </c>
      <c r="Q365" s="85">
        <f>AVERAGE(J365:L365)</f>
        <v/>
      </c>
      <c r="R365" s="85">
        <f>AVERAGE(M365:O365)</f>
        <v/>
      </c>
      <c r="S365" s="85">
        <f>'02_지표정의'!$C$22*P365+'02_지표정의'!$C$23*Q365+'02_지표정의'!$C$24*R365</f>
        <v/>
      </c>
      <c r="T365" s="73">
        <f>IF(OR(AND(B365="gemini",C365="gemma"),AND(B365="qwen3_6",C365="qwen"),AND(B365="mistral",C365="ministral")),1,0)</f>
        <v/>
      </c>
      <c r="U365" s="73">
        <f>IF(LEFT(A365,3)="PAT","특허","보고서")</f>
        <v/>
      </c>
      <c r="V365" s="86">
        <f>COUNTIF($S$2:$S$976,"&lt;"&amp;S365)+(COUNTIF($S$2:$S$976,"="&amp;S365)+1)/2</f>
        <v/>
      </c>
      <c r="W365" s="73">
        <f>IF(C365="qwen",0,COUNTIFS($C$2:$C$976,"&lt;&gt;qwen",$S$2:$S$976,"&lt;"&amp;S365)+1)</f>
        <v/>
      </c>
      <c r="X365" s="73">
        <f>IF(C365="ministral",0,COUNTIFS($C$2:$C$976,"&lt;&gt;ministral",$S$2:$S$976,"&lt;"&amp;S365)+1)</f>
        <v/>
      </c>
      <c r="Y365" s="73">
        <f>IF(C365="gemma",0,COUNTIFS($C$2:$C$976,"&lt;&gt;gemma",$S$2:$S$976,"&lt;"&amp;S365)+1)</f>
        <v/>
      </c>
      <c r="Z365" s="87">
        <f>COUNTIFS($B$2:$B$976,B365,$C$2:$C$976,C365,$S$2:$S$976,"&lt;"&amp;S365)+1</f>
        <v/>
      </c>
      <c r="AA365" s="88">
        <f>ABS(S365-SUMPRODUCT(('05B_가정검정'!$A$5:$A$19=B365)*('05B_가정검정'!$B$5:$B$19=C365)*'05B_가정검정'!$E$5:$E$19))</f>
        <v/>
      </c>
      <c r="AB365" s="88">
        <f>S365-AVERAGEIFS($S$2:$S$976,$B$2:$B$976,B365,$C$2:$C$976,C365)</f>
        <v/>
      </c>
    </row>
    <row r="366" ht="15" customHeight="1" s="68">
      <c r="A366" s="83" t="inlineStr">
        <is>
          <t>PAT-25</t>
        </is>
      </c>
      <c r="B366" s="83" t="inlineStr">
        <is>
          <t>claude</t>
        </is>
      </c>
      <c r="C366" s="83" t="inlineStr">
        <is>
          <t>ministral</t>
        </is>
      </c>
      <c r="D366" s="84" t="n">
        <v>0.256637168141593</v>
      </c>
      <c r="E366" s="84" t="n">
        <v>0.225274725274725</v>
      </c>
      <c r="F366" s="84" t="n">
        <v>0.0828729281767956</v>
      </c>
      <c r="G366" s="84" t="n">
        <v>0.197802197802198</v>
      </c>
      <c r="H366" s="84" t="n">
        <v>0.250029970131689</v>
      </c>
      <c r="I366" s="84" t="n">
        <v>0.237073123055942</v>
      </c>
      <c r="J366" s="84" t="n">
        <v>0.71339437877639</v>
      </c>
      <c r="K366" s="84" t="n">
        <v>0.665787695140319</v>
      </c>
      <c r="L366" s="84" t="n">
        <v>0.848134907940405</v>
      </c>
      <c r="M366" s="84" t="n">
        <v>0.531835205992509</v>
      </c>
      <c r="N366" s="84" t="n">
        <v>0.574803149606299</v>
      </c>
      <c r="O366" s="84" t="n">
        <v>1</v>
      </c>
      <c r="P366" s="85">
        <f>AVERAGE(D366:I366)</f>
        <v/>
      </c>
      <c r="Q366" s="85">
        <f>AVERAGE(J366:L366)</f>
        <v/>
      </c>
      <c r="R366" s="85">
        <f>AVERAGE(M366:O366)</f>
        <v/>
      </c>
      <c r="S366" s="85">
        <f>'02_지표정의'!$C$22*P366+'02_지표정의'!$C$23*Q366+'02_지표정의'!$C$24*R366</f>
        <v/>
      </c>
      <c r="T366" s="73">
        <f>IF(OR(AND(B366="gemini",C366="gemma"),AND(B366="qwen3_6",C366="qwen"),AND(B366="mistral",C366="ministral")),1,0)</f>
        <v/>
      </c>
      <c r="U366" s="73">
        <f>IF(LEFT(A366,3)="PAT","특허","보고서")</f>
        <v/>
      </c>
      <c r="V366" s="86">
        <f>COUNTIF($S$2:$S$976,"&lt;"&amp;S366)+(COUNTIF($S$2:$S$976,"="&amp;S366)+1)/2</f>
        <v/>
      </c>
      <c r="W366" s="73">
        <f>IF(C366="qwen",0,COUNTIFS($C$2:$C$976,"&lt;&gt;qwen",$S$2:$S$976,"&lt;"&amp;S366)+1)</f>
        <v/>
      </c>
      <c r="X366" s="73">
        <f>IF(C366="ministral",0,COUNTIFS($C$2:$C$976,"&lt;&gt;ministral",$S$2:$S$976,"&lt;"&amp;S366)+1)</f>
        <v/>
      </c>
      <c r="Y366" s="73">
        <f>IF(C366="gemma",0,COUNTIFS($C$2:$C$976,"&lt;&gt;gemma",$S$2:$S$976,"&lt;"&amp;S366)+1)</f>
        <v/>
      </c>
      <c r="Z366" s="87">
        <f>COUNTIFS($B$2:$B$976,B366,$C$2:$C$976,C366,$S$2:$S$976,"&lt;"&amp;S366)+1</f>
        <v/>
      </c>
      <c r="AA366" s="88">
        <f>ABS(S366-SUMPRODUCT(('05B_가정검정'!$A$5:$A$19=B366)*('05B_가정검정'!$B$5:$B$19=C366)*'05B_가정검정'!$E$5:$E$19))</f>
        <v/>
      </c>
      <c r="AB366" s="88">
        <f>S366-AVERAGEIFS($S$2:$S$976,$B$2:$B$976,B366,$C$2:$C$976,C366)</f>
        <v/>
      </c>
    </row>
    <row r="367" ht="15" customHeight="1" s="68">
      <c r="A367" s="83" t="inlineStr">
        <is>
          <t>PAT-25</t>
        </is>
      </c>
      <c r="B367" s="83" t="inlineStr">
        <is>
          <t>claude</t>
        </is>
      </c>
      <c r="C367" s="83" t="inlineStr">
        <is>
          <t>qwen</t>
        </is>
      </c>
      <c r="D367" s="84" t="n">
        <v>0.287895310796074</v>
      </c>
      <c r="E367" s="84" t="n">
        <v>0.478632478632479</v>
      </c>
      <c r="F367" s="84" t="n">
        <v>0.206896551724138</v>
      </c>
      <c r="G367" s="84" t="n">
        <v>0.384615384615385</v>
      </c>
      <c r="H367" s="84" t="n">
        <v>0.339187068335251</v>
      </c>
      <c r="I367" s="84" t="n">
        <v>0.541006973838177</v>
      </c>
      <c r="J367" s="84" t="n">
        <v>0.744147064756349</v>
      </c>
      <c r="K367" s="84" t="n">
        <v>0.697960884870898</v>
      </c>
      <c r="L367" s="84" t="n">
        <v>0.872640518015808</v>
      </c>
      <c r="M367" s="84" t="n">
        <v>0.6741573033707871</v>
      </c>
      <c r="N367" s="84" t="n">
        <v>0.6703296703296699</v>
      </c>
      <c r="O367" s="84" t="n">
        <v>1</v>
      </c>
      <c r="P367" s="85">
        <f>AVERAGE(D367:I367)</f>
        <v/>
      </c>
      <c r="Q367" s="85">
        <f>AVERAGE(J367:L367)</f>
        <v/>
      </c>
      <c r="R367" s="85">
        <f>AVERAGE(M367:O367)</f>
        <v/>
      </c>
      <c r="S367" s="85">
        <f>'02_지표정의'!$C$22*P367+'02_지표정의'!$C$23*Q367+'02_지표정의'!$C$24*R367</f>
        <v/>
      </c>
      <c r="T367" s="73">
        <f>IF(OR(AND(B367="gemini",C367="gemma"),AND(B367="qwen3_6",C367="qwen"),AND(B367="mistral",C367="ministral")),1,0)</f>
        <v/>
      </c>
      <c r="U367" s="73">
        <f>IF(LEFT(A367,3)="PAT","특허","보고서")</f>
        <v/>
      </c>
      <c r="V367" s="86">
        <f>COUNTIF($S$2:$S$976,"&lt;"&amp;S367)+(COUNTIF($S$2:$S$976,"="&amp;S367)+1)/2</f>
        <v/>
      </c>
      <c r="W367" s="73">
        <f>IF(C367="qwen",0,COUNTIFS($C$2:$C$976,"&lt;&gt;qwen",$S$2:$S$976,"&lt;"&amp;S367)+1)</f>
        <v/>
      </c>
      <c r="X367" s="73">
        <f>IF(C367="ministral",0,COUNTIFS($C$2:$C$976,"&lt;&gt;ministral",$S$2:$S$976,"&lt;"&amp;S367)+1)</f>
        <v/>
      </c>
      <c r="Y367" s="73">
        <f>IF(C367="gemma",0,COUNTIFS($C$2:$C$976,"&lt;&gt;gemma",$S$2:$S$976,"&lt;"&amp;S367)+1)</f>
        <v/>
      </c>
      <c r="Z367" s="87">
        <f>COUNTIFS($B$2:$B$976,B367,$C$2:$C$976,C367,$S$2:$S$976,"&lt;"&amp;S367)+1</f>
        <v/>
      </c>
      <c r="AA367" s="88">
        <f>ABS(S367-SUMPRODUCT(('05B_가정검정'!$A$5:$A$19=B367)*('05B_가정검정'!$B$5:$B$19=C367)*'05B_가정검정'!$E$5:$E$19))</f>
        <v/>
      </c>
      <c r="AB367" s="88">
        <f>S367-AVERAGEIFS($S$2:$S$976,$B$2:$B$976,B367,$C$2:$C$976,C367)</f>
        <v/>
      </c>
    </row>
    <row r="368" ht="15" customHeight="1" s="68">
      <c r="A368" s="83" t="inlineStr">
        <is>
          <t>PAT-25</t>
        </is>
      </c>
      <c r="B368" s="83" t="inlineStr">
        <is>
          <t>gemini</t>
        </is>
      </c>
      <c r="C368" s="83" t="inlineStr">
        <is>
          <t>gemma</t>
        </is>
      </c>
      <c r="D368" s="84" t="n">
        <v>0.237714285714286</v>
      </c>
      <c r="E368" s="84" t="n">
        <v>0.331838565022422</v>
      </c>
      <c r="F368" s="84" t="n">
        <v>0.0995475113122172</v>
      </c>
      <c r="G368" s="84" t="n">
        <v>0.224215246636771</v>
      </c>
      <c r="H368" s="84" t="n">
        <v>0.284293975444544</v>
      </c>
      <c r="I368" s="84" t="n">
        <v>0.270168211820994</v>
      </c>
      <c r="J368" s="84" t="n">
        <v>0.740220174291122</v>
      </c>
      <c r="K368" s="84" t="n">
        <v>0.7757837878509229</v>
      </c>
      <c r="L368" s="84" t="n">
        <v>0.90886289607546</v>
      </c>
      <c r="M368" s="84" t="n">
        <v>0.60248447204969</v>
      </c>
      <c r="N368" s="84" t="n">
        <v>0.714285714285714</v>
      </c>
      <c r="O368" s="84" t="n">
        <v>1</v>
      </c>
      <c r="P368" s="85">
        <f>AVERAGE(D368:I368)</f>
        <v/>
      </c>
      <c r="Q368" s="85">
        <f>AVERAGE(J368:L368)</f>
        <v/>
      </c>
      <c r="R368" s="85">
        <f>AVERAGE(M368:O368)</f>
        <v/>
      </c>
      <c r="S368" s="85">
        <f>'02_지표정의'!$C$22*P368+'02_지표정의'!$C$23*Q368+'02_지표정의'!$C$24*R368</f>
        <v/>
      </c>
      <c r="T368" s="73">
        <f>IF(OR(AND(B368="gemini",C368="gemma"),AND(B368="qwen3_6",C368="qwen"),AND(B368="mistral",C368="ministral")),1,0)</f>
        <v/>
      </c>
      <c r="U368" s="73">
        <f>IF(LEFT(A368,3)="PAT","특허","보고서")</f>
        <v/>
      </c>
      <c r="V368" s="86">
        <f>COUNTIF($S$2:$S$976,"&lt;"&amp;S368)+(COUNTIF($S$2:$S$976,"="&amp;S368)+1)/2</f>
        <v/>
      </c>
      <c r="W368" s="73">
        <f>IF(C368="qwen",0,COUNTIFS($C$2:$C$976,"&lt;&gt;qwen",$S$2:$S$976,"&lt;"&amp;S368)+1)</f>
        <v/>
      </c>
      <c r="X368" s="73">
        <f>IF(C368="ministral",0,COUNTIFS($C$2:$C$976,"&lt;&gt;ministral",$S$2:$S$976,"&lt;"&amp;S368)+1)</f>
        <v/>
      </c>
      <c r="Y368" s="73">
        <f>IF(C368="gemma",0,COUNTIFS($C$2:$C$976,"&lt;&gt;gemma",$S$2:$S$976,"&lt;"&amp;S368)+1)</f>
        <v/>
      </c>
      <c r="Z368" s="87">
        <f>COUNTIFS($B$2:$B$976,B368,$C$2:$C$976,C368,$S$2:$S$976,"&lt;"&amp;S368)+1</f>
        <v/>
      </c>
      <c r="AA368" s="88">
        <f>ABS(S368-SUMPRODUCT(('05B_가정검정'!$A$5:$A$19=B368)*('05B_가정검정'!$B$5:$B$19=C368)*'05B_가정검정'!$E$5:$E$19))</f>
        <v/>
      </c>
      <c r="AB368" s="88">
        <f>S368-AVERAGEIFS($S$2:$S$976,$B$2:$B$976,B368,$C$2:$C$976,C368)</f>
        <v/>
      </c>
    </row>
    <row r="369" ht="15" customHeight="1" s="68">
      <c r="A369" s="83" t="inlineStr">
        <is>
          <t>PAT-25</t>
        </is>
      </c>
      <c r="B369" s="83" t="inlineStr">
        <is>
          <t>gemini</t>
        </is>
      </c>
      <c r="C369" s="83" t="inlineStr">
        <is>
          <t>ministral</t>
        </is>
      </c>
      <c r="D369" s="84" t="n">
        <v>0.271428571428571</v>
      </c>
      <c r="E369" s="84" t="n">
        <v>0.171253822629969</v>
      </c>
      <c r="F369" s="84" t="n">
        <v>0.0553846153846154</v>
      </c>
      <c r="G369" s="84" t="n">
        <v>0.159021406727829</v>
      </c>
      <c r="H369" s="84" t="n">
        <v>0.18233213770201</v>
      </c>
      <c r="I369" s="84" t="n">
        <v>0.221559564206771</v>
      </c>
      <c r="J369" s="84" t="n">
        <v>0.754830534958665</v>
      </c>
      <c r="K369" s="84" t="n">
        <v>0.765304914299489</v>
      </c>
      <c r="L369" s="84" t="n">
        <v>0.899218193320092</v>
      </c>
      <c r="M369" s="84" t="n">
        <v>0.363295880149813</v>
      </c>
      <c r="N369" s="84" t="n">
        <v>0.433070866141732</v>
      </c>
      <c r="O369" s="84" t="n">
        <v>1</v>
      </c>
      <c r="P369" s="85">
        <f>AVERAGE(D369:I369)</f>
        <v/>
      </c>
      <c r="Q369" s="85">
        <f>AVERAGE(J369:L369)</f>
        <v/>
      </c>
      <c r="R369" s="85">
        <f>AVERAGE(M369:O369)</f>
        <v/>
      </c>
      <c r="S369" s="85">
        <f>'02_지표정의'!$C$22*P369+'02_지표정의'!$C$23*Q369+'02_지표정의'!$C$24*R369</f>
        <v/>
      </c>
      <c r="T369" s="73">
        <f>IF(OR(AND(B369="gemini",C369="gemma"),AND(B369="qwen3_6",C369="qwen"),AND(B369="mistral",C369="ministral")),1,0)</f>
        <v/>
      </c>
      <c r="U369" s="73">
        <f>IF(LEFT(A369,3)="PAT","특허","보고서")</f>
        <v/>
      </c>
      <c r="V369" s="86">
        <f>COUNTIF($S$2:$S$976,"&lt;"&amp;S369)+(COUNTIF($S$2:$S$976,"="&amp;S369)+1)/2</f>
        <v/>
      </c>
      <c r="W369" s="73">
        <f>IF(C369="qwen",0,COUNTIFS($C$2:$C$976,"&lt;&gt;qwen",$S$2:$S$976,"&lt;"&amp;S369)+1)</f>
        <v/>
      </c>
      <c r="X369" s="73">
        <f>IF(C369="ministral",0,COUNTIFS($C$2:$C$976,"&lt;&gt;ministral",$S$2:$S$976,"&lt;"&amp;S369)+1)</f>
        <v/>
      </c>
      <c r="Y369" s="73">
        <f>IF(C369="gemma",0,COUNTIFS($C$2:$C$976,"&lt;&gt;gemma",$S$2:$S$976,"&lt;"&amp;S369)+1)</f>
        <v/>
      </c>
      <c r="Z369" s="87">
        <f>COUNTIFS($B$2:$B$976,B369,$C$2:$C$976,C369,$S$2:$S$976,"&lt;"&amp;S369)+1</f>
        <v/>
      </c>
      <c r="AA369" s="88">
        <f>ABS(S369-SUMPRODUCT(('05B_가정검정'!$A$5:$A$19=B369)*('05B_가정검정'!$B$5:$B$19=C369)*'05B_가정검정'!$E$5:$E$19))</f>
        <v/>
      </c>
      <c r="AB369" s="88">
        <f>S369-AVERAGEIFS($S$2:$S$976,$B$2:$B$976,B369,$C$2:$C$976,C369)</f>
        <v/>
      </c>
    </row>
    <row r="370" ht="15" customHeight="1" s="68">
      <c r="A370" s="83" t="inlineStr">
        <is>
          <t>PAT-25</t>
        </is>
      </c>
      <c r="B370" s="83" t="inlineStr">
        <is>
          <t>gemini</t>
        </is>
      </c>
      <c r="C370" s="83" t="inlineStr">
        <is>
          <t>qwen</t>
        </is>
      </c>
      <c r="D370" s="84" t="n">
        <v>0.316970546984572</v>
      </c>
      <c r="E370" s="84" t="n">
        <v>0.467005076142132</v>
      </c>
      <c r="F370" s="84" t="n">
        <v>0.184615384615385</v>
      </c>
      <c r="G370" s="84" t="n">
        <v>0.355329949238579</v>
      </c>
      <c r="H370" s="84" t="n">
        <v>0.380478819616612</v>
      </c>
      <c r="I370" s="84" t="n">
        <v>0.498775844095021</v>
      </c>
      <c r="J370" s="84" t="n">
        <v>0.785102566246061</v>
      </c>
      <c r="K370" s="84" t="n">
        <v>0.773030043679594</v>
      </c>
      <c r="L370" s="84" t="n">
        <v>0.880755462205669</v>
      </c>
      <c r="M370" s="84" t="n">
        <v>0.544943820224719</v>
      </c>
      <c r="N370" s="84" t="n">
        <v>0.604395604395605</v>
      </c>
      <c r="O370" s="84" t="n">
        <v>1</v>
      </c>
      <c r="P370" s="85">
        <f>AVERAGE(D370:I370)</f>
        <v/>
      </c>
      <c r="Q370" s="85">
        <f>AVERAGE(J370:L370)</f>
        <v/>
      </c>
      <c r="R370" s="85">
        <f>AVERAGE(M370:O370)</f>
        <v/>
      </c>
      <c r="S370" s="85">
        <f>'02_지표정의'!$C$22*P370+'02_지표정의'!$C$23*Q370+'02_지표정의'!$C$24*R370</f>
        <v/>
      </c>
      <c r="T370" s="73">
        <f>IF(OR(AND(B370="gemini",C370="gemma"),AND(B370="qwen3_6",C370="qwen"),AND(B370="mistral",C370="ministral")),1,0)</f>
        <v/>
      </c>
      <c r="U370" s="73">
        <f>IF(LEFT(A370,3)="PAT","특허","보고서")</f>
        <v/>
      </c>
      <c r="V370" s="86">
        <f>COUNTIF($S$2:$S$976,"&lt;"&amp;S370)+(COUNTIF($S$2:$S$976,"="&amp;S370)+1)/2</f>
        <v/>
      </c>
      <c r="W370" s="73">
        <f>IF(C370="qwen",0,COUNTIFS($C$2:$C$976,"&lt;&gt;qwen",$S$2:$S$976,"&lt;"&amp;S370)+1)</f>
        <v/>
      </c>
      <c r="X370" s="73">
        <f>IF(C370="ministral",0,COUNTIFS($C$2:$C$976,"&lt;&gt;ministral",$S$2:$S$976,"&lt;"&amp;S370)+1)</f>
        <v/>
      </c>
      <c r="Y370" s="73">
        <f>IF(C370="gemma",0,COUNTIFS($C$2:$C$976,"&lt;&gt;gemma",$S$2:$S$976,"&lt;"&amp;S370)+1)</f>
        <v/>
      </c>
      <c r="Z370" s="87">
        <f>COUNTIFS($B$2:$B$976,B370,$C$2:$C$976,C370,$S$2:$S$976,"&lt;"&amp;S370)+1</f>
        <v/>
      </c>
      <c r="AA370" s="88">
        <f>ABS(S370-SUMPRODUCT(('05B_가정검정'!$A$5:$A$19=B370)*('05B_가정검정'!$B$5:$B$19=C370)*'05B_가정검정'!$E$5:$E$19))</f>
        <v/>
      </c>
      <c r="AB370" s="88">
        <f>S370-AVERAGEIFS($S$2:$S$976,$B$2:$B$976,B370,$C$2:$C$976,C370)</f>
        <v/>
      </c>
    </row>
    <row r="371" ht="15" customHeight="1" s="68">
      <c r="A371" s="83" t="inlineStr">
        <is>
          <t>PAT-25</t>
        </is>
      </c>
      <c r="B371" s="83" t="inlineStr">
        <is>
          <t>mistral</t>
        </is>
      </c>
      <c r="C371" s="83" t="inlineStr">
        <is>
          <t>gemma</t>
        </is>
      </c>
      <c r="D371" s="84" t="n">
        <v>0.233490566037736</v>
      </c>
      <c r="E371" s="84" t="n">
        <v>0.277227722772277</v>
      </c>
      <c r="F371" s="84" t="n">
        <v>0.1</v>
      </c>
      <c r="G371" s="84" t="n">
        <v>0.227722772277228</v>
      </c>
      <c r="H371" s="84" t="n">
        <v>0.307455626015299</v>
      </c>
      <c r="I371" s="84" t="n">
        <v>0.261719673181431</v>
      </c>
      <c r="J371" s="84" t="n">
        <v>0.713399800472914</v>
      </c>
      <c r="K371" s="84" t="n">
        <v>0.608690197995799</v>
      </c>
      <c r="L371" s="84" t="n">
        <v>0.761993758781696</v>
      </c>
      <c r="M371" s="84" t="n">
        <v>0.394594594594595</v>
      </c>
      <c r="N371" s="84" t="n">
        <v>0.4</v>
      </c>
      <c r="O371" s="84" t="n">
        <v>1</v>
      </c>
      <c r="P371" s="85">
        <f>AVERAGE(D371:I371)</f>
        <v/>
      </c>
      <c r="Q371" s="85">
        <f>AVERAGE(J371:L371)</f>
        <v/>
      </c>
      <c r="R371" s="85">
        <f>AVERAGE(M371:O371)</f>
        <v/>
      </c>
      <c r="S371" s="85">
        <f>'02_지표정의'!$C$22*P371+'02_지표정의'!$C$23*Q371+'02_지표정의'!$C$24*R371</f>
        <v/>
      </c>
      <c r="T371" s="73">
        <f>IF(OR(AND(B371="gemini",C371="gemma"),AND(B371="qwen3_6",C371="qwen"),AND(B371="mistral",C371="ministral")),1,0)</f>
        <v/>
      </c>
      <c r="U371" s="73">
        <f>IF(LEFT(A371,3)="PAT","특허","보고서")</f>
        <v/>
      </c>
      <c r="V371" s="86">
        <f>COUNTIF($S$2:$S$976,"&lt;"&amp;S371)+(COUNTIF($S$2:$S$976,"="&amp;S371)+1)/2</f>
        <v/>
      </c>
      <c r="W371" s="73">
        <f>IF(C371="qwen",0,COUNTIFS($C$2:$C$976,"&lt;&gt;qwen",$S$2:$S$976,"&lt;"&amp;S371)+1)</f>
        <v/>
      </c>
      <c r="X371" s="73">
        <f>IF(C371="ministral",0,COUNTIFS($C$2:$C$976,"&lt;&gt;ministral",$S$2:$S$976,"&lt;"&amp;S371)+1)</f>
        <v/>
      </c>
      <c r="Y371" s="73">
        <f>IF(C371="gemma",0,COUNTIFS($C$2:$C$976,"&lt;&gt;gemma",$S$2:$S$976,"&lt;"&amp;S371)+1)</f>
        <v/>
      </c>
      <c r="Z371" s="87">
        <f>COUNTIFS($B$2:$B$976,B371,$C$2:$C$976,C371,$S$2:$S$976,"&lt;"&amp;S371)+1</f>
        <v/>
      </c>
      <c r="AA371" s="88">
        <f>ABS(S371-SUMPRODUCT(('05B_가정검정'!$A$5:$A$19=B371)*('05B_가정검정'!$B$5:$B$19=C371)*'05B_가정검정'!$E$5:$E$19))</f>
        <v/>
      </c>
      <c r="AB371" s="88">
        <f>S371-AVERAGEIFS($S$2:$S$976,$B$2:$B$976,B371,$C$2:$C$976,C371)</f>
        <v/>
      </c>
    </row>
    <row r="372" ht="15" customHeight="1" s="68">
      <c r="A372" s="83" t="inlineStr">
        <is>
          <t>PAT-25</t>
        </is>
      </c>
      <c r="B372" s="83" t="inlineStr">
        <is>
          <t>mistral</t>
        </is>
      </c>
      <c r="C372" s="83" t="inlineStr">
        <is>
          <t>ministral</t>
        </is>
      </c>
      <c r="D372" s="84" t="n">
        <v>0.359583952451709</v>
      </c>
      <c r="E372" s="84" t="n">
        <v>0.287581699346405</v>
      </c>
      <c r="F372" s="84" t="n">
        <v>0.125</v>
      </c>
      <c r="G372" s="84" t="n">
        <v>0.261437908496732</v>
      </c>
      <c r="H372" s="84" t="n">
        <v>0.277155888017852</v>
      </c>
      <c r="I372" s="84" t="n">
        <v>0.262238440893725</v>
      </c>
      <c r="J372" s="84" t="n">
        <v>0.748398351408224</v>
      </c>
      <c r="K372" s="84" t="n">
        <v>0.665454041354707</v>
      </c>
      <c r="L372" s="84" t="n">
        <v>0.809835604115031</v>
      </c>
      <c r="M372" s="84" t="n">
        <v>0.595505617977528</v>
      </c>
      <c r="N372" s="84" t="n">
        <v>0.645669291338583</v>
      </c>
      <c r="O372" s="84" t="n">
        <v>1</v>
      </c>
      <c r="P372" s="85">
        <f>AVERAGE(D372:I372)</f>
        <v/>
      </c>
      <c r="Q372" s="85">
        <f>AVERAGE(J372:L372)</f>
        <v/>
      </c>
      <c r="R372" s="85">
        <f>AVERAGE(M372:O372)</f>
        <v/>
      </c>
      <c r="S372" s="85">
        <f>'02_지표정의'!$C$22*P372+'02_지표정의'!$C$23*Q372+'02_지표정의'!$C$24*R372</f>
        <v/>
      </c>
      <c r="T372" s="73">
        <f>IF(OR(AND(B372="gemini",C372="gemma"),AND(B372="qwen3_6",C372="qwen"),AND(B372="mistral",C372="ministral")),1,0)</f>
        <v/>
      </c>
      <c r="U372" s="73">
        <f>IF(LEFT(A372,3)="PAT","특허","보고서")</f>
        <v/>
      </c>
      <c r="V372" s="86">
        <f>COUNTIF($S$2:$S$976,"&lt;"&amp;S372)+(COUNTIF($S$2:$S$976,"="&amp;S372)+1)/2</f>
        <v/>
      </c>
      <c r="W372" s="73">
        <f>IF(C372="qwen",0,COUNTIFS($C$2:$C$976,"&lt;&gt;qwen",$S$2:$S$976,"&lt;"&amp;S372)+1)</f>
        <v/>
      </c>
      <c r="X372" s="73">
        <f>IF(C372="ministral",0,COUNTIFS($C$2:$C$976,"&lt;&gt;ministral",$S$2:$S$976,"&lt;"&amp;S372)+1)</f>
        <v/>
      </c>
      <c r="Y372" s="73">
        <f>IF(C372="gemma",0,COUNTIFS($C$2:$C$976,"&lt;&gt;gemma",$S$2:$S$976,"&lt;"&amp;S372)+1)</f>
        <v/>
      </c>
      <c r="Z372" s="87">
        <f>COUNTIFS($B$2:$B$976,B372,$C$2:$C$976,C372,$S$2:$S$976,"&lt;"&amp;S372)+1</f>
        <v/>
      </c>
      <c r="AA372" s="88">
        <f>ABS(S372-SUMPRODUCT(('05B_가정검정'!$A$5:$A$19=B372)*('05B_가정검정'!$B$5:$B$19=C372)*'05B_가정검정'!$E$5:$E$19))</f>
        <v/>
      </c>
      <c r="AB372" s="88">
        <f>S372-AVERAGEIFS($S$2:$S$976,$B$2:$B$976,B372,$C$2:$C$976,C372)</f>
        <v/>
      </c>
    </row>
    <row r="373" ht="15" customHeight="1" s="68">
      <c r="A373" s="83" t="inlineStr">
        <is>
          <t>PAT-25</t>
        </is>
      </c>
      <c r="B373" s="83" t="inlineStr">
        <is>
          <t>mistral</t>
        </is>
      </c>
      <c r="C373" s="83" t="inlineStr">
        <is>
          <t>qwen</t>
        </is>
      </c>
      <c r="D373" s="84" t="n">
        <v>0.309037900874636</v>
      </c>
      <c r="E373" s="84" t="n">
        <v>0.409090909090909</v>
      </c>
      <c r="F373" s="84" t="n">
        <v>0.160919540229885</v>
      </c>
      <c r="G373" s="84" t="n">
        <v>0.363636363636364</v>
      </c>
      <c r="H373" s="84" t="n">
        <v>0.403859783035495</v>
      </c>
      <c r="I373" s="84" t="n">
        <v>0.38556194905962</v>
      </c>
      <c r="J373" s="84" t="n">
        <v>0.759723496982602</v>
      </c>
      <c r="K373" s="84" t="n">
        <v>0.644604898187085</v>
      </c>
      <c r="L373" s="84" t="n">
        <v>0.838627122324578</v>
      </c>
      <c r="M373" s="84" t="n">
        <v>0.605405405405405</v>
      </c>
      <c r="N373" s="84" t="n">
        <v>0.536363636363636</v>
      </c>
      <c r="O373" s="84" t="n">
        <v>1</v>
      </c>
      <c r="P373" s="85">
        <f>AVERAGE(D373:I373)</f>
        <v/>
      </c>
      <c r="Q373" s="85">
        <f>AVERAGE(J373:L373)</f>
        <v/>
      </c>
      <c r="R373" s="85">
        <f>AVERAGE(M373:O373)</f>
        <v/>
      </c>
      <c r="S373" s="85">
        <f>'02_지표정의'!$C$22*P373+'02_지표정의'!$C$23*Q373+'02_지표정의'!$C$24*R373</f>
        <v/>
      </c>
      <c r="T373" s="73">
        <f>IF(OR(AND(B373="gemini",C373="gemma"),AND(B373="qwen3_6",C373="qwen"),AND(B373="mistral",C373="ministral")),1,0)</f>
        <v/>
      </c>
      <c r="U373" s="73">
        <f>IF(LEFT(A373,3)="PAT","특허","보고서")</f>
        <v/>
      </c>
      <c r="V373" s="86">
        <f>COUNTIF($S$2:$S$976,"&lt;"&amp;S373)+(COUNTIF($S$2:$S$976,"="&amp;S373)+1)/2</f>
        <v/>
      </c>
      <c r="W373" s="73">
        <f>IF(C373="qwen",0,COUNTIFS($C$2:$C$976,"&lt;&gt;qwen",$S$2:$S$976,"&lt;"&amp;S373)+1)</f>
        <v/>
      </c>
      <c r="X373" s="73">
        <f>IF(C373="ministral",0,COUNTIFS($C$2:$C$976,"&lt;&gt;ministral",$S$2:$S$976,"&lt;"&amp;S373)+1)</f>
        <v/>
      </c>
      <c r="Y373" s="73">
        <f>IF(C373="gemma",0,COUNTIFS($C$2:$C$976,"&lt;&gt;gemma",$S$2:$S$976,"&lt;"&amp;S373)+1)</f>
        <v/>
      </c>
      <c r="Z373" s="87">
        <f>COUNTIFS($B$2:$B$976,B373,$C$2:$C$976,C373,$S$2:$S$976,"&lt;"&amp;S373)+1</f>
        <v/>
      </c>
      <c r="AA373" s="88">
        <f>ABS(S373-SUMPRODUCT(('05B_가정검정'!$A$5:$A$19=B373)*('05B_가정검정'!$B$5:$B$19=C373)*'05B_가정검정'!$E$5:$E$19))</f>
        <v/>
      </c>
      <c r="AB373" s="88">
        <f>S373-AVERAGEIFS($S$2:$S$976,$B$2:$B$976,B373,$C$2:$C$976,C373)</f>
        <v/>
      </c>
    </row>
    <row r="374" ht="15" customHeight="1" s="68">
      <c r="A374" s="83" t="inlineStr">
        <is>
          <t>PAT-25</t>
        </is>
      </c>
      <c r="B374" s="83" t="inlineStr">
        <is>
          <t>qwen3_6</t>
        </is>
      </c>
      <c r="C374" s="83" t="inlineStr">
        <is>
          <t>gemma</t>
        </is>
      </c>
      <c r="D374" s="84" t="n">
        <v>0.230769230769231</v>
      </c>
      <c r="E374" s="84" t="n">
        <v>0.357446808510638</v>
      </c>
      <c r="F374" s="84" t="n">
        <v>0.137339055793991</v>
      </c>
      <c r="G374" s="84" t="n">
        <v>0.28936170212766</v>
      </c>
      <c r="H374" s="84" t="n">
        <v>0.314095574344709</v>
      </c>
      <c r="I374" s="84" t="n">
        <v>0.288582580552448</v>
      </c>
      <c r="J374" s="84" t="n">
        <v>0.733409494952763</v>
      </c>
      <c r="K374" s="84" t="n">
        <v>0.701447588544456</v>
      </c>
      <c r="L374" s="84" t="n">
        <v>0.883165849748007</v>
      </c>
      <c r="M374" s="84" t="n">
        <v>0.60248447204969</v>
      </c>
      <c r="N374" s="84" t="n">
        <v>0.714285714285714</v>
      </c>
      <c r="O374" s="84" t="n">
        <v>1</v>
      </c>
      <c r="P374" s="85">
        <f>AVERAGE(D374:I374)</f>
        <v/>
      </c>
      <c r="Q374" s="85">
        <f>AVERAGE(J374:L374)</f>
        <v/>
      </c>
      <c r="R374" s="85">
        <f>AVERAGE(M374:O374)</f>
        <v/>
      </c>
      <c r="S374" s="85">
        <f>'02_지표정의'!$C$22*P374+'02_지표정의'!$C$23*Q374+'02_지표정의'!$C$24*R374</f>
        <v/>
      </c>
      <c r="T374" s="73">
        <f>IF(OR(AND(B374="gemini",C374="gemma"),AND(B374="qwen3_6",C374="qwen"),AND(B374="mistral",C374="ministral")),1,0)</f>
        <v/>
      </c>
      <c r="U374" s="73">
        <f>IF(LEFT(A374,3)="PAT","특허","보고서")</f>
        <v/>
      </c>
      <c r="V374" s="86">
        <f>COUNTIF($S$2:$S$976,"&lt;"&amp;S374)+(COUNTIF($S$2:$S$976,"="&amp;S374)+1)/2</f>
        <v/>
      </c>
      <c r="W374" s="73">
        <f>IF(C374="qwen",0,COUNTIFS($C$2:$C$976,"&lt;&gt;qwen",$S$2:$S$976,"&lt;"&amp;S374)+1)</f>
        <v/>
      </c>
      <c r="X374" s="73">
        <f>IF(C374="ministral",0,COUNTIFS($C$2:$C$976,"&lt;&gt;ministral",$S$2:$S$976,"&lt;"&amp;S374)+1)</f>
        <v/>
      </c>
      <c r="Y374" s="73">
        <f>IF(C374="gemma",0,COUNTIFS($C$2:$C$976,"&lt;&gt;gemma",$S$2:$S$976,"&lt;"&amp;S374)+1)</f>
        <v/>
      </c>
      <c r="Z374" s="87">
        <f>COUNTIFS($B$2:$B$976,B374,$C$2:$C$976,C374,$S$2:$S$976,"&lt;"&amp;S374)+1</f>
        <v/>
      </c>
      <c r="AA374" s="88">
        <f>ABS(S374-SUMPRODUCT(('05B_가정검정'!$A$5:$A$19=B374)*('05B_가정검정'!$B$5:$B$19=C374)*'05B_가정검정'!$E$5:$E$19))</f>
        <v/>
      </c>
      <c r="AB374" s="88">
        <f>S374-AVERAGEIFS($S$2:$S$976,$B$2:$B$976,B374,$C$2:$C$976,C374)</f>
        <v/>
      </c>
    </row>
    <row r="375" ht="15" customHeight="1" s="68">
      <c r="A375" s="83" t="inlineStr">
        <is>
          <t>PAT-25</t>
        </is>
      </c>
      <c r="B375" s="83" t="inlineStr">
        <is>
          <t>qwen3_6</t>
        </is>
      </c>
      <c r="C375" s="83" t="inlineStr">
        <is>
          <t>ministral</t>
        </is>
      </c>
      <c r="D375" s="84" t="n">
        <v>0.28843537414966</v>
      </c>
      <c r="E375" s="84" t="n">
        <v>0.218289085545723</v>
      </c>
      <c r="F375" s="84" t="n">
        <v>0.0949554896142433</v>
      </c>
      <c r="G375" s="84" t="n">
        <v>0.200589970501475</v>
      </c>
      <c r="H375" s="84" t="n">
        <v>0.207392480517511</v>
      </c>
      <c r="I375" s="84" t="n">
        <v>0.258062143690927</v>
      </c>
      <c r="J375" s="84" t="n">
        <v>0.712486154478452</v>
      </c>
      <c r="K375" s="84" t="n">
        <v>0.7162528810697461</v>
      </c>
      <c r="L375" s="84" t="n">
        <v>0.8642631614622051</v>
      </c>
      <c r="M375" s="84" t="n">
        <v>0.363295880149813</v>
      </c>
      <c r="N375" s="84" t="n">
        <v>0.433070866141732</v>
      </c>
      <c r="O375" s="84" t="n">
        <v>1</v>
      </c>
      <c r="P375" s="85">
        <f>AVERAGE(D375:I375)</f>
        <v/>
      </c>
      <c r="Q375" s="85">
        <f>AVERAGE(J375:L375)</f>
        <v/>
      </c>
      <c r="R375" s="85">
        <f>AVERAGE(M375:O375)</f>
        <v/>
      </c>
      <c r="S375" s="85">
        <f>'02_지표정의'!$C$22*P375+'02_지표정의'!$C$23*Q375+'02_지표정의'!$C$24*R375</f>
        <v/>
      </c>
      <c r="T375" s="73">
        <f>IF(OR(AND(B375="gemini",C375="gemma"),AND(B375="qwen3_6",C375="qwen"),AND(B375="mistral",C375="ministral")),1,0)</f>
        <v/>
      </c>
      <c r="U375" s="73">
        <f>IF(LEFT(A375,3)="PAT","특허","보고서")</f>
        <v/>
      </c>
      <c r="V375" s="86">
        <f>COUNTIF($S$2:$S$976,"&lt;"&amp;S375)+(COUNTIF($S$2:$S$976,"="&amp;S375)+1)/2</f>
        <v/>
      </c>
      <c r="W375" s="73">
        <f>IF(C375="qwen",0,COUNTIFS($C$2:$C$976,"&lt;&gt;qwen",$S$2:$S$976,"&lt;"&amp;S375)+1)</f>
        <v/>
      </c>
      <c r="X375" s="73">
        <f>IF(C375="ministral",0,COUNTIFS($C$2:$C$976,"&lt;&gt;ministral",$S$2:$S$976,"&lt;"&amp;S375)+1)</f>
        <v/>
      </c>
      <c r="Y375" s="73">
        <f>IF(C375="gemma",0,COUNTIFS($C$2:$C$976,"&lt;&gt;gemma",$S$2:$S$976,"&lt;"&amp;S375)+1)</f>
        <v/>
      </c>
      <c r="Z375" s="87">
        <f>COUNTIFS($B$2:$B$976,B375,$C$2:$C$976,C375,$S$2:$S$976,"&lt;"&amp;S375)+1</f>
        <v/>
      </c>
      <c r="AA375" s="88">
        <f>ABS(S375-SUMPRODUCT(('05B_가정검정'!$A$5:$A$19=B375)*('05B_가정검정'!$B$5:$B$19=C375)*'05B_가정검정'!$E$5:$E$19))</f>
        <v/>
      </c>
      <c r="AB375" s="88">
        <f>S375-AVERAGEIFS($S$2:$S$976,$B$2:$B$976,B375,$C$2:$C$976,C375)</f>
        <v/>
      </c>
    </row>
    <row r="376" ht="15" customHeight="1" s="68">
      <c r="A376" s="83" t="inlineStr">
        <is>
          <t>PAT-25</t>
        </is>
      </c>
      <c r="B376" s="83" t="inlineStr">
        <is>
          <t>qwen3_6</t>
        </is>
      </c>
      <c r="C376" s="83" t="inlineStr">
        <is>
          <t>qwen</t>
        </is>
      </c>
      <c r="D376" s="84" t="n">
        <v>0.32620320855615</v>
      </c>
      <c r="E376" s="84" t="n">
        <v>0.488038277511962</v>
      </c>
      <c r="F376" s="84" t="n">
        <v>0.222222222222222</v>
      </c>
      <c r="G376" s="84" t="n">
        <v>0.363636363636364</v>
      </c>
      <c r="H376" s="84" t="n">
        <v>0.420242127764249</v>
      </c>
      <c r="I376" s="84" t="n">
        <v>0.56220570206122</v>
      </c>
      <c r="J376" s="84" t="n">
        <v>0.726992562467511</v>
      </c>
      <c r="K376" s="84" t="n">
        <v>0.682205452169143</v>
      </c>
      <c r="L376" s="84" t="n">
        <v>0.883945538282193</v>
      </c>
      <c r="M376" s="84" t="n">
        <v>0.544943820224719</v>
      </c>
      <c r="N376" s="84" t="n">
        <v>0.604395604395605</v>
      </c>
      <c r="O376" s="84" t="n">
        <v>1</v>
      </c>
      <c r="P376" s="85">
        <f>AVERAGE(D376:I376)</f>
        <v/>
      </c>
      <c r="Q376" s="85">
        <f>AVERAGE(J376:L376)</f>
        <v/>
      </c>
      <c r="R376" s="85">
        <f>AVERAGE(M376:O376)</f>
        <v/>
      </c>
      <c r="S376" s="85">
        <f>'02_지표정의'!$C$22*P376+'02_지표정의'!$C$23*Q376+'02_지표정의'!$C$24*R376</f>
        <v/>
      </c>
      <c r="T376" s="73">
        <f>IF(OR(AND(B376="gemini",C376="gemma"),AND(B376="qwen3_6",C376="qwen"),AND(B376="mistral",C376="ministral")),1,0)</f>
        <v/>
      </c>
      <c r="U376" s="73">
        <f>IF(LEFT(A376,3)="PAT","특허","보고서")</f>
        <v/>
      </c>
      <c r="V376" s="86">
        <f>COUNTIF($S$2:$S$976,"&lt;"&amp;S376)+(COUNTIF($S$2:$S$976,"="&amp;S376)+1)/2</f>
        <v/>
      </c>
      <c r="W376" s="73">
        <f>IF(C376="qwen",0,COUNTIFS($C$2:$C$976,"&lt;&gt;qwen",$S$2:$S$976,"&lt;"&amp;S376)+1)</f>
        <v/>
      </c>
      <c r="X376" s="73">
        <f>IF(C376="ministral",0,COUNTIFS($C$2:$C$976,"&lt;&gt;ministral",$S$2:$S$976,"&lt;"&amp;S376)+1)</f>
        <v/>
      </c>
      <c r="Y376" s="73">
        <f>IF(C376="gemma",0,COUNTIFS($C$2:$C$976,"&lt;&gt;gemma",$S$2:$S$976,"&lt;"&amp;S376)+1)</f>
        <v/>
      </c>
      <c r="Z376" s="87">
        <f>COUNTIFS($B$2:$B$976,B376,$C$2:$C$976,C376,$S$2:$S$976,"&lt;"&amp;S376)+1</f>
        <v/>
      </c>
      <c r="AA376" s="88">
        <f>ABS(S376-SUMPRODUCT(('05B_가정검정'!$A$5:$A$19=B376)*('05B_가정검정'!$B$5:$B$19=C376)*'05B_가정검정'!$E$5:$E$19))</f>
        <v/>
      </c>
      <c r="AB376" s="88">
        <f>S376-AVERAGEIFS($S$2:$S$976,$B$2:$B$976,B376,$C$2:$C$976,C376)</f>
        <v/>
      </c>
    </row>
    <row r="377" ht="15" customHeight="1" s="68">
      <c r="A377" s="83" t="inlineStr">
        <is>
          <t>PAT-26</t>
        </is>
      </c>
      <c r="B377" s="83" t="inlineStr">
        <is>
          <t>chatgpt</t>
        </is>
      </c>
      <c r="C377" s="83" t="inlineStr">
        <is>
          <t>gemma</t>
        </is>
      </c>
      <c r="D377" s="84" t="n">
        <v>0.244295302013423</v>
      </c>
      <c r="E377" s="84" t="n">
        <v>0.267942583732057</v>
      </c>
      <c r="F377" s="84" t="n">
        <v>0.115942028985507</v>
      </c>
      <c r="G377" s="84" t="n">
        <v>0.248803827751196</v>
      </c>
      <c r="H377" s="84" t="n">
        <v>0.237241702974317</v>
      </c>
      <c r="I377" s="84" t="n">
        <v>0.0985106383162979</v>
      </c>
      <c r="J377" s="84" t="n">
        <v>0.700226209109404</v>
      </c>
      <c r="K377" s="84" t="n">
        <v>0.6271965363877789</v>
      </c>
      <c r="L377" s="84" t="n">
        <v>0.802065215875485</v>
      </c>
      <c r="M377" s="84" t="n">
        <v>0.562913907284768</v>
      </c>
      <c r="N377" s="84" t="n">
        <v>0.231707317073171</v>
      </c>
      <c r="O377" s="84" t="n">
        <v>1</v>
      </c>
      <c r="P377" s="85">
        <f>AVERAGE(D377:I377)</f>
        <v/>
      </c>
      <c r="Q377" s="85">
        <f>AVERAGE(J377:L377)</f>
        <v/>
      </c>
      <c r="R377" s="85">
        <f>AVERAGE(M377:O377)</f>
        <v/>
      </c>
      <c r="S377" s="85">
        <f>'02_지표정의'!$C$22*P377+'02_지표정의'!$C$23*Q377+'02_지표정의'!$C$24*R377</f>
        <v/>
      </c>
      <c r="T377" s="73">
        <f>IF(OR(AND(B377="gemini",C377="gemma"),AND(B377="qwen3_6",C377="qwen"),AND(B377="mistral",C377="ministral")),1,0)</f>
        <v/>
      </c>
      <c r="U377" s="73">
        <f>IF(LEFT(A377,3)="PAT","특허","보고서")</f>
        <v/>
      </c>
      <c r="V377" s="86">
        <f>COUNTIF($S$2:$S$976,"&lt;"&amp;S377)+(COUNTIF($S$2:$S$976,"="&amp;S377)+1)/2</f>
        <v/>
      </c>
      <c r="W377" s="73">
        <f>IF(C377="qwen",0,COUNTIFS($C$2:$C$976,"&lt;&gt;qwen",$S$2:$S$976,"&lt;"&amp;S377)+1)</f>
        <v/>
      </c>
      <c r="X377" s="73">
        <f>IF(C377="ministral",0,COUNTIFS($C$2:$C$976,"&lt;&gt;ministral",$S$2:$S$976,"&lt;"&amp;S377)+1)</f>
        <v/>
      </c>
      <c r="Y377" s="73">
        <f>IF(C377="gemma",0,COUNTIFS($C$2:$C$976,"&lt;&gt;gemma",$S$2:$S$976,"&lt;"&amp;S377)+1)</f>
        <v/>
      </c>
      <c r="Z377" s="87">
        <f>COUNTIFS($B$2:$B$976,B377,$C$2:$C$976,C377,$S$2:$S$976,"&lt;"&amp;S377)+1</f>
        <v/>
      </c>
      <c r="AA377" s="88">
        <f>ABS(S377-SUMPRODUCT(('05B_가정검정'!$A$5:$A$19=B377)*('05B_가정검정'!$B$5:$B$19=C377)*'05B_가정검정'!$E$5:$E$19))</f>
        <v/>
      </c>
      <c r="AB377" s="88">
        <f>S377-AVERAGEIFS($S$2:$S$976,$B$2:$B$976,B377,$C$2:$C$976,C377)</f>
        <v/>
      </c>
    </row>
    <row r="378" ht="15" customHeight="1" s="68">
      <c r="A378" s="83" t="inlineStr">
        <is>
          <t>PAT-26</t>
        </is>
      </c>
      <c r="B378" s="83" t="inlineStr">
        <is>
          <t>chatgpt</t>
        </is>
      </c>
      <c r="C378" s="83" t="inlineStr">
        <is>
          <t>ministral</t>
        </is>
      </c>
      <c r="D378" s="84" t="n">
        <v>0.263305322128852</v>
      </c>
      <c r="E378" s="84" t="n">
        <v>0.209302325581395</v>
      </c>
      <c r="F378" s="84" t="n">
        <v>0.087719298245614</v>
      </c>
      <c r="G378" s="84" t="n">
        <v>0.191860465116279</v>
      </c>
      <c r="H378" s="84" t="n">
        <v>0.126862039381276</v>
      </c>
      <c r="I378" s="84" t="n">
        <v>0.12320289032235</v>
      </c>
      <c r="J378" s="84" t="n">
        <v>0.672550275996422</v>
      </c>
      <c r="K378" s="84" t="n">
        <v>0.668098663298342</v>
      </c>
      <c r="L378" s="84" t="n">
        <v>0.818805401057239</v>
      </c>
      <c r="M378" s="84" t="n">
        <v>0.436426116838488</v>
      </c>
      <c r="N378" s="84" t="n">
        <v>0.06666666666666669</v>
      </c>
      <c r="O378" s="84" t="n">
        <v>1</v>
      </c>
      <c r="P378" s="85">
        <f>AVERAGE(D378:I378)</f>
        <v/>
      </c>
      <c r="Q378" s="85">
        <f>AVERAGE(J378:L378)</f>
        <v/>
      </c>
      <c r="R378" s="85">
        <f>AVERAGE(M378:O378)</f>
        <v/>
      </c>
      <c r="S378" s="85">
        <f>'02_지표정의'!$C$22*P378+'02_지표정의'!$C$23*Q378+'02_지표정의'!$C$24*R378</f>
        <v/>
      </c>
      <c r="T378" s="73">
        <f>IF(OR(AND(B378="gemini",C378="gemma"),AND(B378="qwen3_6",C378="qwen"),AND(B378="mistral",C378="ministral")),1,0)</f>
        <v/>
      </c>
      <c r="U378" s="73">
        <f>IF(LEFT(A378,3)="PAT","특허","보고서")</f>
        <v/>
      </c>
      <c r="V378" s="86">
        <f>COUNTIF($S$2:$S$976,"&lt;"&amp;S378)+(COUNTIF($S$2:$S$976,"="&amp;S378)+1)/2</f>
        <v/>
      </c>
      <c r="W378" s="73">
        <f>IF(C378="qwen",0,COUNTIFS($C$2:$C$976,"&lt;&gt;qwen",$S$2:$S$976,"&lt;"&amp;S378)+1)</f>
        <v/>
      </c>
      <c r="X378" s="73">
        <f>IF(C378="ministral",0,COUNTIFS($C$2:$C$976,"&lt;&gt;ministral",$S$2:$S$976,"&lt;"&amp;S378)+1)</f>
        <v/>
      </c>
      <c r="Y378" s="73">
        <f>IF(C378="gemma",0,COUNTIFS($C$2:$C$976,"&lt;&gt;gemma",$S$2:$S$976,"&lt;"&amp;S378)+1)</f>
        <v/>
      </c>
      <c r="Z378" s="87">
        <f>COUNTIFS($B$2:$B$976,B378,$C$2:$C$976,C378,$S$2:$S$976,"&lt;"&amp;S378)+1</f>
        <v/>
      </c>
      <c r="AA378" s="88">
        <f>ABS(S378-SUMPRODUCT(('05B_가정검정'!$A$5:$A$19=B378)*('05B_가정검정'!$B$5:$B$19=C378)*'05B_가정검정'!$E$5:$E$19))</f>
        <v/>
      </c>
      <c r="AB378" s="88">
        <f>S378-AVERAGEIFS($S$2:$S$976,$B$2:$B$976,B378,$C$2:$C$976,C378)</f>
        <v/>
      </c>
    </row>
    <row r="379" ht="15" customHeight="1" s="68">
      <c r="A379" s="83" t="inlineStr">
        <is>
          <t>PAT-26</t>
        </is>
      </c>
      <c r="B379" s="83" t="inlineStr">
        <is>
          <t>chatgpt</t>
        </is>
      </c>
      <c r="C379" s="83" t="inlineStr">
        <is>
          <t>qwen</t>
        </is>
      </c>
      <c r="D379" s="84" t="n">
        <v>0.315254237288136</v>
      </c>
      <c r="E379" s="84" t="n">
        <v>0.496969696969697</v>
      </c>
      <c r="F379" s="84" t="n">
        <v>0.171779141104295</v>
      </c>
      <c r="G379" s="84" t="n">
        <v>0.363636363636364</v>
      </c>
      <c r="H379" s="84" t="n">
        <v>0.301426862870423</v>
      </c>
      <c r="I379" s="84" t="n">
        <v>0.285653245718416</v>
      </c>
      <c r="J379" s="84" t="n">
        <v>0.719853122621847</v>
      </c>
      <c r="K379" s="84" t="n">
        <v>0.653657590994853</v>
      </c>
      <c r="L379" s="84" t="n">
        <v>0.868406465322824</v>
      </c>
      <c r="M379" s="84" t="n">
        <v>0.562913907284768</v>
      </c>
      <c r="N379" s="84" t="n">
        <v>0.231707317073171</v>
      </c>
      <c r="O379" s="84" t="n">
        <v>1</v>
      </c>
      <c r="P379" s="85">
        <f>AVERAGE(D379:I379)</f>
        <v/>
      </c>
      <c r="Q379" s="85">
        <f>AVERAGE(J379:L379)</f>
        <v/>
      </c>
      <c r="R379" s="85">
        <f>AVERAGE(M379:O379)</f>
        <v/>
      </c>
      <c r="S379" s="85">
        <f>'02_지표정의'!$C$22*P379+'02_지표정의'!$C$23*Q379+'02_지표정의'!$C$24*R379</f>
        <v/>
      </c>
      <c r="T379" s="73">
        <f>IF(OR(AND(B379="gemini",C379="gemma"),AND(B379="qwen3_6",C379="qwen"),AND(B379="mistral",C379="ministral")),1,0)</f>
        <v/>
      </c>
      <c r="U379" s="73">
        <f>IF(LEFT(A379,3)="PAT","특허","보고서")</f>
        <v/>
      </c>
      <c r="V379" s="86">
        <f>COUNTIF($S$2:$S$976,"&lt;"&amp;S379)+(COUNTIF($S$2:$S$976,"="&amp;S379)+1)/2</f>
        <v/>
      </c>
      <c r="W379" s="73">
        <f>IF(C379="qwen",0,COUNTIFS($C$2:$C$976,"&lt;&gt;qwen",$S$2:$S$976,"&lt;"&amp;S379)+1)</f>
        <v/>
      </c>
      <c r="X379" s="73">
        <f>IF(C379="ministral",0,COUNTIFS($C$2:$C$976,"&lt;&gt;ministral",$S$2:$S$976,"&lt;"&amp;S379)+1)</f>
        <v/>
      </c>
      <c r="Y379" s="73">
        <f>IF(C379="gemma",0,COUNTIFS($C$2:$C$976,"&lt;&gt;gemma",$S$2:$S$976,"&lt;"&amp;S379)+1)</f>
        <v/>
      </c>
      <c r="Z379" s="87">
        <f>COUNTIFS($B$2:$B$976,B379,$C$2:$C$976,C379,$S$2:$S$976,"&lt;"&amp;S379)+1</f>
        <v/>
      </c>
      <c r="AA379" s="88">
        <f>ABS(S379-SUMPRODUCT(('05B_가정검정'!$A$5:$A$19=B379)*('05B_가정검정'!$B$5:$B$19=C379)*'05B_가정검정'!$E$5:$E$19))</f>
        <v/>
      </c>
      <c r="AB379" s="88">
        <f>S379-AVERAGEIFS($S$2:$S$976,$B$2:$B$976,B379,$C$2:$C$976,C379)</f>
        <v/>
      </c>
    </row>
    <row r="380" ht="15" customHeight="1" s="68">
      <c r="A380" s="83" t="inlineStr">
        <is>
          <t>PAT-26</t>
        </is>
      </c>
      <c r="B380" s="83" t="inlineStr">
        <is>
          <t>claude</t>
        </is>
      </c>
      <c r="C380" s="83" t="inlineStr">
        <is>
          <t>gemma</t>
        </is>
      </c>
      <c r="D380" s="84" t="n">
        <v>0.20125786163522</v>
      </c>
      <c r="E380" s="84" t="n">
        <v>0.252707581227437</v>
      </c>
      <c r="F380" s="84" t="n">
        <v>0.08</v>
      </c>
      <c r="G380" s="84" t="n">
        <v>0.180505415162455</v>
      </c>
      <c r="H380" s="84" t="n">
        <v>0.303938491189484</v>
      </c>
      <c r="I380" s="84" t="n">
        <v>0.0754334736538102</v>
      </c>
      <c r="J380" s="84" t="n">
        <v>0.685305425005807</v>
      </c>
      <c r="K380" s="84" t="n">
        <v>0.682282685753682</v>
      </c>
      <c r="L380" s="84" t="n">
        <v>0.8569301705448999</v>
      </c>
      <c r="M380" s="84" t="n">
        <v>0.765765765765766</v>
      </c>
      <c r="N380" s="84" t="n">
        <v>0.790322580645161</v>
      </c>
      <c r="O380" s="84" t="n">
        <v>1</v>
      </c>
      <c r="P380" s="85">
        <f>AVERAGE(D380:I380)</f>
        <v/>
      </c>
      <c r="Q380" s="85">
        <f>AVERAGE(J380:L380)</f>
        <v/>
      </c>
      <c r="R380" s="85">
        <f>AVERAGE(M380:O380)</f>
        <v/>
      </c>
      <c r="S380" s="85">
        <f>'02_지표정의'!$C$22*P380+'02_지표정의'!$C$23*Q380+'02_지표정의'!$C$24*R380</f>
        <v/>
      </c>
      <c r="T380" s="73">
        <f>IF(OR(AND(B380="gemini",C380="gemma"),AND(B380="qwen3_6",C380="qwen"),AND(B380="mistral",C380="ministral")),1,0)</f>
        <v/>
      </c>
      <c r="U380" s="73">
        <f>IF(LEFT(A380,3)="PAT","특허","보고서")</f>
        <v/>
      </c>
      <c r="V380" s="86">
        <f>COUNTIF($S$2:$S$976,"&lt;"&amp;S380)+(COUNTIF($S$2:$S$976,"="&amp;S380)+1)/2</f>
        <v/>
      </c>
      <c r="W380" s="73">
        <f>IF(C380="qwen",0,COUNTIFS($C$2:$C$976,"&lt;&gt;qwen",$S$2:$S$976,"&lt;"&amp;S380)+1)</f>
        <v/>
      </c>
      <c r="X380" s="73">
        <f>IF(C380="ministral",0,COUNTIFS($C$2:$C$976,"&lt;&gt;ministral",$S$2:$S$976,"&lt;"&amp;S380)+1)</f>
        <v/>
      </c>
      <c r="Y380" s="73">
        <f>IF(C380="gemma",0,COUNTIFS($C$2:$C$976,"&lt;&gt;gemma",$S$2:$S$976,"&lt;"&amp;S380)+1)</f>
        <v/>
      </c>
      <c r="Z380" s="87">
        <f>COUNTIFS($B$2:$B$976,B380,$C$2:$C$976,C380,$S$2:$S$976,"&lt;"&amp;S380)+1</f>
        <v/>
      </c>
      <c r="AA380" s="88">
        <f>ABS(S380-SUMPRODUCT(('05B_가정검정'!$A$5:$A$19=B380)*('05B_가정검정'!$B$5:$B$19=C380)*'05B_가정검정'!$E$5:$E$19))</f>
        <v/>
      </c>
      <c r="AB380" s="88">
        <f>S380-AVERAGEIFS($S$2:$S$976,$B$2:$B$976,B380,$C$2:$C$976,C380)</f>
        <v/>
      </c>
    </row>
    <row r="381" ht="15" customHeight="1" s="68">
      <c r="A381" s="83" t="inlineStr">
        <is>
          <t>PAT-26</t>
        </is>
      </c>
      <c r="B381" s="83" t="inlineStr">
        <is>
          <t>claude</t>
        </is>
      </c>
      <c r="C381" s="83" t="inlineStr">
        <is>
          <t>ministral</t>
        </is>
      </c>
      <c r="D381" s="84" t="n">
        <v>0.229685807150596</v>
      </c>
      <c r="E381" s="84" t="n">
        <v>0.213592233009709</v>
      </c>
      <c r="F381" s="84" t="n">
        <v>0.06341463414634151</v>
      </c>
      <c r="G381" s="84" t="n">
        <v>0.160194174757282</v>
      </c>
      <c r="H381" s="84" t="n">
        <v>0.167934317491809</v>
      </c>
      <c r="I381" s="84" t="n">
        <v>0.114709599153418</v>
      </c>
      <c r="J381" s="84" t="n">
        <v>0.677880041104187</v>
      </c>
      <c r="K381" s="84" t="n">
        <v>0.69404998360767</v>
      </c>
      <c r="L381" s="84" t="n">
        <v>0.836184927089143</v>
      </c>
      <c r="M381" s="84" t="n">
        <v>0.374570446735395</v>
      </c>
      <c r="N381" s="84" t="n">
        <v>0.437037037037037</v>
      </c>
      <c r="O381" s="84" t="n">
        <v>1</v>
      </c>
      <c r="P381" s="85">
        <f>AVERAGE(D381:I381)</f>
        <v/>
      </c>
      <c r="Q381" s="85">
        <f>AVERAGE(J381:L381)</f>
        <v/>
      </c>
      <c r="R381" s="85">
        <f>AVERAGE(M381:O381)</f>
        <v/>
      </c>
      <c r="S381" s="85">
        <f>'02_지표정의'!$C$22*P381+'02_지표정의'!$C$23*Q381+'02_지표정의'!$C$24*R381</f>
        <v/>
      </c>
      <c r="T381" s="73">
        <f>IF(OR(AND(B381="gemini",C381="gemma"),AND(B381="qwen3_6",C381="qwen"),AND(B381="mistral",C381="ministral")),1,0)</f>
        <v/>
      </c>
      <c r="U381" s="73">
        <f>IF(LEFT(A381,3)="PAT","특허","보고서")</f>
        <v/>
      </c>
      <c r="V381" s="86">
        <f>COUNTIF($S$2:$S$976,"&lt;"&amp;S381)+(COUNTIF($S$2:$S$976,"="&amp;S381)+1)/2</f>
        <v/>
      </c>
      <c r="W381" s="73">
        <f>IF(C381="qwen",0,COUNTIFS($C$2:$C$976,"&lt;&gt;qwen",$S$2:$S$976,"&lt;"&amp;S381)+1)</f>
        <v/>
      </c>
      <c r="X381" s="73">
        <f>IF(C381="ministral",0,COUNTIFS($C$2:$C$976,"&lt;&gt;ministral",$S$2:$S$976,"&lt;"&amp;S381)+1)</f>
        <v/>
      </c>
      <c r="Y381" s="73">
        <f>IF(C381="gemma",0,COUNTIFS($C$2:$C$976,"&lt;&gt;gemma",$S$2:$S$976,"&lt;"&amp;S381)+1)</f>
        <v/>
      </c>
      <c r="Z381" s="87">
        <f>COUNTIFS($B$2:$B$976,B381,$C$2:$C$976,C381,$S$2:$S$976,"&lt;"&amp;S381)+1</f>
        <v/>
      </c>
      <c r="AA381" s="88">
        <f>ABS(S381-SUMPRODUCT(('05B_가정검정'!$A$5:$A$19=B381)*('05B_가정검정'!$B$5:$B$19=C381)*'05B_가정검정'!$E$5:$E$19))</f>
        <v/>
      </c>
      <c r="AB381" s="88">
        <f>S381-AVERAGEIFS($S$2:$S$976,$B$2:$B$976,B381,$C$2:$C$976,C381)</f>
        <v/>
      </c>
    </row>
    <row r="382" ht="15" customHeight="1" s="68">
      <c r="A382" s="83" t="inlineStr">
        <is>
          <t>PAT-26</t>
        </is>
      </c>
      <c r="B382" s="83" t="inlineStr">
        <is>
          <t>claude</t>
        </is>
      </c>
      <c r="C382" s="83" t="inlineStr">
        <is>
          <t>qwen</t>
        </is>
      </c>
      <c r="D382" s="84" t="n">
        <v>0.25531914893617</v>
      </c>
      <c r="E382" s="84" t="n">
        <v>0.377682403433476</v>
      </c>
      <c r="F382" s="84" t="n">
        <v>0.147186147186147</v>
      </c>
      <c r="G382" s="84" t="n">
        <v>0.266094420600858</v>
      </c>
      <c r="H382" s="84" t="n">
        <v>0.338183883638908</v>
      </c>
      <c r="I382" s="84" t="n">
        <v>0.239934640404905</v>
      </c>
      <c r="J382" s="84" t="n">
        <v>0.720456696160116</v>
      </c>
      <c r="K382" s="84" t="n">
        <v>0.682420755249593</v>
      </c>
      <c r="L382" s="84" t="n">
        <v>0.875195173985695</v>
      </c>
      <c r="M382" s="84" t="n">
        <v>0.765765765765766</v>
      </c>
      <c r="N382" s="84" t="n">
        <v>0.790322580645161</v>
      </c>
      <c r="O382" s="84" t="n">
        <v>1</v>
      </c>
      <c r="P382" s="85">
        <f>AVERAGE(D382:I382)</f>
        <v/>
      </c>
      <c r="Q382" s="85">
        <f>AVERAGE(J382:L382)</f>
        <v/>
      </c>
      <c r="R382" s="85">
        <f>AVERAGE(M382:O382)</f>
        <v/>
      </c>
      <c r="S382" s="85">
        <f>'02_지표정의'!$C$22*P382+'02_지표정의'!$C$23*Q382+'02_지표정의'!$C$24*R382</f>
        <v/>
      </c>
      <c r="T382" s="73">
        <f>IF(OR(AND(B382="gemini",C382="gemma"),AND(B382="qwen3_6",C382="qwen"),AND(B382="mistral",C382="ministral")),1,0)</f>
        <v/>
      </c>
      <c r="U382" s="73">
        <f>IF(LEFT(A382,3)="PAT","특허","보고서")</f>
        <v/>
      </c>
      <c r="V382" s="86">
        <f>COUNTIF($S$2:$S$976,"&lt;"&amp;S382)+(COUNTIF($S$2:$S$976,"="&amp;S382)+1)/2</f>
        <v/>
      </c>
      <c r="W382" s="73">
        <f>IF(C382="qwen",0,COUNTIFS($C$2:$C$976,"&lt;&gt;qwen",$S$2:$S$976,"&lt;"&amp;S382)+1)</f>
        <v/>
      </c>
      <c r="X382" s="73">
        <f>IF(C382="ministral",0,COUNTIFS($C$2:$C$976,"&lt;&gt;ministral",$S$2:$S$976,"&lt;"&amp;S382)+1)</f>
        <v/>
      </c>
      <c r="Y382" s="73">
        <f>IF(C382="gemma",0,COUNTIFS($C$2:$C$976,"&lt;&gt;gemma",$S$2:$S$976,"&lt;"&amp;S382)+1)</f>
        <v/>
      </c>
      <c r="Z382" s="87">
        <f>COUNTIFS($B$2:$B$976,B382,$C$2:$C$976,C382,$S$2:$S$976,"&lt;"&amp;S382)+1</f>
        <v/>
      </c>
      <c r="AA382" s="88">
        <f>ABS(S382-SUMPRODUCT(('05B_가정검정'!$A$5:$A$19=B382)*('05B_가정검정'!$B$5:$B$19=C382)*'05B_가정검정'!$E$5:$E$19))</f>
        <v/>
      </c>
      <c r="AB382" s="88">
        <f>S382-AVERAGEIFS($S$2:$S$976,$B$2:$B$976,B382,$C$2:$C$976,C382)</f>
        <v/>
      </c>
    </row>
    <row r="383" ht="15" customHeight="1" s="68">
      <c r="A383" s="83" t="inlineStr">
        <is>
          <t>PAT-26</t>
        </is>
      </c>
      <c r="B383" s="83" t="inlineStr">
        <is>
          <t>gemini</t>
        </is>
      </c>
      <c r="C383" s="83" t="inlineStr">
        <is>
          <t>gemma</t>
        </is>
      </c>
      <c r="D383" s="84" t="n">
        <v>0.192161820480405</v>
      </c>
      <c r="E383" s="84" t="n">
        <v>0.258373205741627</v>
      </c>
      <c r="F383" s="84" t="n">
        <v>0.0966183574879227</v>
      </c>
      <c r="G383" s="84" t="n">
        <v>0.220095693779904</v>
      </c>
      <c r="H383" s="84" t="n">
        <v>0.274110383092847</v>
      </c>
      <c r="I383" s="84" t="n">
        <v>0.077402832493843</v>
      </c>
      <c r="J383" s="84" t="n">
        <v>0.725483868755681</v>
      </c>
      <c r="K383" s="84" t="n">
        <v>0.74715058429335</v>
      </c>
      <c r="L383" s="84" t="n">
        <v>0.884821616999547</v>
      </c>
      <c r="M383" s="84" t="n">
        <v>0.906542056074766</v>
      </c>
      <c r="N383" s="84" t="n">
        <v>0.916666666666667</v>
      </c>
      <c r="O383" s="84" t="n">
        <v>1</v>
      </c>
      <c r="P383" s="85">
        <f>AVERAGE(D383:I383)</f>
        <v/>
      </c>
      <c r="Q383" s="85">
        <f>AVERAGE(J383:L383)</f>
        <v/>
      </c>
      <c r="R383" s="85">
        <f>AVERAGE(M383:O383)</f>
        <v/>
      </c>
      <c r="S383" s="85">
        <f>'02_지표정의'!$C$22*P383+'02_지표정의'!$C$23*Q383+'02_지표정의'!$C$24*R383</f>
        <v/>
      </c>
      <c r="T383" s="73">
        <f>IF(OR(AND(B383="gemini",C383="gemma"),AND(B383="qwen3_6",C383="qwen"),AND(B383="mistral",C383="ministral")),1,0)</f>
        <v/>
      </c>
      <c r="U383" s="73">
        <f>IF(LEFT(A383,3)="PAT","특허","보고서")</f>
        <v/>
      </c>
      <c r="V383" s="86">
        <f>COUNTIF($S$2:$S$976,"&lt;"&amp;S383)+(COUNTIF($S$2:$S$976,"="&amp;S383)+1)/2</f>
        <v/>
      </c>
      <c r="W383" s="73">
        <f>IF(C383="qwen",0,COUNTIFS($C$2:$C$976,"&lt;&gt;qwen",$S$2:$S$976,"&lt;"&amp;S383)+1)</f>
        <v/>
      </c>
      <c r="X383" s="73">
        <f>IF(C383="ministral",0,COUNTIFS($C$2:$C$976,"&lt;&gt;ministral",$S$2:$S$976,"&lt;"&amp;S383)+1)</f>
        <v/>
      </c>
      <c r="Y383" s="73">
        <f>IF(C383="gemma",0,COUNTIFS($C$2:$C$976,"&lt;&gt;gemma",$S$2:$S$976,"&lt;"&amp;S383)+1)</f>
        <v/>
      </c>
      <c r="Z383" s="87">
        <f>COUNTIFS($B$2:$B$976,B383,$C$2:$C$976,C383,$S$2:$S$976,"&lt;"&amp;S383)+1</f>
        <v/>
      </c>
      <c r="AA383" s="88">
        <f>ABS(S383-SUMPRODUCT(('05B_가정검정'!$A$5:$A$19=B383)*('05B_가정검정'!$B$5:$B$19=C383)*'05B_가정검정'!$E$5:$E$19))</f>
        <v/>
      </c>
      <c r="AB383" s="88">
        <f>S383-AVERAGEIFS($S$2:$S$976,$B$2:$B$976,B383,$C$2:$C$976,C383)</f>
        <v/>
      </c>
    </row>
    <row r="384" ht="15" customHeight="1" s="68">
      <c r="A384" s="83" t="inlineStr">
        <is>
          <t>PAT-26</t>
        </is>
      </c>
      <c r="B384" s="83" t="inlineStr">
        <is>
          <t>gemini</t>
        </is>
      </c>
      <c r="C384" s="83" t="inlineStr">
        <is>
          <t>ministral</t>
        </is>
      </c>
      <c r="D384" s="84" t="n">
        <v>0.210526315789474</v>
      </c>
      <c r="E384" s="84" t="n">
        <v>0.162790697674419</v>
      </c>
      <c r="F384" s="84" t="n">
        <v>0.0584795321637427</v>
      </c>
      <c r="G384" s="84" t="n">
        <v>0.151162790697674</v>
      </c>
      <c r="H384" s="84" t="n">
        <v>0.142480077437466</v>
      </c>
      <c r="I384" s="84" t="n">
        <v>0.124816155264279</v>
      </c>
      <c r="J384" s="84" t="n">
        <v>0.7162656877256099</v>
      </c>
      <c r="K384" s="84" t="n">
        <v>0.747055439245851</v>
      </c>
      <c r="L384" s="84" t="n">
        <v>0.877137008862621</v>
      </c>
      <c r="M384" s="84" t="n">
        <v>0.333333333333333</v>
      </c>
      <c r="N384" s="84" t="n">
        <v>0.407407407407407</v>
      </c>
      <c r="O384" s="84" t="n">
        <v>1</v>
      </c>
      <c r="P384" s="85">
        <f>AVERAGE(D384:I384)</f>
        <v/>
      </c>
      <c r="Q384" s="85">
        <f>AVERAGE(J384:L384)</f>
        <v/>
      </c>
      <c r="R384" s="85">
        <f>AVERAGE(M384:O384)</f>
        <v/>
      </c>
      <c r="S384" s="85">
        <f>'02_지표정의'!$C$22*P384+'02_지표정의'!$C$23*Q384+'02_지표정의'!$C$24*R384</f>
        <v/>
      </c>
      <c r="T384" s="73">
        <f>IF(OR(AND(B384="gemini",C384="gemma"),AND(B384="qwen3_6",C384="qwen"),AND(B384="mistral",C384="ministral")),1,0)</f>
        <v/>
      </c>
      <c r="U384" s="73">
        <f>IF(LEFT(A384,3)="PAT","특허","보고서")</f>
        <v/>
      </c>
      <c r="V384" s="86">
        <f>COUNTIF($S$2:$S$976,"&lt;"&amp;S384)+(COUNTIF($S$2:$S$976,"="&amp;S384)+1)/2</f>
        <v/>
      </c>
      <c r="W384" s="73">
        <f>IF(C384="qwen",0,COUNTIFS($C$2:$C$976,"&lt;&gt;qwen",$S$2:$S$976,"&lt;"&amp;S384)+1)</f>
        <v/>
      </c>
      <c r="X384" s="73">
        <f>IF(C384="ministral",0,COUNTIFS($C$2:$C$976,"&lt;&gt;ministral",$S$2:$S$976,"&lt;"&amp;S384)+1)</f>
        <v/>
      </c>
      <c r="Y384" s="73">
        <f>IF(C384="gemma",0,COUNTIFS($C$2:$C$976,"&lt;&gt;gemma",$S$2:$S$976,"&lt;"&amp;S384)+1)</f>
        <v/>
      </c>
      <c r="Z384" s="87">
        <f>COUNTIFS($B$2:$B$976,B384,$C$2:$C$976,C384,$S$2:$S$976,"&lt;"&amp;S384)+1</f>
        <v/>
      </c>
      <c r="AA384" s="88">
        <f>ABS(S384-SUMPRODUCT(('05B_가정검정'!$A$5:$A$19=B384)*('05B_가정검정'!$B$5:$B$19=C384)*'05B_가정검정'!$E$5:$E$19))</f>
        <v/>
      </c>
      <c r="AB384" s="88">
        <f>S384-AVERAGEIFS($S$2:$S$976,$B$2:$B$976,B384,$C$2:$C$976,C384)</f>
        <v/>
      </c>
    </row>
    <row r="385" ht="15" customHeight="1" s="68">
      <c r="A385" s="83" t="inlineStr">
        <is>
          <t>PAT-26</t>
        </is>
      </c>
      <c r="B385" s="83" t="inlineStr">
        <is>
          <t>gemini</t>
        </is>
      </c>
      <c r="C385" s="83" t="inlineStr">
        <is>
          <t>qwen</t>
        </is>
      </c>
      <c r="D385" s="84" t="n">
        <v>0.330188679245283</v>
      </c>
      <c r="E385" s="84" t="n">
        <v>0.460606060606061</v>
      </c>
      <c r="F385" s="84" t="n">
        <v>0.208588957055215</v>
      </c>
      <c r="G385" s="84" t="n">
        <v>0.375757575757576</v>
      </c>
      <c r="H385" s="84" t="n">
        <v>0.379308270457423</v>
      </c>
      <c r="I385" s="84" t="n">
        <v>0.330298634756624</v>
      </c>
      <c r="J385" s="84" t="n">
        <v>0.786423224891834</v>
      </c>
      <c r="K385" s="84" t="n">
        <v>0.793995920938507</v>
      </c>
      <c r="L385" s="84" t="n">
        <v>0.899411198481286</v>
      </c>
      <c r="M385" s="84" t="n">
        <v>0.906542056074766</v>
      </c>
      <c r="N385" s="84" t="n">
        <v>0.916666666666667</v>
      </c>
      <c r="O385" s="84" t="n">
        <v>1</v>
      </c>
      <c r="P385" s="85">
        <f>AVERAGE(D385:I385)</f>
        <v/>
      </c>
      <c r="Q385" s="85">
        <f>AVERAGE(J385:L385)</f>
        <v/>
      </c>
      <c r="R385" s="85">
        <f>AVERAGE(M385:O385)</f>
        <v/>
      </c>
      <c r="S385" s="85">
        <f>'02_지표정의'!$C$22*P385+'02_지표정의'!$C$23*Q385+'02_지표정의'!$C$24*R385</f>
        <v/>
      </c>
      <c r="T385" s="73">
        <f>IF(OR(AND(B385="gemini",C385="gemma"),AND(B385="qwen3_6",C385="qwen"),AND(B385="mistral",C385="ministral")),1,0)</f>
        <v/>
      </c>
      <c r="U385" s="73">
        <f>IF(LEFT(A385,3)="PAT","특허","보고서")</f>
        <v/>
      </c>
      <c r="V385" s="86">
        <f>COUNTIF($S$2:$S$976,"&lt;"&amp;S385)+(COUNTIF($S$2:$S$976,"="&amp;S385)+1)/2</f>
        <v/>
      </c>
      <c r="W385" s="73">
        <f>IF(C385="qwen",0,COUNTIFS($C$2:$C$976,"&lt;&gt;qwen",$S$2:$S$976,"&lt;"&amp;S385)+1)</f>
        <v/>
      </c>
      <c r="X385" s="73">
        <f>IF(C385="ministral",0,COUNTIFS($C$2:$C$976,"&lt;&gt;ministral",$S$2:$S$976,"&lt;"&amp;S385)+1)</f>
        <v/>
      </c>
      <c r="Y385" s="73">
        <f>IF(C385="gemma",0,COUNTIFS($C$2:$C$976,"&lt;&gt;gemma",$S$2:$S$976,"&lt;"&amp;S385)+1)</f>
        <v/>
      </c>
      <c r="Z385" s="87">
        <f>COUNTIFS($B$2:$B$976,B385,$C$2:$C$976,C385,$S$2:$S$976,"&lt;"&amp;S385)+1</f>
        <v/>
      </c>
      <c r="AA385" s="88">
        <f>ABS(S385-SUMPRODUCT(('05B_가정검정'!$A$5:$A$19=B385)*('05B_가정검정'!$B$5:$B$19=C385)*'05B_가정검정'!$E$5:$E$19))</f>
        <v/>
      </c>
      <c r="AB385" s="88">
        <f>S385-AVERAGEIFS($S$2:$S$976,$B$2:$B$976,B385,$C$2:$C$976,C385)</f>
        <v/>
      </c>
    </row>
    <row r="386" ht="15" customHeight="1" s="68">
      <c r="A386" s="83" t="inlineStr">
        <is>
          <t>PAT-26</t>
        </is>
      </c>
      <c r="B386" s="83" t="inlineStr">
        <is>
          <t>mistral</t>
        </is>
      </c>
      <c r="C386" s="83" t="inlineStr">
        <is>
          <t>gemma</t>
        </is>
      </c>
      <c r="D386" s="84" t="n">
        <v>0.213296398891967</v>
      </c>
      <c r="E386" s="84" t="n">
        <v>0.317948717948718</v>
      </c>
      <c r="F386" s="84" t="n">
        <v>0.103626943005181</v>
      </c>
      <c r="G386" s="84" t="n">
        <v>0.256410256410256</v>
      </c>
      <c r="H386" s="84" t="n">
        <v>0.25266031108559</v>
      </c>
      <c r="I386" s="84" t="n">
        <v>0.157339008815538</v>
      </c>
      <c r="J386" s="84" t="n">
        <v>0.723428708909141</v>
      </c>
      <c r="K386" s="84" t="n">
        <v>0.682353809578239</v>
      </c>
      <c r="L386" s="84" t="n">
        <v>0.837756041069926</v>
      </c>
      <c r="M386" s="84" t="n">
        <v>0.747899159663866</v>
      </c>
      <c r="N386" s="84" t="n">
        <v>0.742424242424242</v>
      </c>
      <c r="O386" s="84" t="n">
        <v>1</v>
      </c>
      <c r="P386" s="85">
        <f>AVERAGE(D386:I386)</f>
        <v/>
      </c>
      <c r="Q386" s="85">
        <f>AVERAGE(J386:L386)</f>
        <v/>
      </c>
      <c r="R386" s="85">
        <f>AVERAGE(M386:O386)</f>
        <v/>
      </c>
      <c r="S386" s="85">
        <f>'02_지표정의'!$C$22*P386+'02_지표정의'!$C$23*Q386+'02_지표정의'!$C$24*R386</f>
        <v/>
      </c>
      <c r="T386" s="73">
        <f>IF(OR(AND(B386="gemini",C386="gemma"),AND(B386="qwen3_6",C386="qwen"),AND(B386="mistral",C386="ministral")),1,0)</f>
        <v/>
      </c>
      <c r="U386" s="73">
        <f>IF(LEFT(A386,3)="PAT","특허","보고서")</f>
        <v/>
      </c>
      <c r="V386" s="86">
        <f>COUNTIF($S$2:$S$976,"&lt;"&amp;S386)+(COUNTIF($S$2:$S$976,"="&amp;S386)+1)/2</f>
        <v/>
      </c>
      <c r="W386" s="73">
        <f>IF(C386="qwen",0,COUNTIFS($C$2:$C$976,"&lt;&gt;qwen",$S$2:$S$976,"&lt;"&amp;S386)+1)</f>
        <v/>
      </c>
      <c r="X386" s="73">
        <f>IF(C386="ministral",0,COUNTIFS($C$2:$C$976,"&lt;&gt;ministral",$S$2:$S$976,"&lt;"&amp;S386)+1)</f>
        <v/>
      </c>
      <c r="Y386" s="73">
        <f>IF(C386="gemma",0,COUNTIFS($C$2:$C$976,"&lt;&gt;gemma",$S$2:$S$976,"&lt;"&amp;S386)+1)</f>
        <v/>
      </c>
      <c r="Z386" s="87">
        <f>COUNTIFS($B$2:$B$976,B386,$C$2:$C$976,C386,$S$2:$S$976,"&lt;"&amp;S386)+1</f>
        <v/>
      </c>
      <c r="AA386" s="88">
        <f>ABS(S386-SUMPRODUCT(('05B_가정검정'!$A$5:$A$19=B386)*('05B_가정검정'!$B$5:$B$19=C386)*'05B_가정검정'!$E$5:$E$19))</f>
        <v/>
      </c>
      <c r="AB386" s="88">
        <f>S386-AVERAGEIFS($S$2:$S$976,$B$2:$B$976,B386,$C$2:$C$976,C386)</f>
        <v/>
      </c>
    </row>
    <row r="387" ht="15" customHeight="1" s="68">
      <c r="A387" s="83" t="inlineStr">
        <is>
          <t>PAT-26</t>
        </is>
      </c>
      <c r="B387" s="83" t="inlineStr">
        <is>
          <t>mistral</t>
        </is>
      </c>
      <c r="C387" s="83" t="inlineStr">
        <is>
          <t>ministral</t>
        </is>
      </c>
      <c r="D387" s="84" t="n">
        <v>0.295224312590449</v>
      </c>
      <c r="E387" s="84" t="n">
        <v>0.248484848484849</v>
      </c>
      <c r="F387" s="84" t="n">
        <v>0.115853658536585</v>
      </c>
      <c r="G387" s="84" t="n">
        <v>0.181818181818182</v>
      </c>
      <c r="H387" s="84" t="n">
        <v>0.150901419562422</v>
      </c>
      <c r="I387" s="84" t="n">
        <v>0.231624583380992</v>
      </c>
      <c r="J387" s="84" t="n">
        <v>0.7138240595269</v>
      </c>
      <c r="K387" s="84" t="n">
        <v>0.749491021254559</v>
      </c>
      <c r="L387" s="84" t="n">
        <v>0.875924387167098</v>
      </c>
      <c r="M387" s="84" t="n">
        <v>0.367697594501718</v>
      </c>
      <c r="N387" s="84" t="n">
        <v>0.325925925925926</v>
      </c>
      <c r="O387" s="84" t="n">
        <v>1</v>
      </c>
      <c r="P387" s="85">
        <f>AVERAGE(D387:I387)</f>
        <v/>
      </c>
      <c r="Q387" s="85">
        <f>AVERAGE(J387:L387)</f>
        <v/>
      </c>
      <c r="R387" s="85">
        <f>AVERAGE(M387:O387)</f>
        <v/>
      </c>
      <c r="S387" s="85">
        <f>'02_지표정의'!$C$22*P387+'02_지표정의'!$C$23*Q387+'02_지표정의'!$C$24*R387</f>
        <v/>
      </c>
      <c r="T387" s="73">
        <f>IF(OR(AND(B387="gemini",C387="gemma"),AND(B387="qwen3_6",C387="qwen"),AND(B387="mistral",C387="ministral")),1,0)</f>
        <v/>
      </c>
      <c r="U387" s="73">
        <f>IF(LEFT(A387,3)="PAT","특허","보고서")</f>
        <v/>
      </c>
      <c r="V387" s="86">
        <f>COUNTIF($S$2:$S$976,"&lt;"&amp;S387)+(COUNTIF($S$2:$S$976,"="&amp;S387)+1)/2</f>
        <v/>
      </c>
      <c r="W387" s="73">
        <f>IF(C387="qwen",0,COUNTIFS($C$2:$C$976,"&lt;&gt;qwen",$S$2:$S$976,"&lt;"&amp;S387)+1)</f>
        <v/>
      </c>
      <c r="X387" s="73">
        <f>IF(C387="ministral",0,COUNTIFS($C$2:$C$976,"&lt;&gt;ministral",$S$2:$S$976,"&lt;"&amp;S387)+1)</f>
        <v/>
      </c>
      <c r="Y387" s="73">
        <f>IF(C387="gemma",0,COUNTIFS($C$2:$C$976,"&lt;&gt;gemma",$S$2:$S$976,"&lt;"&amp;S387)+1)</f>
        <v/>
      </c>
      <c r="Z387" s="87">
        <f>COUNTIFS($B$2:$B$976,B387,$C$2:$C$976,C387,$S$2:$S$976,"&lt;"&amp;S387)+1</f>
        <v/>
      </c>
      <c r="AA387" s="88">
        <f>ABS(S387-SUMPRODUCT(('05B_가정검정'!$A$5:$A$19=B387)*('05B_가정검정'!$B$5:$B$19=C387)*'05B_가정검정'!$E$5:$E$19))</f>
        <v/>
      </c>
      <c r="AB387" s="88">
        <f>S387-AVERAGEIFS($S$2:$S$976,$B$2:$B$976,B387,$C$2:$C$976,C387)</f>
        <v/>
      </c>
    </row>
    <row r="388" ht="15" customHeight="1" s="68">
      <c r="A388" s="83" t="inlineStr">
        <is>
          <t>PAT-26</t>
        </is>
      </c>
      <c r="B388" s="83" t="inlineStr">
        <is>
          <t>mistral</t>
        </is>
      </c>
      <c r="C388" s="83" t="inlineStr">
        <is>
          <t>qwen</t>
        </is>
      </c>
      <c r="D388" s="84" t="n">
        <v>0.289241622574956</v>
      </c>
      <c r="E388" s="84" t="n">
        <v>0.437086092715232</v>
      </c>
      <c r="F388" s="84" t="n">
        <v>0.201342281879195</v>
      </c>
      <c r="G388" s="84" t="n">
        <v>0.33112582781457</v>
      </c>
      <c r="H388" s="84" t="n">
        <v>0.297333575910774</v>
      </c>
      <c r="I388" s="84" t="n">
        <v>0.144806543780105</v>
      </c>
      <c r="J388" s="84" t="n">
        <v>0.7647347363217351</v>
      </c>
      <c r="K388" s="84" t="n">
        <v>0.7239871809723331</v>
      </c>
      <c r="L388" s="84" t="n">
        <v>0.864212178306932</v>
      </c>
      <c r="M388" s="84" t="n">
        <v>0.747899159663866</v>
      </c>
      <c r="N388" s="84" t="n">
        <v>0.742424242424242</v>
      </c>
      <c r="O388" s="84" t="n">
        <v>1</v>
      </c>
      <c r="P388" s="85">
        <f>AVERAGE(D388:I388)</f>
        <v/>
      </c>
      <c r="Q388" s="85">
        <f>AVERAGE(J388:L388)</f>
        <v/>
      </c>
      <c r="R388" s="85">
        <f>AVERAGE(M388:O388)</f>
        <v/>
      </c>
      <c r="S388" s="85">
        <f>'02_지표정의'!$C$22*P388+'02_지표정의'!$C$23*Q388+'02_지표정의'!$C$24*R388</f>
        <v/>
      </c>
      <c r="T388" s="73">
        <f>IF(OR(AND(B388="gemini",C388="gemma"),AND(B388="qwen3_6",C388="qwen"),AND(B388="mistral",C388="ministral")),1,0)</f>
        <v/>
      </c>
      <c r="U388" s="73">
        <f>IF(LEFT(A388,3)="PAT","특허","보고서")</f>
        <v/>
      </c>
      <c r="V388" s="86">
        <f>COUNTIF($S$2:$S$976,"&lt;"&amp;S388)+(COUNTIF($S$2:$S$976,"="&amp;S388)+1)/2</f>
        <v/>
      </c>
      <c r="W388" s="73">
        <f>IF(C388="qwen",0,COUNTIFS($C$2:$C$976,"&lt;&gt;qwen",$S$2:$S$976,"&lt;"&amp;S388)+1)</f>
        <v/>
      </c>
      <c r="X388" s="73">
        <f>IF(C388="ministral",0,COUNTIFS($C$2:$C$976,"&lt;&gt;ministral",$S$2:$S$976,"&lt;"&amp;S388)+1)</f>
        <v/>
      </c>
      <c r="Y388" s="73">
        <f>IF(C388="gemma",0,COUNTIFS($C$2:$C$976,"&lt;&gt;gemma",$S$2:$S$976,"&lt;"&amp;S388)+1)</f>
        <v/>
      </c>
      <c r="Z388" s="87">
        <f>COUNTIFS($B$2:$B$976,B388,$C$2:$C$976,C388,$S$2:$S$976,"&lt;"&amp;S388)+1</f>
        <v/>
      </c>
      <c r="AA388" s="88">
        <f>ABS(S388-SUMPRODUCT(('05B_가정검정'!$A$5:$A$19=B388)*('05B_가정검정'!$B$5:$B$19=C388)*'05B_가정검정'!$E$5:$E$19))</f>
        <v/>
      </c>
      <c r="AB388" s="88">
        <f>S388-AVERAGEIFS($S$2:$S$976,$B$2:$B$976,B388,$C$2:$C$976,C388)</f>
        <v/>
      </c>
    </row>
    <row r="389" ht="15" customHeight="1" s="68">
      <c r="A389" s="83" t="inlineStr">
        <is>
          <t>PAT-26</t>
        </is>
      </c>
      <c r="B389" s="83" t="inlineStr">
        <is>
          <t>qwen3_6</t>
        </is>
      </c>
      <c r="C389" s="83" t="inlineStr">
        <is>
          <t>gemma</t>
        </is>
      </c>
      <c r="D389" s="84" t="n">
        <v>0.179456906729634</v>
      </c>
      <c r="E389" s="84" t="n">
        <v>0.279661016949153</v>
      </c>
      <c r="F389" s="84" t="n">
        <v>0.102564102564103</v>
      </c>
      <c r="G389" s="84" t="n">
        <v>0.26271186440678</v>
      </c>
      <c r="H389" s="84" t="n">
        <v>0.313252406503831</v>
      </c>
      <c r="I389" s="84" t="n">
        <v>0.058045667756724</v>
      </c>
      <c r="J389" s="84" t="n">
        <v>0.6771382338969369</v>
      </c>
      <c r="K389" s="84" t="n">
        <v>0.671280073924182</v>
      </c>
      <c r="L389" s="84" t="n">
        <v>0.861248030789255</v>
      </c>
      <c r="M389" s="84" t="n">
        <v>0.906542056074766</v>
      </c>
      <c r="N389" s="84" t="n">
        <v>0.916666666666667</v>
      </c>
      <c r="O389" s="84" t="n">
        <v>1</v>
      </c>
      <c r="P389" s="85">
        <f>AVERAGE(D389:I389)</f>
        <v/>
      </c>
      <c r="Q389" s="85">
        <f>AVERAGE(J389:L389)</f>
        <v/>
      </c>
      <c r="R389" s="85">
        <f>AVERAGE(M389:O389)</f>
        <v/>
      </c>
      <c r="S389" s="85">
        <f>'02_지표정의'!$C$22*P389+'02_지표정의'!$C$23*Q389+'02_지표정의'!$C$24*R389</f>
        <v/>
      </c>
      <c r="T389" s="73">
        <f>IF(OR(AND(B389="gemini",C389="gemma"),AND(B389="qwen3_6",C389="qwen"),AND(B389="mistral",C389="ministral")),1,0)</f>
        <v/>
      </c>
      <c r="U389" s="73">
        <f>IF(LEFT(A389,3)="PAT","특허","보고서")</f>
        <v/>
      </c>
      <c r="V389" s="86">
        <f>COUNTIF($S$2:$S$976,"&lt;"&amp;S389)+(COUNTIF($S$2:$S$976,"="&amp;S389)+1)/2</f>
        <v/>
      </c>
      <c r="W389" s="73">
        <f>IF(C389="qwen",0,COUNTIFS($C$2:$C$976,"&lt;&gt;qwen",$S$2:$S$976,"&lt;"&amp;S389)+1)</f>
        <v/>
      </c>
      <c r="X389" s="73">
        <f>IF(C389="ministral",0,COUNTIFS($C$2:$C$976,"&lt;&gt;ministral",$S$2:$S$976,"&lt;"&amp;S389)+1)</f>
        <v/>
      </c>
      <c r="Y389" s="73">
        <f>IF(C389="gemma",0,COUNTIFS($C$2:$C$976,"&lt;&gt;gemma",$S$2:$S$976,"&lt;"&amp;S389)+1)</f>
        <v/>
      </c>
      <c r="Z389" s="87">
        <f>COUNTIFS($B$2:$B$976,B389,$C$2:$C$976,C389,$S$2:$S$976,"&lt;"&amp;S389)+1</f>
        <v/>
      </c>
      <c r="AA389" s="88">
        <f>ABS(S389-SUMPRODUCT(('05B_가정검정'!$A$5:$A$19=B389)*('05B_가정검정'!$B$5:$B$19=C389)*'05B_가정검정'!$E$5:$E$19))</f>
        <v/>
      </c>
      <c r="AB389" s="88">
        <f>S389-AVERAGEIFS($S$2:$S$976,$B$2:$B$976,B389,$C$2:$C$976,C389)</f>
        <v/>
      </c>
    </row>
    <row r="390" ht="15" customHeight="1" s="68">
      <c r="A390" s="83" t="inlineStr">
        <is>
          <t>PAT-26</t>
        </is>
      </c>
      <c r="B390" s="83" t="inlineStr">
        <is>
          <t>qwen3_6</t>
        </is>
      </c>
      <c r="C390" s="83" t="inlineStr">
        <is>
          <t>ministral</t>
        </is>
      </c>
      <c r="D390" s="84" t="n">
        <v>0.225490196078431</v>
      </c>
      <c r="E390" s="84" t="n">
        <v>0.226415094339623</v>
      </c>
      <c r="F390" s="84" t="n">
        <v>0.08130081300813009</v>
      </c>
      <c r="G390" s="84" t="n">
        <v>0.183288409703504</v>
      </c>
      <c r="H390" s="84" t="n">
        <v>0.176221508404167</v>
      </c>
      <c r="I390" s="84" t="n">
        <v>0.109372920978051</v>
      </c>
      <c r="J390" s="84" t="n">
        <v>0.677750061220865</v>
      </c>
      <c r="K390" s="84" t="n">
        <v>0.68515896100282</v>
      </c>
      <c r="L390" s="84" t="n">
        <v>0.844620904720958</v>
      </c>
      <c r="M390" s="84" t="n">
        <v>0.333333333333333</v>
      </c>
      <c r="N390" s="84" t="n">
        <v>0.407407407407407</v>
      </c>
      <c r="O390" s="84" t="n">
        <v>1</v>
      </c>
      <c r="P390" s="85">
        <f>AVERAGE(D390:I390)</f>
        <v/>
      </c>
      <c r="Q390" s="85">
        <f>AVERAGE(J390:L390)</f>
        <v/>
      </c>
      <c r="R390" s="85">
        <f>AVERAGE(M390:O390)</f>
        <v/>
      </c>
      <c r="S390" s="85">
        <f>'02_지표정의'!$C$22*P390+'02_지표정의'!$C$23*Q390+'02_지표정의'!$C$24*R390</f>
        <v/>
      </c>
      <c r="T390" s="73">
        <f>IF(OR(AND(B390="gemini",C390="gemma"),AND(B390="qwen3_6",C390="qwen"),AND(B390="mistral",C390="ministral")),1,0)</f>
        <v/>
      </c>
      <c r="U390" s="73">
        <f>IF(LEFT(A390,3)="PAT","특허","보고서")</f>
        <v/>
      </c>
      <c r="V390" s="86">
        <f>COUNTIF($S$2:$S$976,"&lt;"&amp;S390)+(COUNTIF($S$2:$S$976,"="&amp;S390)+1)/2</f>
        <v/>
      </c>
      <c r="W390" s="73">
        <f>IF(C390="qwen",0,COUNTIFS($C$2:$C$976,"&lt;&gt;qwen",$S$2:$S$976,"&lt;"&amp;S390)+1)</f>
        <v/>
      </c>
      <c r="X390" s="73">
        <f>IF(C390="ministral",0,COUNTIFS($C$2:$C$976,"&lt;&gt;ministral",$S$2:$S$976,"&lt;"&amp;S390)+1)</f>
        <v/>
      </c>
      <c r="Y390" s="73">
        <f>IF(C390="gemma",0,COUNTIFS($C$2:$C$976,"&lt;&gt;gemma",$S$2:$S$976,"&lt;"&amp;S390)+1)</f>
        <v/>
      </c>
      <c r="Z390" s="87">
        <f>COUNTIFS($B$2:$B$976,B390,$C$2:$C$976,C390,$S$2:$S$976,"&lt;"&amp;S390)+1</f>
        <v/>
      </c>
      <c r="AA390" s="88">
        <f>ABS(S390-SUMPRODUCT(('05B_가정검정'!$A$5:$A$19=B390)*('05B_가정검정'!$B$5:$B$19=C390)*'05B_가정검정'!$E$5:$E$19))</f>
        <v/>
      </c>
      <c r="AB390" s="88">
        <f>S390-AVERAGEIFS($S$2:$S$976,$B$2:$B$976,B390,$C$2:$C$976,C390)</f>
        <v/>
      </c>
    </row>
    <row r="391" ht="15" customHeight="1" s="68">
      <c r="A391" s="83" t="inlineStr">
        <is>
          <t>PAT-26</t>
        </is>
      </c>
      <c r="B391" s="83" t="inlineStr">
        <is>
          <t>qwen3_6</t>
        </is>
      </c>
      <c r="C391" s="83" t="inlineStr">
        <is>
          <t>qwen</t>
        </is>
      </c>
      <c r="D391" s="84" t="n">
        <v>0.30635838150289</v>
      </c>
      <c r="E391" s="84" t="n">
        <v>0.427083333333333</v>
      </c>
      <c r="F391" s="84" t="n">
        <v>0.168421052631579</v>
      </c>
      <c r="G391" s="84" t="n">
        <v>0.354166666666667</v>
      </c>
      <c r="H391" s="84" t="n">
        <v>0.423539009473479</v>
      </c>
      <c r="I391" s="84" t="n">
        <v>0.299541134037564</v>
      </c>
      <c r="J391" s="84" t="n">
        <v>0.727368159277324</v>
      </c>
      <c r="K391" s="84" t="n">
        <v>0.738864564275124</v>
      </c>
      <c r="L391" s="84" t="n">
        <v>0.912681520191939</v>
      </c>
      <c r="M391" s="84" t="n">
        <v>0.906542056074766</v>
      </c>
      <c r="N391" s="84" t="n">
        <v>0.916666666666667</v>
      </c>
      <c r="O391" s="84" t="n">
        <v>1</v>
      </c>
      <c r="P391" s="85">
        <f>AVERAGE(D391:I391)</f>
        <v/>
      </c>
      <c r="Q391" s="85">
        <f>AVERAGE(J391:L391)</f>
        <v/>
      </c>
      <c r="R391" s="85">
        <f>AVERAGE(M391:O391)</f>
        <v/>
      </c>
      <c r="S391" s="85">
        <f>'02_지표정의'!$C$22*P391+'02_지표정의'!$C$23*Q391+'02_지표정의'!$C$24*R391</f>
        <v/>
      </c>
      <c r="T391" s="73">
        <f>IF(OR(AND(B391="gemini",C391="gemma"),AND(B391="qwen3_6",C391="qwen"),AND(B391="mistral",C391="ministral")),1,0)</f>
        <v/>
      </c>
      <c r="U391" s="73">
        <f>IF(LEFT(A391,3)="PAT","특허","보고서")</f>
        <v/>
      </c>
      <c r="V391" s="86">
        <f>COUNTIF($S$2:$S$976,"&lt;"&amp;S391)+(COUNTIF($S$2:$S$976,"="&amp;S391)+1)/2</f>
        <v/>
      </c>
      <c r="W391" s="73">
        <f>IF(C391="qwen",0,COUNTIFS($C$2:$C$976,"&lt;&gt;qwen",$S$2:$S$976,"&lt;"&amp;S391)+1)</f>
        <v/>
      </c>
      <c r="X391" s="73">
        <f>IF(C391="ministral",0,COUNTIFS($C$2:$C$976,"&lt;&gt;ministral",$S$2:$S$976,"&lt;"&amp;S391)+1)</f>
        <v/>
      </c>
      <c r="Y391" s="73">
        <f>IF(C391="gemma",0,COUNTIFS($C$2:$C$976,"&lt;&gt;gemma",$S$2:$S$976,"&lt;"&amp;S391)+1)</f>
        <v/>
      </c>
      <c r="Z391" s="87">
        <f>COUNTIFS($B$2:$B$976,B391,$C$2:$C$976,C391,$S$2:$S$976,"&lt;"&amp;S391)+1</f>
        <v/>
      </c>
      <c r="AA391" s="88">
        <f>ABS(S391-SUMPRODUCT(('05B_가정검정'!$A$5:$A$19=B391)*('05B_가정검정'!$B$5:$B$19=C391)*'05B_가정검정'!$E$5:$E$19))</f>
        <v/>
      </c>
      <c r="AB391" s="88">
        <f>S391-AVERAGEIFS($S$2:$S$976,$B$2:$B$976,B391,$C$2:$C$976,C391)</f>
        <v/>
      </c>
    </row>
    <row r="392" ht="15" customHeight="1" s="68">
      <c r="A392" s="83" t="inlineStr">
        <is>
          <t>PAT-27</t>
        </is>
      </c>
      <c r="B392" s="83" t="inlineStr">
        <is>
          <t>chatgpt</t>
        </is>
      </c>
      <c r="C392" s="83" t="inlineStr">
        <is>
          <t>gemma</t>
        </is>
      </c>
      <c r="D392" s="84" t="n">
        <v>0.306629834254144</v>
      </c>
      <c r="E392" s="84" t="n">
        <v>0.412121212121212</v>
      </c>
      <c r="F392" s="84" t="n">
        <v>0.171779141104295</v>
      </c>
      <c r="G392" s="84" t="n">
        <v>0.327272727272727</v>
      </c>
      <c r="H392" s="84" t="n">
        <v>0.269434489745121</v>
      </c>
      <c r="I392" s="84" t="n">
        <v>0.282289214137984</v>
      </c>
      <c r="J392" s="84" t="n">
        <v>0.710378527418093</v>
      </c>
      <c r="K392" s="84" t="n">
        <v>0.662684187958273</v>
      </c>
      <c r="L392" s="84" t="n">
        <v>0.814354896993476</v>
      </c>
      <c r="M392" s="84" t="n">
        <v>0.562913907284768</v>
      </c>
      <c r="N392" s="84" t="n">
        <v>0.0975609756097561</v>
      </c>
      <c r="O392" s="84" t="n">
        <v>1</v>
      </c>
      <c r="P392" s="85">
        <f>AVERAGE(D392:I392)</f>
        <v/>
      </c>
      <c r="Q392" s="85">
        <f>AVERAGE(J392:L392)</f>
        <v/>
      </c>
      <c r="R392" s="85">
        <f>AVERAGE(M392:O392)</f>
        <v/>
      </c>
      <c r="S392" s="85">
        <f>'02_지표정의'!$C$22*P392+'02_지표정의'!$C$23*Q392+'02_지표정의'!$C$24*R392</f>
        <v/>
      </c>
      <c r="T392" s="73">
        <f>IF(OR(AND(B392="gemini",C392="gemma"),AND(B392="qwen3_6",C392="qwen"),AND(B392="mistral",C392="ministral")),1,0)</f>
        <v/>
      </c>
      <c r="U392" s="73">
        <f>IF(LEFT(A392,3)="PAT","특허","보고서")</f>
        <v/>
      </c>
      <c r="V392" s="86">
        <f>COUNTIF($S$2:$S$976,"&lt;"&amp;S392)+(COUNTIF($S$2:$S$976,"="&amp;S392)+1)/2</f>
        <v/>
      </c>
      <c r="W392" s="73">
        <f>IF(C392="qwen",0,COUNTIFS($C$2:$C$976,"&lt;&gt;qwen",$S$2:$S$976,"&lt;"&amp;S392)+1)</f>
        <v/>
      </c>
      <c r="X392" s="73">
        <f>IF(C392="ministral",0,COUNTIFS($C$2:$C$976,"&lt;&gt;ministral",$S$2:$S$976,"&lt;"&amp;S392)+1)</f>
        <v/>
      </c>
      <c r="Y392" s="73">
        <f>IF(C392="gemma",0,COUNTIFS($C$2:$C$976,"&lt;&gt;gemma",$S$2:$S$976,"&lt;"&amp;S392)+1)</f>
        <v/>
      </c>
      <c r="Z392" s="87">
        <f>COUNTIFS($B$2:$B$976,B392,$C$2:$C$976,C392,$S$2:$S$976,"&lt;"&amp;S392)+1</f>
        <v/>
      </c>
      <c r="AA392" s="88">
        <f>ABS(S392-SUMPRODUCT(('05B_가정검정'!$A$5:$A$19=B392)*('05B_가정검정'!$B$5:$B$19=C392)*'05B_가정검정'!$E$5:$E$19))</f>
        <v/>
      </c>
      <c r="AB392" s="88">
        <f>S392-AVERAGEIFS($S$2:$S$976,$B$2:$B$976,B392,$C$2:$C$976,C392)</f>
        <v/>
      </c>
    </row>
    <row r="393" ht="15" customHeight="1" s="68">
      <c r="A393" s="83" t="inlineStr">
        <is>
          <t>PAT-27</t>
        </is>
      </c>
      <c r="B393" s="83" t="inlineStr">
        <is>
          <t>chatgpt</t>
        </is>
      </c>
      <c r="C393" s="83" t="inlineStr">
        <is>
          <t>ministral</t>
        </is>
      </c>
      <c r="D393" s="84" t="n">
        <v>0.32</v>
      </c>
      <c r="E393" s="84" t="n">
        <v>0.223076923076923</v>
      </c>
      <c r="F393" s="84" t="n">
        <v>0.0930232558139535</v>
      </c>
      <c r="G393" s="84" t="n">
        <v>0.215384615384615</v>
      </c>
      <c r="H393" s="84" t="n">
        <v>0.177529208981203</v>
      </c>
      <c r="I393" s="84" t="n">
        <v>0.303356277090053</v>
      </c>
      <c r="J393" s="84" t="n">
        <v>0.717382744991616</v>
      </c>
      <c r="K393" s="84" t="n">
        <v>0.671801116710847</v>
      </c>
      <c r="L393" s="84" t="n">
        <v>0.82918709964035</v>
      </c>
      <c r="M393" s="84" t="n">
        <v>0.445497630331754</v>
      </c>
      <c r="N393" s="84" t="n">
        <v>0.0254237288135594</v>
      </c>
      <c r="O393" s="84" t="n">
        <v>1</v>
      </c>
      <c r="P393" s="85">
        <f>AVERAGE(D393:I393)</f>
        <v/>
      </c>
      <c r="Q393" s="85">
        <f>AVERAGE(J393:L393)</f>
        <v/>
      </c>
      <c r="R393" s="85">
        <f>AVERAGE(M393:O393)</f>
        <v/>
      </c>
      <c r="S393" s="85">
        <f>'02_지표정의'!$C$22*P393+'02_지표정의'!$C$23*Q393+'02_지표정의'!$C$24*R393</f>
        <v/>
      </c>
      <c r="T393" s="73">
        <f>IF(OR(AND(B393="gemini",C393="gemma"),AND(B393="qwen3_6",C393="qwen"),AND(B393="mistral",C393="ministral")),1,0)</f>
        <v/>
      </c>
      <c r="U393" s="73">
        <f>IF(LEFT(A393,3)="PAT","특허","보고서")</f>
        <v/>
      </c>
      <c r="V393" s="86">
        <f>COUNTIF($S$2:$S$976,"&lt;"&amp;S393)+(COUNTIF($S$2:$S$976,"="&amp;S393)+1)/2</f>
        <v/>
      </c>
      <c r="W393" s="73">
        <f>IF(C393="qwen",0,COUNTIFS($C$2:$C$976,"&lt;&gt;qwen",$S$2:$S$976,"&lt;"&amp;S393)+1)</f>
        <v/>
      </c>
      <c r="X393" s="73">
        <f>IF(C393="ministral",0,COUNTIFS($C$2:$C$976,"&lt;&gt;ministral",$S$2:$S$976,"&lt;"&amp;S393)+1)</f>
        <v/>
      </c>
      <c r="Y393" s="73">
        <f>IF(C393="gemma",0,COUNTIFS($C$2:$C$976,"&lt;&gt;gemma",$S$2:$S$976,"&lt;"&amp;S393)+1)</f>
        <v/>
      </c>
      <c r="Z393" s="87">
        <f>COUNTIFS($B$2:$B$976,B393,$C$2:$C$976,C393,$S$2:$S$976,"&lt;"&amp;S393)+1</f>
        <v/>
      </c>
      <c r="AA393" s="88">
        <f>ABS(S393-SUMPRODUCT(('05B_가정검정'!$A$5:$A$19=B393)*('05B_가정검정'!$B$5:$B$19=C393)*'05B_가정검정'!$E$5:$E$19))</f>
        <v/>
      </c>
      <c r="AB393" s="88">
        <f>S393-AVERAGEIFS($S$2:$S$976,$B$2:$B$976,B393,$C$2:$C$976,C393)</f>
        <v/>
      </c>
    </row>
    <row r="394" ht="15" customHeight="1" s="68">
      <c r="A394" s="83" t="inlineStr">
        <is>
          <t>PAT-27</t>
        </is>
      </c>
      <c r="B394" s="83" t="inlineStr">
        <is>
          <t>chatgpt</t>
        </is>
      </c>
      <c r="C394" s="83" t="inlineStr">
        <is>
          <t>qwen</t>
        </is>
      </c>
      <c r="D394" s="84" t="n">
        <v>0.335078534031414</v>
      </c>
      <c r="E394" s="84" t="n">
        <v>0.507462686567164</v>
      </c>
      <c r="F394" s="84" t="n">
        <v>0.242424242424242</v>
      </c>
      <c r="G394" s="84" t="n">
        <v>0.417910447761194</v>
      </c>
      <c r="H394" s="84" t="n">
        <v>0.36599278175929</v>
      </c>
      <c r="I394" s="84" t="n">
        <v>0.252624224873515</v>
      </c>
      <c r="J394" s="84" t="n">
        <v>0.761067717913073</v>
      </c>
      <c r="K394" s="84" t="n">
        <v>0.630967271731754</v>
      </c>
      <c r="L394" s="84" t="n">
        <v>0.868027898605458</v>
      </c>
      <c r="M394" s="84" t="n">
        <v>0.562913907284768</v>
      </c>
      <c r="N394" s="84" t="n">
        <v>0.231707317073171</v>
      </c>
      <c r="O394" s="84" t="n">
        <v>1</v>
      </c>
      <c r="P394" s="85">
        <f>AVERAGE(D394:I394)</f>
        <v/>
      </c>
      <c r="Q394" s="85">
        <f>AVERAGE(J394:L394)</f>
        <v/>
      </c>
      <c r="R394" s="85">
        <f>AVERAGE(M394:O394)</f>
        <v/>
      </c>
      <c r="S394" s="85">
        <f>'02_지표정의'!$C$22*P394+'02_지표정의'!$C$23*Q394+'02_지표정의'!$C$24*R394</f>
        <v/>
      </c>
      <c r="T394" s="73">
        <f>IF(OR(AND(B394="gemini",C394="gemma"),AND(B394="qwen3_6",C394="qwen"),AND(B394="mistral",C394="ministral")),1,0)</f>
        <v/>
      </c>
      <c r="U394" s="73">
        <f>IF(LEFT(A394,3)="PAT","특허","보고서")</f>
        <v/>
      </c>
      <c r="V394" s="86">
        <f>COUNTIF($S$2:$S$976,"&lt;"&amp;S394)+(COUNTIF($S$2:$S$976,"="&amp;S394)+1)/2</f>
        <v/>
      </c>
      <c r="W394" s="73">
        <f>IF(C394="qwen",0,COUNTIFS($C$2:$C$976,"&lt;&gt;qwen",$S$2:$S$976,"&lt;"&amp;S394)+1)</f>
        <v/>
      </c>
      <c r="X394" s="73">
        <f>IF(C394="ministral",0,COUNTIFS($C$2:$C$976,"&lt;&gt;ministral",$S$2:$S$976,"&lt;"&amp;S394)+1)</f>
        <v/>
      </c>
      <c r="Y394" s="73">
        <f>IF(C394="gemma",0,COUNTIFS($C$2:$C$976,"&lt;&gt;gemma",$S$2:$S$976,"&lt;"&amp;S394)+1)</f>
        <v/>
      </c>
      <c r="Z394" s="87">
        <f>COUNTIFS($B$2:$B$976,B394,$C$2:$C$976,C394,$S$2:$S$976,"&lt;"&amp;S394)+1</f>
        <v/>
      </c>
      <c r="AA394" s="88">
        <f>ABS(S394-SUMPRODUCT(('05B_가정검정'!$A$5:$A$19=B394)*('05B_가정검정'!$B$5:$B$19=C394)*'05B_가정검정'!$E$5:$E$19))</f>
        <v/>
      </c>
      <c r="AB394" s="88">
        <f>S394-AVERAGEIFS($S$2:$S$976,$B$2:$B$976,B394,$C$2:$C$976,C394)</f>
        <v/>
      </c>
    </row>
    <row r="395" ht="15" customHeight="1" s="68">
      <c r="A395" s="83" t="inlineStr">
        <is>
          <t>PAT-27</t>
        </is>
      </c>
      <c r="B395" s="83" t="inlineStr">
        <is>
          <t>claude</t>
        </is>
      </c>
      <c r="C395" s="83" t="inlineStr">
        <is>
          <t>gemma</t>
        </is>
      </c>
      <c r="D395" s="84" t="n">
        <v>0.268317853457172</v>
      </c>
      <c r="E395" s="84" t="n">
        <v>0.368932038834952</v>
      </c>
      <c r="F395" s="84" t="n">
        <v>0.137254901960784</v>
      </c>
      <c r="G395" s="84" t="n">
        <v>0.271844660194175</v>
      </c>
      <c r="H395" s="84" t="n">
        <v>0.363513385147002</v>
      </c>
      <c r="I395" s="84" t="n">
        <v>0.209455350893163</v>
      </c>
      <c r="J395" s="84" t="n">
        <v>0.724788072564141</v>
      </c>
      <c r="K395" s="84" t="n">
        <v>0.682984355953387</v>
      </c>
      <c r="L395" s="84" t="n">
        <v>0.863444682981212</v>
      </c>
      <c r="M395" s="84" t="n">
        <v>0.657718120805369</v>
      </c>
      <c r="N395" s="84" t="n">
        <v>0.6619718309859161</v>
      </c>
      <c r="O395" s="84" t="n">
        <v>1</v>
      </c>
      <c r="P395" s="85">
        <f>AVERAGE(D395:I395)</f>
        <v/>
      </c>
      <c r="Q395" s="85">
        <f>AVERAGE(J395:L395)</f>
        <v/>
      </c>
      <c r="R395" s="85">
        <f>AVERAGE(M395:O395)</f>
        <v/>
      </c>
      <c r="S395" s="85">
        <f>'02_지표정의'!$C$22*P395+'02_지표정의'!$C$23*Q395+'02_지표정의'!$C$24*R395</f>
        <v/>
      </c>
      <c r="T395" s="73">
        <f>IF(OR(AND(B395="gemini",C395="gemma"),AND(B395="qwen3_6",C395="qwen"),AND(B395="mistral",C395="ministral")),1,0)</f>
        <v/>
      </c>
      <c r="U395" s="73">
        <f>IF(LEFT(A395,3)="PAT","특허","보고서")</f>
        <v/>
      </c>
      <c r="V395" s="86">
        <f>COUNTIF($S$2:$S$976,"&lt;"&amp;S395)+(COUNTIF($S$2:$S$976,"="&amp;S395)+1)/2</f>
        <v/>
      </c>
      <c r="W395" s="73">
        <f>IF(C395="qwen",0,COUNTIFS($C$2:$C$976,"&lt;&gt;qwen",$S$2:$S$976,"&lt;"&amp;S395)+1)</f>
        <v/>
      </c>
      <c r="X395" s="73">
        <f>IF(C395="ministral",0,COUNTIFS($C$2:$C$976,"&lt;&gt;ministral",$S$2:$S$976,"&lt;"&amp;S395)+1)</f>
        <v/>
      </c>
      <c r="Y395" s="73">
        <f>IF(C395="gemma",0,COUNTIFS($C$2:$C$976,"&lt;&gt;gemma",$S$2:$S$976,"&lt;"&amp;S395)+1)</f>
        <v/>
      </c>
      <c r="Z395" s="87">
        <f>COUNTIFS($B$2:$B$976,B395,$C$2:$C$976,C395,$S$2:$S$976,"&lt;"&amp;S395)+1</f>
        <v/>
      </c>
      <c r="AA395" s="88">
        <f>ABS(S395-SUMPRODUCT(('05B_가정검정'!$A$5:$A$19=B395)*('05B_가정검정'!$B$5:$B$19=C395)*'05B_가정검정'!$E$5:$E$19))</f>
        <v/>
      </c>
      <c r="AB395" s="88">
        <f>S395-AVERAGEIFS($S$2:$S$976,$B$2:$B$976,B395,$C$2:$C$976,C395)</f>
        <v/>
      </c>
    </row>
    <row r="396" ht="15" customHeight="1" s="68">
      <c r="A396" s="83" t="inlineStr">
        <is>
          <t>PAT-27</t>
        </is>
      </c>
      <c r="B396" s="83" t="inlineStr">
        <is>
          <t>claude</t>
        </is>
      </c>
      <c r="C396" s="83" t="inlineStr">
        <is>
          <t>ministral</t>
        </is>
      </c>
      <c r="D396" s="84" t="n">
        <v>0.239024390243902</v>
      </c>
      <c r="E396" s="84" t="n">
        <v>0.192691029900332</v>
      </c>
      <c r="F396" s="84" t="n">
        <v>0.0735785953177258</v>
      </c>
      <c r="G396" s="84" t="n">
        <v>0.159468438538206</v>
      </c>
      <c r="H396" s="84" t="n">
        <v>0.252385841689579</v>
      </c>
      <c r="I396" s="84" t="n">
        <v>0.320475958646731</v>
      </c>
      <c r="J396" s="84" t="n">
        <v>0.71040393218701</v>
      </c>
      <c r="K396" s="84" t="n">
        <v>0.681359664133365</v>
      </c>
      <c r="L396" s="84" t="n">
        <v>0.8358428789383811</v>
      </c>
      <c r="M396" s="84" t="n">
        <v>0.478672985781991</v>
      </c>
      <c r="N396" s="84" t="n">
        <v>0.398305084745763</v>
      </c>
      <c r="O396" s="84" t="n">
        <v>1</v>
      </c>
      <c r="P396" s="85">
        <f>AVERAGE(D396:I396)</f>
        <v/>
      </c>
      <c r="Q396" s="85">
        <f>AVERAGE(J396:L396)</f>
        <v/>
      </c>
      <c r="R396" s="85">
        <f>AVERAGE(M396:O396)</f>
        <v/>
      </c>
      <c r="S396" s="85">
        <f>'02_지표정의'!$C$22*P396+'02_지표정의'!$C$23*Q396+'02_지표정의'!$C$24*R396</f>
        <v/>
      </c>
      <c r="T396" s="73">
        <f>IF(OR(AND(B396="gemini",C396="gemma"),AND(B396="qwen3_6",C396="qwen"),AND(B396="mistral",C396="ministral")),1,0)</f>
        <v/>
      </c>
      <c r="U396" s="73">
        <f>IF(LEFT(A396,3)="PAT","특허","보고서")</f>
        <v/>
      </c>
      <c r="V396" s="86">
        <f>COUNTIF($S$2:$S$976,"&lt;"&amp;S396)+(COUNTIF($S$2:$S$976,"="&amp;S396)+1)/2</f>
        <v/>
      </c>
      <c r="W396" s="73">
        <f>IF(C396="qwen",0,COUNTIFS($C$2:$C$976,"&lt;&gt;qwen",$S$2:$S$976,"&lt;"&amp;S396)+1)</f>
        <v/>
      </c>
      <c r="X396" s="73">
        <f>IF(C396="ministral",0,COUNTIFS($C$2:$C$976,"&lt;&gt;ministral",$S$2:$S$976,"&lt;"&amp;S396)+1)</f>
        <v/>
      </c>
      <c r="Y396" s="73">
        <f>IF(C396="gemma",0,COUNTIFS($C$2:$C$976,"&lt;&gt;gemma",$S$2:$S$976,"&lt;"&amp;S396)+1)</f>
        <v/>
      </c>
      <c r="Z396" s="87">
        <f>COUNTIFS($B$2:$B$976,B396,$C$2:$C$976,C396,$S$2:$S$976,"&lt;"&amp;S396)+1</f>
        <v/>
      </c>
      <c r="AA396" s="88">
        <f>ABS(S396-SUMPRODUCT(('05B_가정검정'!$A$5:$A$19=B396)*('05B_가정검정'!$B$5:$B$19=C396)*'05B_가정검정'!$E$5:$E$19))</f>
        <v/>
      </c>
      <c r="AB396" s="88">
        <f>S396-AVERAGEIFS($S$2:$S$976,$B$2:$B$976,B396,$C$2:$C$976,C396)</f>
        <v/>
      </c>
    </row>
    <row r="397" ht="15" customHeight="1" s="68">
      <c r="A397" s="83" t="inlineStr">
        <is>
          <t>PAT-27</t>
        </is>
      </c>
      <c r="B397" s="83" t="inlineStr">
        <is>
          <t>claude</t>
        </is>
      </c>
      <c r="C397" s="83" t="inlineStr">
        <is>
          <t>qwen</t>
        </is>
      </c>
      <c r="D397" s="84" t="n">
        <v>0.305623471882641</v>
      </c>
      <c r="E397" s="84" t="n">
        <v>0.422857142857143</v>
      </c>
      <c r="F397" s="84" t="n">
        <v>0.184971098265896</v>
      </c>
      <c r="G397" s="84" t="n">
        <v>0.32</v>
      </c>
      <c r="H397" s="84" t="n">
        <v>0.30895396354752</v>
      </c>
      <c r="I397" s="84" t="n">
        <v>0.245271626588101</v>
      </c>
      <c r="J397" s="84" t="n">
        <v>0.730949879728187</v>
      </c>
      <c r="K397" s="84" t="n">
        <v>0.6183795307789</v>
      </c>
      <c r="L397" s="84" t="n">
        <v>0.846964963219904</v>
      </c>
      <c r="M397" s="84" t="n">
        <v>0.765765765765766</v>
      </c>
      <c r="N397" s="84" t="n">
        <v>0.790322580645161</v>
      </c>
      <c r="O397" s="84" t="n">
        <v>1</v>
      </c>
      <c r="P397" s="85">
        <f>AVERAGE(D397:I397)</f>
        <v/>
      </c>
      <c r="Q397" s="85">
        <f>AVERAGE(J397:L397)</f>
        <v/>
      </c>
      <c r="R397" s="85">
        <f>AVERAGE(M397:O397)</f>
        <v/>
      </c>
      <c r="S397" s="85">
        <f>'02_지표정의'!$C$22*P397+'02_지표정의'!$C$23*Q397+'02_지표정의'!$C$24*R397</f>
        <v/>
      </c>
      <c r="T397" s="73">
        <f>IF(OR(AND(B397="gemini",C397="gemma"),AND(B397="qwen3_6",C397="qwen"),AND(B397="mistral",C397="ministral")),1,0)</f>
        <v/>
      </c>
      <c r="U397" s="73">
        <f>IF(LEFT(A397,3)="PAT","특허","보고서")</f>
        <v/>
      </c>
      <c r="V397" s="86">
        <f>COUNTIF($S$2:$S$976,"&lt;"&amp;S397)+(COUNTIF($S$2:$S$976,"="&amp;S397)+1)/2</f>
        <v/>
      </c>
      <c r="W397" s="73">
        <f>IF(C397="qwen",0,COUNTIFS($C$2:$C$976,"&lt;&gt;qwen",$S$2:$S$976,"&lt;"&amp;S397)+1)</f>
        <v/>
      </c>
      <c r="X397" s="73">
        <f>IF(C397="ministral",0,COUNTIFS($C$2:$C$976,"&lt;&gt;ministral",$S$2:$S$976,"&lt;"&amp;S397)+1)</f>
        <v/>
      </c>
      <c r="Y397" s="73">
        <f>IF(C397="gemma",0,COUNTIFS($C$2:$C$976,"&lt;&gt;gemma",$S$2:$S$976,"&lt;"&amp;S397)+1)</f>
        <v/>
      </c>
      <c r="Z397" s="87">
        <f>COUNTIFS($B$2:$B$976,B397,$C$2:$C$976,C397,$S$2:$S$976,"&lt;"&amp;S397)+1</f>
        <v/>
      </c>
      <c r="AA397" s="88">
        <f>ABS(S397-SUMPRODUCT(('05B_가정검정'!$A$5:$A$19=B397)*('05B_가정검정'!$B$5:$B$19=C397)*'05B_가정검정'!$E$5:$E$19))</f>
        <v/>
      </c>
      <c r="AB397" s="88">
        <f>S397-AVERAGEIFS($S$2:$S$976,$B$2:$B$976,B397,$C$2:$C$976,C397)</f>
        <v/>
      </c>
    </row>
    <row r="398" ht="15" customHeight="1" s="68">
      <c r="A398" s="83" t="inlineStr">
        <is>
          <t>PAT-27</t>
        </is>
      </c>
      <c r="B398" s="83" t="inlineStr">
        <is>
          <t>gemini</t>
        </is>
      </c>
      <c r="C398" s="83" t="inlineStr">
        <is>
          <t>gemma</t>
        </is>
      </c>
      <c r="D398" s="84" t="n">
        <v>0.24331550802139</v>
      </c>
      <c r="E398" s="84" t="n">
        <v>0.357142857142857</v>
      </c>
      <c r="F398" s="84" t="n">
        <v>0.132530120481928</v>
      </c>
      <c r="G398" s="84" t="n">
        <v>0.273809523809524</v>
      </c>
      <c r="H398" s="84" t="n">
        <v>0.307995011543411</v>
      </c>
      <c r="I398" s="84" t="n">
        <v>0.23914391191701</v>
      </c>
      <c r="J398" s="84" t="n">
        <v>0.754923389429202</v>
      </c>
      <c r="K398" s="84" t="n">
        <v>0.753735695959876</v>
      </c>
      <c r="L398" s="84" t="n">
        <v>0.878347307053242</v>
      </c>
      <c r="M398" s="84" t="n">
        <v>0.651006711409396</v>
      </c>
      <c r="N398" s="84" t="n">
        <v>0.774647887323944</v>
      </c>
      <c r="O398" s="84" t="n">
        <v>1</v>
      </c>
      <c r="P398" s="85">
        <f>AVERAGE(D398:I398)</f>
        <v/>
      </c>
      <c r="Q398" s="85">
        <f>AVERAGE(J398:L398)</f>
        <v/>
      </c>
      <c r="R398" s="85">
        <f>AVERAGE(M398:O398)</f>
        <v/>
      </c>
      <c r="S398" s="85">
        <f>'02_지표정의'!$C$22*P398+'02_지표정의'!$C$23*Q398+'02_지표정의'!$C$24*R398</f>
        <v/>
      </c>
      <c r="T398" s="73">
        <f>IF(OR(AND(B398="gemini",C398="gemma"),AND(B398="qwen3_6",C398="qwen"),AND(B398="mistral",C398="ministral")),1,0)</f>
        <v/>
      </c>
      <c r="U398" s="73">
        <f>IF(LEFT(A398,3)="PAT","특허","보고서")</f>
        <v/>
      </c>
      <c r="V398" s="86">
        <f>COUNTIF($S$2:$S$976,"&lt;"&amp;S398)+(COUNTIF($S$2:$S$976,"="&amp;S398)+1)/2</f>
        <v/>
      </c>
      <c r="W398" s="73">
        <f>IF(C398="qwen",0,COUNTIFS($C$2:$C$976,"&lt;&gt;qwen",$S$2:$S$976,"&lt;"&amp;S398)+1)</f>
        <v/>
      </c>
      <c r="X398" s="73">
        <f>IF(C398="ministral",0,COUNTIFS($C$2:$C$976,"&lt;&gt;ministral",$S$2:$S$976,"&lt;"&amp;S398)+1)</f>
        <v/>
      </c>
      <c r="Y398" s="73">
        <f>IF(C398="gemma",0,COUNTIFS($C$2:$C$976,"&lt;&gt;gemma",$S$2:$S$976,"&lt;"&amp;S398)+1)</f>
        <v/>
      </c>
      <c r="Z398" s="87">
        <f>COUNTIFS($B$2:$B$976,B398,$C$2:$C$976,C398,$S$2:$S$976,"&lt;"&amp;S398)+1</f>
        <v/>
      </c>
      <c r="AA398" s="88">
        <f>ABS(S398-SUMPRODUCT(('05B_가정검정'!$A$5:$A$19=B398)*('05B_가정검정'!$B$5:$B$19=C398)*'05B_가정검정'!$E$5:$E$19))</f>
        <v/>
      </c>
      <c r="AB398" s="88">
        <f>S398-AVERAGEIFS($S$2:$S$976,$B$2:$B$976,B398,$C$2:$C$976,C398)</f>
        <v/>
      </c>
    </row>
    <row r="399" ht="15" customHeight="1" s="68">
      <c r="A399" s="83" t="inlineStr">
        <is>
          <t>PAT-27</t>
        </is>
      </c>
      <c r="B399" s="83" t="inlineStr">
        <is>
          <t>gemini</t>
        </is>
      </c>
      <c r="C399" s="83" t="inlineStr">
        <is>
          <t>ministral</t>
        </is>
      </c>
      <c r="D399" s="84" t="n">
        <v>0.253756260434057</v>
      </c>
      <c r="E399" s="84" t="n">
        <v>0.220532319391635</v>
      </c>
      <c r="F399" s="84" t="n">
        <v>0.0919540229885058</v>
      </c>
      <c r="G399" s="84" t="n">
        <v>0.167300380228137</v>
      </c>
      <c r="H399" s="84" t="n">
        <v>0.20853408424775</v>
      </c>
      <c r="I399" s="84" t="n">
        <v>0.188307793206081</v>
      </c>
      <c r="J399" s="84" t="n">
        <v>0.7523590104073909</v>
      </c>
      <c r="K399" s="84" t="n">
        <v>0.752636458398289</v>
      </c>
      <c r="L399" s="84" t="n">
        <v>0.8769686327481711</v>
      </c>
      <c r="M399" s="84" t="n">
        <v>0.459715639810427</v>
      </c>
      <c r="N399" s="84" t="n">
        <v>0.466101694915254</v>
      </c>
      <c r="O399" s="84" t="n">
        <v>1</v>
      </c>
      <c r="P399" s="85">
        <f>AVERAGE(D399:I399)</f>
        <v/>
      </c>
      <c r="Q399" s="85">
        <f>AVERAGE(J399:L399)</f>
        <v/>
      </c>
      <c r="R399" s="85">
        <f>AVERAGE(M399:O399)</f>
        <v/>
      </c>
      <c r="S399" s="85">
        <f>'02_지표정의'!$C$22*P399+'02_지표정의'!$C$23*Q399+'02_지표정의'!$C$24*R399</f>
        <v/>
      </c>
      <c r="T399" s="73">
        <f>IF(OR(AND(B399="gemini",C399="gemma"),AND(B399="qwen3_6",C399="qwen"),AND(B399="mistral",C399="ministral")),1,0)</f>
        <v/>
      </c>
      <c r="U399" s="73">
        <f>IF(LEFT(A399,3)="PAT","특허","보고서")</f>
        <v/>
      </c>
      <c r="V399" s="86">
        <f>COUNTIF($S$2:$S$976,"&lt;"&amp;S399)+(COUNTIF($S$2:$S$976,"="&amp;S399)+1)/2</f>
        <v/>
      </c>
      <c r="W399" s="73">
        <f>IF(C399="qwen",0,COUNTIFS($C$2:$C$976,"&lt;&gt;qwen",$S$2:$S$976,"&lt;"&amp;S399)+1)</f>
        <v/>
      </c>
      <c r="X399" s="73">
        <f>IF(C399="ministral",0,COUNTIFS($C$2:$C$976,"&lt;&gt;ministral",$S$2:$S$976,"&lt;"&amp;S399)+1)</f>
        <v/>
      </c>
      <c r="Y399" s="73">
        <f>IF(C399="gemma",0,COUNTIFS($C$2:$C$976,"&lt;&gt;gemma",$S$2:$S$976,"&lt;"&amp;S399)+1)</f>
        <v/>
      </c>
      <c r="Z399" s="87">
        <f>COUNTIFS($B$2:$B$976,B399,$C$2:$C$976,C399,$S$2:$S$976,"&lt;"&amp;S399)+1</f>
        <v/>
      </c>
      <c r="AA399" s="88">
        <f>ABS(S399-SUMPRODUCT(('05B_가정검정'!$A$5:$A$19=B399)*('05B_가정검정'!$B$5:$B$19=C399)*'05B_가정검정'!$E$5:$E$19))</f>
        <v/>
      </c>
      <c r="AB399" s="88">
        <f>S399-AVERAGEIFS($S$2:$S$976,$B$2:$B$976,B399,$C$2:$C$976,C399)</f>
        <v/>
      </c>
    </row>
    <row r="400" ht="15" customHeight="1" s="68">
      <c r="A400" s="83" t="inlineStr">
        <is>
          <t>PAT-27</t>
        </is>
      </c>
      <c r="B400" s="83" t="inlineStr">
        <is>
          <t>gemini</t>
        </is>
      </c>
      <c r="C400" s="83" t="inlineStr">
        <is>
          <t>qwen</t>
        </is>
      </c>
      <c r="D400" s="84" t="n">
        <v>0.33500837520938</v>
      </c>
      <c r="E400" s="84" t="n">
        <v>0.452554744525547</v>
      </c>
      <c r="F400" s="84" t="n">
        <v>0.177777777777778</v>
      </c>
      <c r="G400" s="84" t="n">
        <v>0.335766423357664</v>
      </c>
      <c r="H400" s="84" t="n">
        <v>0.425348657488348</v>
      </c>
      <c r="I400" s="84" t="n">
        <v>0.206261491434023</v>
      </c>
      <c r="J400" s="84" t="n">
        <v>0.797669482527797</v>
      </c>
      <c r="K400" s="84" t="n">
        <v>0.765658480348975</v>
      </c>
      <c r="L400" s="84" t="n">
        <v>0.884664394849732</v>
      </c>
      <c r="M400" s="84" t="n">
        <v>0.906542056074766</v>
      </c>
      <c r="N400" s="84" t="n">
        <v>0.916666666666667</v>
      </c>
      <c r="O400" s="84" t="n">
        <v>1</v>
      </c>
      <c r="P400" s="85">
        <f>AVERAGE(D400:I400)</f>
        <v/>
      </c>
      <c r="Q400" s="85">
        <f>AVERAGE(J400:L400)</f>
        <v/>
      </c>
      <c r="R400" s="85">
        <f>AVERAGE(M400:O400)</f>
        <v/>
      </c>
      <c r="S400" s="85">
        <f>'02_지표정의'!$C$22*P400+'02_지표정의'!$C$23*Q400+'02_지표정의'!$C$24*R400</f>
        <v/>
      </c>
      <c r="T400" s="73">
        <f>IF(OR(AND(B400="gemini",C400="gemma"),AND(B400="qwen3_6",C400="qwen"),AND(B400="mistral",C400="ministral")),1,0)</f>
        <v/>
      </c>
      <c r="U400" s="73">
        <f>IF(LEFT(A400,3)="PAT","특허","보고서")</f>
        <v/>
      </c>
      <c r="V400" s="86">
        <f>COUNTIF($S$2:$S$976,"&lt;"&amp;S400)+(COUNTIF($S$2:$S$976,"="&amp;S400)+1)/2</f>
        <v/>
      </c>
      <c r="W400" s="73">
        <f>IF(C400="qwen",0,COUNTIFS($C$2:$C$976,"&lt;&gt;qwen",$S$2:$S$976,"&lt;"&amp;S400)+1)</f>
        <v/>
      </c>
      <c r="X400" s="73">
        <f>IF(C400="ministral",0,COUNTIFS($C$2:$C$976,"&lt;&gt;ministral",$S$2:$S$976,"&lt;"&amp;S400)+1)</f>
        <v/>
      </c>
      <c r="Y400" s="73">
        <f>IF(C400="gemma",0,COUNTIFS($C$2:$C$976,"&lt;&gt;gemma",$S$2:$S$976,"&lt;"&amp;S400)+1)</f>
        <v/>
      </c>
      <c r="Z400" s="87">
        <f>COUNTIFS($B$2:$B$976,B400,$C$2:$C$976,C400,$S$2:$S$976,"&lt;"&amp;S400)+1</f>
        <v/>
      </c>
      <c r="AA400" s="88">
        <f>ABS(S400-SUMPRODUCT(('05B_가정검정'!$A$5:$A$19=B400)*('05B_가정검정'!$B$5:$B$19=C400)*'05B_가정검정'!$E$5:$E$19))</f>
        <v/>
      </c>
      <c r="AB400" s="88">
        <f>S400-AVERAGEIFS($S$2:$S$976,$B$2:$B$976,B400,$C$2:$C$976,C400)</f>
        <v/>
      </c>
    </row>
    <row r="401" ht="15" customHeight="1" s="68">
      <c r="A401" s="83" t="inlineStr">
        <is>
          <t>PAT-27</t>
        </is>
      </c>
      <c r="B401" s="83" t="inlineStr">
        <is>
          <t>mistral</t>
        </is>
      </c>
      <c r="C401" s="83" t="inlineStr">
        <is>
          <t>gemma</t>
        </is>
      </c>
      <c r="D401" s="84" t="n">
        <v>0.266846361185984</v>
      </c>
      <c r="E401" s="84" t="n">
        <v>0.335135135135135</v>
      </c>
      <c r="F401" s="84" t="n">
        <v>0.0983606557377049</v>
      </c>
      <c r="G401" s="84" t="n">
        <v>0.281081081081081</v>
      </c>
      <c r="H401" s="84" t="n">
        <v>0.322638436342024</v>
      </c>
      <c r="I401" s="84" t="n">
        <v>0.220108278815419</v>
      </c>
      <c r="J401" s="84" t="n">
        <v>0.7300766192924329</v>
      </c>
      <c r="K401" s="84" t="n">
        <v>0.684632482939557</v>
      </c>
      <c r="L401" s="84" t="n">
        <v>0.876858425541282</v>
      </c>
      <c r="M401" s="84" t="n">
        <v>0.702857142857143</v>
      </c>
      <c r="N401" s="84" t="n">
        <v>0.6590909090909089</v>
      </c>
      <c r="O401" s="84" t="n">
        <v>1</v>
      </c>
      <c r="P401" s="85">
        <f>AVERAGE(D401:I401)</f>
        <v/>
      </c>
      <c r="Q401" s="85">
        <f>AVERAGE(J401:L401)</f>
        <v/>
      </c>
      <c r="R401" s="85">
        <f>AVERAGE(M401:O401)</f>
        <v/>
      </c>
      <c r="S401" s="85">
        <f>'02_지표정의'!$C$22*P401+'02_지표정의'!$C$23*Q401+'02_지표정의'!$C$24*R401</f>
        <v/>
      </c>
      <c r="T401" s="73">
        <f>IF(OR(AND(B401="gemini",C401="gemma"),AND(B401="qwen3_6",C401="qwen"),AND(B401="mistral",C401="ministral")),1,0)</f>
        <v/>
      </c>
      <c r="U401" s="73">
        <f>IF(LEFT(A401,3)="PAT","특허","보고서")</f>
        <v/>
      </c>
      <c r="V401" s="86">
        <f>COUNTIF($S$2:$S$976,"&lt;"&amp;S401)+(COUNTIF($S$2:$S$976,"="&amp;S401)+1)/2</f>
        <v/>
      </c>
      <c r="W401" s="73">
        <f>IF(C401="qwen",0,COUNTIFS($C$2:$C$976,"&lt;&gt;qwen",$S$2:$S$976,"&lt;"&amp;S401)+1)</f>
        <v/>
      </c>
      <c r="X401" s="73">
        <f>IF(C401="ministral",0,COUNTIFS($C$2:$C$976,"&lt;&gt;ministral",$S$2:$S$976,"&lt;"&amp;S401)+1)</f>
        <v/>
      </c>
      <c r="Y401" s="73">
        <f>IF(C401="gemma",0,COUNTIFS($C$2:$C$976,"&lt;&gt;gemma",$S$2:$S$976,"&lt;"&amp;S401)+1)</f>
        <v/>
      </c>
      <c r="Z401" s="87">
        <f>COUNTIFS($B$2:$B$976,B401,$C$2:$C$976,C401,$S$2:$S$976,"&lt;"&amp;S401)+1</f>
        <v/>
      </c>
      <c r="AA401" s="88">
        <f>ABS(S401-SUMPRODUCT(('05B_가정검정'!$A$5:$A$19=B401)*('05B_가정검정'!$B$5:$B$19=C401)*'05B_가정검정'!$E$5:$E$19))</f>
        <v/>
      </c>
      <c r="AB401" s="88">
        <f>S401-AVERAGEIFS($S$2:$S$976,$B$2:$B$976,B401,$C$2:$C$976,C401)</f>
        <v/>
      </c>
    </row>
    <row r="402" ht="15" customHeight="1" s="68">
      <c r="A402" s="83" t="inlineStr">
        <is>
          <t>PAT-27</t>
        </is>
      </c>
      <c r="B402" s="83" t="inlineStr">
        <is>
          <t>mistral</t>
        </is>
      </c>
      <c r="C402" s="83" t="inlineStr">
        <is>
          <t>ministral</t>
        </is>
      </c>
      <c r="D402" s="84" t="n">
        <v>0.323777403035413</v>
      </c>
      <c r="E402" s="84" t="n">
        <v>0.307142857142857</v>
      </c>
      <c r="F402" s="84" t="n">
        <v>0.122302158273381</v>
      </c>
      <c r="G402" s="84" t="n">
        <v>0.264285714285714</v>
      </c>
      <c r="H402" s="84" t="n">
        <v>0.26457412133378</v>
      </c>
      <c r="I402" s="84" t="n">
        <v>0.313832347966582</v>
      </c>
      <c r="J402" s="84" t="n">
        <v>0.725094943959067</v>
      </c>
      <c r="K402" s="84" t="n">
        <v>0.71669959974331</v>
      </c>
      <c r="L402" s="84" t="n">
        <v>0.873376096643481</v>
      </c>
      <c r="M402" s="84" t="n">
        <v>0.497630331753555</v>
      </c>
      <c r="N402" s="84" t="n">
        <v>0.389830508474576</v>
      </c>
      <c r="O402" s="84" t="n">
        <v>1</v>
      </c>
      <c r="P402" s="85">
        <f>AVERAGE(D402:I402)</f>
        <v/>
      </c>
      <c r="Q402" s="85">
        <f>AVERAGE(J402:L402)</f>
        <v/>
      </c>
      <c r="R402" s="85">
        <f>AVERAGE(M402:O402)</f>
        <v/>
      </c>
      <c r="S402" s="85">
        <f>'02_지표정의'!$C$22*P402+'02_지표정의'!$C$23*Q402+'02_지표정의'!$C$24*R402</f>
        <v/>
      </c>
      <c r="T402" s="73">
        <f>IF(OR(AND(B402="gemini",C402="gemma"),AND(B402="qwen3_6",C402="qwen"),AND(B402="mistral",C402="ministral")),1,0)</f>
        <v/>
      </c>
      <c r="U402" s="73">
        <f>IF(LEFT(A402,3)="PAT","특허","보고서")</f>
        <v/>
      </c>
      <c r="V402" s="86">
        <f>COUNTIF($S$2:$S$976,"&lt;"&amp;S402)+(COUNTIF($S$2:$S$976,"="&amp;S402)+1)/2</f>
        <v/>
      </c>
      <c r="W402" s="73">
        <f>IF(C402="qwen",0,COUNTIFS($C$2:$C$976,"&lt;&gt;qwen",$S$2:$S$976,"&lt;"&amp;S402)+1)</f>
        <v/>
      </c>
      <c r="X402" s="73">
        <f>IF(C402="ministral",0,COUNTIFS($C$2:$C$976,"&lt;&gt;ministral",$S$2:$S$976,"&lt;"&amp;S402)+1)</f>
        <v/>
      </c>
      <c r="Y402" s="73">
        <f>IF(C402="gemma",0,COUNTIFS($C$2:$C$976,"&lt;&gt;gemma",$S$2:$S$976,"&lt;"&amp;S402)+1)</f>
        <v/>
      </c>
      <c r="Z402" s="87">
        <f>COUNTIFS($B$2:$B$976,B402,$C$2:$C$976,C402,$S$2:$S$976,"&lt;"&amp;S402)+1</f>
        <v/>
      </c>
      <c r="AA402" s="88">
        <f>ABS(S402-SUMPRODUCT(('05B_가정검정'!$A$5:$A$19=B402)*('05B_가정검정'!$B$5:$B$19=C402)*'05B_가정검정'!$E$5:$E$19))</f>
        <v/>
      </c>
      <c r="AB402" s="88">
        <f>S402-AVERAGEIFS($S$2:$S$976,$B$2:$B$976,B402,$C$2:$C$976,C402)</f>
        <v/>
      </c>
    </row>
    <row r="403" ht="15" customHeight="1" s="68">
      <c r="A403" s="83" t="inlineStr">
        <is>
          <t>PAT-27</t>
        </is>
      </c>
      <c r="B403" s="83" t="inlineStr">
        <is>
          <t>mistral</t>
        </is>
      </c>
      <c r="C403" s="83" t="inlineStr">
        <is>
          <t>qwen</t>
        </is>
      </c>
      <c r="D403" s="84" t="n">
        <v>0.314720812182741</v>
      </c>
      <c r="E403" s="84" t="n">
        <v>0.428571428571429</v>
      </c>
      <c r="F403" s="84" t="n">
        <v>0.144736842105263</v>
      </c>
      <c r="G403" s="84" t="n">
        <v>0.324675324675325</v>
      </c>
      <c r="H403" s="84" t="n">
        <v>0.39026490233474</v>
      </c>
      <c r="I403" s="84" t="n">
        <v>0.144827068679885</v>
      </c>
      <c r="J403" s="84" t="n">
        <v>0.726101429887023</v>
      </c>
      <c r="K403" s="84" t="n">
        <v>0.640916047194096</v>
      </c>
      <c r="L403" s="84" t="n">
        <v>0.866215558433154</v>
      </c>
      <c r="M403" s="84" t="n">
        <v>0.508571428571429</v>
      </c>
      <c r="N403" s="84" t="n">
        <v>0.556818181818182</v>
      </c>
      <c r="O403" s="84" t="n">
        <v>1</v>
      </c>
      <c r="P403" s="85">
        <f>AVERAGE(D403:I403)</f>
        <v/>
      </c>
      <c r="Q403" s="85">
        <f>AVERAGE(J403:L403)</f>
        <v/>
      </c>
      <c r="R403" s="85">
        <f>AVERAGE(M403:O403)</f>
        <v/>
      </c>
      <c r="S403" s="85">
        <f>'02_지표정의'!$C$22*P403+'02_지표정의'!$C$23*Q403+'02_지표정의'!$C$24*R403</f>
        <v/>
      </c>
      <c r="T403" s="73">
        <f>IF(OR(AND(B403="gemini",C403="gemma"),AND(B403="qwen3_6",C403="qwen"),AND(B403="mistral",C403="ministral")),1,0)</f>
        <v/>
      </c>
      <c r="U403" s="73">
        <f>IF(LEFT(A403,3)="PAT","특허","보고서")</f>
        <v/>
      </c>
      <c r="V403" s="86">
        <f>COUNTIF($S$2:$S$976,"&lt;"&amp;S403)+(COUNTIF($S$2:$S$976,"="&amp;S403)+1)/2</f>
        <v/>
      </c>
      <c r="W403" s="73">
        <f>IF(C403="qwen",0,COUNTIFS($C$2:$C$976,"&lt;&gt;qwen",$S$2:$S$976,"&lt;"&amp;S403)+1)</f>
        <v/>
      </c>
      <c r="X403" s="73">
        <f>IF(C403="ministral",0,COUNTIFS($C$2:$C$976,"&lt;&gt;ministral",$S$2:$S$976,"&lt;"&amp;S403)+1)</f>
        <v/>
      </c>
      <c r="Y403" s="73">
        <f>IF(C403="gemma",0,COUNTIFS($C$2:$C$976,"&lt;&gt;gemma",$S$2:$S$976,"&lt;"&amp;S403)+1)</f>
        <v/>
      </c>
      <c r="Z403" s="87">
        <f>COUNTIFS($B$2:$B$976,B403,$C$2:$C$976,C403,$S$2:$S$976,"&lt;"&amp;S403)+1</f>
        <v/>
      </c>
      <c r="AA403" s="88">
        <f>ABS(S403-SUMPRODUCT(('05B_가정검정'!$A$5:$A$19=B403)*('05B_가정검정'!$B$5:$B$19=C403)*'05B_가정검정'!$E$5:$E$19))</f>
        <v/>
      </c>
      <c r="AB403" s="88">
        <f>S403-AVERAGEIFS($S$2:$S$976,$B$2:$B$976,B403,$C$2:$C$976,C403)</f>
        <v/>
      </c>
    </row>
    <row r="404" ht="15" customHeight="1" s="68">
      <c r="A404" s="83" t="inlineStr">
        <is>
          <t>PAT-27</t>
        </is>
      </c>
      <c r="B404" s="83" t="inlineStr">
        <is>
          <t>qwen3_6</t>
        </is>
      </c>
      <c r="C404" s="83" t="inlineStr">
        <is>
          <t>gemma</t>
        </is>
      </c>
      <c r="D404" s="84" t="n">
        <v>0.251196172248804</v>
      </c>
      <c r="E404" s="84" t="n">
        <v>0.425531914893617</v>
      </c>
      <c r="F404" s="84" t="n">
        <v>0.193548387096774</v>
      </c>
      <c r="G404" s="84" t="n">
        <v>0.361702127659574</v>
      </c>
      <c r="H404" s="84" t="n">
        <v>0.366792148296299</v>
      </c>
      <c r="I404" s="84" t="n">
        <v>0.221705726087447</v>
      </c>
      <c r="J404" s="84" t="n">
        <v>0.731020649082172</v>
      </c>
      <c r="K404" s="84" t="n">
        <v>0.729999807239302</v>
      </c>
      <c r="L404" s="84" t="n">
        <v>0.8996747464281321</v>
      </c>
      <c r="M404" s="84" t="n">
        <v>0.651006711409396</v>
      </c>
      <c r="N404" s="84" t="n">
        <v>0.774647887323944</v>
      </c>
      <c r="O404" s="84" t="n">
        <v>1</v>
      </c>
      <c r="P404" s="85">
        <f>AVERAGE(D404:I404)</f>
        <v/>
      </c>
      <c r="Q404" s="85">
        <f>AVERAGE(J404:L404)</f>
        <v/>
      </c>
      <c r="R404" s="85">
        <f>AVERAGE(M404:O404)</f>
        <v/>
      </c>
      <c r="S404" s="85">
        <f>'02_지표정의'!$C$22*P404+'02_지표정의'!$C$23*Q404+'02_지표정의'!$C$24*R404</f>
        <v/>
      </c>
      <c r="T404" s="73">
        <f>IF(OR(AND(B404="gemini",C404="gemma"),AND(B404="qwen3_6",C404="qwen"),AND(B404="mistral",C404="ministral")),1,0)</f>
        <v/>
      </c>
      <c r="U404" s="73">
        <f>IF(LEFT(A404,3)="PAT","특허","보고서")</f>
        <v/>
      </c>
      <c r="V404" s="86">
        <f>COUNTIF($S$2:$S$976,"&lt;"&amp;S404)+(COUNTIF($S$2:$S$976,"="&amp;S404)+1)/2</f>
        <v/>
      </c>
      <c r="W404" s="73">
        <f>IF(C404="qwen",0,COUNTIFS($C$2:$C$976,"&lt;&gt;qwen",$S$2:$S$976,"&lt;"&amp;S404)+1)</f>
        <v/>
      </c>
      <c r="X404" s="73">
        <f>IF(C404="ministral",0,COUNTIFS($C$2:$C$976,"&lt;&gt;ministral",$S$2:$S$976,"&lt;"&amp;S404)+1)</f>
        <v/>
      </c>
      <c r="Y404" s="73">
        <f>IF(C404="gemma",0,COUNTIFS($C$2:$C$976,"&lt;&gt;gemma",$S$2:$S$976,"&lt;"&amp;S404)+1)</f>
        <v/>
      </c>
      <c r="Z404" s="87">
        <f>COUNTIFS($B$2:$B$976,B404,$C$2:$C$976,C404,$S$2:$S$976,"&lt;"&amp;S404)+1</f>
        <v/>
      </c>
      <c r="AA404" s="88">
        <f>ABS(S404-SUMPRODUCT(('05B_가정검정'!$A$5:$A$19=B404)*('05B_가정검정'!$B$5:$B$19=C404)*'05B_가정검정'!$E$5:$E$19))</f>
        <v/>
      </c>
      <c r="AB404" s="88">
        <f>S404-AVERAGEIFS($S$2:$S$976,$B$2:$B$976,B404,$C$2:$C$976,C404)</f>
        <v/>
      </c>
    </row>
    <row r="405" ht="15" customHeight="1" s="68">
      <c r="A405" s="83" t="inlineStr">
        <is>
          <t>PAT-27</t>
        </is>
      </c>
      <c r="B405" s="83" t="inlineStr">
        <is>
          <t>qwen3_6</t>
        </is>
      </c>
      <c r="C405" s="83" t="inlineStr">
        <is>
          <t>ministral</t>
        </is>
      </c>
      <c r="D405" s="84" t="n">
        <v>0.276564774381368</v>
      </c>
      <c r="E405" s="84" t="n">
        <v>0.282685512367491</v>
      </c>
      <c r="F405" s="84" t="n">
        <v>0.120996441281139</v>
      </c>
      <c r="G405" s="84" t="n">
        <v>0.261484098939929</v>
      </c>
      <c r="H405" s="84" t="n">
        <v>0.255380078971807</v>
      </c>
      <c r="I405" s="84" t="n">
        <v>0.262318886222631</v>
      </c>
      <c r="J405" s="84" t="n">
        <v>0.7077572322685139</v>
      </c>
      <c r="K405" s="84" t="n">
        <v>0.682078769088867</v>
      </c>
      <c r="L405" s="84" t="n">
        <v>0.865459412148802</v>
      </c>
      <c r="M405" s="84" t="n">
        <v>0.459715639810427</v>
      </c>
      <c r="N405" s="84" t="n">
        <v>0.466101694915254</v>
      </c>
      <c r="O405" s="84" t="n">
        <v>1</v>
      </c>
      <c r="P405" s="85">
        <f>AVERAGE(D405:I405)</f>
        <v/>
      </c>
      <c r="Q405" s="85">
        <f>AVERAGE(J405:L405)</f>
        <v/>
      </c>
      <c r="R405" s="85">
        <f>AVERAGE(M405:O405)</f>
        <v/>
      </c>
      <c r="S405" s="85">
        <f>'02_지표정의'!$C$22*P405+'02_지표정의'!$C$23*Q405+'02_지표정의'!$C$24*R405</f>
        <v/>
      </c>
      <c r="T405" s="73">
        <f>IF(OR(AND(B405="gemini",C405="gemma"),AND(B405="qwen3_6",C405="qwen"),AND(B405="mistral",C405="ministral")),1,0)</f>
        <v/>
      </c>
      <c r="U405" s="73">
        <f>IF(LEFT(A405,3)="PAT","특허","보고서")</f>
        <v/>
      </c>
      <c r="V405" s="86">
        <f>COUNTIF($S$2:$S$976,"&lt;"&amp;S405)+(COUNTIF($S$2:$S$976,"="&amp;S405)+1)/2</f>
        <v/>
      </c>
      <c r="W405" s="73">
        <f>IF(C405="qwen",0,COUNTIFS($C$2:$C$976,"&lt;&gt;qwen",$S$2:$S$976,"&lt;"&amp;S405)+1)</f>
        <v/>
      </c>
      <c r="X405" s="73">
        <f>IF(C405="ministral",0,COUNTIFS($C$2:$C$976,"&lt;&gt;ministral",$S$2:$S$976,"&lt;"&amp;S405)+1)</f>
        <v/>
      </c>
      <c r="Y405" s="73">
        <f>IF(C405="gemma",0,COUNTIFS($C$2:$C$976,"&lt;&gt;gemma",$S$2:$S$976,"&lt;"&amp;S405)+1)</f>
        <v/>
      </c>
      <c r="Z405" s="87">
        <f>COUNTIFS($B$2:$B$976,B405,$C$2:$C$976,C405,$S$2:$S$976,"&lt;"&amp;S405)+1</f>
        <v/>
      </c>
      <c r="AA405" s="88">
        <f>ABS(S405-SUMPRODUCT(('05B_가정검정'!$A$5:$A$19=B405)*('05B_가정검정'!$B$5:$B$19=C405)*'05B_가정검정'!$E$5:$E$19))</f>
        <v/>
      </c>
      <c r="AB405" s="88">
        <f>S405-AVERAGEIFS($S$2:$S$976,$B$2:$B$976,B405,$C$2:$C$976,C405)</f>
        <v/>
      </c>
    </row>
    <row r="406" ht="15" customHeight="1" s="68">
      <c r="A406" s="83" t="inlineStr">
        <is>
          <t>PAT-27</t>
        </is>
      </c>
      <c r="B406" s="83" t="inlineStr">
        <is>
          <t>qwen3_6</t>
        </is>
      </c>
      <c r="C406" s="83" t="inlineStr">
        <is>
          <t>qwen</t>
        </is>
      </c>
      <c r="D406" s="84" t="n">
        <v>0.324087591240876</v>
      </c>
      <c r="E406" s="84" t="n">
        <v>0.484076433121019</v>
      </c>
      <c r="F406" s="84" t="n">
        <v>0.232258064516129</v>
      </c>
      <c r="G406" s="84" t="n">
        <v>0.356687898089172</v>
      </c>
      <c r="H406" s="84" t="n">
        <v>0.462996725882765</v>
      </c>
      <c r="I406" s="84" t="n">
        <v>0.26811051367093</v>
      </c>
      <c r="J406" s="84" t="n">
        <v>0.739084490660894</v>
      </c>
      <c r="K406" s="84" t="n">
        <v>0.700779103224889</v>
      </c>
      <c r="L406" s="84" t="n">
        <v>0.90471775045142</v>
      </c>
      <c r="M406" s="84" t="n">
        <v>0.906542056074766</v>
      </c>
      <c r="N406" s="84" t="n">
        <v>0.916666666666667</v>
      </c>
      <c r="O406" s="84" t="n">
        <v>1</v>
      </c>
      <c r="P406" s="85">
        <f>AVERAGE(D406:I406)</f>
        <v/>
      </c>
      <c r="Q406" s="85">
        <f>AVERAGE(J406:L406)</f>
        <v/>
      </c>
      <c r="R406" s="85">
        <f>AVERAGE(M406:O406)</f>
        <v/>
      </c>
      <c r="S406" s="85">
        <f>'02_지표정의'!$C$22*P406+'02_지표정의'!$C$23*Q406+'02_지표정의'!$C$24*R406</f>
        <v/>
      </c>
      <c r="T406" s="73">
        <f>IF(OR(AND(B406="gemini",C406="gemma"),AND(B406="qwen3_6",C406="qwen"),AND(B406="mistral",C406="ministral")),1,0)</f>
        <v/>
      </c>
      <c r="U406" s="73">
        <f>IF(LEFT(A406,3)="PAT","특허","보고서")</f>
        <v/>
      </c>
      <c r="V406" s="86">
        <f>COUNTIF($S$2:$S$976,"&lt;"&amp;S406)+(COUNTIF($S$2:$S$976,"="&amp;S406)+1)/2</f>
        <v/>
      </c>
      <c r="W406" s="73">
        <f>IF(C406="qwen",0,COUNTIFS($C$2:$C$976,"&lt;&gt;qwen",$S$2:$S$976,"&lt;"&amp;S406)+1)</f>
        <v/>
      </c>
      <c r="X406" s="73">
        <f>IF(C406="ministral",0,COUNTIFS($C$2:$C$976,"&lt;&gt;ministral",$S$2:$S$976,"&lt;"&amp;S406)+1)</f>
        <v/>
      </c>
      <c r="Y406" s="73">
        <f>IF(C406="gemma",0,COUNTIFS($C$2:$C$976,"&lt;&gt;gemma",$S$2:$S$976,"&lt;"&amp;S406)+1)</f>
        <v/>
      </c>
      <c r="Z406" s="87">
        <f>COUNTIFS($B$2:$B$976,B406,$C$2:$C$976,C406,$S$2:$S$976,"&lt;"&amp;S406)+1</f>
        <v/>
      </c>
      <c r="AA406" s="88">
        <f>ABS(S406-SUMPRODUCT(('05B_가정검정'!$A$5:$A$19=B406)*('05B_가정검정'!$B$5:$B$19=C406)*'05B_가정검정'!$E$5:$E$19))</f>
        <v/>
      </c>
      <c r="AB406" s="88">
        <f>S406-AVERAGEIFS($S$2:$S$976,$B$2:$B$976,B406,$C$2:$C$976,C406)</f>
        <v/>
      </c>
    </row>
    <row r="407" ht="15" customHeight="1" s="68">
      <c r="A407" s="83" t="inlineStr">
        <is>
          <t>PAT-28</t>
        </is>
      </c>
      <c r="B407" s="83" t="inlineStr">
        <is>
          <t>chatgpt</t>
        </is>
      </c>
      <c r="C407" s="83" t="inlineStr">
        <is>
          <t>gemma</t>
        </is>
      </c>
      <c r="D407" s="84" t="n">
        <v>0.271662763466042</v>
      </c>
      <c r="E407" s="84" t="n">
        <v>0.350746268656716</v>
      </c>
      <c r="F407" s="84" t="n">
        <v>0.105263157894737</v>
      </c>
      <c r="G407" s="84" t="n">
        <v>0.201492537313433</v>
      </c>
      <c r="H407" s="84" t="n">
        <v>0.263055517378649</v>
      </c>
      <c r="I407" s="84" t="n">
        <v>0.340687150722154</v>
      </c>
      <c r="J407" s="84" t="n">
        <v>0.663852426978806</v>
      </c>
      <c r="K407" s="84" t="n">
        <v>0.685524871198711</v>
      </c>
      <c r="L407" s="84" t="n">
        <v>0.816942649228017</v>
      </c>
      <c r="M407" s="84" t="n">
        <v>0.579617834394904</v>
      </c>
      <c r="N407" s="84" t="n">
        <v>0.0487804878048781</v>
      </c>
      <c r="O407" s="84" t="n">
        <v>1</v>
      </c>
      <c r="P407" s="85">
        <f>AVERAGE(D407:I407)</f>
        <v/>
      </c>
      <c r="Q407" s="85">
        <f>AVERAGE(J407:L407)</f>
        <v/>
      </c>
      <c r="R407" s="85">
        <f>AVERAGE(M407:O407)</f>
        <v/>
      </c>
      <c r="S407" s="85">
        <f>'02_지표정의'!$C$22*P407+'02_지표정의'!$C$23*Q407+'02_지표정의'!$C$24*R407</f>
        <v/>
      </c>
      <c r="T407" s="73">
        <f>IF(OR(AND(B407="gemini",C407="gemma"),AND(B407="qwen3_6",C407="qwen"),AND(B407="mistral",C407="ministral")),1,0)</f>
        <v/>
      </c>
      <c r="U407" s="73">
        <f>IF(LEFT(A407,3)="PAT","특허","보고서")</f>
        <v/>
      </c>
      <c r="V407" s="86">
        <f>COUNTIF($S$2:$S$976,"&lt;"&amp;S407)+(COUNTIF($S$2:$S$976,"="&amp;S407)+1)/2</f>
        <v/>
      </c>
      <c r="W407" s="73">
        <f>IF(C407="qwen",0,COUNTIFS($C$2:$C$976,"&lt;&gt;qwen",$S$2:$S$976,"&lt;"&amp;S407)+1)</f>
        <v/>
      </c>
      <c r="X407" s="73">
        <f>IF(C407="ministral",0,COUNTIFS($C$2:$C$976,"&lt;&gt;ministral",$S$2:$S$976,"&lt;"&amp;S407)+1)</f>
        <v/>
      </c>
      <c r="Y407" s="73">
        <f>IF(C407="gemma",0,COUNTIFS($C$2:$C$976,"&lt;&gt;gemma",$S$2:$S$976,"&lt;"&amp;S407)+1)</f>
        <v/>
      </c>
      <c r="Z407" s="87">
        <f>COUNTIFS($B$2:$B$976,B407,$C$2:$C$976,C407,$S$2:$S$976,"&lt;"&amp;S407)+1</f>
        <v/>
      </c>
      <c r="AA407" s="88">
        <f>ABS(S407-SUMPRODUCT(('05B_가정검정'!$A$5:$A$19=B407)*('05B_가정검정'!$B$5:$B$19=C407)*'05B_가정검정'!$E$5:$E$19))</f>
        <v/>
      </c>
      <c r="AB407" s="88">
        <f>S407-AVERAGEIFS($S$2:$S$976,$B$2:$B$976,B407,$C$2:$C$976,C407)</f>
        <v/>
      </c>
    </row>
    <row r="408" ht="15" customHeight="1" s="68">
      <c r="A408" s="83" t="inlineStr">
        <is>
          <t>PAT-28</t>
        </is>
      </c>
      <c r="B408" s="83" t="inlineStr">
        <is>
          <t>chatgpt</t>
        </is>
      </c>
      <c r="C408" s="83" t="inlineStr">
        <is>
          <t>ministral</t>
        </is>
      </c>
      <c r="D408" s="84" t="n">
        <v>0.348367029548989</v>
      </c>
      <c r="E408" s="84" t="n">
        <v>0.307210031347962</v>
      </c>
      <c r="F408" s="84" t="n">
        <v>0.100946372239748</v>
      </c>
      <c r="G408" s="84" t="n">
        <v>0.238244514106583</v>
      </c>
      <c r="H408" s="84" t="n">
        <v>0.220182534413256</v>
      </c>
      <c r="I408" s="84" t="n">
        <v>0.339163235429051</v>
      </c>
      <c r="J408" s="84" t="n">
        <v>0.7067981059666349</v>
      </c>
      <c r="K408" s="84" t="n">
        <v>0.698710837394605</v>
      </c>
      <c r="L408" s="84" t="n">
        <v>0.832690240807805</v>
      </c>
      <c r="M408" s="84" t="n">
        <v>0.470588235294118</v>
      </c>
      <c r="N408" s="84" t="n">
        <v>0.0243902439024391</v>
      </c>
      <c r="O408" s="84" t="n">
        <v>1</v>
      </c>
      <c r="P408" s="85">
        <f>AVERAGE(D408:I408)</f>
        <v/>
      </c>
      <c r="Q408" s="85">
        <f>AVERAGE(J408:L408)</f>
        <v/>
      </c>
      <c r="R408" s="85">
        <f>AVERAGE(M408:O408)</f>
        <v/>
      </c>
      <c r="S408" s="85">
        <f>'02_지표정의'!$C$22*P408+'02_지표정의'!$C$23*Q408+'02_지표정의'!$C$24*R408</f>
        <v/>
      </c>
      <c r="T408" s="73">
        <f>IF(OR(AND(B408="gemini",C408="gemma"),AND(B408="qwen3_6",C408="qwen"),AND(B408="mistral",C408="ministral")),1,0)</f>
        <v/>
      </c>
      <c r="U408" s="73">
        <f>IF(LEFT(A408,3)="PAT","특허","보고서")</f>
        <v/>
      </c>
      <c r="V408" s="86">
        <f>COUNTIF($S$2:$S$976,"&lt;"&amp;S408)+(COUNTIF($S$2:$S$976,"="&amp;S408)+1)/2</f>
        <v/>
      </c>
      <c r="W408" s="73">
        <f>IF(C408="qwen",0,COUNTIFS($C$2:$C$976,"&lt;&gt;qwen",$S$2:$S$976,"&lt;"&amp;S408)+1)</f>
        <v/>
      </c>
      <c r="X408" s="73">
        <f>IF(C408="ministral",0,COUNTIFS($C$2:$C$976,"&lt;&gt;ministral",$S$2:$S$976,"&lt;"&amp;S408)+1)</f>
        <v/>
      </c>
      <c r="Y408" s="73">
        <f>IF(C408="gemma",0,COUNTIFS($C$2:$C$976,"&lt;&gt;gemma",$S$2:$S$976,"&lt;"&amp;S408)+1)</f>
        <v/>
      </c>
      <c r="Z408" s="87">
        <f>COUNTIFS($B$2:$B$976,B408,$C$2:$C$976,C408,$S$2:$S$976,"&lt;"&amp;S408)+1</f>
        <v/>
      </c>
      <c r="AA408" s="88">
        <f>ABS(S408-SUMPRODUCT(('05B_가정검정'!$A$5:$A$19=B408)*('05B_가정검정'!$B$5:$B$19=C408)*'05B_가정검정'!$E$5:$E$19))</f>
        <v/>
      </c>
      <c r="AB408" s="88">
        <f>S408-AVERAGEIFS($S$2:$S$976,$B$2:$B$976,B408,$C$2:$C$976,C408)</f>
        <v/>
      </c>
    </row>
    <row r="409" ht="15" customHeight="1" s="68">
      <c r="A409" s="83" t="inlineStr">
        <is>
          <t>PAT-28</t>
        </is>
      </c>
      <c r="B409" s="83" t="inlineStr">
        <is>
          <t>chatgpt</t>
        </is>
      </c>
      <c r="C409" s="83" t="inlineStr">
        <is>
          <t>qwen</t>
        </is>
      </c>
      <c r="D409" s="84" t="n">
        <v>0.338215712383489</v>
      </c>
      <c r="E409" s="84" t="n">
        <v>0.423611111111111</v>
      </c>
      <c r="F409" s="84" t="n">
        <v>0.174825174825175</v>
      </c>
      <c r="G409" s="84" t="n">
        <v>0.291666666666667</v>
      </c>
      <c r="H409" s="84" t="n">
        <v>0.268063772421031</v>
      </c>
      <c r="I409" s="84" t="n">
        <v>0.50030090420919</v>
      </c>
      <c r="J409" s="84" t="n">
        <v>0.701908612728847</v>
      </c>
      <c r="K409" s="84" t="n">
        <v>0.659391695821547</v>
      </c>
      <c r="L409" s="84" t="n">
        <v>0.813789612420399</v>
      </c>
      <c r="M409" s="84" t="n">
        <v>0.458128078817734</v>
      </c>
      <c r="N409" s="84" t="n">
        <v>0</v>
      </c>
      <c r="O409" s="84" t="n">
        <v>1</v>
      </c>
      <c r="P409" s="85">
        <f>AVERAGE(D409:I409)</f>
        <v/>
      </c>
      <c r="Q409" s="85">
        <f>AVERAGE(J409:L409)</f>
        <v/>
      </c>
      <c r="R409" s="85">
        <f>AVERAGE(M409:O409)</f>
        <v/>
      </c>
      <c r="S409" s="85">
        <f>'02_지표정의'!$C$22*P409+'02_지표정의'!$C$23*Q409+'02_지표정의'!$C$24*R409</f>
        <v/>
      </c>
      <c r="T409" s="73">
        <f>IF(OR(AND(B409="gemini",C409="gemma"),AND(B409="qwen3_6",C409="qwen"),AND(B409="mistral",C409="ministral")),1,0)</f>
        <v/>
      </c>
      <c r="U409" s="73">
        <f>IF(LEFT(A409,3)="PAT","특허","보고서")</f>
        <v/>
      </c>
      <c r="V409" s="86">
        <f>COUNTIF($S$2:$S$976,"&lt;"&amp;S409)+(COUNTIF($S$2:$S$976,"="&amp;S409)+1)/2</f>
        <v/>
      </c>
      <c r="W409" s="73">
        <f>IF(C409="qwen",0,COUNTIFS($C$2:$C$976,"&lt;&gt;qwen",$S$2:$S$976,"&lt;"&amp;S409)+1)</f>
        <v/>
      </c>
      <c r="X409" s="73">
        <f>IF(C409="ministral",0,COUNTIFS($C$2:$C$976,"&lt;&gt;ministral",$S$2:$S$976,"&lt;"&amp;S409)+1)</f>
        <v/>
      </c>
      <c r="Y409" s="73">
        <f>IF(C409="gemma",0,COUNTIFS($C$2:$C$976,"&lt;&gt;gemma",$S$2:$S$976,"&lt;"&amp;S409)+1)</f>
        <v/>
      </c>
      <c r="Z409" s="87">
        <f>COUNTIFS($B$2:$B$976,B409,$C$2:$C$976,C409,$S$2:$S$976,"&lt;"&amp;S409)+1</f>
        <v/>
      </c>
      <c r="AA409" s="88">
        <f>ABS(S409-SUMPRODUCT(('05B_가정검정'!$A$5:$A$19=B409)*('05B_가정검정'!$B$5:$B$19=C409)*'05B_가정검정'!$E$5:$E$19))</f>
        <v/>
      </c>
      <c r="AB409" s="88">
        <f>S409-AVERAGEIFS($S$2:$S$976,$B$2:$B$976,B409,$C$2:$C$976,C409)</f>
        <v/>
      </c>
    </row>
    <row r="410" ht="15" customHeight="1" s="68">
      <c r="A410" s="83" t="inlineStr">
        <is>
          <t>PAT-28</t>
        </is>
      </c>
      <c r="B410" s="83" t="inlineStr">
        <is>
          <t>claude</t>
        </is>
      </c>
      <c r="C410" s="83" t="inlineStr">
        <is>
          <t>gemma</t>
        </is>
      </c>
      <c r="D410" s="84" t="n">
        <v>0.25945945945946</v>
      </c>
      <c r="E410" s="84" t="n">
        <v>0.314285714285714</v>
      </c>
      <c r="F410" s="84" t="n">
        <v>0.0862068965517241</v>
      </c>
      <c r="G410" s="84" t="n">
        <v>0.165714285714286</v>
      </c>
      <c r="H410" s="84" t="n">
        <v>0.356130130562841</v>
      </c>
      <c r="I410" s="84" t="n">
        <v>0.329652630206923</v>
      </c>
      <c r="J410" s="84" t="n">
        <v>0.70533905960896</v>
      </c>
      <c r="K410" s="84" t="n">
        <v>0.692114533910179</v>
      </c>
      <c r="L410" s="84" t="n">
        <v>0.888618174718447</v>
      </c>
      <c r="M410" s="84" t="n">
        <v>0.573248407643312</v>
      </c>
      <c r="N410" s="84" t="n">
        <v>0.404761904761905</v>
      </c>
      <c r="O410" s="84" t="n">
        <v>1</v>
      </c>
      <c r="P410" s="85">
        <f>AVERAGE(D410:I410)</f>
        <v/>
      </c>
      <c r="Q410" s="85">
        <f>AVERAGE(J410:L410)</f>
        <v/>
      </c>
      <c r="R410" s="85">
        <f>AVERAGE(M410:O410)</f>
        <v/>
      </c>
      <c r="S410" s="85">
        <f>'02_지표정의'!$C$22*P410+'02_지표정의'!$C$23*Q410+'02_지표정의'!$C$24*R410</f>
        <v/>
      </c>
      <c r="T410" s="73">
        <f>IF(OR(AND(B410="gemini",C410="gemma"),AND(B410="qwen3_6",C410="qwen"),AND(B410="mistral",C410="ministral")),1,0)</f>
        <v/>
      </c>
      <c r="U410" s="73">
        <f>IF(LEFT(A410,3)="PAT","특허","보고서")</f>
        <v/>
      </c>
      <c r="V410" s="86">
        <f>COUNTIF($S$2:$S$976,"&lt;"&amp;S410)+(COUNTIF($S$2:$S$976,"="&amp;S410)+1)/2</f>
        <v/>
      </c>
      <c r="W410" s="73">
        <f>IF(C410="qwen",0,COUNTIFS($C$2:$C$976,"&lt;&gt;qwen",$S$2:$S$976,"&lt;"&amp;S410)+1)</f>
        <v/>
      </c>
      <c r="X410" s="73">
        <f>IF(C410="ministral",0,COUNTIFS($C$2:$C$976,"&lt;&gt;ministral",$S$2:$S$976,"&lt;"&amp;S410)+1)</f>
        <v/>
      </c>
      <c r="Y410" s="73">
        <f>IF(C410="gemma",0,COUNTIFS($C$2:$C$976,"&lt;&gt;gemma",$S$2:$S$976,"&lt;"&amp;S410)+1)</f>
        <v/>
      </c>
      <c r="Z410" s="87">
        <f>COUNTIFS($B$2:$B$976,B410,$C$2:$C$976,C410,$S$2:$S$976,"&lt;"&amp;S410)+1</f>
        <v/>
      </c>
      <c r="AA410" s="88">
        <f>ABS(S410-SUMPRODUCT(('05B_가정검정'!$A$5:$A$19=B410)*('05B_가정검정'!$B$5:$B$19=C410)*'05B_가정검정'!$E$5:$E$19))</f>
        <v/>
      </c>
      <c r="AB410" s="88">
        <f>S410-AVERAGEIFS($S$2:$S$976,$B$2:$B$976,B410,$C$2:$C$976,C410)</f>
        <v/>
      </c>
    </row>
    <row r="411" ht="15" customHeight="1" s="68">
      <c r="A411" s="83" t="inlineStr">
        <is>
          <t>PAT-28</t>
        </is>
      </c>
      <c r="B411" s="83" t="inlineStr">
        <is>
          <t>claude</t>
        </is>
      </c>
      <c r="C411" s="83" t="inlineStr">
        <is>
          <t>ministral</t>
        </is>
      </c>
      <c r="D411" s="84" t="n">
        <v>0.278086763070078</v>
      </c>
      <c r="E411" s="84" t="n">
        <v>0.28927680798005</v>
      </c>
      <c r="F411" s="84" t="n">
        <v>0.100250626566416</v>
      </c>
      <c r="G411" s="84" t="n">
        <v>0.219451371571072</v>
      </c>
      <c r="H411" s="84" t="n">
        <v>0.275521260621574</v>
      </c>
      <c r="I411" s="84" t="n">
        <v>0.32586231154404</v>
      </c>
      <c r="J411" s="84" t="n">
        <v>0.715558506001608</v>
      </c>
      <c r="K411" s="84" t="n">
        <v>0.682738140427095</v>
      </c>
      <c r="L411" s="84" t="n">
        <v>0.861916805727736</v>
      </c>
      <c r="M411" s="84" t="n">
        <v>0.583710407239819</v>
      </c>
      <c r="N411" s="84" t="n">
        <v>0.536585365853659</v>
      </c>
      <c r="O411" s="84" t="n">
        <v>1</v>
      </c>
      <c r="P411" s="85">
        <f>AVERAGE(D411:I411)</f>
        <v/>
      </c>
      <c r="Q411" s="85">
        <f>AVERAGE(J411:L411)</f>
        <v/>
      </c>
      <c r="R411" s="85">
        <f>AVERAGE(M411:O411)</f>
        <v/>
      </c>
      <c r="S411" s="85">
        <f>'02_지표정의'!$C$22*P411+'02_지표정의'!$C$23*Q411+'02_지표정의'!$C$24*R411</f>
        <v/>
      </c>
      <c r="T411" s="73">
        <f>IF(OR(AND(B411="gemini",C411="gemma"),AND(B411="qwen3_6",C411="qwen"),AND(B411="mistral",C411="ministral")),1,0)</f>
        <v/>
      </c>
      <c r="U411" s="73">
        <f>IF(LEFT(A411,3)="PAT","특허","보고서")</f>
        <v/>
      </c>
      <c r="V411" s="86">
        <f>COUNTIF($S$2:$S$976,"&lt;"&amp;S411)+(COUNTIF($S$2:$S$976,"="&amp;S411)+1)/2</f>
        <v/>
      </c>
      <c r="W411" s="73">
        <f>IF(C411="qwen",0,COUNTIFS($C$2:$C$976,"&lt;&gt;qwen",$S$2:$S$976,"&lt;"&amp;S411)+1)</f>
        <v/>
      </c>
      <c r="X411" s="73">
        <f>IF(C411="ministral",0,COUNTIFS($C$2:$C$976,"&lt;&gt;ministral",$S$2:$S$976,"&lt;"&amp;S411)+1)</f>
        <v/>
      </c>
      <c r="Y411" s="73">
        <f>IF(C411="gemma",0,COUNTIFS($C$2:$C$976,"&lt;&gt;gemma",$S$2:$S$976,"&lt;"&amp;S411)+1)</f>
        <v/>
      </c>
      <c r="Z411" s="87">
        <f>COUNTIFS($B$2:$B$976,B411,$C$2:$C$976,C411,$S$2:$S$976,"&lt;"&amp;S411)+1</f>
        <v/>
      </c>
      <c r="AA411" s="88">
        <f>ABS(S411-SUMPRODUCT(('05B_가정검정'!$A$5:$A$19=B411)*('05B_가정검정'!$B$5:$B$19=C411)*'05B_가정검정'!$E$5:$E$19))</f>
        <v/>
      </c>
      <c r="AB411" s="88">
        <f>S411-AVERAGEIFS($S$2:$S$976,$B$2:$B$976,B411,$C$2:$C$976,C411)</f>
        <v/>
      </c>
    </row>
    <row r="412" ht="15" customHeight="1" s="68">
      <c r="A412" s="83" t="inlineStr">
        <is>
          <t>PAT-28</t>
        </is>
      </c>
      <c r="B412" s="83" t="inlineStr">
        <is>
          <t>claude</t>
        </is>
      </c>
      <c r="C412" s="83" t="inlineStr">
        <is>
          <t>qwen</t>
        </is>
      </c>
      <c r="D412" s="84" t="n">
        <v>0.317775571002979</v>
      </c>
      <c r="E412" s="84" t="n">
        <v>0.502702702702703</v>
      </c>
      <c r="F412" s="84" t="n">
        <v>0.201086956521739</v>
      </c>
      <c r="G412" s="84" t="n">
        <v>0.313513513513514</v>
      </c>
      <c r="H412" s="84" t="n">
        <v>0.401933826619985</v>
      </c>
      <c r="I412" s="84" t="n">
        <v>0.525095132160047</v>
      </c>
      <c r="J412" s="84" t="n">
        <v>0.729716202236016</v>
      </c>
      <c r="K412" s="84" t="n">
        <v>0.707634934869023</v>
      </c>
      <c r="L412" s="84" t="n">
        <v>0.873379343158303</v>
      </c>
      <c r="M412" s="84" t="n">
        <v>0.61576354679803</v>
      </c>
      <c r="N412" s="84" t="n">
        <v>0.578947368421053</v>
      </c>
      <c r="O412" s="84" t="n">
        <v>1</v>
      </c>
      <c r="P412" s="85">
        <f>AVERAGE(D412:I412)</f>
        <v/>
      </c>
      <c r="Q412" s="85">
        <f>AVERAGE(J412:L412)</f>
        <v/>
      </c>
      <c r="R412" s="85">
        <f>AVERAGE(M412:O412)</f>
        <v/>
      </c>
      <c r="S412" s="85">
        <f>'02_지표정의'!$C$22*P412+'02_지표정의'!$C$23*Q412+'02_지표정의'!$C$24*R412</f>
        <v/>
      </c>
      <c r="T412" s="73">
        <f>IF(OR(AND(B412="gemini",C412="gemma"),AND(B412="qwen3_6",C412="qwen"),AND(B412="mistral",C412="ministral")),1,0)</f>
        <v/>
      </c>
      <c r="U412" s="73">
        <f>IF(LEFT(A412,3)="PAT","특허","보고서")</f>
        <v/>
      </c>
      <c r="V412" s="86">
        <f>COUNTIF($S$2:$S$976,"&lt;"&amp;S412)+(COUNTIF($S$2:$S$976,"="&amp;S412)+1)/2</f>
        <v/>
      </c>
      <c r="W412" s="73">
        <f>IF(C412="qwen",0,COUNTIFS($C$2:$C$976,"&lt;&gt;qwen",$S$2:$S$976,"&lt;"&amp;S412)+1)</f>
        <v/>
      </c>
      <c r="X412" s="73">
        <f>IF(C412="ministral",0,COUNTIFS($C$2:$C$976,"&lt;&gt;ministral",$S$2:$S$976,"&lt;"&amp;S412)+1)</f>
        <v/>
      </c>
      <c r="Y412" s="73">
        <f>IF(C412="gemma",0,COUNTIFS($C$2:$C$976,"&lt;&gt;gemma",$S$2:$S$976,"&lt;"&amp;S412)+1)</f>
        <v/>
      </c>
      <c r="Z412" s="87">
        <f>COUNTIFS($B$2:$B$976,B412,$C$2:$C$976,C412,$S$2:$S$976,"&lt;"&amp;S412)+1</f>
        <v/>
      </c>
      <c r="AA412" s="88">
        <f>ABS(S412-SUMPRODUCT(('05B_가정검정'!$A$5:$A$19=B412)*('05B_가정검정'!$B$5:$B$19=C412)*'05B_가정검정'!$E$5:$E$19))</f>
        <v/>
      </c>
      <c r="AB412" s="88">
        <f>S412-AVERAGEIFS($S$2:$S$976,$B$2:$B$976,B412,$C$2:$C$976,C412)</f>
        <v/>
      </c>
    </row>
    <row r="413" ht="15" customHeight="1" s="68">
      <c r="A413" s="83" t="inlineStr">
        <is>
          <t>PAT-28</t>
        </is>
      </c>
      <c r="B413" s="83" t="inlineStr">
        <is>
          <t>gemini</t>
        </is>
      </c>
      <c r="C413" s="83" t="inlineStr">
        <is>
          <t>gemma</t>
        </is>
      </c>
      <c r="D413" s="84" t="n">
        <v>0.265895953757225</v>
      </c>
      <c r="E413" s="84" t="n">
        <v>0.324528301886792</v>
      </c>
      <c r="F413" s="84" t="n">
        <v>0.091254752851711</v>
      </c>
      <c r="G413" s="84" t="n">
        <v>0.211320754716981</v>
      </c>
      <c r="H413" s="84" t="n">
        <v>0.281457977067964</v>
      </c>
      <c r="I413" s="84" t="n">
        <v>0.307808242196827</v>
      </c>
      <c r="J413" s="84" t="n">
        <v>0.754806946588265</v>
      </c>
      <c r="K413" s="84" t="n">
        <v>0.731455088075301</v>
      </c>
      <c r="L413" s="84" t="n">
        <v>0.868116603438969</v>
      </c>
      <c r="M413" s="84" t="n">
        <v>0.617834394904459</v>
      </c>
      <c r="N413" s="84" t="n">
        <v>0.7333333333333329</v>
      </c>
      <c r="O413" s="84" t="n">
        <v>1</v>
      </c>
      <c r="P413" s="85">
        <f>AVERAGE(D413:I413)</f>
        <v/>
      </c>
      <c r="Q413" s="85">
        <f>AVERAGE(J413:L413)</f>
        <v/>
      </c>
      <c r="R413" s="85">
        <f>AVERAGE(M413:O413)</f>
        <v/>
      </c>
      <c r="S413" s="85">
        <f>'02_지표정의'!$C$22*P413+'02_지표정의'!$C$23*Q413+'02_지표정의'!$C$24*R413</f>
        <v/>
      </c>
      <c r="T413" s="73">
        <f>IF(OR(AND(B413="gemini",C413="gemma"),AND(B413="qwen3_6",C413="qwen"),AND(B413="mistral",C413="ministral")),1,0)</f>
        <v/>
      </c>
      <c r="U413" s="73">
        <f>IF(LEFT(A413,3)="PAT","특허","보고서")</f>
        <v/>
      </c>
      <c r="V413" s="86">
        <f>COUNTIF($S$2:$S$976,"&lt;"&amp;S413)+(COUNTIF($S$2:$S$976,"="&amp;S413)+1)/2</f>
        <v/>
      </c>
      <c r="W413" s="73">
        <f>IF(C413="qwen",0,COUNTIFS($C$2:$C$976,"&lt;&gt;qwen",$S$2:$S$976,"&lt;"&amp;S413)+1)</f>
        <v/>
      </c>
      <c r="X413" s="73">
        <f>IF(C413="ministral",0,COUNTIFS($C$2:$C$976,"&lt;&gt;ministral",$S$2:$S$976,"&lt;"&amp;S413)+1)</f>
        <v/>
      </c>
      <c r="Y413" s="73">
        <f>IF(C413="gemma",0,COUNTIFS($C$2:$C$976,"&lt;&gt;gemma",$S$2:$S$976,"&lt;"&amp;S413)+1)</f>
        <v/>
      </c>
      <c r="Z413" s="87">
        <f>COUNTIFS($B$2:$B$976,B413,$C$2:$C$976,C413,$S$2:$S$976,"&lt;"&amp;S413)+1</f>
        <v/>
      </c>
      <c r="AA413" s="88">
        <f>ABS(S413-SUMPRODUCT(('05B_가정검정'!$A$5:$A$19=B413)*('05B_가정검정'!$B$5:$B$19=C413)*'05B_가정검정'!$E$5:$E$19))</f>
        <v/>
      </c>
      <c r="AB413" s="88">
        <f>S413-AVERAGEIFS($S$2:$S$976,$B$2:$B$976,B413,$C$2:$C$976,C413)</f>
        <v/>
      </c>
    </row>
    <row r="414" ht="15" customHeight="1" s="68">
      <c r="A414" s="83" t="inlineStr">
        <is>
          <t>PAT-28</t>
        </is>
      </c>
      <c r="B414" s="83" t="inlineStr">
        <is>
          <t>gemini</t>
        </is>
      </c>
      <c r="C414" s="83" t="inlineStr">
        <is>
          <t>ministral</t>
        </is>
      </c>
      <c r="D414" s="84" t="n">
        <v>0.284403669724771</v>
      </c>
      <c r="E414" s="84" t="n">
        <v>0.272151898734177</v>
      </c>
      <c r="F414" s="84" t="n">
        <v>0.07006369426751589</v>
      </c>
      <c r="G414" s="84" t="n">
        <v>0.189873417721519</v>
      </c>
      <c r="H414" s="84" t="n">
        <v>0.22715702996215</v>
      </c>
      <c r="I414" s="84" t="n">
        <v>0.284116663495972</v>
      </c>
      <c r="J414" s="84" t="n">
        <v>0.764110473969924</v>
      </c>
      <c r="K414" s="84" t="n">
        <v>0.821859995571836</v>
      </c>
      <c r="L414" s="84" t="n">
        <v>0.925019362040536</v>
      </c>
      <c r="M414" s="84" t="n">
        <v>0.438914027149321</v>
      </c>
      <c r="N414" s="84" t="n">
        <v>0.447154471544715</v>
      </c>
      <c r="O414" s="84" t="n">
        <v>1</v>
      </c>
      <c r="P414" s="85">
        <f>AVERAGE(D414:I414)</f>
        <v/>
      </c>
      <c r="Q414" s="85">
        <f>AVERAGE(J414:L414)</f>
        <v/>
      </c>
      <c r="R414" s="85">
        <f>AVERAGE(M414:O414)</f>
        <v/>
      </c>
      <c r="S414" s="85">
        <f>'02_지표정의'!$C$22*P414+'02_지표정의'!$C$23*Q414+'02_지표정의'!$C$24*R414</f>
        <v/>
      </c>
      <c r="T414" s="73">
        <f>IF(OR(AND(B414="gemini",C414="gemma"),AND(B414="qwen3_6",C414="qwen"),AND(B414="mistral",C414="ministral")),1,0)</f>
        <v/>
      </c>
      <c r="U414" s="73">
        <f>IF(LEFT(A414,3)="PAT","특허","보고서")</f>
        <v/>
      </c>
      <c r="V414" s="86">
        <f>COUNTIF($S$2:$S$976,"&lt;"&amp;S414)+(COUNTIF($S$2:$S$976,"="&amp;S414)+1)/2</f>
        <v/>
      </c>
      <c r="W414" s="73">
        <f>IF(C414="qwen",0,COUNTIFS($C$2:$C$976,"&lt;&gt;qwen",$S$2:$S$976,"&lt;"&amp;S414)+1)</f>
        <v/>
      </c>
      <c r="X414" s="73">
        <f>IF(C414="ministral",0,COUNTIFS($C$2:$C$976,"&lt;&gt;ministral",$S$2:$S$976,"&lt;"&amp;S414)+1)</f>
        <v/>
      </c>
      <c r="Y414" s="73">
        <f>IF(C414="gemma",0,COUNTIFS($C$2:$C$976,"&lt;&gt;gemma",$S$2:$S$976,"&lt;"&amp;S414)+1)</f>
        <v/>
      </c>
      <c r="Z414" s="87">
        <f>COUNTIFS($B$2:$B$976,B414,$C$2:$C$976,C414,$S$2:$S$976,"&lt;"&amp;S414)+1</f>
        <v/>
      </c>
      <c r="AA414" s="88">
        <f>ABS(S414-SUMPRODUCT(('05B_가정검정'!$A$5:$A$19=B414)*('05B_가정검정'!$B$5:$B$19=C414)*'05B_가정검정'!$E$5:$E$19))</f>
        <v/>
      </c>
      <c r="AB414" s="88">
        <f>S414-AVERAGEIFS($S$2:$S$976,$B$2:$B$976,B414,$C$2:$C$976,C414)</f>
        <v/>
      </c>
    </row>
    <row r="415" ht="15" customHeight="1" s="68">
      <c r="A415" s="83" t="inlineStr">
        <is>
          <t>PAT-28</t>
        </is>
      </c>
      <c r="B415" s="83" t="inlineStr">
        <is>
          <t>gemini</t>
        </is>
      </c>
      <c r="C415" s="83" t="inlineStr">
        <is>
          <t>qwen</t>
        </is>
      </c>
      <c r="D415" s="84" t="n">
        <v>0.293963254593176</v>
      </c>
      <c r="E415" s="84" t="n">
        <v>0.385964912280702</v>
      </c>
      <c r="F415" s="84" t="n">
        <v>0.127208480565371</v>
      </c>
      <c r="G415" s="84" t="n">
        <v>0.259649122807018</v>
      </c>
      <c r="H415" s="84" t="n">
        <v>0.289129761909103</v>
      </c>
      <c r="I415" s="84" t="n">
        <v>0.447915220558151</v>
      </c>
      <c r="J415" s="84" t="n">
        <v>0.786380913581994</v>
      </c>
      <c r="K415" s="84" t="n">
        <v>0.823768836117855</v>
      </c>
      <c r="L415" s="84" t="n">
        <v>0.930665065615781</v>
      </c>
      <c r="M415" s="84" t="n">
        <v>0.477832512315271</v>
      </c>
      <c r="N415" s="84" t="n">
        <v>0.482456140350877</v>
      </c>
      <c r="O415" s="84" t="n">
        <v>1</v>
      </c>
      <c r="P415" s="85">
        <f>AVERAGE(D415:I415)</f>
        <v/>
      </c>
      <c r="Q415" s="85">
        <f>AVERAGE(J415:L415)</f>
        <v/>
      </c>
      <c r="R415" s="85">
        <f>AVERAGE(M415:O415)</f>
        <v/>
      </c>
      <c r="S415" s="85">
        <f>'02_지표정의'!$C$22*P415+'02_지표정의'!$C$23*Q415+'02_지표정의'!$C$24*R415</f>
        <v/>
      </c>
      <c r="T415" s="73">
        <f>IF(OR(AND(B415="gemini",C415="gemma"),AND(B415="qwen3_6",C415="qwen"),AND(B415="mistral",C415="ministral")),1,0)</f>
        <v/>
      </c>
      <c r="U415" s="73">
        <f>IF(LEFT(A415,3)="PAT","특허","보고서")</f>
        <v/>
      </c>
      <c r="V415" s="86">
        <f>COUNTIF($S$2:$S$976,"&lt;"&amp;S415)+(COUNTIF($S$2:$S$976,"="&amp;S415)+1)/2</f>
        <v/>
      </c>
      <c r="W415" s="73">
        <f>IF(C415="qwen",0,COUNTIFS($C$2:$C$976,"&lt;&gt;qwen",$S$2:$S$976,"&lt;"&amp;S415)+1)</f>
        <v/>
      </c>
      <c r="X415" s="73">
        <f>IF(C415="ministral",0,COUNTIFS($C$2:$C$976,"&lt;&gt;ministral",$S$2:$S$976,"&lt;"&amp;S415)+1)</f>
        <v/>
      </c>
      <c r="Y415" s="73">
        <f>IF(C415="gemma",0,COUNTIFS($C$2:$C$976,"&lt;&gt;gemma",$S$2:$S$976,"&lt;"&amp;S415)+1)</f>
        <v/>
      </c>
      <c r="Z415" s="87">
        <f>COUNTIFS($B$2:$B$976,B415,$C$2:$C$976,C415,$S$2:$S$976,"&lt;"&amp;S415)+1</f>
        <v/>
      </c>
      <c r="AA415" s="88">
        <f>ABS(S415-SUMPRODUCT(('05B_가정검정'!$A$5:$A$19=B415)*('05B_가정검정'!$B$5:$B$19=C415)*'05B_가정검정'!$E$5:$E$19))</f>
        <v/>
      </c>
      <c r="AB415" s="88">
        <f>S415-AVERAGEIFS($S$2:$S$976,$B$2:$B$976,B415,$C$2:$C$976,C415)</f>
        <v/>
      </c>
    </row>
    <row r="416" ht="15" customHeight="1" s="68">
      <c r="A416" s="83" t="inlineStr">
        <is>
          <t>PAT-28</t>
        </is>
      </c>
      <c r="B416" s="83" t="inlineStr">
        <is>
          <t>mistral</t>
        </is>
      </c>
      <c r="C416" s="83" t="inlineStr">
        <is>
          <t>gemma</t>
        </is>
      </c>
      <c r="D416" s="84" t="n">
        <v>0.302483069977427</v>
      </c>
      <c r="E416" s="84" t="n">
        <v>0.375478927203065</v>
      </c>
      <c r="F416" s="84" t="n">
        <v>0.123552123552124</v>
      </c>
      <c r="G416" s="84" t="n">
        <v>0.229885057471264</v>
      </c>
      <c r="H416" s="84" t="n">
        <v>0.321816022465971</v>
      </c>
      <c r="I416" s="84" t="n">
        <v>0.258257902599493</v>
      </c>
      <c r="J416" s="84" t="n">
        <v>0.717927080824405</v>
      </c>
      <c r="K416" s="84" t="n">
        <v>0.678395741252185</v>
      </c>
      <c r="L416" s="84" t="n">
        <v>0.853158417590925</v>
      </c>
      <c r="M416" s="84" t="n">
        <v>0.668789808917198</v>
      </c>
      <c r="N416" s="84" t="n">
        <v>0.573333333333333</v>
      </c>
      <c r="O416" s="84" t="n">
        <v>1</v>
      </c>
      <c r="P416" s="85">
        <f>AVERAGE(D416:I416)</f>
        <v/>
      </c>
      <c r="Q416" s="85">
        <f>AVERAGE(J416:L416)</f>
        <v/>
      </c>
      <c r="R416" s="85">
        <f>AVERAGE(M416:O416)</f>
        <v/>
      </c>
      <c r="S416" s="85">
        <f>'02_지표정의'!$C$22*P416+'02_지표정의'!$C$23*Q416+'02_지표정의'!$C$24*R416</f>
        <v/>
      </c>
      <c r="T416" s="73">
        <f>IF(OR(AND(B416="gemini",C416="gemma"),AND(B416="qwen3_6",C416="qwen"),AND(B416="mistral",C416="ministral")),1,0)</f>
        <v/>
      </c>
      <c r="U416" s="73">
        <f>IF(LEFT(A416,3)="PAT","특허","보고서")</f>
        <v/>
      </c>
      <c r="V416" s="86">
        <f>COUNTIF($S$2:$S$976,"&lt;"&amp;S416)+(COUNTIF($S$2:$S$976,"="&amp;S416)+1)/2</f>
        <v/>
      </c>
      <c r="W416" s="73">
        <f>IF(C416="qwen",0,COUNTIFS($C$2:$C$976,"&lt;&gt;qwen",$S$2:$S$976,"&lt;"&amp;S416)+1)</f>
        <v/>
      </c>
      <c r="X416" s="73">
        <f>IF(C416="ministral",0,COUNTIFS($C$2:$C$976,"&lt;&gt;ministral",$S$2:$S$976,"&lt;"&amp;S416)+1)</f>
        <v/>
      </c>
      <c r="Y416" s="73">
        <f>IF(C416="gemma",0,COUNTIFS($C$2:$C$976,"&lt;&gt;gemma",$S$2:$S$976,"&lt;"&amp;S416)+1)</f>
        <v/>
      </c>
      <c r="Z416" s="87">
        <f>COUNTIFS($B$2:$B$976,B416,$C$2:$C$976,C416,$S$2:$S$976,"&lt;"&amp;S416)+1</f>
        <v/>
      </c>
      <c r="AA416" s="88">
        <f>ABS(S416-SUMPRODUCT(('05B_가정검정'!$A$5:$A$19=B416)*('05B_가정검정'!$B$5:$B$19=C416)*'05B_가정검정'!$E$5:$E$19))</f>
        <v/>
      </c>
      <c r="AB416" s="88">
        <f>S416-AVERAGEIFS($S$2:$S$976,$B$2:$B$976,B416,$C$2:$C$976,C416)</f>
        <v/>
      </c>
    </row>
    <row r="417" ht="15" customHeight="1" s="68">
      <c r="A417" s="83" t="inlineStr">
        <is>
          <t>PAT-28</t>
        </is>
      </c>
      <c r="B417" s="83" t="inlineStr">
        <is>
          <t>mistral</t>
        </is>
      </c>
      <c r="C417" s="83" t="inlineStr">
        <is>
          <t>ministral</t>
        </is>
      </c>
      <c r="D417" s="84" t="n">
        <v>0.317037037037037</v>
      </c>
      <c r="E417" s="84" t="n">
        <v>0.282051282051282</v>
      </c>
      <c r="F417" s="84" t="n">
        <v>0.103225806451613</v>
      </c>
      <c r="G417" s="84" t="n">
        <v>0.198717948717949</v>
      </c>
      <c r="H417" s="84" t="n">
        <v>0.25368755989051</v>
      </c>
      <c r="I417" s="84" t="n">
        <v>0.289218726239145</v>
      </c>
      <c r="J417" s="84" t="n">
        <v>0.712801018509078</v>
      </c>
      <c r="K417" s="84" t="n">
        <v>0.679277874631795</v>
      </c>
      <c r="L417" s="84" t="n">
        <v>0.851753326711908</v>
      </c>
      <c r="M417" s="84" t="n">
        <v>0.46606334841629</v>
      </c>
      <c r="N417" s="84" t="n">
        <v>0.357723577235772</v>
      </c>
      <c r="O417" s="84" t="n">
        <v>1</v>
      </c>
      <c r="P417" s="85">
        <f>AVERAGE(D417:I417)</f>
        <v/>
      </c>
      <c r="Q417" s="85">
        <f>AVERAGE(J417:L417)</f>
        <v/>
      </c>
      <c r="R417" s="85">
        <f>AVERAGE(M417:O417)</f>
        <v/>
      </c>
      <c r="S417" s="85">
        <f>'02_지표정의'!$C$22*P417+'02_지표정의'!$C$23*Q417+'02_지표정의'!$C$24*R417</f>
        <v/>
      </c>
      <c r="T417" s="73">
        <f>IF(OR(AND(B417="gemini",C417="gemma"),AND(B417="qwen3_6",C417="qwen"),AND(B417="mistral",C417="ministral")),1,0)</f>
        <v/>
      </c>
      <c r="U417" s="73">
        <f>IF(LEFT(A417,3)="PAT","특허","보고서")</f>
        <v/>
      </c>
      <c r="V417" s="86">
        <f>COUNTIF($S$2:$S$976,"&lt;"&amp;S417)+(COUNTIF($S$2:$S$976,"="&amp;S417)+1)/2</f>
        <v/>
      </c>
      <c r="W417" s="73">
        <f>IF(C417="qwen",0,COUNTIFS($C$2:$C$976,"&lt;&gt;qwen",$S$2:$S$976,"&lt;"&amp;S417)+1)</f>
        <v/>
      </c>
      <c r="X417" s="73">
        <f>IF(C417="ministral",0,COUNTIFS($C$2:$C$976,"&lt;&gt;ministral",$S$2:$S$976,"&lt;"&amp;S417)+1)</f>
        <v/>
      </c>
      <c r="Y417" s="73">
        <f>IF(C417="gemma",0,COUNTIFS($C$2:$C$976,"&lt;&gt;gemma",$S$2:$S$976,"&lt;"&amp;S417)+1)</f>
        <v/>
      </c>
      <c r="Z417" s="87">
        <f>COUNTIFS($B$2:$B$976,B417,$C$2:$C$976,C417,$S$2:$S$976,"&lt;"&amp;S417)+1</f>
        <v/>
      </c>
      <c r="AA417" s="88">
        <f>ABS(S417-SUMPRODUCT(('05B_가정검정'!$A$5:$A$19=B417)*('05B_가정검정'!$B$5:$B$19=C417)*'05B_가정검정'!$E$5:$E$19))</f>
        <v/>
      </c>
      <c r="AB417" s="88">
        <f>S417-AVERAGEIFS($S$2:$S$976,$B$2:$B$976,B417,$C$2:$C$976,C417)</f>
        <v/>
      </c>
    </row>
    <row r="418" ht="15" customHeight="1" s="68">
      <c r="A418" s="83" t="inlineStr">
        <is>
          <t>PAT-28</t>
        </is>
      </c>
      <c r="B418" s="83" t="inlineStr">
        <is>
          <t>mistral</t>
        </is>
      </c>
      <c r="C418" s="83" t="inlineStr">
        <is>
          <t>qwen</t>
        </is>
      </c>
      <c r="D418" s="84" t="n">
        <v>0.337164750957854</v>
      </c>
      <c r="E418" s="84" t="n">
        <v>0.377224199288256</v>
      </c>
      <c r="F418" s="84" t="n">
        <v>0.17921146953405</v>
      </c>
      <c r="G418" s="84" t="n">
        <v>0.291814946619217</v>
      </c>
      <c r="H418" s="84" t="n">
        <v>0.317888747346237</v>
      </c>
      <c r="I418" s="84" t="n">
        <v>0.441493403981544</v>
      </c>
      <c r="J418" s="84" t="n">
        <v>0.7427465487636929</v>
      </c>
      <c r="K418" s="84" t="n">
        <v>0.702658498069487</v>
      </c>
      <c r="L418" s="84" t="n">
        <v>0.860560551977934</v>
      </c>
      <c r="M418" s="84" t="n">
        <v>0.507389162561576</v>
      </c>
      <c r="N418" s="84" t="n">
        <v>0.37719298245614</v>
      </c>
      <c r="O418" s="84" t="n">
        <v>1</v>
      </c>
      <c r="P418" s="85">
        <f>AVERAGE(D418:I418)</f>
        <v/>
      </c>
      <c r="Q418" s="85">
        <f>AVERAGE(J418:L418)</f>
        <v/>
      </c>
      <c r="R418" s="85">
        <f>AVERAGE(M418:O418)</f>
        <v/>
      </c>
      <c r="S418" s="85">
        <f>'02_지표정의'!$C$22*P418+'02_지표정의'!$C$23*Q418+'02_지표정의'!$C$24*R418</f>
        <v/>
      </c>
      <c r="T418" s="73">
        <f>IF(OR(AND(B418="gemini",C418="gemma"),AND(B418="qwen3_6",C418="qwen"),AND(B418="mistral",C418="ministral")),1,0)</f>
        <v/>
      </c>
      <c r="U418" s="73">
        <f>IF(LEFT(A418,3)="PAT","특허","보고서")</f>
        <v/>
      </c>
      <c r="V418" s="86">
        <f>COUNTIF($S$2:$S$976,"&lt;"&amp;S418)+(COUNTIF($S$2:$S$976,"="&amp;S418)+1)/2</f>
        <v/>
      </c>
      <c r="W418" s="73">
        <f>IF(C418="qwen",0,COUNTIFS($C$2:$C$976,"&lt;&gt;qwen",$S$2:$S$976,"&lt;"&amp;S418)+1)</f>
        <v/>
      </c>
      <c r="X418" s="73">
        <f>IF(C418="ministral",0,COUNTIFS($C$2:$C$976,"&lt;&gt;ministral",$S$2:$S$976,"&lt;"&amp;S418)+1)</f>
        <v/>
      </c>
      <c r="Y418" s="73">
        <f>IF(C418="gemma",0,COUNTIFS($C$2:$C$976,"&lt;&gt;gemma",$S$2:$S$976,"&lt;"&amp;S418)+1)</f>
        <v/>
      </c>
      <c r="Z418" s="87">
        <f>COUNTIFS($B$2:$B$976,B418,$C$2:$C$976,C418,$S$2:$S$976,"&lt;"&amp;S418)+1</f>
        <v/>
      </c>
      <c r="AA418" s="88">
        <f>ABS(S418-SUMPRODUCT(('05B_가정검정'!$A$5:$A$19=B418)*('05B_가정검정'!$B$5:$B$19=C418)*'05B_가정검정'!$E$5:$E$19))</f>
        <v/>
      </c>
      <c r="AB418" s="88">
        <f>S418-AVERAGEIFS($S$2:$S$976,$B$2:$B$976,B418,$C$2:$C$976,C418)</f>
        <v/>
      </c>
    </row>
    <row r="419" ht="15" customHeight="1" s="68">
      <c r="A419" s="83" t="inlineStr">
        <is>
          <t>PAT-28</t>
        </is>
      </c>
      <c r="B419" s="83" t="inlineStr">
        <is>
          <t>qwen3_6</t>
        </is>
      </c>
      <c r="C419" s="83" t="inlineStr">
        <is>
          <t>gemma</t>
        </is>
      </c>
      <c r="D419" s="84" t="n">
        <v>0.252897787144363</v>
      </c>
      <c r="E419" s="84" t="n">
        <v>0.345047923322684</v>
      </c>
      <c r="F419" s="84" t="n">
        <v>0.128617363344051</v>
      </c>
      <c r="G419" s="84" t="n">
        <v>0.223642172523962</v>
      </c>
      <c r="H419" s="84" t="n">
        <v>0.33598243995011</v>
      </c>
      <c r="I419" s="84" t="n">
        <v>0.351132621856668</v>
      </c>
      <c r="J419" s="84" t="n">
        <v>0.727102746651735</v>
      </c>
      <c r="K419" s="84" t="n">
        <v>0.723544821480441</v>
      </c>
      <c r="L419" s="84" t="n">
        <v>0.898041466007869</v>
      </c>
      <c r="M419" s="84" t="n">
        <v>0.617834394904459</v>
      </c>
      <c r="N419" s="84" t="n">
        <v>0.7333333333333329</v>
      </c>
      <c r="O419" s="84" t="n">
        <v>1</v>
      </c>
      <c r="P419" s="85">
        <f>AVERAGE(D419:I419)</f>
        <v/>
      </c>
      <c r="Q419" s="85">
        <f>AVERAGE(J419:L419)</f>
        <v/>
      </c>
      <c r="R419" s="85">
        <f>AVERAGE(M419:O419)</f>
        <v/>
      </c>
      <c r="S419" s="85">
        <f>'02_지표정의'!$C$22*P419+'02_지표정의'!$C$23*Q419+'02_지표정의'!$C$24*R419</f>
        <v/>
      </c>
      <c r="T419" s="73">
        <f>IF(OR(AND(B419="gemini",C419="gemma"),AND(B419="qwen3_6",C419="qwen"),AND(B419="mistral",C419="ministral")),1,0)</f>
        <v/>
      </c>
      <c r="U419" s="73">
        <f>IF(LEFT(A419,3)="PAT","특허","보고서")</f>
        <v/>
      </c>
      <c r="V419" s="86">
        <f>COUNTIF($S$2:$S$976,"&lt;"&amp;S419)+(COUNTIF($S$2:$S$976,"="&amp;S419)+1)/2</f>
        <v/>
      </c>
      <c r="W419" s="73">
        <f>IF(C419="qwen",0,COUNTIFS($C$2:$C$976,"&lt;&gt;qwen",$S$2:$S$976,"&lt;"&amp;S419)+1)</f>
        <v/>
      </c>
      <c r="X419" s="73">
        <f>IF(C419="ministral",0,COUNTIFS($C$2:$C$976,"&lt;&gt;ministral",$S$2:$S$976,"&lt;"&amp;S419)+1)</f>
        <v/>
      </c>
      <c r="Y419" s="73">
        <f>IF(C419="gemma",0,COUNTIFS($C$2:$C$976,"&lt;&gt;gemma",$S$2:$S$976,"&lt;"&amp;S419)+1)</f>
        <v/>
      </c>
      <c r="Z419" s="87">
        <f>COUNTIFS($B$2:$B$976,B419,$C$2:$C$976,C419,$S$2:$S$976,"&lt;"&amp;S419)+1</f>
        <v/>
      </c>
      <c r="AA419" s="88">
        <f>ABS(S419-SUMPRODUCT(('05B_가정검정'!$A$5:$A$19=B419)*('05B_가정검정'!$B$5:$B$19=C419)*'05B_가정검정'!$E$5:$E$19))</f>
        <v/>
      </c>
      <c r="AB419" s="88">
        <f>S419-AVERAGEIFS($S$2:$S$976,$B$2:$B$976,B419,$C$2:$C$976,C419)</f>
        <v/>
      </c>
    </row>
    <row r="420" ht="15" customHeight="1" s="68">
      <c r="A420" s="83" t="inlineStr">
        <is>
          <t>PAT-28</t>
        </is>
      </c>
      <c r="B420" s="83" t="inlineStr">
        <is>
          <t>qwen3_6</t>
        </is>
      </c>
      <c r="C420" s="83" t="inlineStr">
        <is>
          <t>ministral</t>
        </is>
      </c>
      <c r="D420" s="84" t="n">
        <v>0.295392953929539</v>
      </c>
      <c r="E420" s="84" t="n">
        <v>0.32967032967033</v>
      </c>
      <c r="F420" s="84" t="n">
        <v>0.121546961325967</v>
      </c>
      <c r="G420" s="84" t="n">
        <v>0.236263736263736</v>
      </c>
      <c r="H420" s="84" t="n">
        <v>0.27844948911158</v>
      </c>
      <c r="I420" s="84" t="n">
        <v>0.363225785333487</v>
      </c>
      <c r="J420" s="84" t="n">
        <v>0.7171773556977979</v>
      </c>
      <c r="K420" s="84" t="n">
        <v>0.714221076822696</v>
      </c>
      <c r="L420" s="84" t="n">
        <v>0.870530408015605</v>
      </c>
      <c r="M420" s="84" t="n">
        <v>0.438914027149321</v>
      </c>
      <c r="N420" s="84" t="n">
        <v>0.447154471544715</v>
      </c>
      <c r="O420" s="84" t="n">
        <v>1</v>
      </c>
      <c r="P420" s="85">
        <f>AVERAGE(D420:I420)</f>
        <v/>
      </c>
      <c r="Q420" s="85">
        <f>AVERAGE(J420:L420)</f>
        <v/>
      </c>
      <c r="R420" s="85">
        <f>AVERAGE(M420:O420)</f>
        <v/>
      </c>
      <c r="S420" s="85">
        <f>'02_지표정의'!$C$22*P420+'02_지표정의'!$C$23*Q420+'02_지표정의'!$C$24*R420</f>
        <v/>
      </c>
      <c r="T420" s="73">
        <f>IF(OR(AND(B420="gemini",C420="gemma"),AND(B420="qwen3_6",C420="qwen"),AND(B420="mistral",C420="ministral")),1,0)</f>
        <v/>
      </c>
      <c r="U420" s="73">
        <f>IF(LEFT(A420,3)="PAT","특허","보고서")</f>
        <v/>
      </c>
      <c r="V420" s="86">
        <f>COUNTIF($S$2:$S$976,"&lt;"&amp;S420)+(COUNTIF($S$2:$S$976,"="&amp;S420)+1)/2</f>
        <v/>
      </c>
      <c r="W420" s="73">
        <f>IF(C420="qwen",0,COUNTIFS($C$2:$C$976,"&lt;&gt;qwen",$S$2:$S$976,"&lt;"&amp;S420)+1)</f>
        <v/>
      </c>
      <c r="X420" s="73">
        <f>IF(C420="ministral",0,COUNTIFS($C$2:$C$976,"&lt;&gt;ministral",$S$2:$S$976,"&lt;"&amp;S420)+1)</f>
        <v/>
      </c>
      <c r="Y420" s="73">
        <f>IF(C420="gemma",0,COUNTIFS($C$2:$C$976,"&lt;&gt;gemma",$S$2:$S$976,"&lt;"&amp;S420)+1)</f>
        <v/>
      </c>
      <c r="Z420" s="87">
        <f>COUNTIFS($B$2:$B$976,B420,$C$2:$C$976,C420,$S$2:$S$976,"&lt;"&amp;S420)+1</f>
        <v/>
      </c>
      <c r="AA420" s="88">
        <f>ABS(S420-SUMPRODUCT(('05B_가정검정'!$A$5:$A$19=B420)*('05B_가정검정'!$B$5:$B$19=C420)*'05B_가정검정'!$E$5:$E$19))</f>
        <v/>
      </c>
      <c r="AB420" s="88">
        <f>S420-AVERAGEIFS($S$2:$S$976,$B$2:$B$976,B420,$C$2:$C$976,C420)</f>
        <v/>
      </c>
    </row>
    <row r="421" ht="15" customHeight="1" s="68">
      <c r="A421" s="83" t="inlineStr">
        <is>
          <t>PAT-28</t>
        </is>
      </c>
      <c r="B421" s="83" t="inlineStr">
        <is>
          <t>qwen3_6</t>
        </is>
      </c>
      <c r="C421" s="83" t="inlineStr">
        <is>
          <t>qwen</t>
        </is>
      </c>
      <c r="D421" s="84" t="n">
        <v>0.342789598108747</v>
      </c>
      <c r="E421" s="84" t="n">
        <v>0.474474474474474</v>
      </c>
      <c r="F421" s="84" t="n">
        <v>0.187311178247734</v>
      </c>
      <c r="G421" s="84" t="n">
        <v>0.3003003003003</v>
      </c>
      <c r="H421" s="84" t="n">
        <v>0.361599676519039</v>
      </c>
      <c r="I421" s="84" t="n">
        <v>0.55558100405636</v>
      </c>
      <c r="J421" s="84" t="n">
        <v>0.744200354669295</v>
      </c>
      <c r="K421" s="84" t="n">
        <v>0.724068412535848</v>
      </c>
      <c r="L421" s="84" t="n">
        <v>0.889533755933569</v>
      </c>
      <c r="M421" s="84" t="n">
        <v>0.477832512315271</v>
      </c>
      <c r="N421" s="84" t="n">
        <v>0.482456140350877</v>
      </c>
      <c r="O421" s="84" t="n">
        <v>1</v>
      </c>
      <c r="P421" s="85">
        <f>AVERAGE(D421:I421)</f>
        <v/>
      </c>
      <c r="Q421" s="85">
        <f>AVERAGE(J421:L421)</f>
        <v/>
      </c>
      <c r="R421" s="85">
        <f>AVERAGE(M421:O421)</f>
        <v/>
      </c>
      <c r="S421" s="85">
        <f>'02_지표정의'!$C$22*P421+'02_지표정의'!$C$23*Q421+'02_지표정의'!$C$24*R421</f>
        <v/>
      </c>
      <c r="T421" s="73">
        <f>IF(OR(AND(B421="gemini",C421="gemma"),AND(B421="qwen3_6",C421="qwen"),AND(B421="mistral",C421="ministral")),1,0)</f>
        <v/>
      </c>
      <c r="U421" s="73">
        <f>IF(LEFT(A421,3)="PAT","특허","보고서")</f>
        <v/>
      </c>
      <c r="V421" s="86">
        <f>COUNTIF($S$2:$S$976,"&lt;"&amp;S421)+(COUNTIF($S$2:$S$976,"="&amp;S421)+1)/2</f>
        <v/>
      </c>
      <c r="W421" s="73">
        <f>IF(C421="qwen",0,COUNTIFS($C$2:$C$976,"&lt;&gt;qwen",$S$2:$S$976,"&lt;"&amp;S421)+1)</f>
        <v/>
      </c>
      <c r="X421" s="73">
        <f>IF(C421="ministral",0,COUNTIFS($C$2:$C$976,"&lt;&gt;ministral",$S$2:$S$976,"&lt;"&amp;S421)+1)</f>
        <v/>
      </c>
      <c r="Y421" s="73">
        <f>IF(C421="gemma",0,COUNTIFS($C$2:$C$976,"&lt;&gt;gemma",$S$2:$S$976,"&lt;"&amp;S421)+1)</f>
        <v/>
      </c>
      <c r="Z421" s="87">
        <f>COUNTIFS($B$2:$B$976,B421,$C$2:$C$976,C421,$S$2:$S$976,"&lt;"&amp;S421)+1</f>
        <v/>
      </c>
      <c r="AA421" s="88">
        <f>ABS(S421-SUMPRODUCT(('05B_가정검정'!$A$5:$A$19=B421)*('05B_가정검정'!$B$5:$B$19=C421)*'05B_가정검정'!$E$5:$E$19))</f>
        <v/>
      </c>
      <c r="AB421" s="88">
        <f>S421-AVERAGEIFS($S$2:$S$976,$B$2:$B$976,B421,$C$2:$C$976,C421)</f>
        <v/>
      </c>
    </row>
    <row r="422" ht="15" customHeight="1" s="68">
      <c r="A422" s="83" t="inlineStr">
        <is>
          <t>PAT-29</t>
        </is>
      </c>
      <c r="B422" s="83" t="inlineStr">
        <is>
          <t>chatgpt</t>
        </is>
      </c>
      <c r="C422" s="83" t="inlineStr">
        <is>
          <t>gemma</t>
        </is>
      </c>
      <c r="D422" s="84" t="n">
        <v>0.258796821793417</v>
      </c>
      <c r="E422" s="84" t="n">
        <v>0.36</v>
      </c>
      <c r="F422" s="84" t="n">
        <v>0.145161290322581</v>
      </c>
      <c r="G422" s="84" t="n">
        <v>0.208</v>
      </c>
      <c r="H422" s="84" t="n">
        <v>0.333140861645556</v>
      </c>
      <c r="I422" s="84" t="n">
        <v>0.164527687281613</v>
      </c>
      <c r="J422" s="84" t="n">
        <v>0.685632259848843</v>
      </c>
      <c r="K422" s="84" t="n">
        <v>0.574480091689295</v>
      </c>
      <c r="L422" s="84" t="n">
        <v>0.847565281042297</v>
      </c>
      <c r="M422" s="84" t="n">
        <v>0.352272727272727</v>
      </c>
      <c r="N422" s="84" t="n">
        <v>0.12258064516129</v>
      </c>
      <c r="O422" s="84" t="n">
        <v>1</v>
      </c>
      <c r="P422" s="85">
        <f>AVERAGE(D422:I422)</f>
        <v/>
      </c>
      <c r="Q422" s="85">
        <f>AVERAGE(J422:L422)</f>
        <v/>
      </c>
      <c r="R422" s="85">
        <f>AVERAGE(M422:O422)</f>
        <v/>
      </c>
      <c r="S422" s="85">
        <f>'02_지표정의'!$C$22*P422+'02_지표정의'!$C$23*Q422+'02_지표정의'!$C$24*R422</f>
        <v/>
      </c>
      <c r="T422" s="73">
        <f>IF(OR(AND(B422="gemini",C422="gemma"),AND(B422="qwen3_6",C422="qwen"),AND(B422="mistral",C422="ministral")),1,0)</f>
        <v/>
      </c>
      <c r="U422" s="73">
        <f>IF(LEFT(A422,3)="PAT","특허","보고서")</f>
        <v/>
      </c>
      <c r="V422" s="86">
        <f>COUNTIF($S$2:$S$976,"&lt;"&amp;S422)+(COUNTIF($S$2:$S$976,"="&amp;S422)+1)/2</f>
        <v/>
      </c>
      <c r="W422" s="73">
        <f>IF(C422="qwen",0,COUNTIFS($C$2:$C$976,"&lt;&gt;qwen",$S$2:$S$976,"&lt;"&amp;S422)+1)</f>
        <v/>
      </c>
      <c r="X422" s="73">
        <f>IF(C422="ministral",0,COUNTIFS($C$2:$C$976,"&lt;&gt;ministral",$S$2:$S$976,"&lt;"&amp;S422)+1)</f>
        <v/>
      </c>
      <c r="Y422" s="73">
        <f>IF(C422="gemma",0,COUNTIFS($C$2:$C$976,"&lt;&gt;gemma",$S$2:$S$976,"&lt;"&amp;S422)+1)</f>
        <v/>
      </c>
      <c r="Z422" s="87">
        <f>COUNTIFS($B$2:$B$976,B422,$C$2:$C$976,C422,$S$2:$S$976,"&lt;"&amp;S422)+1</f>
        <v/>
      </c>
      <c r="AA422" s="88">
        <f>ABS(S422-SUMPRODUCT(('05B_가정검정'!$A$5:$A$19=B422)*('05B_가정검정'!$B$5:$B$19=C422)*'05B_가정검정'!$E$5:$E$19))</f>
        <v/>
      </c>
      <c r="AB422" s="88">
        <f>S422-AVERAGEIFS($S$2:$S$976,$B$2:$B$976,B422,$C$2:$C$976,C422)</f>
        <v/>
      </c>
    </row>
    <row r="423" ht="15" customHeight="1" s="68">
      <c r="A423" s="83" t="inlineStr">
        <is>
          <t>PAT-29</t>
        </is>
      </c>
      <c r="B423" s="83" t="inlineStr">
        <is>
          <t>chatgpt</t>
        </is>
      </c>
      <c r="C423" s="83" t="inlineStr">
        <is>
          <t>ministral</t>
        </is>
      </c>
      <c r="D423" s="84" t="n">
        <v>0.296688741721854</v>
      </c>
      <c r="E423" s="84" t="n">
        <v>0.415335463258786</v>
      </c>
      <c r="F423" s="84" t="n">
        <v>0.186495176848875</v>
      </c>
      <c r="G423" s="84" t="n">
        <v>0.319488817891374</v>
      </c>
      <c r="H423" s="84" t="n">
        <v>0.360152539840894</v>
      </c>
      <c r="I423" s="84" t="n">
        <v>0.234189558647565</v>
      </c>
      <c r="J423" s="84" t="n">
        <v>0.731115615605138</v>
      </c>
      <c r="K423" s="84" t="n">
        <v>0.640180108522456</v>
      </c>
      <c r="L423" s="84" t="n">
        <v>0.839956517424563</v>
      </c>
      <c r="M423" s="84" t="n">
        <v>0.598484848484849</v>
      </c>
      <c r="N423" s="84" t="n">
        <v>0.283870967741935</v>
      </c>
      <c r="O423" s="84" t="n">
        <v>1</v>
      </c>
      <c r="P423" s="85">
        <f>AVERAGE(D423:I423)</f>
        <v/>
      </c>
      <c r="Q423" s="85">
        <f>AVERAGE(J423:L423)</f>
        <v/>
      </c>
      <c r="R423" s="85">
        <f>AVERAGE(M423:O423)</f>
        <v/>
      </c>
      <c r="S423" s="85">
        <f>'02_지표정의'!$C$22*P423+'02_지표정의'!$C$23*Q423+'02_지표정의'!$C$24*R423</f>
        <v/>
      </c>
      <c r="T423" s="73">
        <f>IF(OR(AND(B423="gemini",C423="gemma"),AND(B423="qwen3_6",C423="qwen"),AND(B423="mistral",C423="ministral")),1,0)</f>
        <v/>
      </c>
      <c r="U423" s="73">
        <f>IF(LEFT(A423,3)="PAT","특허","보고서")</f>
        <v/>
      </c>
      <c r="V423" s="86">
        <f>COUNTIF($S$2:$S$976,"&lt;"&amp;S423)+(COUNTIF($S$2:$S$976,"="&amp;S423)+1)/2</f>
        <v/>
      </c>
      <c r="W423" s="73">
        <f>IF(C423="qwen",0,COUNTIFS($C$2:$C$976,"&lt;&gt;qwen",$S$2:$S$976,"&lt;"&amp;S423)+1)</f>
        <v/>
      </c>
      <c r="X423" s="73">
        <f>IF(C423="ministral",0,COUNTIFS($C$2:$C$976,"&lt;&gt;ministral",$S$2:$S$976,"&lt;"&amp;S423)+1)</f>
        <v/>
      </c>
      <c r="Y423" s="73">
        <f>IF(C423="gemma",0,COUNTIFS($C$2:$C$976,"&lt;&gt;gemma",$S$2:$S$976,"&lt;"&amp;S423)+1)</f>
        <v/>
      </c>
      <c r="Z423" s="87">
        <f>COUNTIFS($B$2:$B$976,B423,$C$2:$C$976,C423,$S$2:$S$976,"&lt;"&amp;S423)+1</f>
        <v/>
      </c>
      <c r="AA423" s="88">
        <f>ABS(S423-SUMPRODUCT(('05B_가정검정'!$A$5:$A$19=B423)*('05B_가정검정'!$B$5:$B$19=C423)*'05B_가정검정'!$E$5:$E$19))</f>
        <v/>
      </c>
      <c r="AB423" s="88">
        <f>S423-AVERAGEIFS($S$2:$S$976,$B$2:$B$976,B423,$C$2:$C$976,C423)</f>
        <v/>
      </c>
    </row>
    <row r="424" ht="15" customHeight="1" s="68">
      <c r="A424" s="83" t="inlineStr">
        <is>
          <t>PAT-29</t>
        </is>
      </c>
      <c r="B424" s="83" t="inlineStr">
        <is>
          <t>chatgpt</t>
        </is>
      </c>
      <c r="C424" s="83" t="inlineStr">
        <is>
          <t>qwen</t>
        </is>
      </c>
      <c r="D424" s="84" t="n">
        <v>0.291933418693982</v>
      </c>
      <c r="E424" s="84" t="n">
        <v>0.398148148148148</v>
      </c>
      <c r="F424" s="84" t="n">
        <v>0.158878504672897</v>
      </c>
      <c r="G424" s="84" t="n">
        <v>0.287037037037037</v>
      </c>
      <c r="H424" s="84" t="n">
        <v>0.274814258316181</v>
      </c>
      <c r="I424" s="84" t="n">
        <v>0.240730244913191</v>
      </c>
      <c r="J424" s="84" t="n">
        <v>0.677842171307078</v>
      </c>
      <c r="K424" s="84" t="n">
        <v>0.581620423259541</v>
      </c>
      <c r="L424" s="84" t="n">
        <v>0.857200320965977</v>
      </c>
      <c r="M424" s="84" t="n">
        <v>0.352272727272727</v>
      </c>
      <c r="N424" s="84" t="n">
        <v>0.12258064516129</v>
      </c>
      <c r="O424" s="84" t="n">
        <v>1</v>
      </c>
      <c r="P424" s="85">
        <f>AVERAGE(D424:I424)</f>
        <v/>
      </c>
      <c r="Q424" s="85">
        <f>AVERAGE(J424:L424)</f>
        <v/>
      </c>
      <c r="R424" s="85">
        <f>AVERAGE(M424:O424)</f>
        <v/>
      </c>
      <c r="S424" s="85">
        <f>'02_지표정의'!$C$22*P424+'02_지표정의'!$C$23*Q424+'02_지표정의'!$C$24*R424</f>
        <v/>
      </c>
      <c r="T424" s="73">
        <f>IF(OR(AND(B424="gemini",C424="gemma"),AND(B424="qwen3_6",C424="qwen"),AND(B424="mistral",C424="ministral")),1,0)</f>
        <v/>
      </c>
      <c r="U424" s="73">
        <f>IF(LEFT(A424,3)="PAT","특허","보고서")</f>
        <v/>
      </c>
      <c r="V424" s="86">
        <f>COUNTIF($S$2:$S$976,"&lt;"&amp;S424)+(COUNTIF($S$2:$S$976,"="&amp;S424)+1)/2</f>
        <v/>
      </c>
      <c r="W424" s="73">
        <f>IF(C424="qwen",0,COUNTIFS($C$2:$C$976,"&lt;&gt;qwen",$S$2:$S$976,"&lt;"&amp;S424)+1)</f>
        <v/>
      </c>
      <c r="X424" s="73">
        <f>IF(C424="ministral",0,COUNTIFS($C$2:$C$976,"&lt;&gt;ministral",$S$2:$S$976,"&lt;"&amp;S424)+1)</f>
        <v/>
      </c>
      <c r="Y424" s="73">
        <f>IF(C424="gemma",0,COUNTIFS($C$2:$C$976,"&lt;&gt;gemma",$S$2:$S$976,"&lt;"&amp;S424)+1)</f>
        <v/>
      </c>
      <c r="Z424" s="87">
        <f>COUNTIFS($B$2:$B$976,B424,$C$2:$C$976,C424,$S$2:$S$976,"&lt;"&amp;S424)+1</f>
        <v/>
      </c>
      <c r="AA424" s="88">
        <f>ABS(S424-SUMPRODUCT(('05B_가정검정'!$A$5:$A$19=B424)*('05B_가정검정'!$B$5:$B$19=C424)*'05B_가정검정'!$E$5:$E$19))</f>
        <v/>
      </c>
      <c r="AB424" s="88">
        <f>S424-AVERAGEIFS($S$2:$S$976,$B$2:$B$976,B424,$C$2:$C$976,C424)</f>
        <v/>
      </c>
    </row>
    <row r="425" ht="15" customHeight="1" s="68">
      <c r="A425" s="83" t="inlineStr">
        <is>
          <t>PAT-29</t>
        </is>
      </c>
      <c r="B425" s="83" t="inlineStr">
        <is>
          <t>claude</t>
        </is>
      </c>
      <c r="C425" s="83" t="inlineStr">
        <is>
          <t>gemma</t>
        </is>
      </c>
      <c r="D425" s="84" t="n">
        <v>0.265968586387435</v>
      </c>
      <c r="E425" s="84" t="n">
        <v>0.380597014925373</v>
      </c>
      <c r="F425" s="84" t="n">
        <v>0.135338345864662</v>
      </c>
      <c r="G425" s="84" t="n">
        <v>0.186567164179105</v>
      </c>
      <c r="H425" s="84" t="n">
        <v>0.343897012245554</v>
      </c>
      <c r="I425" s="84" t="n">
        <v>0.137363170549293</v>
      </c>
      <c r="J425" s="84" t="n">
        <v>0.7201489425736179</v>
      </c>
      <c r="K425" s="84" t="n">
        <v>0.64757654029426</v>
      </c>
      <c r="L425" s="84" t="n">
        <v>0.848630990865914</v>
      </c>
      <c r="M425" s="84" t="n">
        <v>0.765765765765766</v>
      </c>
      <c r="N425" s="84" t="n">
        <v>0.790322580645161</v>
      </c>
      <c r="O425" s="84" t="n">
        <v>1</v>
      </c>
      <c r="P425" s="85">
        <f>AVERAGE(D425:I425)</f>
        <v/>
      </c>
      <c r="Q425" s="85">
        <f>AVERAGE(J425:L425)</f>
        <v/>
      </c>
      <c r="R425" s="85">
        <f>AVERAGE(M425:O425)</f>
        <v/>
      </c>
      <c r="S425" s="85">
        <f>'02_지표정의'!$C$22*P425+'02_지표정의'!$C$23*Q425+'02_지표정의'!$C$24*R425</f>
        <v/>
      </c>
      <c r="T425" s="73">
        <f>IF(OR(AND(B425="gemini",C425="gemma"),AND(B425="qwen3_6",C425="qwen"),AND(B425="mistral",C425="ministral")),1,0)</f>
        <v/>
      </c>
      <c r="U425" s="73">
        <f>IF(LEFT(A425,3)="PAT","특허","보고서")</f>
        <v/>
      </c>
      <c r="V425" s="86">
        <f>COUNTIF($S$2:$S$976,"&lt;"&amp;S425)+(COUNTIF($S$2:$S$976,"="&amp;S425)+1)/2</f>
        <v/>
      </c>
      <c r="W425" s="73">
        <f>IF(C425="qwen",0,COUNTIFS($C$2:$C$976,"&lt;&gt;qwen",$S$2:$S$976,"&lt;"&amp;S425)+1)</f>
        <v/>
      </c>
      <c r="X425" s="73">
        <f>IF(C425="ministral",0,COUNTIFS($C$2:$C$976,"&lt;&gt;ministral",$S$2:$S$976,"&lt;"&amp;S425)+1)</f>
        <v/>
      </c>
      <c r="Y425" s="73">
        <f>IF(C425="gemma",0,COUNTIFS($C$2:$C$976,"&lt;&gt;gemma",$S$2:$S$976,"&lt;"&amp;S425)+1)</f>
        <v/>
      </c>
      <c r="Z425" s="87">
        <f>COUNTIFS($B$2:$B$976,B425,$C$2:$C$976,C425,$S$2:$S$976,"&lt;"&amp;S425)+1</f>
        <v/>
      </c>
      <c r="AA425" s="88">
        <f>ABS(S425-SUMPRODUCT(('05B_가정검정'!$A$5:$A$19=B425)*('05B_가정검정'!$B$5:$B$19=C425)*'05B_가정검정'!$E$5:$E$19))</f>
        <v/>
      </c>
      <c r="AB425" s="88">
        <f>S425-AVERAGEIFS($S$2:$S$976,$B$2:$B$976,B425,$C$2:$C$976,C425)</f>
        <v/>
      </c>
    </row>
    <row r="426" ht="15" customHeight="1" s="68">
      <c r="A426" s="83" t="inlineStr">
        <is>
          <t>PAT-29</t>
        </is>
      </c>
      <c r="B426" s="83" t="inlineStr">
        <is>
          <t>claude</t>
        </is>
      </c>
      <c r="C426" s="83" t="inlineStr">
        <is>
          <t>ministral</t>
        </is>
      </c>
      <c r="D426" s="84" t="n">
        <v>0.2291917973462</v>
      </c>
      <c r="E426" s="84" t="n">
        <v>0.356495468277946</v>
      </c>
      <c r="F426" s="84" t="n">
        <v>0.145896656534954</v>
      </c>
      <c r="G426" s="84" t="n">
        <v>0.259818731117825</v>
      </c>
      <c r="H426" s="84" t="n">
        <v>0.248751147081772</v>
      </c>
      <c r="I426" s="84" t="n">
        <v>0.183109834538815</v>
      </c>
      <c r="J426" s="84" t="n">
        <v>0.71352741865803</v>
      </c>
      <c r="K426" s="84" t="n">
        <v>0.710190866859461</v>
      </c>
      <c r="L426" s="84" t="n">
        <v>0.858381841837031</v>
      </c>
      <c r="M426" s="84" t="n">
        <v>0.451612903225807</v>
      </c>
      <c r="N426" s="84" t="n">
        <v>0.388429752066116</v>
      </c>
      <c r="O426" s="84" t="n">
        <v>1</v>
      </c>
      <c r="P426" s="85">
        <f>AVERAGE(D426:I426)</f>
        <v/>
      </c>
      <c r="Q426" s="85">
        <f>AVERAGE(J426:L426)</f>
        <v/>
      </c>
      <c r="R426" s="85">
        <f>AVERAGE(M426:O426)</f>
        <v/>
      </c>
      <c r="S426" s="85">
        <f>'02_지표정의'!$C$22*P426+'02_지표정의'!$C$23*Q426+'02_지표정의'!$C$24*R426</f>
        <v/>
      </c>
      <c r="T426" s="73">
        <f>IF(OR(AND(B426="gemini",C426="gemma"),AND(B426="qwen3_6",C426="qwen"),AND(B426="mistral",C426="ministral")),1,0)</f>
        <v/>
      </c>
      <c r="U426" s="73">
        <f>IF(LEFT(A426,3)="PAT","특허","보고서")</f>
        <v/>
      </c>
      <c r="V426" s="86">
        <f>COUNTIF($S$2:$S$976,"&lt;"&amp;S426)+(COUNTIF($S$2:$S$976,"="&amp;S426)+1)/2</f>
        <v/>
      </c>
      <c r="W426" s="73">
        <f>IF(C426="qwen",0,COUNTIFS($C$2:$C$976,"&lt;&gt;qwen",$S$2:$S$976,"&lt;"&amp;S426)+1)</f>
        <v/>
      </c>
      <c r="X426" s="73">
        <f>IF(C426="ministral",0,COUNTIFS($C$2:$C$976,"&lt;&gt;ministral",$S$2:$S$976,"&lt;"&amp;S426)+1)</f>
        <v/>
      </c>
      <c r="Y426" s="73">
        <f>IF(C426="gemma",0,COUNTIFS($C$2:$C$976,"&lt;&gt;gemma",$S$2:$S$976,"&lt;"&amp;S426)+1)</f>
        <v/>
      </c>
      <c r="Z426" s="87">
        <f>COUNTIFS($B$2:$B$976,B426,$C$2:$C$976,C426,$S$2:$S$976,"&lt;"&amp;S426)+1</f>
        <v/>
      </c>
      <c r="AA426" s="88">
        <f>ABS(S426-SUMPRODUCT(('05B_가정검정'!$A$5:$A$19=B426)*('05B_가정검정'!$B$5:$B$19=C426)*'05B_가정검정'!$E$5:$E$19))</f>
        <v/>
      </c>
      <c r="AB426" s="88">
        <f>S426-AVERAGEIFS($S$2:$S$976,$B$2:$B$976,B426,$C$2:$C$976,C426)</f>
        <v/>
      </c>
    </row>
    <row r="427" ht="15" customHeight="1" s="68">
      <c r="A427" s="83" t="inlineStr">
        <is>
          <t>PAT-29</t>
        </is>
      </c>
      <c r="B427" s="83" t="inlineStr">
        <is>
          <t>claude</t>
        </is>
      </c>
      <c r="C427" s="83" t="inlineStr">
        <is>
          <t>qwen</t>
        </is>
      </c>
      <c r="D427" s="84" t="n">
        <v>0.301754385964912</v>
      </c>
      <c r="E427" s="84" t="n">
        <v>0.418803418803419</v>
      </c>
      <c r="F427" s="84" t="n">
        <v>0.163793103448276</v>
      </c>
      <c r="G427" s="84" t="n">
        <v>0.273504273504274</v>
      </c>
      <c r="H427" s="84" t="n">
        <v>0.326694714917075</v>
      </c>
      <c r="I427" s="84" t="n">
        <v>0.275998951124824</v>
      </c>
      <c r="J427" s="84" t="n">
        <v>0.722276812609269</v>
      </c>
      <c r="K427" s="84" t="n">
        <v>0.70730747912473</v>
      </c>
      <c r="L427" s="84" t="n">
        <v>0.880960200839338</v>
      </c>
      <c r="M427" s="84" t="n">
        <v>0.765765765765766</v>
      </c>
      <c r="N427" s="84" t="n">
        <v>0.790322580645161</v>
      </c>
      <c r="O427" s="84" t="n">
        <v>1</v>
      </c>
      <c r="P427" s="85">
        <f>AVERAGE(D427:I427)</f>
        <v/>
      </c>
      <c r="Q427" s="85">
        <f>AVERAGE(J427:L427)</f>
        <v/>
      </c>
      <c r="R427" s="85">
        <f>AVERAGE(M427:O427)</f>
        <v/>
      </c>
      <c r="S427" s="85">
        <f>'02_지표정의'!$C$22*P427+'02_지표정의'!$C$23*Q427+'02_지표정의'!$C$24*R427</f>
        <v/>
      </c>
      <c r="T427" s="73">
        <f>IF(OR(AND(B427="gemini",C427="gemma"),AND(B427="qwen3_6",C427="qwen"),AND(B427="mistral",C427="ministral")),1,0)</f>
        <v/>
      </c>
      <c r="U427" s="73">
        <f>IF(LEFT(A427,3)="PAT","특허","보고서")</f>
        <v/>
      </c>
      <c r="V427" s="86">
        <f>COUNTIF($S$2:$S$976,"&lt;"&amp;S427)+(COUNTIF($S$2:$S$976,"="&amp;S427)+1)/2</f>
        <v/>
      </c>
      <c r="W427" s="73">
        <f>IF(C427="qwen",0,COUNTIFS($C$2:$C$976,"&lt;&gt;qwen",$S$2:$S$976,"&lt;"&amp;S427)+1)</f>
        <v/>
      </c>
      <c r="X427" s="73">
        <f>IF(C427="ministral",0,COUNTIFS($C$2:$C$976,"&lt;&gt;ministral",$S$2:$S$976,"&lt;"&amp;S427)+1)</f>
        <v/>
      </c>
      <c r="Y427" s="73">
        <f>IF(C427="gemma",0,COUNTIFS($C$2:$C$976,"&lt;&gt;gemma",$S$2:$S$976,"&lt;"&amp;S427)+1)</f>
        <v/>
      </c>
      <c r="Z427" s="87">
        <f>COUNTIFS($B$2:$B$976,B427,$C$2:$C$976,C427,$S$2:$S$976,"&lt;"&amp;S427)+1</f>
        <v/>
      </c>
      <c r="AA427" s="88">
        <f>ABS(S427-SUMPRODUCT(('05B_가정검정'!$A$5:$A$19=B427)*('05B_가정검정'!$B$5:$B$19=C427)*'05B_가정검정'!$E$5:$E$19))</f>
        <v/>
      </c>
      <c r="AB427" s="88">
        <f>S427-AVERAGEIFS($S$2:$S$976,$B$2:$B$976,B427,$C$2:$C$976,C427)</f>
        <v/>
      </c>
    </row>
    <row r="428" ht="15" customHeight="1" s="68">
      <c r="A428" s="83" t="inlineStr">
        <is>
          <t>PAT-29</t>
        </is>
      </c>
      <c r="B428" s="83" t="inlineStr">
        <is>
          <t>gemini</t>
        </is>
      </c>
      <c r="C428" s="83" t="inlineStr">
        <is>
          <t>gemma</t>
        </is>
      </c>
      <c r="D428" s="84" t="n">
        <v>0.254641909814324</v>
      </c>
      <c r="E428" s="84" t="n">
        <v>0.386138613861386</v>
      </c>
      <c r="F428" s="84" t="n">
        <v>0.15</v>
      </c>
      <c r="G428" s="84" t="n">
        <v>0.257425742574257</v>
      </c>
      <c r="H428" s="84" t="n">
        <v>0.288846748277156</v>
      </c>
      <c r="I428" s="84" t="n">
        <v>0.143490392001923</v>
      </c>
      <c r="J428" s="84" t="n">
        <v>0.743472072486806</v>
      </c>
      <c r="K428" s="84" t="n">
        <v>0.693443002100285</v>
      </c>
      <c r="L428" s="84" t="n">
        <v>0.859077216779954</v>
      </c>
      <c r="M428" s="84" t="n">
        <v>0.906542056074766</v>
      </c>
      <c r="N428" s="84" t="n">
        <v>0.916666666666667</v>
      </c>
      <c r="O428" s="84" t="n">
        <v>1</v>
      </c>
      <c r="P428" s="85">
        <f>AVERAGE(D428:I428)</f>
        <v/>
      </c>
      <c r="Q428" s="85">
        <f>AVERAGE(J428:L428)</f>
        <v/>
      </c>
      <c r="R428" s="85">
        <f>AVERAGE(M428:O428)</f>
        <v/>
      </c>
      <c r="S428" s="85">
        <f>'02_지표정의'!$C$22*P428+'02_지표정의'!$C$23*Q428+'02_지표정의'!$C$24*R428</f>
        <v/>
      </c>
      <c r="T428" s="73">
        <f>IF(OR(AND(B428="gemini",C428="gemma"),AND(B428="qwen3_6",C428="qwen"),AND(B428="mistral",C428="ministral")),1,0)</f>
        <v/>
      </c>
      <c r="U428" s="73">
        <f>IF(LEFT(A428,3)="PAT","특허","보고서")</f>
        <v/>
      </c>
      <c r="V428" s="86">
        <f>COUNTIF($S$2:$S$976,"&lt;"&amp;S428)+(COUNTIF($S$2:$S$976,"="&amp;S428)+1)/2</f>
        <v/>
      </c>
      <c r="W428" s="73">
        <f>IF(C428="qwen",0,COUNTIFS($C$2:$C$976,"&lt;&gt;qwen",$S$2:$S$976,"&lt;"&amp;S428)+1)</f>
        <v/>
      </c>
      <c r="X428" s="73">
        <f>IF(C428="ministral",0,COUNTIFS($C$2:$C$976,"&lt;&gt;ministral",$S$2:$S$976,"&lt;"&amp;S428)+1)</f>
        <v/>
      </c>
      <c r="Y428" s="73">
        <f>IF(C428="gemma",0,COUNTIFS($C$2:$C$976,"&lt;&gt;gemma",$S$2:$S$976,"&lt;"&amp;S428)+1)</f>
        <v/>
      </c>
      <c r="Z428" s="87">
        <f>COUNTIFS($B$2:$B$976,B428,$C$2:$C$976,C428,$S$2:$S$976,"&lt;"&amp;S428)+1</f>
        <v/>
      </c>
      <c r="AA428" s="88">
        <f>ABS(S428-SUMPRODUCT(('05B_가정검정'!$A$5:$A$19=B428)*('05B_가정검정'!$B$5:$B$19=C428)*'05B_가정검정'!$E$5:$E$19))</f>
        <v/>
      </c>
      <c r="AB428" s="88">
        <f>S428-AVERAGEIFS($S$2:$S$976,$B$2:$B$976,B428,$C$2:$C$976,C428)</f>
        <v/>
      </c>
    </row>
    <row r="429" ht="15" customHeight="1" s="68">
      <c r="A429" s="83" t="inlineStr">
        <is>
          <t>PAT-29</t>
        </is>
      </c>
      <c r="B429" s="83" t="inlineStr">
        <is>
          <t>gemini</t>
        </is>
      </c>
      <c r="C429" s="83" t="inlineStr">
        <is>
          <t>ministral</t>
        </is>
      </c>
      <c r="D429" s="84" t="n">
        <v>0.267515923566879</v>
      </c>
      <c r="E429" s="84" t="n">
        <v>0.309433962264151</v>
      </c>
      <c r="F429" s="84" t="n">
        <v>0.106463878326996</v>
      </c>
      <c r="G429" s="84" t="n">
        <v>0.218867924528302</v>
      </c>
      <c r="H429" s="84" t="n">
        <v>0.201702775180813</v>
      </c>
      <c r="I429" s="84" t="n">
        <v>0.205137540529743</v>
      </c>
      <c r="J429" s="84" t="n">
        <v>0.751337846633733</v>
      </c>
      <c r="K429" s="84" t="n">
        <v>0.747281293641607</v>
      </c>
      <c r="L429" s="84" t="n">
        <v>0.884303012418619</v>
      </c>
      <c r="M429" s="84" t="n">
        <v>0.447004608294931</v>
      </c>
      <c r="N429" s="84" t="n">
        <v>0.454545454545455</v>
      </c>
      <c r="O429" s="84" t="n">
        <v>1</v>
      </c>
      <c r="P429" s="85">
        <f>AVERAGE(D429:I429)</f>
        <v/>
      </c>
      <c r="Q429" s="85">
        <f>AVERAGE(J429:L429)</f>
        <v/>
      </c>
      <c r="R429" s="85">
        <f>AVERAGE(M429:O429)</f>
        <v/>
      </c>
      <c r="S429" s="85">
        <f>'02_지표정의'!$C$22*P429+'02_지표정의'!$C$23*Q429+'02_지표정의'!$C$24*R429</f>
        <v/>
      </c>
      <c r="T429" s="73">
        <f>IF(OR(AND(B429="gemini",C429="gemma"),AND(B429="qwen3_6",C429="qwen"),AND(B429="mistral",C429="ministral")),1,0)</f>
        <v/>
      </c>
      <c r="U429" s="73">
        <f>IF(LEFT(A429,3)="PAT","특허","보고서")</f>
        <v/>
      </c>
      <c r="V429" s="86">
        <f>COUNTIF($S$2:$S$976,"&lt;"&amp;S429)+(COUNTIF($S$2:$S$976,"="&amp;S429)+1)/2</f>
        <v/>
      </c>
      <c r="W429" s="73">
        <f>IF(C429="qwen",0,COUNTIFS($C$2:$C$976,"&lt;&gt;qwen",$S$2:$S$976,"&lt;"&amp;S429)+1)</f>
        <v/>
      </c>
      <c r="X429" s="73">
        <f>IF(C429="ministral",0,COUNTIFS($C$2:$C$976,"&lt;&gt;ministral",$S$2:$S$976,"&lt;"&amp;S429)+1)</f>
        <v/>
      </c>
      <c r="Y429" s="73">
        <f>IF(C429="gemma",0,COUNTIFS($C$2:$C$976,"&lt;&gt;gemma",$S$2:$S$976,"&lt;"&amp;S429)+1)</f>
        <v/>
      </c>
      <c r="Z429" s="87">
        <f>COUNTIFS($B$2:$B$976,B429,$C$2:$C$976,C429,$S$2:$S$976,"&lt;"&amp;S429)+1</f>
        <v/>
      </c>
      <c r="AA429" s="88">
        <f>ABS(S429-SUMPRODUCT(('05B_가정검정'!$A$5:$A$19=B429)*('05B_가정검정'!$B$5:$B$19=C429)*'05B_가정검정'!$E$5:$E$19))</f>
        <v/>
      </c>
      <c r="AB429" s="88">
        <f>S429-AVERAGEIFS($S$2:$S$976,$B$2:$B$976,B429,$C$2:$C$976,C429)</f>
        <v/>
      </c>
    </row>
    <row r="430" ht="15" customHeight="1" s="68">
      <c r="A430" s="83" t="inlineStr">
        <is>
          <t>PAT-29</t>
        </is>
      </c>
      <c r="B430" s="83" t="inlineStr">
        <is>
          <t>gemini</t>
        </is>
      </c>
      <c r="C430" s="83" t="inlineStr">
        <is>
          <t>qwen</t>
        </is>
      </c>
      <c r="D430" s="84" t="n">
        <v>0.293577981651376</v>
      </c>
      <c r="E430" s="84" t="n">
        <v>0.464285714285714</v>
      </c>
      <c r="F430" s="84" t="n">
        <v>0.204819277108434</v>
      </c>
      <c r="G430" s="84" t="n">
        <v>0.333333333333333</v>
      </c>
      <c r="H430" s="84" t="n">
        <v>0.374342363966842</v>
      </c>
      <c r="I430" s="84" t="n">
        <v>0.185360650319185</v>
      </c>
      <c r="J430" s="84" t="n">
        <v>0.746763342791513</v>
      </c>
      <c r="K430" s="84" t="n">
        <v>0.740607632784567</v>
      </c>
      <c r="L430" s="84" t="n">
        <v>0.87233134579822</v>
      </c>
      <c r="M430" s="84" t="n">
        <v>0.906542056074766</v>
      </c>
      <c r="N430" s="84" t="n">
        <v>0.916666666666667</v>
      </c>
      <c r="O430" s="84" t="n">
        <v>1</v>
      </c>
      <c r="P430" s="85">
        <f>AVERAGE(D430:I430)</f>
        <v/>
      </c>
      <c r="Q430" s="85">
        <f>AVERAGE(J430:L430)</f>
        <v/>
      </c>
      <c r="R430" s="85">
        <f>AVERAGE(M430:O430)</f>
        <v/>
      </c>
      <c r="S430" s="85">
        <f>'02_지표정의'!$C$22*P430+'02_지표정의'!$C$23*Q430+'02_지표정의'!$C$24*R430</f>
        <v/>
      </c>
      <c r="T430" s="73">
        <f>IF(OR(AND(B430="gemini",C430="gemma"),AND(B430="qwen3_6",C430="qwen"),AND(B430="mistral",C430="ministral")),1,0)</f>
        <v/>
      </c>
      <c r="U430" s="73">
        <f>IF(LEFT(A430,3)="PAT","특허","보고서")</f>
        <v/>
      </c>
      <c r="V430" s="86">
        <f>COUNTIF($S$2:$S$976,"&lt;"&amp;S430)+(COUNTIF($S$2:$S$976,"="&amp;S430)+1)/2</f>
        <v/>
      </c>
      <c r="W430" s="73">
        <f>IF(C430="qwen",0,COUNTIFS($C$2:$C$976,"&lt;&gt;qwen",$S$2:$S$976,"&lt;"&amp;S430)+1)</f>
        <v/>
      </c>
      <c r="X430" s="73">
        <f>IF(C430="ministral",0,COUNTIFS($C$2:$C$976,"&lt;&gt;ministral",$S$2:$S$976,"&lt;"&amp;S430)+1)</f>
        <v/>
      </c>
      <c r="Y430" s="73">
        <f>IF(C430="gemma",0,COUNTIFS($C$2:$C$976,"&lt;&gt;gemma",$S$2:$S$976,"&lt;"&amp;S430)+1)</f>
        <v/>
      </c>
      <c r="Z430" s="87">
        <f>COUNTIFS($B$2:$B$976,B430,$C$2:$C$976,C430,$S$2:$S$976,"&lt;"&amp;S430)+1</f>
        <v/>
      </c>
      <c r="AA430" s="88">
        <f>ABS(S430-SUMPRODUCT(('05B_가정검정'!$A$5:$A$19=B430)*('05B_가정검정'!$B$5:$B$19=C430)*'05B_가정검정'!$E$5:$E$19))</f>
        <v/>
      </c>
      <c r="AB430" s="88">
        <f>S430-AVERAGEIFS($S$2:$S$976,$B$2:$B$976,B430,$C$2:$C$976,C430)</f>
        <v/>
      </c>
    </row>
    <row r="431" ht="15" customHeight="1" s="68">
      <c r="A431" s="83" t="inlineStr">
        <is>
          <t>PAT-29</t>
        </is>
      </c>
      <c r="B431" s="83" t="inlineStr">
        <is>
          <t>mistral</t>
        </is>
      </c>
      <c r="C431" s="83" t="inlineStr">
        <is>
          <t>gemma</t>
        </is>
      </c>
      <c r="D431" s="84" t="n">
        <v>0.290023201856149</v>
      </c>
      <c r="E431" s="84" t="n">
        <v>0.36078431372549</v>
      </c>
      <c r="F431" s="84" t="n">
        <v>0.110671936758893</v>
      </c>
      <c r="G431" s="84" t="n">
        <v>0.235294117647059</v>
      </c>
      <c r="H431" s="84" t="n">
        <v>0.356889863459352</v>
      </c>
      <c r="I431" s="84" t="n">
        <v>0.217376042519067</v>
      </c>
      <c r="J431" s="84" t="n">
        <v>0.687519537600648</v>
      </c>
      <c r="K431" s="84" t="n">
        <v>0.589878843314198</v>
      </c>
      <c r="L431" s="84" t="n">
        <v>0.855713292202678</v>
      </c>
      <c r="M431" s="84" t="n">
        <v>0.392405063291139</v>
      </c>
      <c r="N431" s="84" t="n">
        <v>0.376923076923077</v>
      </c>
      <c r="O431" s="84" t="n">
        <v>1</v>
      </c>
      <c r="P431" s="85">
        <f>AVERAGE(D431:I431)</f>
        <v/>
      </c>
      <c r="Q431" s="85">
        <f>AVERAGE(J431:L431)</f>
        <v/>
      </c>
      <c r="R431" s="85">
        <f>AVERAGE(M431:O431)</f>
        <v/>
      </c>
      <c r="S431" s="85">
        <f>'02_지표정의'!$C$22*P431+'02_지표정의'!$C$23*Q431+'02_지표정의'!$C$24*R431</f>
        <v/>
      </c>
      <c r="T431" s="73">
        <f>IF(OR(AND(B431="gemini",C431="gemma"),AND(B431="qwen3_6",C431="qwen"),AND(B431="mistral",C431="ministral")),1,0)</f>
        <v/>
      </c>
      <c r="U431" s="73">
        <f>IF(LEFT(A431,3)="PAT","특허","보고서")</f>
        <v/>
      </c>
      <c r="V431" s="86">
        <f>COUNTIF($S$2:$S$976,"&lt;"&amp;S431)+(COUNTIF($S$2:$S$976,"="&amp;S431)+1)/2</f>
        <v/>
      </c>
      <c r="W431" s="73">
        <f>IF(C431="qwen",0,COUNTIFS($C$2:$C$976,"&lt;&gt;qwen",$S$2:$S$976,"&lt;"&amp;S431)+1)</f>
        <v/>
      </c>
      <c r="X431" s="73">
        <f>IF(C431="ministral",0,COUNTIFS($C$2:$C$976,"&lt;&gt;ministral",$S$2:$S$976,"&lt;"&amp;S431)+1)</f>
        <v/>
      </c>
      <c r="Y431" s="73">
        <f>IF(C431="gemma",0,COUNTIFS($C$2:$C$976,"&lt;&gt;gemma",$S$2:$S$976,"&lt;"&amp;S431)+1)</f>
        <v/>
      </c>
      <c r="Z431" s="87">
        <f>COUNTIFS($B$2:$B$976,B431,$C$2:$C$976,C431,$S$2:$S$976,"&lt;"&amp;S431)+1</f>
        <v/>
      </c>
      <c r="AA431" s="88">
        <f>ABS(S431-SUMPRODUCT(('05B_가정검정'!$A$5:$A$19=B431)*('05B_가정검정'!$B$5:$B$19=C431)*'05B_가정검정'!$E$5:$E$19))</f>
        <v/>
      </c>
      <c r="AB431" s="88">
        <f>S431-AVERAGEIFS($S$2:$S$976,$B$2:$B$976,B431,$C$2:$C$976,C431)</f>
        <v/>
      </c>
    </row>
    <row r="432" ht="15" customHeight="1" s="68">
      <c r="A432" s="83" t="inlineStr">
        <is>
          <t>PAT-29</t>
        </is>
      </c>
      <c r="B432" s="83" t="inlineStr">
        <is>
          <t>mistral</t>
        </is>
      </c>
      <c r="C432" s="83" t="inlineStr">
        <is>
          <t>ministral</t>
        </is>
      </c>
      <c r="D432" s="84" t="n">
        <v>0.331521739130435</v>
      </c>
      <c r="E432" s="84" t="n">
        <v>0.534591194968554</v>
      </c>
      <c r="F432" s="84" t="n">
        <v>0.208860759493671</v>
      </c>
      <c r="G432" s="84" t="n">
        <v>0.352201257861635</v>
      </c>
      <c r="H432" s="84" t="n">
        <v>0.367912211469614</v>
      </c>
      <c r="I432" s="84" t="n">
        <v>0.227231223406449</v>
      </c>
      <c r="J432" s="84" t="n">
        <v>0.711455464181954</v>
      </c>
      <c r="K432" s="84" t="n">
        <v>0.678447744941632</v>
      </c>
      <c r="L432" s="84" t="n">
        <v>0.863875082609622</v>
      </c>
      <c r="M432" s="84" t="n">
        <v>0.721518987341772</v>
      </c>
      <c r="N432" s="84" t="n">
        <v>0.723076923076923</v>
      </c>
      <c r="O432" s="84" t="n">
        <v>1</v>
      </c>
      <c r="P432" s="85">
        <f>AVERAGE(D432:I432)</f>
        <v/>
      </c>
      <c r="Q432" s="85">
        <f>AVERAGE(J432:L432)</f>
        <v/>
      </c>
      <c r="R432" s="85">
        <f>AVERAGE(M432:O432)</f>
        <v/>
      </c>
      <c r="S432" s="85">
        <f>'02_지표정의'!$C$22*P432+'02_지표정의'!$C$23*Q432+'02_지표정의'!$C$24*R432</f>
        <v/>
      </c>
      <c r="T432" s="73">
        <f>IF(OR(AND(B432="gemini",C432="gemma"),AND(B432="qwen3_6",C432="qwen"),AND(B432="mistral",C432="ministral")),1,0)</f>
        <v/>
      </c>
      <c r="U432" s="73">
        <f>IF(LEFT(A432,3)="PAT","특허","보고서")</f>
        <v/>
      </c>
      <c r="V432" s="86">
        <f>COUNTIF($S$2:$S$976,"&lt;"&amp;S432)+(COUNTIF($S$2:$S$976,"="&amp;S432)+1)/2</f>
        <v/>
      </c>
      <c r="W432" s="73">
        <f>IF(C432="qwen",0,COUNTIFS($C$2:$C$976,"&lt;&gt;qwen",$S$2:$S$976,"&lt;"&amp;S432)+1)</f>
        <v/>
      </c>
      <c r="X432" s="73">
        <f>IF(C432="ministral",0,COUNTIFS($C$2:$C$976,"&lt;&gt;ministral",$S$2:$S$976,"&lt;"&amp;S432)+1)</f>
        <v/>
      </c>
      <c r="Y432" s="73">
        <f>IF(C432="gemma",0,COUNTIFS($C$2:$C$976,"&lt;&gt;gemma",$S$2:$S$976,"&lt;"&amp;S432)+1)</f>
        <v/>
      </c>
      <c r="Z432" s="87">
        <f>COUNTIFS($B$2:$B$976,B432,$C$2:$C$976,C432,$S$2:$S$976,"&lt;"&amp;S432)+1</f>
        <v/>
      </c>
      <c r="AA432" s="88">
        <f>ABS(S432-SUMPRODUCT(('05B_가정검정'!$A$5:$A$19=B432)*('05B_가정검정'!$B$5:$B$19=C432)*'05B_가정검정'!$E$5:$E$19))</f>
        <v/>
      </c>
      <c r="AB432" s="88">
        <f>S432-AVERAGEIFS($S$2:$S$976,$B$2:$B$976,B432,$C$2:$C$976,C432)</f>
        <v/>
      </c>
    </row>
    <row r="433" ht="15" customHeight="1" s="68">
      <c r="A433" s="83" t="inlineStr">
        <is>
          <t>PAT-29</t>
        </is>
      </c>
      <c r="B433" s="83" t="inlineStr">
        <is>
          <t>mistral</t>
        </is>
      </c>
      <c r="C433" s="83" t="inlineStr">
        <is>
          <t>qwen</t>
        </is>
      </c>
      <c r="D433" s="84" t="n">
        <v>0.31758530183727</v>
      </c>
      <c r="E433" s="84" t="n">
        <v>0.398190045248869</v>
      </c>
      <c r="F433" s="84" t="n">
        <v>0.155251141552511</v>
      </c>
      <c r="G433" s="84" t="n">
        <v>0.271493212669683</v>
      </c>
      <c r="H433" s="84" t="n">
        <v>0.298886333208563</v>
      </c>
      <c r="I433" s="84" t="n">
        <v>0.274973346377799</v>
      </c>
      <c r="J433" s="84" t="n">
        <v>0.675946995226394</v>
      </c>
      <c r="K433" s="84" t="n">
        <v>0.648889072428098</v>
      </c>
      <c r="L433" s="84" t="n">
        <v>0.89717795199543</v>
      </c>
      <c r="M433" s="84" t="n">
        <v>0.392405063291139</v>
      </c>
      <c r="N433" s="84" t="n">
        <v>0.376923076923077</v>
      </c>
      <c r="O433" s="84" t="n">
        <v>1</v>
      </c>
      <c r="P433" s="85">
        <f>AVERAGE(D433:I433)</f>
        <v/>
      </c>
      <c r="Q433" s="85">
        <f>AVERAGE(J433:L433)</f>
        <v/>
      </c>
      <c r="R433" s="85">
        <f>AVERAGE(M433:O433)</f>
        <v/>
      </c>
      <c r="S433" s="85">
        <f>'02_지표정의'!$C$22*P433+'02_지표정의'!$C$23*Q433+'02_지표정의'!$C$24*R433</f>
        <v/>
      </c>
      <c r="T433" s="73">
        <f>IF(OR(AND(B433="gemini",C433="gemma"),AND(B433="qwen3_6",C433="qwen"),AND(B433="mistral",C433="ministral")),1,0)</f>
        <v/>
      </c>
      <c r="U433" s="73">
        <f>IF(LEFT(A433,3)="PAT","특허","보고서")</f>
        <v/>
      </c>
      <c r="V433" s="86">
        <f>COUNTIF($S$2:$S$976,"&lt;"&amp;S433)+(COUNTIF($S$2:$S$976,"="&amp;S433)+1)/2</f>
        <v/>
      </c>
      <c r="W433" s="73">
        <f>IF(C433="qwen",0,COUNTIFS($C$2:$C$976,"&lt;&gt;qwen",$S$2:$S$976,"&lt;"&amp;S433)+1)</f>
        <v/>
      </c>
      <c r="X433" s="73">
        <f>IF(C433="ministral",0,COUNTIFS($C$2:$C$976,"&lt;&gt;ministral",$S$2:$S$976,"&lt;"&amp;S433)+1)</f>
        <v/>
      </c>
      <c r="Y433" s="73">
        <f>IF(C433="gemma",0,COUNTIFS($C$2:$C$976,"&lt;&gt;gemma",$S$2:$S$976,"&lt;"&amp;S433)+1)</f>
        <v/>
      </c>
      <c r="Z433" s="87">
        <f>COUNTIFS($B$2:$B$976,B433,$C$2:$C$976,C433,$S$2:$S$976,"&lt;"&amp;S433)+1</f>
        <v/>
      </c>
      <c r="AA433" s="88">
        <f>ABS(S433-SUMPRODUCT(('05B_가정검정'!$A$5:$A$19=B433)*('05B_가정검정'!$B$5:$B$19=C433)*'05B_가정검정'!$E$5:$E$19))</f>
        <v/>
      </c>
      <c r="AB433" s="88">
        <f>S433-AVERAGEIFS($S$2:$S$976,$B$2:$B$976,B433,$C$2:$C$976,C433)</f>
        <v/>
      </c>
    </row>
    <row r="434" ht="15" customHeight="1" s="68">
      <c r="A434" s="83" t="inlineStr">
        <is>
          <t>PAT-29</t>
        </is>
      </c>
      <c r="B434" s="83" t="inlineStr">
        <is>
          <t>qwen3_6</t>
        </is>
      </c>
      <c r="C434" s="83" t="inlineStr">
        <is>
          <t>gemma</t>
        </is>
      </c>
      <c r="D434" s="84" t="n">
        <v>0.274193548387097</v>
      </c>
      <c r="E434" s="84" t="n">
        <v>0.373015873015873</v>
      </c>
      <c r="F434" s="84" t="n">
        <v>0.152</v>
      </c>
      <c r="G434" s="84" t="n">
        <v>0.261904761904762</v>
      </c>
      <c r="H434" s="84" t="n">
        <v>0.379926201414727</v>
      </c>
      <c r="I434" s="84" t="n">
        <v>0.18011576229378</v>
      </c>
      <c r="J434" s="84" t="n">
        <v>0.716903393989971</v>
      </c>
      <c r="K434" s="84" t="n">
        <v>0.674130975935618</v>
      </c>
      <c r="L434" s="84" t="n">
        <v>0.8713853312834</v>
      </c>
      <c r="M434" s="84" t="n">
        <v>0.906542056074766</v>
      </c>
      <c r="N434" s="84" t="n">
        <v>0.916666666666667</v>
      </c>
      <c r="O434" s="84" t="n">
        <v>1</v>
      </c>
      <c r="P434" s="85">
        <f>AVERAGE(D434:I434)</f>
        <v/>
      </c>
      <c r="Q434" s="85">
        <f>AVERAGE(J434:L434)</f>
        <v/>
      </c>
      <c r="R434" s="85">
        <f>AVERAGE(M434:O434)</f>
        <v/>
      </c>
      <c r="S434" s="85">
        <f>'02_지표정의'!$C$22*P434+'02_지표정의'!$C$23*Q434+'02_지표정의'!$C$24*R434</f>
        <v/>
      </c>
      <c r="T434" s="73">
        <f>IF(OR(AND(B434="gemini",C434="gemma"),AND(B434="qwen3_6",C434="qwen"),AND(B434="mistral",C434="ministral")),1,0)</f>
        <v/>
      </c>
      <c r="U434" s="73">
        <f>IF(LEFT(A434,3)="PAT","특허","보고서")</f>
        <v/>
      </c>
      <c r="V434" s="86">
        <f>COUNTIF($S$2:$S$976,"&lt;"&amp;S434)+(COUNTIF($S$2:$S$976,"="&amp;S434)+1)/2</f>
        <v/>
      </c>
      <c r="W434" s="73">
        <f>IF(C434="qwen",0,COUNTIFS($C$2:$C$976,"&lt;&gt;qwen",$S$2:$S$976,"&lt;"&amp;S434)+1)</f>
        <v/>
      </c>
      <c r="X434" s="73">
        <f>IF(C434="ministral",0,COUNTIFS($C$2:$C$976,"&lt;&gt;ministral",$S$2:$S$976,"&lt;"&amp;S434)+1)</f>
        <v/>
      </c>
      <c r="Y434" s="73">
        <f>IF(C434="gemma",0,COUNTIFS($C$2:$C$976,"&lt;&gt;gemma",$S$2:$S$976,"&lt;"&amp;S434)+1)</f>
        <v/>
      </c>
      <c r="Z434" s="87">
        <f>COUNTIFS($B$2:$B$976,B434,$C$2:$C$976,C434,$S$2:$S$976,"&lt;"&amp;S434)+1</f>
        <v/>
      </c>
      <c r="AA434" s="88">
        <f>ABS(S434-SUMPRODUCT(('05B_가정검정'!$A$5:$A$19=B434)*('05B_가정검정'!$B$5:$B$19=C434)*'05B_가정검정'!$E$5:$E$19))</f>
        <v/>
      </c>
      <c r="AB434" s="88">
        <f>S434-AVERAGEIFS($S$2:$S$976,$B$2:$B$976,B434,$C$2:$C$976,C434)</f>
        <v/>
      </c>
    </row>
    <row r="435" ht="15" customHeight="1" s="68">
      <c r="A435" s="83" t="inlineStr">
        <is>
          <t>PAT-29</t>
        </is>
      </c>
      <c r="B435" s="83" t="inlineStr">
        <is>
          <t>qwen3_6</t>
        </is>
      </c>
      <c r="C435" s="83" t="inlineStr">
        <is>
          <t>ministral</t>
        </is>
      </c>
      <c r="D435" s="84" t="n">
        <v>0.280323450134771</v>
      </c>
      <c r="E435" s="84" t="n">
        <v>0.368253968253968</v>
      </c>
      <c r="F435" s="84" t="n">
        <v>0.134185303514377</v>
      </c>
      <c r="G435" s="84" t="n">
        <v>0.26031746031746</v>
      </c>
      <c r="H435" s="84" t="n">
        <v>0.271150829377542</v>
      </c>
      <c r="I435" s="84" t="n">
        <v>0.206723105226857</v>
      </c>
      <c r="J435" s="84" t="n">
        <v>0.698558803352741</v>
      </c>
      <c r="K435" s="84" t="n">
        <v>0.7064005907809769</v>
      </c>
      <c r="L435" s="84" t="n">
        <v>0.873201985242036</v>
      </c>
      <c r="M435" s="84" t="n">
        <v>0.447004608294931</v>
      </c>
      <c r="N435" s="84" t="n">
        <v>0.454545454545455</v>
      </c>
      <c r="O435" s="84" t="n">
        <v>1</v>
      </c>
      <c r="P435" s="85">
        <f>AVERAGE(D435:I435)</f>
        <v/>
      </c>
      <c r="Q435" s="85">
        <f>AVERAGE(J435:L435)</f>
        <v/>
      </c>
      <c r="R435" s="85">
        <f>AVERAGE(M435:O435)</f>
        <v/>
      </c>
      <c r="S435" s="85">
        <f>'02_지표정의'!$C$22*P435+'02_지표정의'!$C$23*Q435+'02_지표정의'!$C$24*R435</f>
        <v/>
      </c>
      <c r="T435" s="73">
        <f>IF(OR(AND(B435="gemini",C435="gemma"),AND(B435="qwen3_6",C435="qwen"),AND(B435="mistral",C435="ministral")),1,0)</f>
        <v/>
      </c>
      <c r="U435" s="73">
        <f>IF(LEFT(A435,3)="PAT","특허","보고서")</f>
        <v/>
      </c>
      <c r="V435" s="86">
        <f>COUNTIF($S$2:$S$976,"&lt;"&amp;S435)+(COUNTIF($S$2:$S$976,"="&amp;S435)+1)/2</f>
        <v/>
      </c>
      <c r="W435" s="73">
        <f>IF(C435="qwen",0,COUNTIFS($C$2:$C$976,"&lt;&gt;qwen",$S$2:$S$976,"&lt;"&amp;S435)+1)</f>
        <v/>
      </c>
      <c r="X435" s="73">
        <f>IF(C435="ministral",0,COUNTIFS($C$2:$C$976,"&lt;&gt;ministral",$S$2:$S$976,"&lt;"&amp;S435)+1)</f>
        <v/>
      </c>
      <c r="Y435" s="73">
        <f>IF(C435="gemma",0,COUNTIFS($C$2:$C$976,"&lt;&gt;gemma",$S$2:$S$976,"&lt;"&amp;S435)+1)</f>
        <v/>
      </c>
      <c r="Z435" s="87">
        <f>COUNTIFS($B$2:$B$976,B435,$C$2:$C$976,C435,$S$2:$S$976,"&lt;"&amp;S435)+1</f>
        <v/>
      </c>
      <c r="AA435" s="88">
        <f>ABS(S435-SUMPRODUCT(('05B_가정검정'!$A$5:$A$19=B435)*('05B_가정검정'!$B$5:$B$19=C435)*'05B_가정검정'!$E$5:$E$19))</f>
        <v/>
      </c>
      <c r="AB435" s="88">
        <f>S435-AVERAGEIFS($S$2:$S$976,$B$2:$B$976,B435,$C$2:$C$976,C435)</f>
        <v/>
      </c>
    </row>
    <row r="436" ht="15" customHeight="1" s="68">
      <c r="A436" s="83" t="inlineStr">
        <is>
          <t>PAT-29</t>
        </is>
      </c>
      <c r="B436" s="83" t="inlineStr">
        <is>
          <t>qwen3_6</t>
        </is>
      </c>
      <c r="C436" s="83" t="inlineStr">
        <is>
          <t>qwen</t>
        </is>
      </c>
      <c r="D436" s="84" t="n">
        <v>0.317708333333333</v>
      </c>
      <c r="E436" s="84" t="n">
        <v>0.458715596330275</v>
      </c>
      <c r="F436" s="84" t="n">
        <v>0.212962962962963</v>
      </c>
      <c r="G436" s="84" t="n">
        <v>0.330275229357798</v>
      </c>
      <c r="H436" s="84" t="n">
        <v>0.433147655850737</v>
      </c>
      <c r="I436" s="84" t="n">
        <v>0.276399337957203</v>
      </c>
      <c r="J436" s="84" t="n">
        <v>0.720360152896096</v>
      </c>
      <c r="K436" s="84" t="n">
        <v>0.710867431758996</v>
      </c>
      <c r="L436" s="84" t="n">
        <v>0.891480571033654</v>
      </c>
      <c r="M436" s="84" t="n">
        <v>0.906542056074766</v>
      </c>
      <c r="N436" s="84" t="n">
        <v>0.916666666666667</v>
      </c>
      <c r="O436" s="84" t="n">
        <v>1</v>
      </c>
      <c r="P436" s="85">
        <f>AVERAGE(D436:I436)</f>
        <v/>
      </c>
      <c r="Q436" s="85">
        <f>AVERAGE(J436:L436)</f>
        <v/>
      </c>
      <c r="R436" s="85">
        <f>AVERAGE(M436:O436)</f>
        <v/>
      </c>
      <c r="S436" s="85">
        <f>'02_지표정의'!$C$22*P436+'02_지표정의'!$C$23*Q436+'02_지표정의'!$C$24*R436</f>
        <v/>
      </c>
      <c r="T436" s="73">
        <f>IF(OR(AND(B436="gemini",C436="gemma"),AND(B436="qwen3_6",C436="qwen"),AND(B436="mistral",C436="ministral")),1,0)</f>
        <v/>
      </c>
      <c r="U436" s="73">
        <f>IF(LEFT(A436,3)="PAT","특허","보고서")</f>
        <v/>
      </c>
      <c r="V436" s="86">
        <f>COUNTIF($S$2:$S$976,"&lt;"&amp;S436)+(COUNTIF($S$2:$S$976,"="&amp;S436)+1)/2</f>
        <v/>
      </c>
      <c r="W436" s="73">
        <f>IF(C436="qwen",0,COUNTIFS($C$2:$C$976,"&lt;&gt;qwen",$S$2:$S$976,"&lt;"&amp;S436)+1)</f>
        <v/>
      </c>
      <c r="X436" s="73">
        <f>IF(C436="ministral",0,COUNTIFS($C$2:$C$976,"&lt;&gt;ministral",$S$2:$S$976,"&lt;"&amp;S436)+1)</f>
        <v/>
      </c>
      <c r="Y436" s="73">
        <f>IF(C436="gemma",0,COUNTIFS($C$2:$C$976,"&lt;&gt;gemma",$S$2:$S$976,"&lt;"&amp;S436)+1)</f>
        <v/>
      </c>
      <c r="Z436" s="87">
        <f>COUNTIFS($B$2:$B$976,B436,$C$2:$C$976,C436,$S$2:$S$976,"&lt;"&amp;S436)+1</f>
        <v/>
      </c>
      <c r="AA436" s="88">
        <f>ABS(S436-SUMPRODUCT(('05B_가정검정'!$A$5:$A$19=B436)*('05B_가정검정'!$B$5:$B$19=C436)*'05B_가정검정'!$E$5:$E$19))</f>
        <v/>
      </c>
      <c r="AB436" s="88">
        <f>S436-AVERAGEIFS($S$2:$S$976,$B$2:$B$976,B436,$C$2:$C$976,C436)</f>
        <v/>
      </c>
    </row>
    <row r="437" ht="15" customHeight="1" s="68">
      <c r="A437" s="83" t="inlineStr">
        <is>
          <t>PAT-30</t>
        </is>
      </c>
      <c r="B437" s="83" t="inlineStr">
        <is>
          <t>chatgpt</t>
        </is>
      </c>
      <c r="C437" s="83" t="inlineStr">
        <is>
          <t>gemma</t>
        </is>
      </c>
      <c r="D437" s="84" t="n">
        <v>0.232018561484919</v>
      </c>
      <c r="E437" s="84" t="n">
        <v>0.302439024390244</v>
      </c>
      <c r="F437" s="84" t="n">
        <v>0.118226600985222</v>
      </c>
      <c r="G437" s="84" t="n">
        <v>0.253658536585366</v>
      </c>
      <c r="H437" s="84" t="n">
        <v>0.290238311764283</v>
      </c>
      <c r="I437" s="84" t="n">
        <v>0.409571826311899</v>
      </c>
      <c r="J437" s="84" t="n">
        <v>0.621284608429776</v>
      </c>
      <c r="K437" s="84" t="n">
        <v>0.617293859322508</v>
      </c>
      <c r="L437" s="84" t="n">
        <v>0.766706956172382</v>
      </c>
      <c r="M437" s="84" t="n">
        <v>0.401515151515152</v>
      </c>
      <c r="N437" s="84" t="n">
        <v>0.0580645161290323</v>
      </c>
      <c r="O437" s="84" t="n">
        <v>1</v>
      </c>
      <c r="P437" s="85">
        <f>AVERAGE(D437:I437)</f>
        <v/>
      </c>
      <c r="Q437" s="85">
        <f>AVERAGE(J437:L437)</f>
        <v/>
      </c>
      <c r="R437" s="85">
        <f>AVERAGE(M437:O437)</f>
        <v/>
      </c>
      <c r="S437" s="85">
        <f>'02_지표정의'!$C$22*P437+'02_지표정의'!$C$23*Q437+'02_지표정의'!$C$24*R437</f>
        <v/>
      </c>
      <c r="T437" s="73">
        <f>IF(OR(AND(B437="gemini",C437="gemma"),AND(B437="qwen3_6",C437="qwen"),AND(B437="mistral",C437="ministral")),1,0)</f>
        <v/>
      </c>
      <c r="U437" s="73">
        <f>IF(LEFT(A437,3)="PAT","특허","보고서")</f>
        <v/>
      </c>
      <c r="V437" s="86">
        <f>COUNTIF($S$2:$S$976,"&lt;"&amp;S437)+(COUNTIF($S$2:$S$976,"="&amp;S437)+1)/2</f>
        <v/>
      </c>
      <c r="W437" s="73">
        <f>IF(C437="qwen",0,COUNTIFS($C$2:$C$976,"&lt;&gt;qwen",$S$2:$S$976,"&lt;"&amp;S437)+1)</f>
        <v/>
      </c>
      <c r="X437" s="73">
        <f>IF(C437="ministral",0,COUNTIFS($C$2:$C$976,"&lt;&gt;ministral",$S$2:$S$976,"&lt;"&amp;S437)+1)</f>
        <v/>
      </c>
      <c r="Y437" s="73">
        <f>IF(C437="gemma",0,COUNTIFS($C$2:$C$976,"&lt;&gt;gemma",$S$2:$S$976,"&lt;"&amp;S437)+1)</f>
        <v/>
      </c>
      <c r="Z437" s="87">
        <f>COUNTIFS($B$2:$B$976,B437,$C$2:$C$976,C437,$S$2:$S$976,"&lt;"&amp;S437)+1</f>
        <v/>
      </c>
      <c r="AA437" s="88">
        <f>ABS(S437-SUMPRODUCT(('05B_가정검정'!$A$5:$A$19=B437)*('05B_가정검정'!$B$5:$B$19=C437)*'05B_가정검정'!$E$5:$E$19))</f>
        <v/>
      </c>
      <c r="AB437" s="88">
        <f>S437-AVERAGEIFS($S$2:$S$976,$B$2:$B$976,B437,$C$2:$C$976,C437)</f>
        <v/>
      </c>
    </row>
    <row r="438" ht="15" customHeight="1" s="68">
      <c r="A438" s="83" t="inlineStr">
        <is>
          <t>PAT-30</t>
        </is>
      </c>
      <c r="B438" s="83" t="inlineStr">
        <is>
          <t>chatgpt</t>
        </is>
      </c>
      <c r="C438" s="83" t="inlineStr">
        <is>
          <t>ministral</t>
        </is>
      </c>
      <c r="D438" s="84" t="n">
        <v>0.227208976157083</v>
      </c>
      <c r="E438" s="84" t="n">
        <v>0.410714285714286</v>
      </c>
      <c r="F438" s="84" t="n">
        <v>0.198198198198198</v>
      </c>
      <c r="G438" s="84" t="n">
        <v>0.401785714285714</v>
      </c>
      <c r="H438" s="84" t="n">
        <v>0.292321195346418</v>
      </c>
      <c r="I438" s="84" t="n">
        <v>0.328824558719474</v>
      </c>
      <c r="J438" s="84" t="n">
        <v>0.668071264212209</v>
      </c>
      <c r="K438" s="84" t="n">
        <v>0.652021171450911</v>
      </c>
      <c r="L438" s="84" t="n">
        <v>0.815647143932985</v>
      </c>
      <c r="M438" s="84" t="n">
        <v>0.546268656716418</v>
      </c>
      <c r="N438" s="84" t="n">
        <v>0</v>
      </c>
      <c r="O438" s="84" t="n">
        <v>0.526315789473684</v>
      </c>
      <c r="P438" s="85">
        <f>AVERAGE(D438:I438)</f>
        <v/>
      </c>
      <c r="Q438" s="85">
        <f>AVERAGE(J438:L438)</f>
        <v/>
      </c>
      <c r="R438" s="85">
        <f>AVERAGE(M438:O438)</f>
        <v/>
      </c>
      <c r="S438" s="85">
        <f>'02_지표정의'!$C$22*P438+'02_지표정의'!$C$23*Q438+'02_지표정의'!$C$24*R438</f>
        <v/>
      </c>
      <c r="T438" s="73">
        <f>IF(OR(AND(B438="gemini",C438="gemma"),AND(B438="qwen3_6",C438="qwen"),AND(B438="mistral",C438="ministral")),1,0)</f>
        <v/>
      </c>
      <c r="U438" s="73">
        <f>IF(LEFT(A438,3)="PAT","특허","보고서")</f>
        <v/>
      </c>
      <c r="V438" s="86">
        <f>COUNTIF($S$2:$S$976,"&lt;"&amp;S438)+(COUNTIF($S$2:$S$976,"="&amp;S438)+1)/2</f>
        <v/>
      </c>
      <c r="W438" s="73">
        <f>IF(C438="qwen",0,COUNTIFS($C$2:$C$976,"&lt;&gt;qwen",$S$2:$S$976,"&lt;"&amp;S438)+1)</f>
        <v/>
      </c>
      <c r="X438" s="73">
        <f>IF(C438="ministral",0,COUNTIFS($C$2:$C$976,"&lt;&gt;ministral",$S$2:$S$976,"&lt;"&amp;S438)+1)</f>
        <v/>
      </c>
      <c r="Y438" s="73">
        <f>IF(C438="gemma",0,COUNTIFS($C$2:$C$976,"&lt;&gt;gemma",$S$2:$S$976,"&lt;"&amp;S438)+1)</f>
        <v/>
      </c>
      <c r="Z438" s="87">
        <f>COUNTIFS($B$2:$B$976,B438,$C$2:$C$976,C438,$S$2:$S$976,"&lt;"&amp;S438)+1</f>
        <v/>
      </c>
      <c r="AA438" s="88">
        <f>ABS(S438-SUMPRODUCT(('05B_가정검정'!$A$5:$A$19=B438)*('05B_가정검정'!$B$5:$B$19=C438)*'05B_가정검정'!$E$5:$E$19))</f>
        <v/>
      </c>
      <c r="AB438" s="88">
        <f>S438-AVERAGEIFS($S$2:$S$976,$B$2:$B$976,B438,$C$2:$C$976,C438)</f>
        <v/>
      </c>
    </row>
    <row r="439" ht="15" customHeight="1" s="68">
      <c r="A439" s="83" t="inlineStr">
        <is>
          <t>PAT-30</t>
        </is>
      </c>
      <c r="B439" s="83" t="inlineStr">
        <is>
          <t>chatgpt</t>
        </is>
      </c>
      <c r="C439" s="83" t="inlineStr">
        <is>
          <t>qwen</t>
        </is>
      </c>
      <c r="D439" s="84" t="n">
        <v>0.236914600550964</v>
      </c>
      <c r="E439" s="84" t="n">
        <v>0.34</v>
      </c>
      <c r="F439" s="84" t="n">
        <v>0.151515151515152</v>
      </c>
      <c r="G439" s="84" t="n">
        <v>0.26</v>
      </c>
      <c r="H439" s="84" t="n">
        <v>0.307012606621596</v>
      </c>
      <c r="I439" s="84" t="n">
        <v>0.39612967087205</v>
      </c>
      <c r="J439" s="84" t="n">
        <v>0.670702933977684</v>
      </c>
      <c r="K439" s="84" t="n">
        <v>0.588768554505099</v>
      </c>
      <c r="L439" s="84" t="n">
        <v>0.813533785233699</v>
      </c>
      <c r="M439" s="84" t="n">
        <v>0.352272727272727</v>
      </c>
      <c r="N439" s="84" t="n">
        <v>0.12258064516129</v>
      </c>
      <c r="O439" s="84" t="n">
        <v>1</v>
      </c>
      <c r="P439" s="85">
        <f>AVERAGE(D439:I439)</f>
        <v/>
      </c>
      <c r="Q439" s="85">
        <f>AVERAGE(J439:L439)</f>
        <v/>
      </c>
      <c r="R439" s="85">
        <f>AVERAGE(M439:O439)</f>
        <v/>
      </c>
      <c r="S439" s="85">
        <f>'02_지표정의'!$C$22*P439+'02_지표정의'!$C$23*Q439+'02_지표정의'!$C$24*R439</f>
        <v/>
      </c>
      <c r="T439" s="73">
        <f>IF(OR(AND(B439="gemini",C439="gemma"),AND(B439="qwen3_6",C439="qwen"),AND(B439="mistral",C439="ministral")),1,0)</f>
        <v/>
      </c>
      <c r="U439" s="73">
        <f>IF(LEFT(A439,3)="PAT","특허","보고서")</f>
        <v/>
      </c>
      <c r="V439" s="86">
        <f>COUNTIF($S$2:$S$976,"&lt;"&amp;S439)+(COUNTIF($S$2:$S$976,"="&amp;S439)+1)/2</f>
        <v/>
      </c>
      <c r="W439" s="73">
        <f>IF(C439="qwen",0,COUNTIFS($C$2:$C$976,"&lt;&gt;qwen",$S$2:$S$976,"&lt;"&amp;S439)+1)</f>
        <v/>
      </c>
      <c r="X439" s="73">
        <f>IF(C439="ministral",0,COUNTIFS($C$2:$C$976,"&lt;&gt;ministral",$S$2:$S$976,"&lt;"&amp;S439)+1)</f>
        <v/>
      </c>
      <c r="Y439" s="73">
        <f>IF(C439="gemma",0,COUNTIFS($C$2:$C$976,"&lt;&gt;gemma",$S$2:$S$976,"&lt;"&amp;S439)+1)</f>
        <v/>
      </c>
      <c r="Z439" s="87">
        <f>COUNTIFS($B$2:$B$976,B439,$C$2:$C$976,C439,$S$2:$S$976,"&lt;"&amp;S439)+1</f>
        <v/>
      </c>
      <c r="AA439" s="88">
        <f>ABS(S439-SUMPRODUCT(('05B_가정검정'!$A$5:$A$19=B439)*('05B_가정검정'!$B$5:$B$19=C439)*'05B_가정검정'!$E$5:$E$19))</f>
        <v/>
      </c>
      <c r="AB439" s="88">
        <f>S439-AVERAGEIFS($S$2:$S$976,$B$2:$B$976,B439,$C$2:$C$976,C439)</f>
        <v/>
      </c>
    </row>
    <row r="440" ht="15" customHeight="1" s="68">
      <c r="A440" s="83" t="inlineStr">
        <is>
          <t>PAT-30</t>
        </is>
      </c>
      <c r="B440" s="83" t="inlineStr">
        <is>
          <t>claude</t>
        </is>
      </c>
      <c r="C440" s="83" t="inlineStr">
        <is>
          <t>gemma</t>
        </is>
      </c>
      <c r="D440" s="84" t="n">
        <v>0.247619047619048</v>
      </c>
      <c r="E440" s="84" t="n">
        <v>0.309090909090909</v>
      </c>
      <c r="F440" s="84" t="n">
        <v>0.110091743119266</v>
      </c>
      <c r="G440" s="84" t="n">
        <v>0.236363636363636</v>
      </c>
      <c r="H440" s="84" t="n">
        <v>0.293396826433469</v>
      </c>
      <c r="I440" s="84" t="n">
        <v>0.338122000727494</v>
      </c>
      <c r="J440" s="84" t="n">
        <v>0.732031231599936</v>
      </c>
      <c r="K440" s="84" t="n">
        <v>0.698020845395</v>
      </c>
      <c r="L440" s="84" t="n">
        <v>0.815824692050246</v>
      </c>
      <c r="M440" s="84" t="n">
        <v>0.639455782312925</v>
      </c>
      <c r="N440" s="84" t="n">
        <v>0.671428571428572</v>
      </c>
      <c r="O440" s="84" t="n">
        <v>1</v>
      </c>
      <c r="P440" s="85">
        <f>AVERAGE(D440:I440)</f>
        <v/>
      </c>
      <c r="Q440" s="85">
        <f>AVERAGE(J440:L440)</f>
        <v/>
      </c>
      <c r="R440" s="85">
        <f>AVERAGE(M440:O440)</f>
        <v/>
      </c>
      <c r="S440" s="85">
        <f>'02_지표정의'!$C$22*P440+'02_지표정의'!$C$23*Q440+'02_지표정의'!$C$24*R440</f>
        <v/>
      </c>
      <c r="T440" s="73">
        <f>IF(OR(AND(B440="gemini",C440="gemma"),AND(B440="qwen3_6",C440="qwen"),AND(B440="mistral",C440="ministral")),1,0)</f>
        <v/>
      </c>
      <c r="U440" s="73">
        <f>IF(LEFT(A440,3)="PAT","특허","보고서")</f>
        <v/>
      </c>
      <c r="V440" s="86">
        <f>COUNTIF($S$2:$S$976,"&lt;"&amp;S440)+(COUNTIF($S$2:$S$976,"="&amp;S440)+1)/2</f>
        <v/>
      </c>
      <c r="W440" s="73">
        <f>IF(C440="qwen",0,COUNTIFS($C$2:$C$976,"&lt;&gt;qwen",$S$2:$S$976,"&lt;"&amp;S440)+1)</f>
        <v/>
      </c>
      <c r="X440" s="73">
        <f>IF(C440="ministral",0,COUNTIFS($C$2:$C$976,"&lt;&gt;ministral",$S$2:$S$976,"&lt;"&amp;S440)+1)</f>
        <v/>
      </c>
      <c r="Y440" s="73">
        <f>IF(C440="gemma",0,COUNTIFS($C$2:$C$976,"&lt;&gt;gemma",$S$2:$S$976,"&lt;"&amp;S440)+1)</f>
        <v/>
      </c>
      <c r="Z440" s="87">
        <f>COUNTIFS($B$2:$B$976,B440,$C$2:$C$976,C440,$S$2:$S$976,"&lt;"&amp;S440)+1</f>
        <v/>
      </c>
      <c r="AA440" s="88">
        <f>ABS(S440-SUMPRODUCT(('05B_가정검정'!$A$5:$A$19=B440)*('05B_가정검정'!$B$5:$B$19=C440)*'05B_가정검정'!$E$5:$E$19))</f>
        <v/>
      </c>
      <c r="AB440" s="88">
        <f>S440-AVERAGEIFS($S$2:$S$976,$B$2:$B$976,B440,$C$2:$C$976,C440)</f>
        <v/>
      </c>
    </row>
    <row r="441" ht="15" customHeight="1" s="68">
      <c r="A441" s="83" t="inlineStr">
        <is>
          <t>PAT-30</t>
        </is>
      </c>
      <c r="B441" s="83" t="inlineStr">
        <is>
          <t>claude</t>
        </is>
      </c>
      <c r="C441" s="83" t="inlineStr">
        <is>
          <t>ministral</t>
        </is>
      </c>
      <c r="D441" s="84" t="n">
        <v>0.248743718592965</v>
      </c>
      <c r="E441" s="84" t="n">
        <v>0.242677824267782</v>
      </c>
      <c r="F441" s="84" t="n">
        <v>0.0928270042194093</v>
      </c>
      <c r="G441" s="84" t="n">
        <v>0.217573221757322</v>
      </c>
      <c r="H441" s="84" t="n">
        <v>0.220429081886259</v>
      </c>
      <c r="I441" s="84" t="n">
        <v>0.273533669252757</v>
      </c>
      <c r="J441" s="84" t="n">
        <v>0.7038874560000919</v>
      </c>
      <c r="K441" s="84" t="n">
        <v>0.663882620268563</v>
      </c>
      <c r="L441" s="84" t="n">
        <v>0.82806699309584</v>
      </c>
      <c r="M441" s="84" t="n">
        <v>0.33134328358209</v>
      </c>
      <c r="N441" s="84" t="n">
        <v>0.328358208955224</v>
      </c>
      <c r="O441" s="84" t="n">
        <v>0.526315789473684</v>
      </c>
      <c r="P441" s="85">
        <f>AVERAGE(D441:I441)</f>
        <v/>
      </c>
      <c r="Q441" s="85">
        <f>AVERAGE(J441:L441)</f>
        <v/>
      </c>
      <c r="R441" s="85">
        <f>AVERAGE(M441:O441)</f>
        <v/>
      </c>
      <c r="S441" s="85">
        <f>'02_지표정의'!$C$22*P441+'02_지표정의'!$C$23*Q441+'02_지표정의'!$C$24*R441</f>
        <v/>
      </c>
      <c r="T441" s="73">
        <f>IF(OR(AND(B441="gemini",C441="gemma"),AND(B441="qwen3_6",C441="qwen"),AND(B441="mistral",C441="ministral")),1,0)</f>
        <v/>
      </c>
      <c r="U441" s="73">
        <f>IF(LEFT(A441,3)="PAT","특허","보고서")</f>
        <v/>
      </c>
      <c r="V441" s="86">
        <f>COUNTIF($S$2:$S$976,"&lt;"&amp;S441)+(COUNTIF($S$2:$S$976,"="&amp;S441)+1)/2</f>
        <v/>
      </c>
      <c r="W441" s="73">
        <f>IF(C441="qwen",0,COUNTIFS($C$2:$C$976,"&lt;&gt;qwen",$S$2:$S$976,"&lt;"&amp;S441)+1)</f>
        <v/>
      </c>
      <c r="X441" s="73">
        <f>IF(C441="ministral",0,COUNTIFS($C$2:$C$976,"&lt;&gt;ministral",$S$2:$S$976,"&lt;"&amp;S441)+1)</f>
        <v/>
      </c>
      <c r="Y441" s="73">
        <f>IF(C441="gemma",0,COUNTIFS($C$2:$C$976,"&lt;&gt;gemma",$S$2:$S$976,"&lt;"&amp;S441)+1)</f>
        <v/>
      </c>
      <c r="Z441" s="87">
        <f>COUNTIFS($B$2:$B$976,B441,$C$2:$C$976,C441,$S$2:$S$976,"&lt;"&amp;S441)+1</f>
        <v/>
      </c>
      <c r="AA441" s="88">
        <f>ABS(S441-SUMPRODUCT(('05B_가정검정'!$A$5:$A$19=B441)*('05B_가정검정'!$B$5:$B$19=C441)*'05B_가정검정'!$E$5:$E$19))</f>
        <v/>
      </c>
      <c r="AB441" s="88">
        <f>S441-AVERAGEIFS($S$2:$S$976,$B$2:$B$976,B441,$C$2:$C$976,C441)</f>
        <v/>
      </c>
    </row>
    <row r="442" ht="15" customHeight="1" s="68">
      <c r="A442" s="83" t="inlineStr">
        <is>
          <t>PAT-30</t>
        </is>
      </c>
      <c r="B442" s="83" t="inlineStr">
        <is>
          <t>claude</t>
        </is>
      </c>
      <c r="C442" s="83" t="inlineStr">
        <is>
          <t>qwen</t>
        </is>
      </c>
      <c r="D442" s="84" t="n">
        <v>0.259579728059333</v>
      </c>
      <c r="E442" s="84" t="n">
        <v>0.465116279069767</v>
      </c>
      <c r="F442" s="84" t="n">
        <v>0.187793427230047</v>
      </c>
      <c r="G442" s="84" t="n">
        <v>0.334883720930233</v>
      </c>
      <c r="H442" s="84" t="n">
        <v>0.349240062733926</v>
      </c>
      <c r="I442" s="84" t="n">
        <v>0.485675307998651</v>
      </c>
      <c r="J442" s="84" t="n">
        <v>0.728784032452477</v>
      </c>
      <c r="K442" s="84" t="n">
        <v>0.683659595845547</v>
      </c>
      <c r="L442" s="84" t="n">
        <v>0.877172508914855</v>
      </c>
      <c r="M442" s="84" t="n">
        <v>0.765765765765766</v>
      </c>
      <c r="N442" s="84" t="n">
        <v>0.790322580645161</v>
      </c>
      <c r="O442" s="84" t="n">
        <v>1</v>
      </c>
      <c r="P442" s="85">
        <f>AVERAGE(D442:I442)</f>
        <v/>
      </c>
      <c r="Q442" s="85">
        <f>AVERAGE(J442:L442)</f>
        <v/>
      </c>
      <c r="R442" s="85">
        <f>AVERAGE(M442:O442)</f>
        <v/>
      </c>
      <c r="S442" s="85">
        <f>'02_지표정의'!$C$22*P442+'02_지표정의'!$C$23*Q442+'02_지표정의'!$C$24*R442</f>
        <v/>
      </c>
      <c r="T442" s="73">
        <f>IF(OR(AND(B442="gemini",C442="gemma"),AND(B442="qwen3_6",C442="qwen"),AND(B442="mistral",C442="ministral")),1,0)</f>
        <v/>
      </c>
      <c r="U442" s="73">
        <f>IF(LEFT(A442,3)="PAT","특허","보고서")</f>
        <v/>
      </c>
      <c r="V442" s="86">
        <f>COUNTIF($S$2:$S$976,"&lt;"&amp;S442)+(COUNTIF($S$2:$S$976,"="&amp;S442)+1)/2</f>
        <v/>
      </c>
      <c r="W442" s="73">
        <f>IF(C442="qwen",0,COUNTIFS($C$2:$C$976,"&lt;&gt;qwen",$S$2:$S$976,"&lt;"&amp;S442)+1)</f>
        <v/>
      </c>
      <c r="X442" s="73">
        <f>IF(C442="ministral",0,COUNTIFS($C$2:$C$976,"&lt;&gt;ministral",$S$2:$S$976,"&lt;"&amp;S442)+1)</f>
        <v/>
      </c>
      <c r="Y442" s="73">
        <f>IF(C442="gemma",0,COUNTIFS($C$2:$C$976,"&lt;&gt;gemma",$S$2:$S$976,"&lt;"&amp;S442)+1)</f>
        <v/>
      </c>
      <c r="Z442" s="87">
        <f>COUNTIFS($B$2:$B$976,B442,$C$2:$C$976,C442,$S$2:$S$976,"&lt;"&amp;S442)+1</f>
        <v/>
      </c>
      <c r="AA442" s="88">
        <f>ABS(S442-SUMPRODUCT(('05B_가정검정'!$A$5:$A$19=B442)*('05B_가정검정'!$B$5:$B$19=C442)*'05B_가정검정'!$E$5:$E$19))</f>
        <v/>
      </c>
      <c r="AB442" s="88">
        <f>S442-AVERAGEIFS($S$2:$S$976,$B$2:$B$976,B442,$C$2:$C$976,C442)</f>
        <v/>
      </c>
    </row>
    <row r="443" ht="15" customHeight="1" s="68">
      <c r="A443" s="83" t="inlineStr">
        <is>
          <t>PAT-30</t>
        </is>
      </c>
      <c r="B443" s="83" t="inlineStr">
        <is>
          <t>gemini</t>
        </is>
      </c>
      <c r="C443" s="83" t="inlineStr">
        <is>
          <t>gemma</t>
        </is>
      </c>
      <c r="D443" s="84" t="n">
        <v>0.266169154228856</v>
      </c>
      <c r="E443" s="84" t="n">
        <v>0.342541436464088</v>
      </c>
      <c r="F443" s="84" t="n">
        <v>0.145251396648045</v>
      </c>
      <c r="G443" s="84" t="n">
        <v>0.25414364640884</v>
      </c>
      <c r="H443" s="84" t="n">
        <v>0.266850696043761</v>
      </c>
      <c r="I443" s="84" t="n">
        <v>0.417675231674671</v>
      </c>
      <c r="J443" s="84" t="n">
        <v>0.72692813319969</v>
      </c>
      <c r="K443" s="84" t="n">
        <v>0.788044465986752</v>
      </c>
      <c r="L443" s="84" t="n">
        <v>0.910217071404387</v>
      </c>
      <c r="M443" s="84" t="n">
        <v>0.659863945578231</v>
      </c>
      <c r="N443" s="84" t="n">
        <v>0.785714285714286</v>
      </c>
      <c r="O443" s="84" t="n">
        <v>1</v>
      </c>
      <c r="P443" s="85">
        <f>AVERAGE(D443:I443)</f>
        <v/>
      </c>
      <c r="Q443" s="85">
        <f>AVERAGE(J443:L443)</f>
        <v/>
      </c>
      <c r="R443" s="85">
        <f>AVERAGE(M443:O443)</f>
        <v/>
      </c>
      <c r="S443" s="85">
        <f>'02_지표정의'!$C$22*P443+'02_지표정의'!$C$23*Q443+'02_지표정의'!$C$24*R443</f>
        <v/>
      </c>
      <c r="T443" s="73">
        <f>IF(OR(AND(B443="gemini",C443="gemma"),AND(B443="qwen3_6",C443="qwen"),AND(B443="mistral",C443="ministral")),1,0)</f>
        <v/>
      </c>
      <c r="U443" s="73">
        <f>IF(LEFT(A443,3)="PAT","특허","보고서")</f>
        <v/>
      </c>
      <c r="V443" s="86">
        <f>COUNTIF($S$2:$S$976,"&lt;"&amp;S443)+(COUNTIF($S$2:$S$976,"="&amp;S443)+1)/2</f>
        <v/>
      </c>
      <c r="W443" s="73">
        <f>IF(C443="qwen",0,COUNTIFS($C$2:$C$976,"&lt;&gt;qwen",$S$2:$S$976,"&lt;"&amp;S443)+1)</f>
        <v/>
      </c>
      <c r="X443" s="73">
        <f>IF(C443="ministral",0,COUNTIFS($C$2:$C$976,"&lt;&gt;ministral",$S$2:$S$976,"&lt;"&amp;S443)+1)</f>
        <v/>
      </c>
      <c r="Y443" s="73">
        <f>IF(C443="gemma",0,COUNTIFS($C$2:$C$976,"&lt;&gt;gemma",$S$2:$S$976,"&lt;"&amp;S443)+1)</f>
        <v/>
      </c>
      <c r="Z443" s="87">
        <f>COUNTIFS($B$2:$B$976,B443,$C$2:$C$976,C443,$S$2:$S$976,"&lt;"&amp;S443)+1</f>
        <v/>
      </c>
      <c r="AA443" s="88">
        <f>ABS(S443-SUMPRODUCT(('05B_가정검정'!$A$5:$A$19=B443)*('05B_가정검정'!$B$5:$B$19=C443)*'05B_가정검정'!$E$5:$E$19))</f>
        <v/>
      </c>
      <c r="AB443" s="88">
        <f>S443-AVERAGEIFS($S$2:$S$976,$B$2:$B$976,B443,$C$2:$C$976,C443)</f>
        <v/>
      </c>
    </row>
    <row r="444" ht="15" customHeight="1" s="68">
      <c r="A444" s="83" t="inlineStr">
        <is>
          <t>PAT-30</t>
        </is>
      </c>
      <c r="B444" s="83" t="inlineStr">
        <is>
          <t>gemini</t>
        </is>
      </c>
      <c r="C444" s="83" t="inlineStr">
        <is>
          <t>ministral</t>
        </is>
      </c>
      <c r="D444" s="84" t="n">
        <v>0.247328244274809</v>
      </c>
      <c r="E444" s="84" t="n">
        <v>0.28</v>
      </c>
      <c r="F444" s="84" t="n">
        <v>0.111111111111111</v>
      </c>
      <c r="G444" s="84" t="n">
        <v>0.24</v>
      </c>
      <c r="H444" s="84" t="n">
        <v>0.203555489417167</v>
      </c>
      <c r="I444" s="84" t="n">
        <v>0.342016902566565</v>
      </c>
      <c r="J444" s="84" t="n">
        <v>0.7508342312105321</v>
      </c>
      <c r="K444" s="84" t="n">
        <v>0.734205279741337</v>
      </c>
      <c r="L444" s="84" t="n">
        <v>0.870322965916332</v>
      </c>
      <c r="M444" s="84" t="n">
        <v>0.28955223880597</v>
      </c>
      <c r="N444" s="84" t="n">
        <v>0.276119402985075</v>
      </c>
      <c r="O444" s="84" t="n">
        <v>0.526315789473684</v>
      </c>
      <c r="P444" s="85">
        <f>AVERAGE(D444:I444)</f>
        <v/>
      </c>
      <c r="Q444" s="85">
        <f>AVERAGE(J444:L444)</f>
        <v/>
      </c>
      <c r="R444" s="85">
        <f>AVERAGE(M444:O444)</f>
        <v/>
      </c>
      <c r="S444" s="85">
        <f>'02_지표정의'!$C$22*P444+'02_지표정의'!$C$23*Q444+'02_지표정의'!$C$24*R444</f>
        <v/>
      </c>
      <c r="T444" s="73">
        <f>IF(OR(AND(B444="gemini",C444="gemma"),AND(B444="qwen3_6",C444="qwen"),AND(B444="mistral",C444="ministral")),1,0)</f>
        <v/>
      </c>
      <c r="U444" s="73">
        <f>IF(LEFT(A444,3)="PAT","특허","보고서")</f>
        <v/>
      </c>
      <c r="V444" s="86">
        <f>COUNTIF($S$2:$S$976,"&lt;"&amp;S444)+(COUNTIF($S$2:$S$976,"="&amp;S444)+1)/2</f>
        <v/>
      </c>
      <c r="W444" s="73">
        <f>IF(C444="qwen",0,COUNTIFS($C$2:$C$976,"&lt;&gt;qwen",$S$2:$S$976,"&lt;"&amp;S444)+1)</f>
        <v/>
      </c>
      <c r="X444" s="73">
        <f>IF(C444="ministral",0,COUNTIFS($C$2:$C$976,"&lt;&gt;ministral",$S$2:$S$976,"&lt;"&amp;S444)+1)</f>
        <v/>
      </c>
      <c r="Y444" s="73">
        <f>IF(C444="gemma",0,COUNTIFS($C$2:$C$976,"&lt;&gt;gemma",$S$2:$S$976,"&lt;"&amp;S444)+1)</f>
        <v/>
      </c>
      <c r="Z444" s="87">
        <f>COUNTIFS($B$2:$B$976,B444,$C$2:$C$976,C444,$S$2:$S$976,"&lt;"&amp;S444)+1</f>
        <v/>
      </c>
      <c r="AA444" s="88">
        <f>ABS(S444-SUMPRODUCT(('05B_가정검정'!$A$5:$A$19=B444)*('05B_가정검정'!$B$5:$B$19=C444)*'05B_가정검정'!$E$5:$E$19))</f>
        <v/>
      </c>
      <c r="AB444" s="88">
        <f>S444-AVERAGEIFS($S$2:$S$976,$B$2:$B$976,B444,$C$2:$C$976,C444)</f>
        <v/>
      </c>
    </row>
    <row r="445" ht="15" customHeight="1" s="68">
      <c r="A445" s="83" t="inlineStr">
        <is>
          <t>PAT-30</t>
        </is>
      </c>
      <c r="B445" s="83" t="inlineStr">
        <is>
          <t>gemini</t>
        </is>
      </c>
      <c r="C445" s="83" t="inlineStr">
        <is>
          <t>qwen</t>
        </is>
      </c>
      <c r="D445" s="84" t="n">
        <v>0.284431137724551</v>
      </c>
      <c r="E445" s="84" t="n">
        <v>0.488636363636364</v>
      </c>
      <c r="F445" s="84" t="n">
        <v>0.229885057471264</v>
      </c>
      <c r="G445" s="84" t="n">
        <v>0.363636363636364</v>
      </c>
      <c r="H445" s="84" t="n">
        <v>0.347903893435022</v>
      </c>
      <c r="I445" s="84" t="n">
        <v>0.483439631057405</v>
      </c>
      <c r="J445" s="84" t="n">
        <v>0.750319537656552</v>
      </c>
      <c r="K445" s="84" t="n">
        <v>0.7801671456825831</v>
      </c>
      <c r="L445" s="84" t="n">
        <v>0.900612688763475</v>
      </c>
      <c r="M445" s="84" t="n">
        <v>0.906542056074766</v>
      </c>
      <c r="N445" s="84" t="n">
        <v>0.916666666666667</v>
      </c>
      <c r="O445" s="84" t="n">
        <v>1</v>
      </c>
      <c r="P445" s="85">
        <f>AVERAGE(D445:I445)</f>
        <v/>
      </c>
      <c r="Q445" s="85">
        <f>AVERAGE(J445:L445)</f>
        <v/>
      </c>
      <c r="R445" s="85">
        <f>AVERAGE(M445:O445)</f>
        <v/>
      </c>
      <c r="S445" s="85">
        <f>'02_지표정의'!$C$22*P445+'02_지표정의'!$C$23*Q445+'02_지표정의'!$C$24*R445</f>
        <v/>
      </c>
      <c r="T445" s="73">
        <f>IF(OR(AND(B445="gemini",C445="gemma"),AND(B445="qwen3_6",C445="qwen"),AND(B445="mistral",C445="ministral")),1,0)</f>
        <v/>
      </c>
      <c r="U445" s="73">
        <f>IF(LEFT(A445,3)="PAT","특허","보고서")</f>
        <v/>
      </c>
      <c r="V445" s="86">
        <f>COUNTIF($S$2:$S$976,"&lt;"&amp;S445)+(COUNTIF($S$2:$S$976,"="&amp;S445)+1)/2</f>
        <v/>
      </c>
      <c r="W445" s="73">
        <f>IF(C445="qwen",0,COUNTIFS($C$2:$C$976,"&lt;&gt;qwen",$S$2:$S$976,"&lt;"&amp;S445)+1)</f>
        <v/>
      </c>
      <c r="X445" s="73">
        <f>IF(C445="ministral",0,COUNTIFS($C$2:$C$976,"&lt;&gt;ministral",$S$2:$S$976,"&lt;"&amp;S445)+1)</f>
        <v/>
      </c>
      <c r="Y445" s="73">
        <f>IF(C445="gemma",0,COUNTIFS($C$2:$C$976,"&lt;&gt;gemma",$S$2:$S$976,"&lt;"&amp;S445)+1)</f>
        <v/>
      </c>
      <c r="Z445" s="87">
        <f>COUNTIFS($B$2:$B$976,B445,$C$2:$C$976,C445,$S$2:$S$976,"&lt;"&amp;S445)+1</f>
        <v/>
      </c>
      <c r="AA445" s="88">
        <f>ABS(S445-SUMPRODUCT(('05B_가정검정'!$A$5:$A$19=B445)*('05B_가정검정'!$B$5:$B$19=C445)*'05B_가정검정'!$E$5:$E$19))</f>
        <v/>
      </c>
      <c r="AB445" s="88">
        <f>S445-AVERAGEIFS($S$2:$S$976,$B$2:$B$976,B445,$C$2:$C$976,C445)</f>
        <v/>
      </c>
    </row>
    <row r="446" ht="15" customHeight="1" s="68">
      <c r="A446" s="83" t="inlineStr">
        <is>
          <t>PAT-30</t>
        </is>
      </c>
      <c r="B446" s="83" t="inlineStr">
        <is>
          <t>mistral</t>
        </is>
      </c>
      <c r="C446" s="83" t="inlineStr">
        <is>
          <t>gemma</t>
        </is>
      </c>
      <c r="D446" s="84" t="n">
        <v>0.274647887323944</v>
      </c>
      <c r="E446" s="84" t="n">
        <v>0.343891402714932</v>
      </c>
      <c r="F446" s="84" t="n">
        <v>0.118721461187215</v>
      </c>
      <c r="G446" s="84" t="n">
        <v>0.280542986425339</v>
      </c>
      <c r="H446" s="84" t="n">
        <v>0.325519585463464</v>
      </c>
      <c r="I446" s="84" t="n">
        <v>0.552970619929924</v>
      </c>
      <c r="J446" s="84" t="n">
        <v>0.726540839313671</v>
      </c>
      <c r="K446" s="84" t="n">
        <v>0.696391471633666</v>
      </c>
      <c r="L446" s="84" t="n">
        <v>0.817679166413567</v>
      </c>
      <c r="M446" s="84" t="n">
        <v>0.699421965317919</v>
      </c>
      <c r="N446" s="84" t="n">
        <v>0.6781609195402299</v>
      </c>
      <c r="O446" s="84" t="n">
        <v>1</v>
      </c>
      <c r="P446" s="85">
        <f>AVERAGE(D446:I446)</f>
        <v/>
      </c>
      <c r="Q446" s="85">
        <f>AVERAGE(J446:L446)</f>
        <v/>
      </c>
      <c r="R446" s="85">
        <f>AVERAGE(M446:O446)</f>
        <v/>
      </c>
      <c r="S446" s="85">
        <f>'02_지표정의'!$C$22*P446+'02_지표정의'!$C$23*Q446+'02_지표정의'!$C$24*R446</f>
        <v/>
      </c>
      <c r="T446" s="73">
        <f>IF(OR(AND(B446="gemini",C446="gemma"),AND(B446="qwen3_6",C446="qwen"),AND(B446="mistral",C446="ministral")),1,0)</f>
        <v/>
      </c>
      <c r="U446" s="73">
        <f>IF(LEFT(A446,3)="PAT","특허","보고서")</f>
        <v/>
      </c>
      <c r="V446" s="86">
        <f>COUNTIF($S$2:$S$976,"&lt;"&amp;S446)+(COUNTIF($S$2:$S$976,"="&amp;S446)+1)/2</f>
        <v/>
      </c>
      <c r="W446" s="73">
        <f>IF(C446="qwen",0,COUNTIFS($C$2:$C$976,"&lt;&gt;qwen",$S$2:$S$976,"&lt;"&amp;S446)+1)</f>
        <v/>
      </c>
      <c r="X446" s="73">
        <f>IF(C446="ministral",0,COUNTIFS($C$2:$C$976,"&lt;&gt;ministral",$S$2:$S$976,"&lt;"&amp;S446)+1)</f>
        <v/>
      </c>
      <c r="Y446" s="73">
        <f>IF(C446="gemma",0,COUNTIFS($C$2:$C$976,"&lt;&gt;gemma",$S$2:$S$976,"&lt;"&amp;S446)+1)</f>
        <v/>
      </c>
      <c r="Z446" s="87">
        <f>COUNTIFS($B$2:$B$976,B446,$C$2:$C$976,C446,$S$2:$S$976,"&lt;"&amp;S446)+1</f>
        <v/>
      </c>
      <c r="AA446" s="88">
        <f>ABS(S446-SUMPRODUCT(('05B_가정검정'!$A$5:$A$19=B446)*('05B_가정검정'!$B$5:$B$19=C446)*'05B_가정검정'!$E$5:$E$19))</f>
        <v/>
      </c>
      <c r="AB446" s="88">
        <f>S446-AVERAGEIFS($S$2:$S$976,$B$2:$B$976,B446,$C$2:$C$976,C446)</f>
        <v/>
      </c>
    </row>
    <row r="447" ht="15" customHeight="1" s="68">
      <c r="A447" s="83" t="inlineStr">
        <is>
          <t>PAT-30</t>
        </is>
      </c>
      <c r="B447" s="83" t="inlineStr">
        <is>
          <t>mistral</t>
        </is>
      </c>
      <c r="C447" s="83" t="inlineStr">
        <is>
          <t>ministral</t>
        </is>
      </c>
      <c r="D447" s="84" t="n">
        <v>0.341394025604552</v>
      </c>
      <c r="E447" s="84" t="n">
        <v>0.375</v>
      </c>
      <c r="F447" s="84" t="n">
        <v>0.151260504201681</v>
      </c>
      <c r="G447" s="84" t="n">
        <v>0.3</v>
      </c>
      <c r="H447" s="84" t="n">
        <v>0.29948002106439</v>
      </c>
      <c r="I447" s="84" t="n">
        <v>0.489815464876012</v>
      </c>
      <c r="J447" s="84" t="n">
        <v>0.718752002094478</v>
      </c>
      <c r="K447" s="84" t="n">
        <v>0.718632748660365</v>
      </c>
      <c r="L447" s="84" t="n">
        <v>0.872630162798777</v>
      </c>
      <c r="M447" s="84" t="n">
        <v>0.429850746268657</v>
      </c>
      <c r="N447" s="84" t="n">
        <v>0.253731343283582</v>
      </c>
      <c r="O447" s="84" t="n">
        <v>0.526315789473684</v>
      </c>
      <c r="P447" s="85">
        <f>AVERAGE(D447:I447)</f>
        <v/>
      </c>
      <c r="Q447" s="85">
        <f>AVERAGE(J447:L447)</f>
        <v/>
      </c>
      <c r="R447" s="85">
        <f>AVERAGE(M447:O447)</f>
        <v/>
      </c>
      <c r="S447" s="85">
        <f>'02_지표정의'!$C$22*P447+'02_지표정의'!$C$23*Q447+'02_지표정의'!$C$24*R447</f>
        <v/>
      </c>
      <c r="T447" s="73">
        <f>IF(OR(AND(B447="gemini",C447="gemma"),AND(B447="qwen3_6",C447="qwen"),AND(B447="mistral",C447="ministral")),1,0)</f>
        <v/>
      </c>
      <c r="U447" s="73">
        <f>IF(LEFT(A447,3)="PAT","특허","보고서")</f>
        <v/>
      </c>
      <c r="V447" s="86">
        <f>COUNTIF($S$2:$S$976,"&lt;"&amp;S447)+(COUNTIF($S$2:$S$976,"="&amp;S447)+1)/2</f>
        <v/>
      </c>
      <c r="W447" s="73">
        <f>IF(C447="qwen",0,COUNTIFS($C$2:$C$976,"&lt;&gt;qwen",$S$2:$S$976,"&lt;"&amp;S447)+1)</f>
        <v/>
      </c>
      <c r="X447" s="73">
        <f>IF(C447="ministral",0,COUNTIFS($C$2:$C$976,"&lt;&gt;ministral",$S$2:$S$976,"&lt;"&amp;S447)+1)</f>
        <v/>
      </c>
      <c r="Y447" s="73">
        <f>IF(C447="gemma",0,COUNTIFS($C$2:$C$976,"&lt;&gt;gemma",$S$2:$S$976,"&lt;"&amp;S447)+1)</f>
        <v/>
      </c>
      <c r="Z447" s="87">
        <f>COUNTIFS($B$2:$B$976,B447,$C$2:$C$976,C447,$S$2:$S$976,"&lt;"&amp;S447)+1</f>
        <v/>
      </c>
      <c r="AA447" s="88">
        <f>ABS(S447-SUMPRODUCT(('05B_가정검정'!$A$5:$A$19=B447)*('05B_가정검정'!$B$5:$B$19=C447)*'05B_가정검정'!$E$5:$E$19))</f>
        <v/>
      </c>
      <c r="AB447" s="88">
        <f>S447-AVERAGEIFS($S$2:$S$976,$B$2:$B$976,B447,$C$2:$C$976,C447)</f>
        <v/>
      </c>
    </row>
    <row r="448" ht="15" customHeight="1" s="68">
      <c r="A448" s="83" t="inlineStr">
        <is>
          <t>PAT-30</t>
        </is>
      </c>
      <c r="B448" s="83" t="inlineStr">
        <is>
          <t>mistral</t>
        </is>
      </c>
      <c r="C448" s="83" t="inlineStr">
        <is>
          <t>qwen</t>
        </is>
      </c>
      <c r="D448" s="84" t="n">
        <v>0.290502793296089</v>
      </c>
      <c r="E448" s="84" t="n">
        <v>0.453703703703704</v>
      </c>
      <c r="F448" s="84" t="n">
        <v>0.186915887850467</v>
      </c>
      <c r="G448" s="84" t="n">
        <v>0.314814814814815</v>
      </c>
      <c r="H448" s="84" t="n">
        <v>0.395393110600965</v>
      </c>
      <c r="I448" s="84" t="n">
        <v>0.519995937540196</v>
      </c>
      <c r="J448" s="84" t="n">
        <v>0.726072405031015</v>
      </c>
      <c r="K448" s="84" t="n">
        <v>0.68346306098798</v>
      </c>
      <c r="L448" s="84" t="n">
        <v>0.874824261324149</v>
      </c>
      <c r="M448" s="84" t="n">
        <v>0.514450867052023</v>
      </c>
      <c r="N448" s="84" t="n">
        <v>0.563218390804598</v>
      </c>
      <c r="O448" s="84" t="n">
        <v>1</v>
      </c>
      <c r="P448" s="85">
        <f>AVERAGE(D448:I448)</f>
        <v/>
      </c>
      <c r="Q448" s="85">
        <f>AVERAGE(J448:L448)</f>
        <v/>
      </c>
      <c r="R448" s="85">
        <f>AVERAGE(M448:O448)</f>
        <v/>
      </c>
      <c r="S448" s="85">
        <f>'02_지표정의'!$C$22*P448+'02_지표정의'!$C$23*Q448+'02_지표정의'!$C$24*R448</f>
        <v/>
      </c>
      <c r="T448" s="73">
        <f>IF(OR(AND(B448="gemini",C448="gemma"),AND(B448="qwen3_6",C448="qwen"),AND(B448="mistral",C448="ministral")),1,0)</f>
        <v/>
      </c>
      <c r="U448" s="73">
        <f>IF(LEFT(A448,3)="PAT","특허","보고서")</f>
        <v/>
      </c>
      <c r="V448" s="86">
        <f>COUNTIF($S$2:$S$976,"&lt;"&amp;S448)+(COUNTIF($S$2:$S$976,"="&amp;S448)+1)/2</f>
        <v/>
      </c>
      <c r="W448" s="73">
        <f>IF(C448="qwen",0,COUNTIFS($C$2:$C$976,"&lt;&gt;qwen",$S$2:$S$976,"&lt;"&amp;S448)+1)</f>
        <v/>
      </c>
      <c r="X448" s="73">
        <f>IF(C448="ministral",0,COUNTIFS($C$2:$C$976,"&lt;&gt;ministral",$S$2:$S$976,"&lt;"&amp;S448)+1)</f>
        <v/>
      </c>
      <c r="Y448" s="73">
        <f>IF(C448="gemma",0,COUNTIFS($C$2:$C$976,"&lt;&gt;gemma",$S$2:$S$976,"&lt;"&amp;S448)+1)</f>
        <v/>
      </c>
      <c r="Z448" s="87">
        <f>COUNTIFS($B$2:$B$976,B448,$C$2:$C$976,C448,$S$2:$S$976,"&lt;"&amp;S448)+1</f>
        <v/>
      </c>
      <c r="AA448" s="88">
        <f>ABS(S448-SUMPRODUCT(('05B_가정검정'!$A$5:$A$19=B448)*('05B_가정검정'!$B$5:$B$19=C448)*'05B_가정검정'!$E$5:$E$19))</f>
        <v/>
      </c>
      <c r="AB448" s="88">
        <f>S448-AVERAGEIFS($S$2:$S$976,$B$2:$B$976,B448,$C$2:$C$976,C448)</f>
        <v/>
      </c>
    </row>
    <row r="449" ht="15" customHeight="1" s="68">
      <c r="A449" s="83" t="inlineStr">
        <is>
          <t>PAT-30</t>
        </is>
      </c>
      <c r="B449" s="83" t="inlineStr">
        <is>
          <t>qwen3_6</t>
        </is>
      </c>
      <c r="C449" s="83" t="inlineStr">
        <is>
          <t>gemma</t>
        </is>
      </c>
      <c r="D449" s="84" t="n">
        <v>0.250287026406429</v>
      </c>
      <c r="E449" s="84" t="n">
        <v>0.362745098039216</v>
      </c>
      <c r="F449" s="84" t="n">
        <v>0.148514851485149</v>
      </c>
      <c r="G449" s="84" t="n">
        <v>0.323529411764706</v>
      </c>
      <c r="H449" s="84" t="n">
        <v>0.320759797520021</v>
      </c>
      <c r="I449" s="84" t="n">
        <v>0.428778565366684</v>
      </c>
      <c r="J449" s="84" t="n">
        <v>0.7350248601436919</v>
      </c>
      <c r="K449" s="84" t="n">
        <v>0.7139230925447571</v>
      </c>
      <c r="L449" s="84" t="n">
        <v>0.85832495035878</v>
      </c>
      <c r="M449" s="84" t="n">
        <v>0.659863945578231</v>
      </c>
      <c r="N449" s="84" t="n">
        <v>0.785714285714286</v>
      </c>
      <c r="O449" s="84" t="n">
        <v>1</v>
      </c>
      <c r="P449" s="85">
        <f>AVERAGE(D449:I449)</f>
        <v/>
      </c>
      <c r="Q449" s="85">
        <f>AVERAGE(J449:L449)</f>
        <v/>
      </c>
      <c r="R449" s="85">
        <f>AVERAGE(M449:O449)</f>
        <v/>
      </c>
      <c r="S449" s="85">
        <f>'02_지표정의'!$C$22*P449+'02_지표정의'!$C$23*Q449+'02_지표정의'!$C$24*R449</f>
        <v/>
      </c>
      <c r="T449" s="73">
        <f>IF(OR(AND(B449="gemini",C449="gemma"),AND(B449="qwen3_6",C449="qwen"),AND(B449="mistral",C449="ministral")),1,0)</f>
        <v/>
      </c>
      <c r="U449" s="73">
        <f>IF(LEFT(A449,3)="PAT","특허","보고서")</f>
        <v/>
      </c>
      <c r="V449" s="86">
        <f>COUNTIF($S$2:$S$976,"&lt;"&amp;S449)+(COUNTIF($S$2:$S$976,"="&amp;S449)+1)/2</f>
        <v/>
      </c>
      <c r="W449" s="73">
        <f>IF(C449="qwen",0,COUNTIFS($C$2:$C$976,"&lt;&gt;qwen",$S$2:$S$976,"&lt;"&amp;S449)+1)</f>
        <v/>
      </c>
      <c r="X449" s="73">
        <f>IF(C449="ministral",0,COUNTIFS($C$2:$C$976,"&lt;&gt;ministral",$S$2:$S$976,"&lt;"&amp;S449)+1)</f>
        <v/>
      </c>
      <c r="Y449" s="73">
        <f>IF(C449="gemma",0,COUNTIFS($C$2:$C$976,"&lt;&gt;gemma",$S$2:$S$976,"&lt;"&amp;S449)+1)</f>
        <v/>
      </c>
      <c r="Z449" s="87">
        <f>COUNTIFS($B$2:$B$976,B449,$C$2:$C$976,C449,$S$2:$S$976,"&lt;"&amp;S449)+1</f>
        <v/>
      </c>
      <c r="AA449" s="88">
        <f>ABS(S449-SUMPRODUCT(('05B_가정검정'!$A$5:$A$19=B449)*('05B_가정검정'!$B$5:$B$19=C449)*'05B_가정검정'!$E$5:$E$19))</f>
        <v/>
      </c>
      <c r="AB449" s="88">
        <f>S449-AVERAGEIFS($S$2:$S$976,$B$2:$B$976,B449,$C$2:$C$976,C449)</f>
        <v/>
      </c>
    </row>
    <row r="450" ht="15" customHeight="1" s="68">
      <c r="A450" s="83" t="inlineStr">
        <is>
          <t>PAT-30</t>
        </is>
      </c>
      <c r="B450" s="83" t="inlineStr">
        <is>
          <t>qwen3_6</t>
        </is>
      </c>
      <c r="C450" s="83" t="inlineStr">
        <is>
          <t>ministral</t>
        </is>
      </c>
      <c r="D450" s="84" t="n">
        <v>0.238227146814404</v>
      </c>
      <c r="E450" s="84" t="n">
        <v>0.304932735426009</v>
      </c>
      <c r="F450" s="84" t="n">
        <v>0.144796380090498</v>
      </c>
      <c r="G450" s="84" t="n">
        <v>0.304932735426009</v>
      </c>
      <c r="H450" s="84" t="n">
        <v>0.241933196020115</v>
      </c>
      <c r="I450" s="84" t="n">
        <v>0.338496890028055</v>
      </c>
      <c r="J450" s="84" t="n">
        <v>0.710705461601416</v>
      </c>
      <c r="K450" s="84" t="n">
        <v>0.676693249072012</v>
      </c>
      <c r="L450" s="84" t="n">
        <v>0.853846901999339</v>
      </c>
      <c r="M450" s="84" t="n">
        <v>0.28955223880597</v>
      </c>
      <c r="N450" s="84" t="n">
        <v>0.276119402985075</v>
      </c>
      <c r="O450" s="84" t="n">
        <v>0.526315789473684</v>
      </c>
      <c r="P450" s="85">
        <f>AVERAGE(D450:I450)</f>
        <v/>
      </c>
      <c r="Q450" s="85">
        <f>AVERAGE(J450:L450)</f>
        <v/>
      </c>
      <c r="R450" s="85">
        <f>AVERAGE(M450:O450)</f>
        <v/>
      </c>
      <c r="S450" s="85">
        <f>'02_지표정의'!$C$22*P450+'02_지표정의'!$C$23*Q450+'02_지표정의'!$C$24*R450</f>
        <v/>
      </c>
      <c r="T450" s="73">
        <f>IF(OR(AND(B450="gemini",C450="gemma"),AND(B450="qwen3_6",C450="qwen"),AND(B450="mistral",C450="ministral")),1,0)</f>
        <v/>
      </c>
      <c r="U450" s="73">
        <f>IF(LEFT(A450,3)="PAT","특허","보고서")</f>
        <v/>
      </c>
      <c r="V450" s="86">
        <f>COUNTIF($S$2:$S$976,"&lt;"&amp;S450)+(COUNTIF($S$2:$S$976,"="&amp;S450)+1)/2</f>
        <v/>
      </c>
      <c r="W450" s="73">
        <f>IF(C450="qwen",0,COUNTIFS($C$2:$C$976,"&lt;&gt;qwen",$S$2:$S$976,"&lt;"&amp;S450)+1)</f>
        <v/>
      </c>
      <c r="X450" s="73">
        <f>IF(C450="ministral",0,COUNTIFS($C$2:$C$976,"&lt;&gt;ministral",$S$2:$S$976,"&lt;"&amp;S450)+1)</f>
        <v/>
      </c>
      <c r="Y450" s="73">
        <f>IF(C450="gemma",0,COUNTIFS($C$2:$C$976,"&lt;&gt;gemma",$S$2:$S$976,"&lt;"&amp;S450)+1)</f>
        <v/>
      </c>
      <c r="Z450" s="87">
        <f>COUNTIFS($B$2:$B$976,B450,$C$2:$C$976,C450,$S$2:$S$976,"&lt;"&amp;S450)+1</f>
        <v/>
      </c>
      <c r="AA450" s="88">
        <f>ABS(S450-SUMPRODUCT(('05B_가정검정'!$A$5:$A$19=B450)*('05B_가정검정'!$B$5:$B$19=C450)*'05B_가정검정'!$E$5:$E$19))</f>
        <v/>
      </c>
      <c r="AB450" s="88">
        <f>S450-AVERAGEIFS($S$2:$S$976,$B$2:$B$976,B450,$C$2:$C$976,C450)</f>
        <v/>
      </c>
    </row>
    <row r="451" ht="15" customHeight="1" s="68">
      <c r="A451" s="83" t="inlineStr">
        <is>
          <t>PAT-30</t>
        </is>
      </c>
      <c r="B451" s="83" t="inlineStr">
        <is>
          <t>qwen3_6</t>
        </is>
      </c>
      <c r="C451" s="83" t="inlineStr">
        <is>
          <t>qwen</t>
        </is>
      </c>
      <c r="D451" s="84" t="n">
        <v>0.282993197278912</v>
      </c>
      <c r="E451" s="84" t="n">
        <v>0.552763819095477</v>
      </c>
      <c r="F451" s="84" t="n">
        <v>0.284263959390863</v>
      </c>
      <c r="G451" s="84" t="n">
        <v>0.422110552763819</v>
      </c>
      <c r="H451" s="84" t="n">
        <v>0.419909965239295</v>
      </c>
      <c r="I451" s="84" t="n">
        <v>0.570322176727115</v>
      </c>
      <c r="J451" s="84" t="n">
        <v>0.7254859813529509</v>
      </c>
      <c r="K451" s="84" t="n">
        <v>0.705371769083052</v>
      </c>
      <c r="L451" s="84" t="n">
        <v>0.900268241284212</v>
      </c>
      <c r="M451" s="84" t="n">
        <v>0.906542056074766</v>
      </c>
      <c r="N451" s="84" t="n">
        <v>0.916666666666667</v>
      </c>
      <c r="O451" s="84" t="n">
        <v>1</v>
      </c>
      <c r="P451" s="85">
        <f>AVERAGE(D451:I451)</f>
        <v/>
      </c>
      <c r="Q451" s="85">
        <f>AVERAGE(J451:L451)</f>
        <v/>
      </c>
      <c r="R451" s="85">
        <f>AVERAGE(M451:O451)</f>
        <v/>
      </c>
      <c r="S451" s="85">
        <f>'02_지표정의'!$C$22*P451+'02_지표정의'!$C$23*Q451+'02_지표정의'!$C$24*R451</f>
        <v/>
      </c>
      <c r="T451" s="73">
        <f>IF(OR(AND(B451="gemini",C451="gemma"),AND(B451="qwen3_6",C451="qwen"),AND(B451="mistral",C451="ministral")),1,0)</f>
        <v/>
      </c>
      <c r="U451" s="73">
        <f>IF(LEFT(A451,3)="PAT","특허","보고서")</f>
        <v/>
      </c>
      <c r="V451" s="86">
        <f>COUNTIF($S$2:$S$976,"&lt;"&amp;S451)+(COUNTIF($S$2:$S$976,"="&amp;S451)+1)/2</f>
        <v/>
      </c>
      <c r="W451" s="73">
        <f>IF(C451="qwen",0,COUNTIFS($C$2:$C$976,"&lt;&gt;qwen",$S$2:$S$976,"&lt;"&amp;S451)+1)</f>
        <v/>
      </c>
      <c r="X451" s="73">
        <f>IF(C451="ministral",0,COUNTIFS($C$2:$C$976,"&lt;&gt;ministral",$S$2:$S$976,"&lt;"&amp;S451)+1)</f>
        <v/>
      </c>
      <c r="Y451" s="73">
        <f>IF(C451="gemma",0,COUNTIFS($C$2:$C$976,"&lt;&gt;gemma",$S$2:$S$976,"&lt;"&amp;S451)+1)</f>
        <v/>
      </c>
      <c r="Z451" s="87">
        <f>COUNTIFS($B$2:$B$976,B451,$C$2:$C$976,C451,$S$2:$S$976,"&lt;"&amp;S451)+1</f>
        <v/>
      </c>
      <c r="AA451" s="88">
        <f>ABS(S451-SUMPRODUCT(('05B_가정검정'!$A$5:$A$19=B451)*('05B_가정검정'!$B$5:$B$19=C451)*'05B_가정검정'!$E$5:$E$19))</f>
        <v/>
      </c>
      <c r="AB451" s="88">
        <f>S451-AVERAGEIFS($S$2:$S$976,$B$2:$B$976,B451,$C$2:$C$976,C451)</f>
        <v/>
      </c>
    </row>
    <row r="452" ht="15" customHeight="1" s="68">
      <c r="A452" s="83" t="inlineStr">
        <is>
          <t>PAT-31</t>
        </is>
      </c>
      <c r="B452" s="83" t="inlineStr">
        <is>
          <t>chatgpt</t>
        </is>
      </c>
      <c r="C452" s="83" t="inlineStr">
        <is>
          <t>gemma</t>
        </is>
      </c>
      <c r="D452" s="84" t="n">
        <v>0.244946492271106</v>
      </c>
      <c r="E452" s="84" t="n">
        <v>0.336448598130841</v>
      </c>
      <c r="F452" s="84" t="n">
        <v>0.0943396226415094</v>
      </c>
      <c r="G452" s="84" t="n">
        <v>0.252336448598131</v>
      </c>
      <c r="H452" s="84" t="n">
        <v>0.310647261484489</v>
      </c>
      <c r="I452" s="84" t="n">
        <v>0.199087866841203</v>
      </c>
      <c r="J452" s="84" t="n">
        <v>0.6787472421903989</v>
      </c>
      <c r="K452" s="84" t="n">
        <v>0.557992503193372</v>
      </c>
      <c r="L452" s="84" t="n">
        <v>0.8330955509532521</v>
      </c>
      <c r="M452" s="84" t="n">
        <v>0.352272727272727</v>
      </c>
      <c r="N452" s="84" t="n">
        <v>0.12258064516129</v>
      </c>
      <c r="O452" s="84" t="n">
        <v>1</v>
      </c>
      <c r="P452" s="85">
        <f>AVERAGE(D452:I452)</f>
        <v/>
      </c>
      <c r="Q452" s="85">
        <f>AVERAGE(J452:L452)</f>
        <v/>
      </c>
      <c r="R452" s="85">
        <f>AVERAGE(M452:O452)</f>
        <v/>
      </c>
      <c r="S452" s="85">
        <f>'02_지표정의'!$C$22*P452+'02_지표정의'!$C$23*Q452+'02_지표정의'!$C$24*R452</f>
        <v/>
      </c>
      <c r="T452" s="73">
        <f>IF(OR(AND(B452="gemini",C452="gemma"),AND(B452="qwen3_6",C452="qwen"),AND(B452="mistral",C452="ministral")),1,0)</f>
        <v/>
      </c>
      <c r="U452" s="73">
        <f>IF(LEFT(A452,3)="PAT","특허","보고서")</f>
        <v/>
      </c>
      <c r="V452" s="86">
        <f>COUNTIF($S$2:$S$976,"&lt;"&amp;S452)+(COUNTIF($S$2:$S$976,"="&amp;S452)+1)/2</f>
        <v/>
      </c>
      <c r="W452" s="73">
        <f>IF(C452="qwen",0,COUNTIFS($C$2:$C$976,"&lt;&gt;qwen",$S$2:$S$976,"&lt;"&amp;S452)+1)</f>
        <v/>
      </c>
      <c r="X452" s="73">
        <f>IF(C452="ministral",0,COUNTIFS($C$2:$C$976,"&lt;&gt;ministral",$S$2:$S$976,"&lt;"&amp;S452)+1)</f>
        <v/>
      </c>
      <c r="Y452" s="73">
        <f>IF(C452="gemma",0,COUNTIFS($C$2:$C$976,"&lt;&gt;gemma",$S$2:$S$976,"&lt;"&amp;S452)+1)</f>
        <v/>
      </c>
      <c r="Z452" s="87">
        <f>COUNTIFS($B$2:$B$976,B452,$C$2:$C$976,C452,$S$2:$S$976,"&lt;"&amp;S452)+1</f>
        <v/>
      </c>
      <c r="AA452" s="88">
        <f>ABS(S452-SUMPRODUCT(('05B_가정검정'!$A$5:$A$19=B452)*('05B_가정검정'!$B$5:$B$19=C452)*'05B_가정검정'!$E$5:$E$19))</f>
        <v/>
      </c>
      <c r="AB452" s="88">
        <f>S452-AVERAGEIFS($S$2:$S$976,$B$2:$B$976,B452,$C$2:$C$976,C452)</f>
        <v/>
      </c>
    </row>
    <row r="453" ht="15" customHeight="1" s="68">
      <c r="A453" s="83" t="inlineStr">
        <is>
          <t>PAT-31</t>
        </is>
      </c>
      <c r="B453" s="83" t="inlineStr">
        <is>
          <t>chatgpt</t>
        </is>
      </c>
      <c r="C453" s="83" t="inlineStr">
        <is>
          <t>ministral</t>
        </is>
      </c>
      <c r="D453" s="84" t="n">
        <v>0.278514588859416</v>
      </c>
      <c r="E453" s="84" t="n">
        <v>0.324705882352941</v>
      </c>
      <c r="F453" s="84" t="n">
        <v>0.08983451536643031</v>
      </c>
      <c r="G453" s="84" t="n">
        <v>0.244705882352941</v>
      </c>
      <c r="H453" s="84" t="n">
        <v>0.267059013103122</v>
      </c>
      <c r="I453" s="84" t="n">
        <v>0.209912616790056</v>
      </c>
      <c r="J453" s="84" t="n">
        <v>0.704117805922457</v>
      </c>
      <c r="K453" s="84" t="n">
        <v>0.624630156055917</v>
      </c>
      <c r="L453" s="84" t="n">
        <v>0.812923299020226</v>
      </c>
      <c r="M453" s="84" t="n">
        <v>0.604095563139932</v>
      </c>
      <c r="N453" s="84" t="n">
        <v>0.27741935483871</v>
      </c>
      <c r="O453" s="84" t="n">
        <v>1</v>
      </c>
      <c r="P453" s="85">
        <f>AVERAGE(D453:I453)</f>
        <v/>
      </c>
      <c r="Q453" s="85">
        <f>AVERAGE(J453:L453)</f>
        <v/>
      </c>
      <c r="R453" s="85">
        <f>AVERAGE(M453:O453)</f>
        <v/>
      </c>
      <c r="S453" s="85">
        <f>'02_지표정의'!$C$22*P453+'02_지표정의'!$C$23*Q453+'02_지표정의'!$C$24*R453</f>
        <v/>
      </c>
      <c r="T453" s="73">
        <f>IF(OR(AND(B453="gemini",C453="gemma"),AND(B453="qwen3_6",C453="qwen"),AND(B453="mistral",C453="ministral")),1,0)</f>
        <v/>
      </c>
      <c r="U453" s="73">
        <f>IF(LEFT(A453,3)="PAT","특허","보고서")</f>
        <v/>
      </c>
      <c r="V453" s="86">
        <f>COUNTIF($S$2:$S$976,"&lt;"&amp;S453)+(COUNTIF($S$2:$S$976,"="&amp;S453)+1)/2</f>
        <v/>
      </c>
      <c r="W453" s="73">
        <f>IF(C453="qwen",0,COUNTIFS($C$2:$C$976,"&lt;&gt;qwen",$S$2:$S$976,"&lt;"&amp;S453)+1)</f>
        <v/>
      </c>
      <c r="X453" s="73">
        <f>IF(C453="ministral",0,COUNTIFS($C$2:$C$976,"&lt;&gt;ministral",$S$2:$S$976,"&lt;"&amp;S453)+1)</f>
        <v/>
      </c>
      <c r="Y453" s="73">
        <f>IF(C453="gemma",0,COUNTIFS($C$2:$C$976,"&lt;&gt;gemma",$S$2:$S$976,"&lt;"&amp;S453)+1)</f>
        <v/>
      </c>
      <c r="Z453" s="87">
        <f>COUNTIFS($B$2:$B$976,B453,$C$2:$C$976,C453,$S$2:$S$976,"&lt;"&amp;S453)+1</f>
        <v/>
      </c>
      <c r="AA453" s="88">
        <f>ABS(S453-SUMPRODUCT(('05B_가정검정'!$A$5:$A$19=B453)*('05B_가정검정'!$B$5:$B$19=C453)*'05B_가정검정'!$E$5:$E$19))</f>
        <v/>
      </c>
      <c r="AB453" s="88">
        <f>S453-AVERAGEIFS($S$2:$S$976,$B$2:$B$976,B453,$C$2:$C$976,C453)</f>
        <v/>
      </c>
    </row>
    <row r="454" ht="15" customHeight="1" s="68">
      <c r="A454" s="83" t="inlineStr">
        <is>
          <t>PAT-31</t>
        </is>
      </c>
      <c r="B454" s="83" t="inlineStr">
        <is>
          <t>chatgpt</t>
        </is>
      </c>
      <c r="C454" s="83" t="inlineStr">
        <is>
          <t>qwen</t>
        </is>
      </c>
      <c r="D454" s="84" t="n">
        <v>0.26378896882494</v>
      </c>
      <c r="E454" s="84" t="n">
        <v>0.398625429553265</v>
      </c>
      <c r="F454" s="84" t="n">
        <v>0.145328719723183</v>
      </c>
      <c r="G454" s="84" t="n">
        <v>0.323024054982818</v>
      </c>
      <c r="H454" s="84" t="n">
        <v>0.394147989819078</v>
      </c>
      <c r="I454" s="84" t="n">
        <v>0.298723786540399</v>
      </c>
      <c r="J454" s="84" t="n">
        <v>0.701599684420999</v>
      </c>
      <c r="K454" s="84" t="n">
        <v>0.574535593959237</v>
      </c>
      <c r="L454" s="84" t="n">
        <v>0.810276384232443</v>
      </c>
      <c r="M454" s="84" t="n">
        <v>0.571969696969697</v>
      </c>
      <c r="N454" s="84" t="n">
        <v>0.380645161290323</v>
      </c>
      <c r="O454" s="84" t="n">
        <v>1</v>
      </c>
      <c r="P454" s="85">
        <f>AVERAGE(D454:I454)</f>
        <v/>
      </c>
      <c r="Q454" s="85">
        <f>AVERAGE(J454:L454)</f>
        <v/>
      </c>
      <c r="R454" s="85">
        <f>AVERAGE(M454:O454)</f>
        <v/>
      </c>
      <c r="S454" s="85">
        <f>'02_지표정의'!$C$22*P454+'02_지표정의'!$C$23*Q454+'02_지표정의'!$C$24*R454</f>
        <v/>
      </c>
      <c r="T454" s="73">
        <f>IF(OR(AND(B454="gemini",C454="gemma"),AND(B454="qwen3_6",C454="qwen"),AND(B454="mistral",C454="ministral")),1,0)</f>
        <v/>
      </c>
      <c r="U454" s="73">
        <f>IF(LEFT(A454,3)="PAT","특허","보고서")</f>
        <v/>
      </c>
      <c r="V454" s="86">
        <f>COUNTIF($S$2:$S$976,"&lt;"&amp;S454)+(COUNTIF($S$2:$S$976,"="&amp;S454)+1)/2</f>
        <v/>
      </c>
      <c r="W454" s="73">
        <f>IF(C454="qwen",0,COUNTIFS($C$2:$C$976,"&lt;&gt;qwen",$S$2:$S$976,"&lt;"&amp;S454)+1)</f>
        <v/>
      </c>
      <c r="X454" s="73">
        <f>IF(C454="ministral",0,COUNTIFS($C$2:$C$976,"&lt;&gt;ministral",$S$2:$S$976,"&lt;"&amp;S454)+1)</f>
        <v/>
      </c>
      <c r="Y454" s="73">
        <f>IF(C454="gemma",0,COUNTIFS($C$2:$C$976,"&lt;&gt;gemma",$S$2:$S$976,"&lt;"&amp;S454)+1)</f>
        <v/>
      </c>
      <c r="Z454" s="87">
        <f>COUNTIFS($B$2:$B$976,B454,$C$2:$C$976,C454,$S$2:$S$976,"&lt;"&amp;S454)+1</f>
        <v/>
      </c>
      <c r="AA454" s="88">
        <f>ABS(S454-SUMPRODUCT(('05B_가정검정'!$A$5:$A$19=B454)*('05B_가정검정'!$B$5:$B$19=C454)*'05B_가정검정'!$E$5:$E$19))</f>
        <v/>
      </c>
      <c r="AB454" s="88">
        <f>S454-AVERAGEIFS($S$2:$S$976,$B$2:$B$976,B454,$C$2:$C$976,C454)</f>
        <v/>
      </c>
    </row>
    <row r="455" ht="15" customHeight="1" s="68">
      <c r="A455" s="83" t="inlineStr">
        <is>
          <t>PAT-31</t>
        </is>
      </c>
      <c r="B455" s="83" t="inlineStr">
        <is>
          <t>claude</t>
        </is>
      </c>
      <c r="C455" s="83" t="inlineStr">
        <is>
          <t>gemma</t>
        </is>
      </c>
      <c r="D455" s="84" t="n">
        <v>0.198757763975155</v>
      </c>
      <c r="E455" s="84" t="n">
        <v>0.276679841897233</v>
      </c>
      <c r="F455" s="84" t="n">
        <v>0.0717131474103586</v>
      </c>
      <c r="G455" s="84" t="n">
        <v>0.205533596837945</v>
      </c>
      <c r="H455" s="84" t="n">
        <v>0.266782975994789</v>
      </c>
      <c r="I455" s="84" t="n">
        <v>0.131611479253115</v>
      </c>
      <c r="J455" s="84" t="n">
        <v>0.6918393230462691</v>
      </c>
      <c r="K455" s="84" t="n">
        <v>0.634309652590054</v>
      </c>
      <c r="L455" s="84" t="n">
        <v>0.856348504665882</v>
      </c>
      <c r="M455" s="84" t="n">
        <v>0.645833333333333</v>
      </c>
      <c r="N455" s="84" t="n">
        <v>0.583333333333333</v>
      </c>
      <c r="O455" s="84" t="n">
        <v>1</v>
      </c>
      <c r="P455" s="85">
        <f>AVERAGE(D455:I455)</f>
        <v/>
      </c>
      <c r="Q455" s="85">
        <f>AVERAGE(J455:L455)</f>
        <v/>
      </c>
      <c r="R455" s="85">
        <f>AVERAGE(M455:O455)</f>
        <v/>
      </c>
      <c r="S455" s="85">
        <f>'02_지표정의'!$C$22*P455+'02_지표정의'!$C$23*Q455+'02_지표정의'!$C$24*R455</f>
        <v/>
      </c>
      <c r="T455" s="73">
        <f>IF(OR(AND(B455="gemini",C455="gemma"),AND(B455="qwen3_6",C455="qwen"),AND(B455="mistral",C455="ministral")),1,0)</f>
        <v/>
      </c>
      <c r="U455" s="73">
        <f>IF(LEFT(A455,3)="PAT","특허","보고서")</f>
        <v/>
      </c>
      <c r="V455" s="86">
        <f>COUNTIF($S$2:$S$976,"&lt;"&amp;S455)+(COUNTIF($S$2:$S$976,"="&amp;S455)+1)/2</f>
        <v/>
      </c>
      <c r="W455" s="73">
        <f>IF(C455="qwen",0,COUNTIFS($C$2:$C$976,"&lt;&gt;qwen",$S$2:$S$976,"&lt;"&amp;S455)+1)</f>
        <v/>
      </c>
      <c r="X455" s="73">
        <f>IF(C455="ministral",0,COUNTIFS($C$2:$C$976,"&lt;&gt;ministral",$S$2:$S$976,"&lt;"&amp;S455)+1)</f>
        <v/>
      </c>
      <c r="Y455" s="73">
        <f>IF(C455="gemma",0,COUNTIFS($C$2:$C$976,"&lt;&gt;gemma",$S$2:$S$976,"&lt;"&amp;S455)+1)</f>
        <v/>
      </c>
      <c r="Z455" s="87">
        <f>COUNTIFS($B$2:$B$976,B455,$C$2:$C$976,C455,$S$2:$S$976,"&lt;"&amp;S455)+1</f>
        <v/>
      </c>
      <c r="AA455" s="88">
        <f>ABS(S455-SUMPRODUCT(('05B_가정검정'!$A$5:$A$19=B455)*('05B_가정검정'!$B$5:$B$19=C455)*'05B_가정검정'!$E$5:$E$19))</f>
        <v/>
      </c>
      <c r="AB455" s="88">
        <f>S455-AVERAGEIFS($S$2:$S$976,$B$2:$B$976,B455,$C$2:$C$976,C455)</f>
        <v/>
      </c>
    </row>
    <row r="456" ht="15" customHeight="1" s="68">
      <c r="A456" s="83" t="inlineStr">
        <is>
          <t>PAT-31</t>
        </is>
      </c>
      <c r="B456" s="83" t="inlineStr">
        <is>
          <t>claude</t>
        </is>
      </c>
      <c r="C456" s="83" t="inlineStr">
        <is>
          <t>ministral</t>
        </is>
      </c>
      <c r="D456" s="84" t="n">
        <v>0.25028441410694</v>
      </c>
      <c r="E456" s="84" t="n">
        <v>0.28448275862069</v>
      </c>
      <c r="F456" s="84" t="n">
        <v>0.0822510822510823</v>
      </c>
      <c r="G456" s="84" t="n">
        <v>0.21551724137931</v>
      </c>
      <c r="H456" s="84" t="n">
        <v>0.250424508290411</v>
      </c>
      <c r="I456" s="84" t="n">
        <v>0.149725552762537</v>
      </c>
      <c r="J456" s="84" t="n">
        <v>0.700361370855979</v>
      </c>
      <c r="K456" s="84" t="n">
        <v>0.654599085875242</v>
      </c>
      <c r="L456" s="84" t="n">
        <v>0.822726685390358</v>
      </c>
      <c r="M456" s="84" t="n">
        <v>0.47098976109215</v>
      </c>
      <c r="N456" s="84" t="n">
        <v>0.573529411764706</v>
      </c>
      <c r="O456" s="84" t="n">
        <v>1</v>
      </c>
      <c r="P456" s="85">
        <f>AVERAGE(D456:I456)</f>
        <v/>
      </c>
      <c r="Q456" s="85">
        <f>AVERAGE(J456:L456)</f>
        <v/>
      </c>
      <c r="R456" s="85">
        <f>AVERAGE(M456:O456)</f>
        <v/>
      </c>
      <c r="S456" s="85">
        <f>'02_지표정의'!$C$22*P456+'02_지표정의'!$C$23*Q456+'02_지표정의'!$C$24*R456</f>
        <v/>
      </c>
      <c r="T456" s="73">
        <f>IF(OR(AND(B456="gemini",C456="gemma"),AND(B456="qwen3_6",C456="qwen"),AND(B456="mistral",C456="ministral")),1,0)</f>
        <v/>
      </c>
      <c r="U456" s="73">
        <f>IF(LEFT(A456,3)="PAT","특허","보고서")</f>
        <v/>
      </c>
      <c r="V456" s="86">
        <f>COUNTIF($S$2:$S$976,"&lt;"&amp;S456)+(COUNTIF($S$2:$S$976,"="&amp;S456)+1)/2</f>
        <v/>
      </c>
      <c r="W456" s="73">
        <f>IF(C456="qwen",0,COUNTIFS($C$2:$C$976,"&lt;&gt;qwen",$S$2:$S$976,"&lt;"&amp;S456)+1)</f>
        <v/>
      </c>
      <c r="X456" s="73">
        <f>IF(C456="ministral",0,COUNTIFS($C$2:$C$976,"&lt;&gt;ministral",$S$2:$S$976,"&lt;"&amp;S456)+1)</f>
        <v/>
      </c>
      <c r="Y456" s="73">
        <f>IF(C456="gemma",0,COUNTIFS($C$2:$C$976,"&lt;&gt;gemma",$S$2:$S$976,"&lt;"&amp;S456)+1)</f>
        <v/>
      </c>
      <c r="Z456" s="87">
        <f>COUNTIFS($B$2:$B$976,B456,$C$2:$C$976,C456,$S$2:$S$976,"&lt;"&amp;S456)+1</f>
        <v/>
      </c>
      <c r="AA456" s="88">
        <f>ABS(S456-SUMPRODUCT(('05B_가정검정'!$A$5:$A$19=B456)*('05B_가정검정'!$B$5:$B$19=C456)*'05B_가정검정'!$E$5:$E$19))</f>
        <v/>
      </c>
      <c r="AB456" s="88">
        <f>S456-AVERAGEIFS($S$2:$S$976,$B$2:$B$976,B456,$C$2:$C$976,C456)</f>
        <v/>
      </c>
    </row>
    <row r="457" ht="15" customHeight="1" s="68">
      <c r="A457" s="83" t="inlineStr">
        <is>
          <t>PAT-31</t>
        </is>
      </c>
      <c r="B457" s="83" t="inlineStr">
        <is>
          <t>claude</t>
        </is>
      </c>
      <c r="C457" s="83" t="inlineStr">
        <is>
          <t>qwen</t>
        </is>
      </c>
      <c r="D457" s="84" t="n">
        <v>0.254431699687174</v>
      </c>
      <c r="E457" s="84" t="n">
        <v>0.375757575757576</v>
      </c>
      <c r="F457" s="84" t="n">
        <v>0.115853658536585</v>
      </c>
      <c r="G457" s="84" t="n">
        <v>0.315151515151515</v>
      </c>
      <c r="H457" s="84" t="n">
        <v>0.364806511130949</v>
      </c>
      <c r="I457" s="84" t="n">
        <v>0.226326029034713</v>
      </c>
      <c r="J457" s="84" t="n">
        <v>0.720523116507961</v>
      </c>
      <c r="K457" s="84" t="n">
        <v>0.654592447068754</v>
      </c>
      <c r="L457" s="84" t="n">
        <v>0.863616145112321</v>
      </c>
      <c r="M457" s="84" t="n">
        <v>0.710059171597633</v>
      </c>
      <c r="N457" s="84" t="n">
        <v>0.647058823529412</v>
      </c>
      <c r="O457" s="84" t="n">
        <v>1</v>
      </c>
      <c r="P457" s="85">
        <f>AVERAGE(D457:I457)</f>
        <v/>
      </c>
      <c r="Q457" s="85">
        <f>AVERAGE(J457:L457)</f>
        <v/>
      </c>
      <c r="R457" s="85">
        <f>AVERAGE(M457:O457)</f>
        <v/>
      </c>
      <c r="S457" s="85">
        <f>'02_지표정의'!$C$22*P457+'02_지표정의'!$C$23*Q457+'02_지표정의'!$C$24*R457</f>
        <v/>
      </c>
      <c r="T457" s="73">
        <f>IF(OR(AND(B457="gemini",C457="gemma"),AND(B457="qwen3_6",C457="qwen"),AND(B457="mistral",C457="ministral")),1,0)</f>
        <v/>
      </c>
      <c r="U457" s="73">
        <f>IF(LEFT(A457,3)="PAT","특허","보고서")</f>
        <v/>
      </c>
      <c r="V457" s="86">
        <f>COUNTIF($S$2:$S$976,"&lt;"&amp;S457)+(COUNTIF($S$2:$S$976,"="&amp;S457)+1)/2</f>
        <v/>
      </c>
      <c r="W457" s="73">
        <f>IF(C457="qwen",0,COUNTIFS($C$2:$C$976,"&lt;&gt;qwen",$S$2:$S$976,"&lt;"&amp;S457)+1)</f>
        <v/>
      </c>
      <c r="X457" s="73">
        <f>IF(C457="ministral",0,COUNTIFS($C$2:$C$976,"&lt;&gt;ministral",$S$2:$S$976,"&lt;"&amp;S457)+1)</f>
        <v/>
      </c>
      <c r="Y457" s="73">
        <f>IF(C457="gemma",0,COUNTIFS($C$2:$C$976,"&lt;&gt;gemma",$S$2:$S$976,"&lt;"&amp;S457)+1)</f>
        <v/>
      </c>
      <c r="Z457" s="87">
        <f>COUNTIFS($B$2:$B$976,B457,$C$2:$C$976,C457,$S$2:$S$976,"&lt;"&amp;S457)+1</f>
        <v/>
      </c>
      <c r="AA457" s="88">
        <f>ABS(S457-SUMPRODUCT(('05B_가정검정'!$A$5:$A$19=B457)*('05B_가정검정'!$B$5:$B$19=C457)*'05B_가정검정'!$E$5:$E$19))</f>
        <v/>
      </c>
      <c r="AB457" s="88">
        <f>S457-AVERAGEIFS($S$2:$S$976,$B$2:$B$976,B457,$C$2:$C$976,C457)</f>
        <v/>
      </c>
    </row>
    <row r="458" ht="15" customHeight="1" s="68">
      <c r="A458" s="83" t="inlineStr">
        <is>
          <t>PAT-31</t>
        </is>
      </c>
      <c r="B458" s="83" t="inlineStr">
        <is>
          <t>gemini</t>
        </is>
      </c>
      <c r="C458" s="83" t="inlineStr">
        <is>
          <t>gemma</t>
        </is>
      </c>
      <c r="D458" s="84" t="n">
        <v>0.257718120805369</v>
      </c>
      <c r="E458" s="84" t="n">
        <v>0.335260115606936</v>
      </c>
      <c r="F458" s="84" t="n">
        <v>0.105263157894737</v>
      </c>
      <c r="G458" s="84" t="n">
        <v>0.277456647398844</v>
      </c>
      <c r="H458" s="84" t="n">
        <v>0.319494663523034</v>
      </c>
      <c r="I458" s="84" t="n">
        <v>0.151808795424057</v>
      </c>
      <c r="J458" s="84" t="n">
        <v>0.743854620614675</v>
      </c>
      <c r="K458" s="84" t="n">
        <v>0.751334560480856</v>
      </c>
      <c r="L458" s="84" t="n">
        <v>0.883767619903486</v>
      </c>
      <c r="M458" s="84" t="n">
        <v>0.906542056074766</v>
      </c>
      <c r="N458" s="84" t="n">
        <v>0.916666666666667</v>
      </c>
      <c r="O458" s="84" t="n">
        <v>1</v>
      </c>
      <c r="P458" s="85">
        <f>AVERAGE(D458:I458)</f>
        <v/>
      </c>
      <c r="Q458" s="85">
        <f>AVERAGE(J458:L458)</f>
        <v/>
      </c>
      <c r="R458" s="85">
        <f>AVERAGE(M458:O458)</f>
        <v/>
      </c>
      <c r="S458" s="85">
        <f>'02_지표정의'!$C$22*P458+'02_지표정의'!$C$23*Q458+'02_지표정의'!$C$24*R458</f>
        <v/>
      </c>
      <c r="T458" s="73">
        <f>IF(OR(AND(B458="gemini",C458="gemma"),AND(B458="qwen3_6",C458="qwen"),AND(B458="mistral",C458="ministral")),1,0)</f>
        <v/>
      </c>
      <c r="U458" s="73">
        <f>IF(LEFT(A458,3)="PAT","특허","보고서")</f>
        <v/>
      </c>
      <c r="V458" s="86">
        <f>COUNTIF($S$2:$S$976,"&lt;"&amp;S458)+(COUNTIF($S$2:$S$976,"="&amp;S458)+1)/2</f>
        <v/>
      </c>
      <c r="W458" s="73">
        <f>IF(C458="qwen",0,COUNTIFS($C$2:$C$976,"&lt;&gt;qwen",$S$2:$S$976,"&lt;"&amp;S458)+1)</f>
        <v/>
      </c>
      <c r="X458" s="73">
        <f>IF(C458="ministral",0,COUNTIFS($C$2:$C$976,"&lt;&gt;ministral",$S$2:$S$976,"&lt;"&amp;S458)+1)</f>
        <v/>
      </c>
      <c r="Y458" s="73">
        <f>IF(C458="gemma",0,COUNTIFS($C$2:$C$976,"&lt;&gt;gemma",$S$2:$S$976,"&lt;"&amp;S458)+1)</f>
        <v/>
      </c>
      <c r="Z458" s="87">
        <f>COUNTIFS($B$2:$B$976,B458,$C$2:$C$976,C458,$S$2:$S$976,"&lt;"&amp;S458)+1</f>
        <v/>
      </c>
      <c r="AA458" s="88">
        <f>ABS(S458-SUMPRODUCT(('05B_가정검정'!$A$5:$A$19=B458)*('05B_가정검정'!$B$5:$B$19=C458)*'05B_가정검정'!$E$5:$E$19))</f>
        <v/>
      </c>
      <c r="AB458" s="88">
        <f>S458-AVERAGEIFS($S$2:$S$976,$B$2:$B$976,B458,$C$2:$C$976,C458)</f>
        <v/>
      </c>
    </row>
    <row r="459" ht="15" customHeight="1" s="68">
      <c r="A459" s="83" t="inlineStr">
        <is>
          <t>PAT-31</t>
        </is>
      </c>
      <c r="B459" s="83" t="inlineStr">
        <is>
          <t>gemini</t>
        </is>
      </c>
      <c r="C459" s="83" t="inlineStr">
        <is>
          <t>ministral</t>
        </is>
      </c>
      <c r="D459" s="84" t="n">
        <v>0.279635258358663</v>
      </c>
      <c r="E459" s="84" t="n">
        <v>0.229166666666667</v>
      </c>
      <c r="F459" s="84" t="n">
        <v>0.0575916230366492</v>
      </c>
      <c r="G459" s="84" t="n">
        <v>0.192708333333333</v>
      </c>
      <c r="H459" s="84" t="n">
        <v>0.188484022031375</v>
      </c>
      <c r="I459" s="84" t="n">
        <v>0.155458930714895</v>
      </c>
      <c r="J459" s="84" t="n">
        <v>0.743185227847443</v>
      </c>
      <c r="K459" s="84" t="n">
        <v>0.719038575671293</v>
      </c>
      <c r="L459" s="84" t="n">
        <v>0.868245664018429</v>
      </c>
      <c r="M459" s="84" t="n">
        <v>0.331058020477816</v>
      </c>
      <c r="N459" s="84" t="n">
        <v>0.404411764705882</v>
      </c>
      <c r="O459" s="84" t="n">
        <v>1</v>
      </c>
      <c r="P459" s="85">
        <f>AVERAGE(D459:I459)</f>
        <v/>
      </c>
      <c r="Q459" s="85">
        <f>AVERAGE(J459:L459)</f>
        <v/>
      </c>
      <c r="R459" s="85">
        <f>AVERAGE(M459:O459)</f>
        <v/>
      </c>
      <c r="S459" s="85">
        <f>'02_지표정의'!$C$22*P459+'02_지표정의'!$C$23*Q459+'02_지표정의'!$C$24*R459</f>
        <v/>
      </c>
      <c r="T459" s="73">
        <f>IF(OR(AND(B459="gemini",C459="gemma"),AND(B459="qwen3_6",C459="qwen"),AND(B459="mistral",C459="ministral")),1,0)</f>
        <v/>
      </c>
      <c r="U459" s="73">
        <f>IF(LEFT(A459,3)="PAT","특허","보고서")</f>
        <v/>
      </c>
      <c r="V459" s="86">
        <f>COUNTIF($S$2:$S$976,"&lt;"&amp;S459)+(COUNTIF($S$2:$S$976,"="&amp;S459)+1)/2</f>
        <v/>
      </c>
      <c r="W459" s="73">
        <f>IF(C459="qwen",0,COUNTIFS($C$2:$C$976,"&lt;&gt;qwen",$S$2:$S$976,"&lt;"&amp;S459)+1)</f>
        <v/>
      </c>
      <c r="X459" s="73">
        <f>IF(C459="ministral",0,COUNTIFS($C$2:$C$976,"&lt;&gt;ministral",$S$2:$S$976,"&lt;"&amp;S459)+1)</f>
        <v/>
      </c>
      <c r="Y459" s="73">
        <f>IF(C459="gemma",0,COUNTIFS($C$2:$C$976,"&lt;&gt;gemma",$S$2:$S$976,"&lt;"&amp;S459)+1)</f>
        <v/>
      </c>
      <c r="Z459" s="87">
        <f>COUNTIFS($B$2:$B$976,B459,$C$2:$C$976,C459,$S$2:$S$976,"&lt;"&amp;S459)+1</f>
        <v/>
      </c>
      <c r="AA459" s="88">
        <f>ABS(S459-SUMPRODUCT(('05B_가정검정'!$A$5:$A$19=B459)*('05B_가정검정'!$B$5:$B$19=C459)*'05B_가정검정'!$E$5:$E$19))</f>
        <v/>
      </c>
      <c r="AB459" s="88">
        <f>S459-AVERAGEIFS($S$2:$S$976,$B$2:$B$976,B459,$C$2:$C$976,C459)</f>
        <v/>
      </c>
    </row>
    <row r="460" ht="15" customHeight="1" s="68">
      <c r="A460" s="83" t="inlineStr">
        <is>
          <t>PAT-31</t>
        </is>
      </c>
      <c r="B460" s="83" t="inlineStr">
        <is>
          <t>gemini</t>
        </is>
      </c>
      <c r="C460" s="83" t="inlineStr">
        <is>
          <t>qwen</t>
        </is>
      </c>
      <c r="D460" s="84" t="n">
        <v>0.292682926829268</v>
      </c>
      <c r="E460" s="84" t="n">
        <v>0.32</v>
      </c>
      <c r="F460" s="84" t="n">
        <v>0.120967741935484</v>
      </c>
      <c r="G460" s="84" t="n">
        <v>0.264</v>
      </c>
      <c r="H460" s="84" t="n">
        <v>0.287815303452857</v>
      </c>
      <c r="I460" s="84" t="n">
        <v>0.263162639228933</v>
      </c>
      <c r="J460" s="84" t="n">
        <v>0.773571046029101</v>
      </c>
      <c r="K460" s="84" t="n">
        <v>0.755354854755385</v>
      </c>
      <c r="L460" s="84" t="n">
        <v>0.88444062418075</v>
      </c>
      <c r="M460" s="84" t="n">
        <v>0.5739644970414201</v>
      </c>
      <c r="N460" s="84" t="n">
        <v>0.53921568627451</v>
      </c>
      <c r="O460" s="84" t="n">
        <v>1</v>
      </c>
      <c r="P460" s="85">
        <f>AVERAGE(D460:I460)</f>
        <v/>
      </c>
      <c r="Q460" s="85">
        <f>AVERAGE(J460:L460)</f>
        <v/>
      </c>
      <c r="R460" s="85">
        <f>AVERAGE(M460:O460)</f>
        <v/>
      </c>
      <c r="S460" s="85">
        <f>'02_지표정의'!$C$22*P460+'02_지표정의'!$C$23*Q460+'02_지표정의'!$C$24*R460</f>
        <v/>
      </c>
      <c r="T460" s="73">
        <f>IF(OR(AND(B460="gemini",C460="gemma"),AND(B460="qwen3_6",C460="qwen"),AND(B460="mistral",C460="ministral")),1,0)</f>
        <v/>
      </c>
      <c r="U460" s="73">
        <f>IF(LEFT(A460,3)="PAT","특허","보고서")</f>
        <v/>
      </c>
      <c r="V460" s="86">
        <f>COUNTIF($S$2:$S$976,"&lt;"&amp;S460)+(COUNTIF($S$2:$S$976,"="&amp;S460)+1)/2</f>
        <v/>
      </c>
      <c r="W460" s="73">
        <f>IF(C460="qwen",0,COUNTIFS($C$2:$C$976,"&lt;&gt;qwen",$S$2:$S$976,"&lt;"&amp;S460)+1)</f>
        <v/>
      </c>
      <c r="X460" s="73">
        <f>IF(C460="ministral",0,COUNTIFS($C$2:$C$976,"&lt;&gt;ministral",$S$2:$S$976,"&lt;"&amp;S460)+1)</f>
        <v/>
      </c>
      <c r="Y460" s="73">
        <f>IF(C460="gemma",0,COUNTIFS($C$2:$C$976,"&lt;&gt;gemma",$S$2:$S$976,"&lt;"&amp;S460)+1)</f>
        <v/>
      </c>
      <c r="Z460" s="87">
        <f>COUNTIFS($B$2:$B$976,B460,$C$2:$C$976,C460,$S$2:$S$976,"&lt;"&amp;S460)+1</f>
        <v/>
      </c>
      <c r="AA460" s="88">
        <f>ABS(S460-SUMPRODUCT(('05B_가정검정'!$A$5:$A$19=B460)*('05B_가정검정'!$B$5:$B$19=C460)*'05B_가정검정'!$E$5:$E$19))</f>
        <v/>
      </c>
      <c r="AB460" s="88">
        <f>S460-AVERAGEIFS($S$2:$S$976,$B$2:$B$976,B460,$C$2:$C$976,C460)</f>
        <v/>
      </c>
    </row>
    <row r="461" ht="15" customHeight="1" s="68">
      <c r="A461" s="83" t="inlineStr">
        <is>
          <t>PAT-31</t>
        </is>
      </c>
      <c r="B461" s="83" t="inlineStr">
        <is>
          <t>mistral</t>
        </is>
      </c>
      <c r="C461" s="83" t="inlineStr">
        <is>
          <t>gemma</t>
        </is>
      </c>
      <c r="D461" s="84" t="n">
        <v>0.2456608811749</v>
      </c>
      <c r="E461" s="84" t="n">
        <v>0.362637362637363</v>
      </c>
      <c r="F461" s="84" t="n">
        <v>0.144444444444445</v>
      </c>
      <c r="G461" s="84" t="n">
        <v>0.32967032967033</v>
      </c>
      <c r="H461" s="84" t="n">
        <v>0.325581676974407</v>
      </c>
      <c r="I461" s="84" t="n">
        <v>0.173849251159916</v>
      </c>
      <c r="J461" s="84" t="n">
        <v>0.71069587470618</v>
      </c>
      <c r="K461" s="84" t="n">
        <v>0.659246009621287</v>
      </c>
      <c r="L461" s="84" t="n">
        <v>0.864221552220688</v>
      </c>
      <c r="M461" s="84" t="n">
        <v>0.659259259259259</v>
      </c>
      <c r="N461" s="84" t="n">
        <v>0.6621621621621619</v>
      </c>
      <c r="O461" s="84" t="n">
        <v>1</v>
      </c>
      <c r="P461" s="85">
        <f>AVERAGE(D461:I461)</f>
        <v/>
      </c>
      <c r="Q461" s="85">
        <f>AVERAGE(J461:L461)</f>
        <v/>
      </c>
      <c r="R461" s="85">
        <f>AVERAGE(M461:O461)</f>
        <v/>
      </c>
      <c r="S461" s="85">
        <f>'02_지표정의'!$C$22*P461+'02_지표정의'!$C$23*Q461+'02_지표정의'!$C$24*R461</f>
        <v/>
      </c>
      <c r="T461" s="73">
        <f>IF(OR(AND(B461="gemini",C461="gemma"),AND(B461="qwen3_6",C461="qwen"),AND(B461="mistral",C461="ministral")),1,0)</f>
        <v/>
      </c>
      <c r="U461" s="73">
        <f>IF(LEFT(A461,3)="PAT","특허","보고서")</f>
        <v/>
      </c>
      <c r="V461" s="86">
        <f>COUNTIF($S$2:$S$976,"&lt;"&amp;S461)+(COUNTIF($S$2:$S$976,"="&amp;S461)+1)/2</f>
        <v/>
      </c>
      <c r="W461" s="73">
        <f>IF(C461="qwen",0,COUNTIFS($C$2:$C$976,"&lt;&gt;qwen",$S$2:$S$976,"&lt;"&amp;S461)+1)</f>
        <v/>
      </c>
      <c r="X461" s="73">
        <f>IF(C461="ministral",0,COUNTIFS($C$2:$C$976,"&lt;&gt;ministral",$S$2:$S$976,"&lt;"&amp;S461)+1)</f>
        <v/>
      </c>
      <c r="Y461" s="73">
        <f>IF(C461="gemma",0,COUNTIFS($C$2:$C$976,"&lt;&gt;gemma",$S$2:$S$976,"&lt;"&amp;S461)+1)</f>
        <v/>
      </c>
      <c r="Z461" s="87">
        <f>COUNTIFS($B$2:$B$976,B461,$C$2:$C$976,C461,$S$2:$S$976,"&lt;"&amp;S461)+1</f>
        <v/>
      </c>
      <c r="AA461" s="88">
        <f>ABS(S461-SUMPRODUCT(('05B_가정검정'!$A$5:$A$19=B461)*('05B_가정검정'!$B$5:$B$19=C461)*'05B_가정검정'!$E$5:$E$19))</f>
        <v/>
      </c>
      <c r="AB461" s="88">
        <f>S461-AVERAGEIFS($S$2:$S$976,$B$2:$B$976,B461,$C$2:$C$976,C461)</f>
        <v/>
      </c>
    </row>
    <row r="462" ht="15" customHeight="1" s="68">
      <c r="A462" s="83" t="inlineStr">
        <is>
          <t>PAT-31</t>
        </is>
      </c>
      <c r="B462" s="83" t="inlineStr">
        <is>
          <t>mistral</t>
        </is>
      </c>
      <c r="C462" s="83" t="inlineStr">
        <is>
          <t>ministral</t>
        </is>
      </c>
      <c r="D462" s="84" t="n">
        <v>0.311178247734139</v>
      </c>
      <c r="E462" s="84" t="n">
        <v>0.274809160305344</v>
      </c>
      <c r="F462" s="84" t="n">
        <v>0.081841432225064</v>
      </c>
      <c r="G462" s="84" t="n">
        <v>0.213740458015267</v>
      </c>
      <c r="H462" s="84" t="n">
        <v>0.206568804017254</v>
      </c>
      <c r="I462" s="84" t="n">
        <v>0.191639176944336</v>
      </c>
      <c r="J462" s="84" t="n">
        <v>0.685223507429543</v>
      </c>
      <c r="K462" s="84" t="n">
        <v>0.68856342170147</v>
      </c>
      <c r="L462" s="84" t="n">
        <v>0.832196449540631</v>
      </c>
      <c r="M462" s="84" t="n">
        <v>0.406143344709898</v>
      </c>
      <c r="N462" s="84" t="n">
        <v>0.345588235294118</v>
      </c>
      <c r="O462" s="84" t="n">
        <v>1</v>
      </c>
      <c r="P462" s="85">
        <f>AVERAGE(D462:I462)</f>
        <v/>
      </c>
      <c r="Q462" s="85">
        <f>AVERAGE(J462:L462)</f>
        <v/>
      </c>
      <c r="R462" s="85">
        <f>AVERAGE(M462:O462)</f>
        <v/>
      </c>
      <c r="S462" s="85">
        <f>'02_지표정의'!$C$22*P462+'02_지표정의'!$C$23*Q462+'02_지표정의'!$C$24*R462</f>
        <v/>
      </c>
      <c r="T462" s="73">
        <f>IF(OR(AND(B462="gemini",C462="gemma"),AND(B462="qwen3_6",C462="qwen"),AND(B462="mistral",C462="ministral")),1,0)</f>
        <v/>
      </c>
      <c r="U462" s="73">
        <f>IF(LEFT(A462,3)="PAT","특허","보고서")</f>
        <v/>
      </c>
      <c r="V462" s="86">
        <f>COUNTIF($S$2:$S$976,"&lt;"&amp;S462)+(COUNTIF($S$2:$S$976,"="&amp;S462)+1)/2</f>
        <v/>
      </c>
      <c r="W462" s="73">
        <f>IF(C462="qwen",0,COUNTIFS($C$2:$C$976,"&lt;&gt;qwen",$S$2:$S$976,"&lt;"&amp;S462)+1)</f>
        <v/>
      </c>
      <c r="X462" s="73">
        <f>IF(C462="ministral",0,COUNTIFS($C$2:$C$976,"&lt;&gt;ministral",$S$2:$S$976,"&lt;"&amp;S462)+1)</f>
        <v/>
      </c>
      <c r="Y462" s="73">
        <f>IF(C462="gemma",0,COUNTIFS($C$2:$C$976,"&lt;&gt;gemma",$S$2:$S$976,"&lt;"&amp;S462)+1)</f>
        <v/>
      </c>
      <c r="Z462" s="87">
        <f>COUNTIFS($B$2:$B$976,B462,$C$2:$C$976,C462,$S$2:$S$976,"&lt;"&amp;S462)+1</f>
        <v/>
      </c>
      <c r="AA462" s="88">
        <f>ABS(S462-SUMPRODUCT(('05B_가정검정'!$A$5:$A$19=B462)*('05B_가정검정'!$B$5:$B$19=C462)*'05B_가정검정'!$E$5:$E$19))</f>
        <v/>
      </c>
      <c r="AB462" s="88">
        <f>S462-AVERAGEIFS($S$2:$S$976,$B$2:$B$976,B462,$C$2:$C$976,C462)</f>
        <v/>
      </c>
    </row>
    <row r="463" ht="15" customHeight="1" s="68">
      <c r="A463" s="83" t="inlineStr">
        <is>
          <t>PAT-31</t>
        </is>
      </c>
      <c r="B463" s="83" t="inlineStr">
        <is>
          <t>mistral</t>
        </is>
      </c>
      <c r="C463" s="83" t="inlineStr">
        <is>
          <t>qwen</t>
        </is>
      </c>
      <c r="D463" s="84" t="n">
        <v>0.274932614555256</v>
      </c>
      <c r="E463" s="84" t="n">
        <v>0.33976833976834</v>
      </c>
      <c r="F463" s="84" t="n">
        <v>0.132295719844358</v>
      </c>
      <c r="G463" s="84" t="n">
        <v>0.285714285714286</v>
      </c>
      <c r="H463" s="84" t="n">
        <v>0.28873404453732</v>
      </c>
      <c r="I463" s="84" t="n">
        <v>0.224280447138218</v>
      </c>
      <c r="J463" s="84" t="n">
        <v>0.717142617814313</v>
      </c>
      <c r="K463" s="84" t="n">
        <v>0.647548144007678</v>
      </c>
      <c r="L463" s="84" t="n">
        <v>0.810248995545535</v>
      </c>
      <c r="M463" s="84" t="n">
        <v>0.467455621301775</v>
      </c>
      <c r="N463" s="84" t="n">
        <v>0.343137254901961</v>
      </c>
      <c r="O463" s="84" t="n">
        <v>1</v>
      </c>
      <c r="P463" s="85">
        <f>AVERAGE(D463:I463)</f>
        <v/>
      </c>
      <c r="Q463" s="85">
        <f>AVERAGE(J463:L463)</f>
        <v/>
      </c>
      <c r="R463" s="85">
        <f>AVERAGE(M463:O463)</f>
        <v/>
      </c>
      <c r="S463" s="85">
        <f>'02_지표정의'!$C$22*P463+'02_지표정의'!$C$23*Q463+'02_지표정의'!$C$24*R463</f>
        <v/>
      </c>
      <c r="T463" s="73">
        <f>IF(OR(AND(B463="gemini",C463="gemma"),AND(B463="qwen3_6",C463="qwen"),AND(B463="mistral",C463="ministral")),1,0)</f>
        <v/>
      </c>
      <c r="U463" s="73">
        <f>IF(LEFT(A463,3)="PAT","특허","보고서")</f>
        <v/>
      </c>
      <c r="V463" s="86">
        <f>COUNTIF($S$2:$S$976,"&lt;"&amp;S463)+(COUNTIF($S$2:$S$976,"="&amp;S463)+1)/2</f>
        <v/>
      </c>
      <c r="W463" s="73">
        <f>IF(C463="qwen",0,COUNTIFS($C$2:$C$976,"&lt;&gt;qwen",$S$2:$S$976,"&lt;"&amp;S463)+1)</f>
        <v/>
      </c>
      <c r="X463" s="73">
        <f>IF(C463="ministral",0,COUNTIFS($C$2:$C$976,"&lt;&gt;ministral",$S$2:$S$976,"&lt;"&amp;S463)+1)</f>
        <v/>
      </c>
      <c r="Y463" s="73">
        <f>IF(C463="gemma",0,COUNTIFS($C$2:$C$976,"&lt;&gt;gemma",$S$2:$S$976,"&lt;"&amp;S463)+1)</f>
        <v/>
      </c>
      <c r="Z463" s="87">
        <f>COUNTIFS($B$2:$B$976,B463,$C$2:$C$976,C463,$S$2:$S$976,"&lt;"&amp;S463)+1</f>
        <v/>
      </c>
      <c r="AA463" s="88">
        <f>ABS(S463-SUMPRODUCT(('05B_가정검정'!$A$5:$A$19=B463)*('05B_가정검정'!$B$5:$B$19=C463)*'05B_가정검정'!$E$5:$E$19))</f>
        <v/>
      </c>
      <c r="AB463" s="88">
        <f>S463-AVERAGEIFS($S$2:$S$976,$B$2:$B$976,B463,$C$2:$C$976,C463)</f>
        <v/>
      </c>
    </row>
    <row r="464" ht="15" customHeight="1" s="68">
      <c r="A464" s="83" t="inlineStr">
        <is>
          <t>PAT-31</t>
        </is>
      </c>
      <c r="B464" s="83" t="inlineStr">
        <is>
          <t>qwen3_6</t>
        </is>
      </c>
      <c r="C464" s="83" t="inlineStr">
        <is>
          <t>gemma</t>
        </is>
      </c>
      <c r="D464" s="84" t="n">
        <v>0.22879177377892</v>
      </c>
      <c r="E464" s="84" t="n">
        <v>0.324074074074074</v>
      </c>
      <c r="F464" s="84" t="n">
        <v>0.11214953271028</v>
      </c>
      <c r="G464" s="84" t="n">
        <v>0.277777777777778</v>
      </c>
      <c r="H464" s="84" t="n">
        <v>0.353567313662912</v>
      </c>
      <c r="I464" s="84" t="n">
        <v>0.142827032589981</v>
      </c>
      <c r="J464" s="84" t="n">
        <v>0.7065589896903171</v>
      </c>
      <c r="K464" s="84" t="n">
        <v>0.695692859379328</v>
      </c>
      <c r="L464" s="84" t="n">
        <v>0.887970503212561</v>
      </c>
      <c r="M464" s="84" t="n">
        <v>0.906542056074766</v>
      </c>
      <c r="N464" s="84" t="n">
        <v>0.916666666666667</v>
      </c>
      <c r="O464" s="84" t="n">
        <v>1</v>
      </c>
      <c r="P464" s="85">
        <f>AVERAGE(D464:I464)</f>
        <v/>
      </c>
      <c r="Q464" s="85">
        <f>AVERAGE(J464:L464)</f>
        <v/>
      </c>
      <c r="R464" s="85">
        <f>AVERAGE(M464:O464)</f>
        <v/>
      </c>
      <c r="S464" s="85">
        <f>'02_지표정의'!$C$22*P464+'02_지표정의'!$C$23*Q464+'02_지표정의'!$C$24*R464</f>
        <v/>
      </c>
      <c r="T464" s="73">
        <f>IF(OR(AND(B464="gemini",C464="gemma"),AND(B464="qwen3_6",C464="qwen"),AND(B464="mistral",C464="ministral")),1,0)</f>
        <v/>
      </c>
      <c r="U464" s="73">
        <f>IF(LEFT(A464,3)="PAT","특허","보고서")</f>
        <v/>
      </c>
      <c r="V464" s="86">
        <f>COUNTIF($S$2:$S$976,"&lt;"&amp;S464)+(COUNTIF($S$2:$S$976,"="&amp;S464)+1)/2</f>
        <v/>
      </c>
      <c r="W464" s="73">
        <f>IF(C464="qwen",0,COUNTIFS($C$2:$C$976,"&lt;&gt;qwen",$S$2:$S$976,"&lt;"&amp;S464)+1)</f>
        <v/>
      </c>
      <c r="X464" s="73">
        <f>IF(C464="ministral",0,COUNTIFS($C$2:$C$976,"&lt;&gt;ministral",$S$2:$S$976,"&lt;"&amp;S464)+1)</f>
        <v/>
      </c>
      <c r="Y464" s="73">
        <f>IF(C464="gemma",0,COUNTIFS($C$2:$C$976,"&lt;&gt;gemma",$S$2:$S$976,"&lt;"&amp;S464)+1)</f>
        <v/>
      </c>
      <c r="Z464" s="87">
        <f>COUNTIFS($B$2:$B$976,B464,$C$2:$C$976,C464,$S$2:$S$976,"&lt;"&amp;S464)+1</f>
        <v/>
      </c>
      <c r="AA464" s="88">
        <f>ABS(S464-SUMPRODUCT(('05B_가정검정'!$A$5:$A$19=B464)*('05B_가정검정'!$B$5:$B$19=C464)*'05B_가정검정'!$E$5:$E$19))</f>
        <v/>
      </c>
      <c r="AB464" s="88">
        <f>S464-AVERAGEIFS($S$2:$S$976,$B$2:$B$976,B464,$C$2:$C$976,C464)</f>
        <v/>
      </c>
    </row>
    <row r="465" ht="15" customHeight="1" s="68">
      <c r="A465" s="83" t="inlineStr">
        <is>
          <t>PAT-31</t>
        </is>
      </c>
      <c r="B465" s="83" t="inlineStr">
        <is>
          <t>qwen3_6</t>
        </is>
      </c>
      <c r="C465" s="83" t="inlineStr">
        <is>
          <t>ministral</t>
        </is>
      </c>
      <c r="D465" s="84" t="n">
        <v>0.280752532561505</v>
      </c>
      <c r="E465" s="84" t="n">
        <v>0.276346604215457</v>
      </c>
      <c r="F465" s="84" t="n">
        <v>0.108235294117647</v>
      </c>
      <c r="G465" s="84" t="n">
        <v>0.201405152224824</v>
      </c>
      <c r="H465" s="84" t="n">
        <v>0.219336668932183</v>
      </c>
      <c r="I465" s="84" t="n">
        <v>0.18858715505314</v>
      </c>
      <c r="J465" s="84" t="n">
        <v>0.701780940095584</v>
      </c>
      <c r="K465" s="84" t="n">
        <v>0.667021402168425</v>
      </c>
      <c r="L465" s="84" t="n">
        <v>0.818651414126222</v>
      </c>
      <c r="M465" s="84" t="n">
        <v>0.331058020477816</v>
      </c>
      <c r="N465" s="84" t="n">
        <v>0.404411764705882</v>
      </c>
      <c r="O465" s="84" t="n">
        <v>1</v>
      </c>
      <c r="P465" s="85">
        <f>AVERAGE(D465:I465)</f>
        <v/>
      </c>
      <c r="Q465" s="85">
        <f>AVERAGE(J465:L465)</f>
        <v/>
      </c>
      <c r="R465" s="85">
        <f>AVERAGE(M465:O465)</f>
        <v/>
      </c>
      <c r="S465" s="85">
        <f>'02_지표정의'!$C$22*P465+'02_지표정의'!$C$23*Q465+'02_지표정의'!$C$24*R465</f>
        <v/>
      </c>
      <c r="T465" s="73">
        <f>IF(OR(AND(B465="gemini",C465="gemma"),AND(B465="qwen3_6",C465="qwen"),AND(B465="mistral",C465="ministral")),1,0)</f>
        <v/>
      </c>
      <c r="U465" s="73">
        <f>IF(LEFT(A465,3)="PAT","특허","보고서")</f>
        <v/>
      </c>
      <c r="V465" s="86">
        <f>COUNTIF($S$2:$S$976,"&lt;"&amp;S465)+(COUNTIF($S$2:$S$976,"="&amp;S465)+1)/2</f>
        <v/>
      </c>
      <c r="W465" s="73">
        <f>IF(C465="qwen",0,COUNTIFS($C$2:$C$976,"&lt;&gt;qwen",$S$2:$S$976,"&lt;"&amp;S465)+1)</f>
        <v/>
      </c>
      <c r="X465" s="73">
        <f>IF(C465="ministral",0,COUNTIFS($C$2:$C$976,"&lt;&gt;ministral",$S$2:$S$976,"&lt;"&amp;S465)+1)</f>
        <v/>
      </c>
      <c r="Y465" s="73">
        <f>IF(C465="gemma",0,COUNTIFS($C$2:$C$976,"&lt;&gt;gemma",$S$2:$S$976,"&lt;"&amp;S465)+1)</f>
        <v/>
      </c>
      <c r="Z465" s="87">
        <f>COUNTIFS($B$2:$B$976,B465,$C$2:$C$976,C465,$S$2:$S$976,"&lt;"&amp;S465)+1</f>
        <v/>
      </c>
      <c r="AA465" s="88">
        <f>ABS(S465-SUMPRODUCT(('05B_가정검정'!$A$5:$A$19=B465)*('05B_가정검정'!$B$5:$B$19=C465)*'05B_가정검정'!$E$5:$E$19))</f>
        <v/>
      </c>
      <c r="AB465" s="88">
        <f>S465-AVERAGEIFS($S$2:$S$976,$B$2:$B$976,B465,$C$2:$C$976,C465)</f>
        <v/>
      </c>
    </row>
    <row r="466" ht="15" customHeight="1" s="68">
      <c r="A466" s="83" t="inlineStr">
        <is>
          <t>PAT-31</t>
        </is>
      </c>
      <c r="B466" s="83" t="inlineStr">
        <is>
          <t>qwen3_6</t>
        </is>
      </c>
      <c r="C466" s="83" t="inlineStr">
        <is>
          <t>qwen</t>
        </is>
      </c>
      <c r="D466" s="84" t="n">
        <v>0.2905317769131</v>
      </c>
      <c r="E466" s="84" t="n">
        <v>0.389078498293515</v>
      </c>
      <c r="F466" s="84" t="n">
        <v>0.144329896907217</v>
      </c>
      <c r="G466" s="84" t="n">
        <v>0.300341296928328</v>
      </c>
      <c r="H466" s="84" t="n">
        <v>0.362704471480065</v>
      </c>
      <c r="I466" s="84" t="n">
        <v>0.317460197261693</v>
      </c>
      <c r="J466" s="84" t="n">
        <v>0.743235840672598</v>
      </c>
      <c r="K466" s="84" t="n">
        <v>0.71425541252492</v>
      </c>
      <c r="L466" s="84" t="n">
        <v>0.882988731813133</v>
      </c>
      <c r="M466" s="84" t="n">
        <v>0.5739644970414201</v>
      </c>
      <c r="N466" s="84" t="n">
        <v>0.53921568627451</v>
      </c>
      <c r="O466" s="84" t="n">
        <v>1</v>
      </c>
      <c r="P466" s="85">
        <f>AVERAGE(D466:I466)</f>
        <v/>
      </c>
      <c r="Q466" s="85">
        <f>AVERAGE(J466:L466)</f>
        <v/>
      </c>
      <c r="R466" s="85">
        <f>AVERAGE(M466:O466)</f>
        <v/>
      </c>
      <c r="S466" s="85">
        <f>'02_지표정의'!$C$22*P466+'02_지표정의'!$C$23*Q466+'02_지표정의'!$C$24*R466</f>
        <v/>
      </c>
      <c r="T466" s="73">
        <f>IF(OR(AND(B466="gemini",C466="gemma"),AND(B466="qwen3_6",C466="qwen"),AND(B466="mistral",C466="ministral")),1,0)</f>
        <v/>
      </c>
      <c r="U466" s="73">
        <f>IF(LEFT(A466,3)="PAT","특허","보고서")</f>
        <v/>
      </c>
      <c r="V466" s="86">
        <f>COUNTIF($S$2:$S$976,"&lt;"&amp;S466)+(COUNTIF($S$2:$S$976,"="&amp;S466)+1)/2</f>
        <v/>
      </c>
      <c r="W466" s="73">
        <f>IF(C466="qwen",0,COUNTIFS($C$2:$C$976,"&lt;&gt;qwen",$S$2:$S$976,"&lt;"&amp;S466)+1)</f>
        <v/>
      </c>
      <c r="X466" s="73">
        <f>IF(C466="ministral",0,COUNTIFS($C$2:$C$976,"&lt;&gt;ministral",$S$2:$S$976,"&lt;"&amp;S466)+1)</f>
        <v/>
      </c>
      <c r="Y466" s="73">
        <f>IF(C466="gemma",0,COUNTIFS($C$2:$C$976,"&lt;&gt;gemma",$S$2:$S$976,"&lt;"&amp;S466)+1)</f>
        <v/>
      </c>
      <c r="Z466" s="87">
        <f>COUNTIFS($B$2:$B$976,B466,$C$2:$C$976,C466,$S$2:$S$976,"&lt;"&amp;S466)+1</f>
        <v/>
      </c>
      <c r="AA466" s="88">
        <f>ABS(S466-SUMPRODUCT(('05B_가정검정'!$A$5:$A$19=B466)*('05B_가정검정'!$B$5:$B$19=C466)*'05B_가정검정'!$E$5:$E$19))</f>
        <v/>
      </c>
      <c r="AB466" s="88">
        <f>S466-AVERAGEIFS($S$2:$S$976,$B$2:$B$976,B466,$C$2:$C$976,C466)</f>
        <v/>
      </c>
    </row>
    <row r="467" ht="15" customHeight="1" s="68">
      <c r="A467" s="83" t="inlineStr">
        <is>
          <t>RPT-01</t>
        </is>
      </c>
      <c r="B467" s="83" t="inlineStr">
        <is>
          <t>chatgpt</t>
        </is>
      </c>
      <c r="C467" s="83" t="inlineStr">
        <is>
          <t>gemma</t>
        </is>
      </c>
      <c r="D467" s="84" t="n">
        <v>0.240896358543417</v>
      </c>
      <c r="E467" s="84" t="n">
        <v>0.362869198312236</v>
      </c>
      <c r="F467" s="84" t="n">
        <v>0.14468085106383</v>
      </c>
      <c r="G467" s="84" t="n">
        <v>0.270042194092827</v>
      </c>
      <c r="H467" s="84" t="n">
        <v>0.230685868441195</v>
      </c>
      <c r="I467" s="84" t="n">
        <v>0.269638594582495</v>
      </c>
      <c r="J467" s="84" t="n">
        <v>0.604734405854452</v>
      </c>
      <c r="K467" s="84" t="n">
        <v>0.646750272741533</v>
      </c>
      <c r="L467" s="84" t="n">
        <v>0.78253238145885</v>
      </c>
      <c r="M467" s="84" t="n">
        <v>0.515151515151515</v>
      </c>
      <c r="N467" s="84" t="n">
        <v>0.213483146067416</v>
      </c>
      <c r="O467" s="84" t="n">
        <v>1</v>
      </c>
      <c r="P467" s="85">
        <f>AVERAGE(D467:I467)</f>
        <v/>
      </c>
      <c r="Q467" s="85">
        <f>AVERAGE(J467:L467)</f>
        <v/>
      </c>
      <c r="R467" s="85">
        <f>AVERAGE(M467:O467)</f>
        <v/>
      </c>
      <c r="S467" s="85">
        <f>'02_지표정의'!$C$22*P467+'02_지표정의'!$C$23*Q467+'02_지표정의'!$C$24*R467</f>
        <v/>
      </c>
      <c r="T467" s="73">
        <f>IF(OR(AND(B467="gemini",C467="gemma"),AND(B467="qwen3_6",C467="qwen"),AND(B467="mistral",C467="ministral")),1,0)</f>
        <v/>
      </c>
      <c r="U467" s="73">
        <f>IF(LEFT(A467,3)="PAT","특허","보고서")</f>
        <v/>
      </c>
      <c r="V467" s="86">
        <f>COUNTIF($S$2:$S$976,"&lt;"&amp;S467)+(COUNTIF($S$2:$S$976,"="&amp;S467)+1)/2</f>
        <v/>
      </c>
      <c r="W467" s="73">
        <f>IF(C467="qwen",0,COUNTIFS($C$2:$C$976,"&lt;&gt;qwen",$S$2:$S$976,"&lt;"&amp;S467)+1)</f>
        <v/>
      </c>
      <c r="X467" s="73">
        <f>IF(C467="ministral",0,COUNTIFS($C$2:$C$976,"&lt;&gt;ministral",$S$2:$S$976,"&lt;"&amp;S467)+1)</f>
        <v/>
      </c>
      <c r="Y467" s="73">
        <f>IF(C467="gemma",0,COUNTIFS($C$2:$C$976,"&lt;&gt;gemma",$S$2:$S$976,"&lt;"&amp;S467)+1)</f>
        <v/>
      </c>
      <c r="Z467" s="87">
        <f>COUNTIFS($B$2:$B$976,B467,$C$2:$C$976,C467,$S$2:$S$976,"&lt;"&amp;S467)+1</f>
        <v/>
      </c>
      <c r="AA467" s="88">
        <f>ABS(S467-SUMPRODUCT(('05B_가정검정'!$A$5:$A$19=B467)*('05B_가정검정'!$B$5:$B$19=C467)*'05B_가정검정'!$E$5:$E$19))</f>
        <v/>
      </c>
      <c r="AB467" s="88">
        <f>S467-AVERAGEIFS($S$2:$S$976,$B$2:$B$976,B467,$C$2:$C$976,C467)</f>
        <v/>
      </c>
    </row>
    <row r="468" ht="15" customHeight="1" s="68">
      <c r="A468" s="83" t="inlineStr">
        <is>
          <t>RPT-01</t>
        </is>
      </c>
      <c r="B468" s="83" t="inlineStr">
        <is>
          <t>chatgpt</t>
        </is>
      </c>
      <c r="C468" s="83" t="inlineStr">
        <is>
          <t>ministral</t>
        </is>
      </c>
      <c r="D468" s="84" t="n">
        <v>0.373076923076923</v>
      </c>
      <c r="E468" s="84" t="n">
        <v>0.314199395770393</v>
      </c>
      <c r="F468" s="84" t="n">
        <v>0.133738601823708</v>
      </c>
      <c r="G468" s="84" t="n">
        <v>0.229607250755287</v>
      </c>
      <c r="H468" s="84" t="n">
        <v>0.181849017568947</v>
      </c>
      <c r="I468" s="84" t="n">
        <v>0.463769576165831</v>
      </c>
      <c r="J468" s="84" t="n">
        <v>0.679381972096754</v>
      </c>
      <c r="K468" s="84" t="n">
        <v>0.693964042704697</v>
      </c>
      <c r="L468" s="84" t="n">
        <v>0.783334316454166</v>
      </c>
      <c r="M468" s="84" t="n">
        <v>0.448979591836735</v>
      </c>
      <c r="N468" s="84" t="n">
        <v>0</v>
      </c>
      <c r="O468" s="84" t="n">
        <v>1</v>
      </c>
      <c r="P468" s="85">
        <f>AVERAGE(D468:I468)</f>
        <v/>
      </c>
      <c r="Q468" s="85">
        <f>AVERAGE(J468:L468)</f>
        <v/>
      </c>
      <c r="R468" s="85">
        <f>AVERAGE(M468:O468)</f>
        <v/>
      </c>
      <c r="S468" s="85">
        <f>'02_지표정의'!$C$22*P468+'02_지표정의'!$C$23*Q468+'02_지표정의'!$C$24*R468</f>
        <v/>
      </c>
      <c r="T468" s="73">
        <f>IF(OR(AND(B468="gemini",C468="gemma"),AND(B468="qwen3_6",C468="qwen"),AND(B468="mistral",C468="ministral")),1,0)</f>
        <v/>
      </c>
      <c r="U468" s="73">
        <f>IF(LEFT(A468,3)="PAT","특허","보고서")</f>
        <v/>
      </c>
      <c r="V468" s="86">
        <f>COUNTIF($S$2:$S$976,"&lt;"&amp;S468)+(COUNTIF($S$2:$S$976,"="&amp;S468)+1)/2</f>
        <v/>
      </c>
      <c r="W468" s="73">
        <f>IF(C468="qwen",0,COUNTIFS($C$2:$C$976,"&lt;&gt;qwen",$S$2:$S$976,"&lt;"&amp;S468)+1)</f>
        <v/>
      </c>
      <c r="X468" s="73">
        <f>IF(C468="ministral",0,COUNTIFS($C$2:$C$976,"&lt;&gt;ministral",$S$2:$S$976,"&lt;"&amp;S468)+1)</f>
        <v/>
      </c>
      <c r="Y468" s="73">
        <f>IF(C468="gemma",0,COUNTIFS($C$2:$C$976,"&lt;&gt;gemma",$S$2:$S$976,"&lt;"&amp;S468)+1)</f>
        <v/>
      </c>
      <c r="Z468" s="87">
        <f>COUNTIFS($B$2:$B$976,B468,$C$2:$C$976,C468,$S$2:$S$976,"&lt;"&amp;S468)+1</f>
        <v/>
      </c>
      <c r="AA468" s="88">
        <f>ABS(S468-SUMPRODUCT(('05B_가정검정'!$A$5:$A$19=B468)*('05B_가정검정'!$B$5:$B$19=C468)*'05B_가정검정'!$E$5:$E$19))</f>
        <v/>
      </c>
      <c r="AB468" s="88">
        <f>S468-AVERAGEIFS($S$2:$S$976,$B$2:$B$976,B468,$C$2:$C$976,C468)</f>
        <v/>
      </c>
    </row>
    <row r="469" ht="15" customHeight="1" s="68">
      <c r="A469" s="83" t="inlineStr">
        <is>
          <t>RPT-01</t>
        </is>
      </c>
      <c r="B469" s="83" t="inlineStr">
        <is>
          <t>chatgpt</t>
        </is>
      </c>
      <c r="C469" s="83" t="inlineStr">
        <is>
          <t>qwen</t>
        </is>
      </c>
      <c r="D469" s="84" t="n">
        <v>0.29616724738676</v>
      </c>
      <c r="E469" s="84" t="n">
        <v>0.417021276595745</v>
      </c>
      <c r="F469" s="84" t="n">
        <v>0.188841201716738</v>
      </c>
      <c r="G469" s="84" t="n">
        <v>0.340425531914894</v>
      </c>
      <c r="H469" s="84" t="n">
        <v>0.269039254368442</v>
      </c>
      <c r="I469" s="84" t="n">
        <v>0.406765604342908</v>
      </c>
      <c r="J469" s="84" t="n">
        <v>0.66009829470746</v>
      </c>
      <c r="K469" s="84" t="n">
        <v>0.626194833228128</v>
      </c>
      <c r="L469" s="84" t="n">
        <v>0.752339088455235</v>
      </c>
      <c r="M469" s="84" t="n">
        <v>0.515151515151515</v>
      </c>
      <c r="N469" s="84" t="n">
        <v>0.213483146067416</v>
      </c>
      <c r="O469" s="84" t="n">
        <v>1</v>
      </c>
      <c r="P469" s="85">
        <f>AVERAGE(D469:I469)</f>
        <v/>
      </c>
      <c r="Q469" s="85">
        <f>AVERAGE(J469:L469)</f>
        <v/>
      </c>
      <c r="R469" s="85">
        <f>AVERAGE(M469:O469)</f>
        <v/>
      </c>
      <c r="S469" s="85">
        <f>'02_지표정의'!$C$22*P469+'02_지표정의'!$C$23*Q469+'02_지표정의'!$C$24*R469</f>
        <v/>
      </c>
      <c r="T469" s="73">
        <f>IF(OR(AND(B469="gemini",C469="gemma"),AND(B469="qwen3_6",C469="qwen"),AND(B469="mistral",C469="ministral")),1,0)</f>
        <v/>
      </c>
      <c r="U469" s="73">
        <f>IF(LEFT(A469,3)="PAT","특허","보고서")</f>
        <v/>
      </c>
      <c r="V469" s="86">
        <f>COUNTIF($S$2:$S$976,"&lt;"&amp;S469)+(COUNTIF($S$2:$S$976,"="&amp;S469)+1)/2</f>
        <v/>
      </c>
      <c r="W469" s="73">
        <f>IF(C469="qwen",0,COUNTIFS($C$2:$C$976,"&lt;&gt;qwen",$S$2:$S$976,"&lt;"&amp;S469)+1)</f>
        <v/>
      </c>
      <c r="X469" s="73">
        <f>IF(C469="ministral",0,COUNTIFS($C$2:$C$976,"&lt;&gt;ministral",$S$2:$S$976,"&lt;"&amp;S469)+1)</f>
        <v/>
      </c>
      <c r="Y469" s="73">
        <f>IF(C469="gemma",0,COUNTIFS($C$2:$C$976,"&lt;&gt;gemma",$S$2:$S$976,"&lt;"&amp;S469)+1)</f>
        <v/>
      </c>
      <c r="Z469" s="87">
        <f>COUNTIFS($B$2:$B$976,B469,$C$2:$C$976,C469,$S$2:$S$976,"&lt;"&amp;S469)+1</f>
        <v/>
      </c>
      <c r="AA469" s="88">
        <f>ABS(S469-SUMPRODUCT(('05B_가정검정'!$A$5:$A$19=B469)*('05B_가정검정'!$B$5:$B$19=C469)*'05B_가정검정'!$E$5:$E$19))</f>
        <v/>
      </c>
      <c r="AB469" s="88">
        <f>S469-AVERAGEIFS($S$2:$S$976,$B$2:$B$976,B469,$C$2:$C$976,C469)</f>
        <v/>
      </c>
    </row>
    <row r="470" ht="15" customHeight="1" s="68">
      <c r="A470" s="83" t="inlineStr">
        <is>
          <t>RPT-01</t>
        </is>
      </c>
      <c r="B470" s="83" t="inlineStr">
        <is>
          <t>claude</t>
        </is>
      </c>
      <c r="C470" s="83" t="inlineStr">
        <is>
          <t>gemma</t>
        </is>
      </c>
      <c r="D470" s="84" t="n">
        <v>0.261992619926199</v>
      </c>
      <c r="E470" s="84" t="n">
        <v>0.377358490566038</v>
      </c>
      <c r="F470" s="84" t="n">
        <v>0.123222748815166</v>
      </c>
      <c r="G470" s="84" t="n">
        <v>0.216981132075472</v>
      </c>
      <c r="H470" s="84" t="n">
        <v>0.335125196707711</v>
      </c>
      <c r="I470" s="84" t="n">
        <v>0.258787065199454</v>
      </c>
      <c r="J470" s="84" t="n">
        <v>0.66640993538342</v>
      </c>
      <c r="K470" s="84" t="n">
        <v>0.663025403866368</v>
      </c>
      <c r="L470" s="84" t="n">
        <v>0.813450494435619</v>
      </c>
      <c r="M470" s="84" t="n">
        <v>0.664285714285714</v>
      </c>
      <c r="N470" s="84" t="n">
        <v>0.597560975609756</v>
      </c>
      <c r="O470" s="84" t="n">
        <v>1</v>
      </c>
      <c r="P470" s="85">
        <f>AVERAGE(D470:I470)</f>
        <v/>
      </c>
      <c r="Q470" s="85">
        <f>AVERAGE(J470:L470)</f>
        <v/>
      </c>
      <c r="R470" s="85">
        <f>AVERAGE(M470:O470)</f>
        <v/>
      </c>
      <c r="S470" s="85">
        <f>'02_지표정의'!$C$22*P470+'02_지표정의'!$C$23*Q470+'02_지표정의'!$C$24*R470</f>
        <v/>
      </c>
      <c r="T470" s="73">
        <f>IF(OR(AND(B470="gemini",C470="gemma"),AND(B470="qwen3_6",C470="qwen"),AND(B470="mistral",C470="ministral")),1,0)</f>
        <v/>
      </c>
      <c r="U470" s="73">
        <f>IF(LEFT(A470,3)="PAT","특허","보고서")</f>
        <v/>
      </c>
      <c r="V470" s="86">
        <f>COUNTIF($S$2:$S$976,"&lt;"&amp;S470)+(COUNTIF($S$2:$S$976,"="&amp;S470)+1)/2</f>
        <v/>
      </c>
      <c r="W470" s="73">
        <f>IF(C470="qwen",0,COUNTIFS($C$2:$C$976,"&lt;&gt;qwen",$S$2:$S$976,"&lt;"&amp;S470)+1)</f>
        <v/>
      </c>
      <c r="X470" s="73">
        <f>IF(C470="ministral",0,COUNTIFS($C$2:$C$976,"&lt;&gt;ministral",$S$2:$S$976,"&lt;"&amp;S470)+1)</f>
        <v/>
      </c>
      <c r="Y470" s="73">
        <f>IF(C470="gemma",0,COUNTIFS($C$2:$C$976,"&lt;&gt;gemma",$S$2:$S$976,"&lt;"&amp;S470)+1)</f>
        <v/>
      </c>
      <c r="Z470" s="87">
        <f>COUNTIFS($B$2:$B$976,B470,$C$2:$C$976,C470,$S$2:$S$976,"&lt;"&amp;S470)+1</f>
        <v/>
      </c>
      <c r="AA470" s="88">
        <f>ABS(S470-SUMPRODUCT(('05B_가정검정'!$A$5:$A$19=B470)*('05B_가정검정'!$B$5:$B$19=C470)*'05B_가정검정'!$E$5:$E$19))</f>
        <v/>
      </c>
      <c r="AB470" s="88">
        <f>S470-AVERAGEIFS($S$2:$S$976,$B$2:$B$976,B470,$C$2:$C$976,C470)</f>
        <v/>
      </c>
    </row>
    <row r="471" ht="15" customHeight="1" s="68">
      <c r="A471" s="83" t="inlineStr">
        <is>
          <t>RPT-01</t>
        </is>
      </c>
      <c r="B471" s="83" t="inlineStr">
        <is>
          <t>claude</t>
        </is>
      </c>
      <c r="C471" s="83" t="inlineStr">
        <is>
          <t>ministral</t>
        </is>
      </c>
      <c r="D471" s="84" t="n">
        <v>0.303370786516854</v>
      </c>
      <c r="E471" s="84" t="n">
        <v>0.420849420849421</v>
      </c>
      <c r="F471" s="84" t="n">
        <v>0.147286821705426</v>
      </c>
      <c r="G471" s="84" t="n">
        <v>0.254826254826255</v>
      </c>
      <c r="H471" s="84" t="n">
        <v>0.303468988513337</v>
      </c>
      <c r="I471" s="84" t="n">
        <v>0.41047075812979</v>
      </c>
      <c r="J471" s="84" t="n">
        <v>0.718016769502826</v>
      </c>
      <c r="K471" s="84" t="n">
        <v>0.687605622565412</v>
      </c>
      <c r="L471" s="84" t="n">
        <v>0.866604929864304</v>
      </c>
      <c r="M471" s="84" t="n">
        <v>0.546938775510204</v>
      </c>
      <c r="N471" s="84" t="n">
        <v>0.558333333333333</v>
      </c>
      <c r="O471" s="84" t="n">
        <v>1</v>
      </c>
      <c r="P471" s="85">
        <f>AVERAGE(D471:I471)</f>
        <v/>
      </c>
      <c r="Q471" s="85">
        <f>AVERAGE(J471:L471)</f>
        <v/>
      </c>
      <c r="R471" s="85">
        <f>AVERAGE(M471:O471)</f>
        <v/>
      </c>
      <c r="S471" s="85">
        <f>'02_지표정의'!$C$22*P471+'02_지표정의'!$C$23*Q471+'02_지표정의'!$C$24*R471</f>
        <v/>
      </c>
      <c r="T471" s="73">
        <f>IF(OR(AND(B471="gemini",C471="gemma"),AND(B471="qwen3_6",C471="qwen"),AND(B471="mistral",C471="ministral")),1,0)</f>
        <v/>
      </c>
      <c r="U471" s="73">
        <f>IF(LEFT(A471,3)="PAT","특허","보고서")</f>
        <v/>
      </c>
      <c r="V471" s="86">
        <f>COUNTIF($S$2:$S$976,"&lt;"&amp;S471)+(COUNTIF($S$2:$S$976,"="&amp;S471)+1)/2</f>
        <v/>
      </c>
      <c r="W471" s="73">
        <f>IF(C471="qwen",0,COUNTIFS($C$2:$C$976,"&lt;&gt;qwen",$S$2:$S$976,"&lt;"&amp;S471)+1)</f>
        <v/>
      </c>
      <c r="X471" s="73">
        <f>IF(C471="ministral",0,COUNTIFS($C$2:$C$976,"&lt;&gt;ministral",$S$2:$S$976,"&lt;"&amp;S471)+1)</f>
        <v/>
      </c>
      <c r="Y471" s="73">
        <f>IF(C471="gemma",0,COUNTIFS($C$2:$C$976,"&lt;&gt;gemma",$S$2:$S$976,"&lt;"&amp;S471)+1)</f>
        <v/>
      </c>
      <c r="Z471" s="87">
        <f>COUNTIFS($B$2:$B$976,B471,$C$2:$C$976,C471,$S$2:$S$976,"&lt;"&amp;S471)+1</f>
        <v/>
      </c>
      <c r="AA471" s="88">
        <f>ABS(S471-SUMPRODUCT(('05B_가정검정'!$A$5:$A$19=B471)*('05B_가정검정'!$B$5:$B$19=C471)*'05B_가정검정'!$E$5:$E$19))</f>
        <v/>
      </c>
      <c r="AB471" s="88">
        <f>S471-AVERAGEIFS($S$2:$S$976,$B$2:$B$976,B471,$C$2:$C$976,C471)</f>
        <v/>
      </c>
    </row>
    <row r="472" ht="15" customHeight="1" s="68">
      <c r="A472" s="83" t="inlineStr">
        <is>
          <t>RPT-01</t>
        </is>
      </c>
      <c r="B472" s="83" t="inlineStr">
        <is>
          <t>claude</t>
        </is>
      </c>
      <c r="C472" s="83" t="inlineStr">
        <is>
          <t>qwen</t>
        </is>
      </c>
      <c r="D472" s="84" t="n">
        <v>0.277542372881356</v>
      </c>
      <c r="E472" s="84" t="n">
        <v>0.4739336492891</v>
      </c>
      <c r="F472" s="84" t="n">
        <v>0.176190476190476</v>
      </c>
      <c r="G472" s="84" t="n">
        <v>0.279620853080569</v>
      </c>
      <c r="H472" s="84" t="n">
        <v>0.298068516897926</v>
      </c>
      <c r="I472" s="84" t="n">
        <v>0.456475670836067</v>
      </c>
      <c r="J472" s="84" t="n">
        <v>0.661730266948528</v>
      </c>
      <c r="K472" s="84" t="n">
        <v>0.675381715693501</v>
      </c>
      <c r="L472" s="84" t="n">
        <v>0.868556386332885</v>
      </c>
      <c r="M472" s="84" t="n">
        <v>0.664285714285714</v>
      </c>
      <c r="N472" s="84" t="n">
        <v>0.597560975609756</v>
      </c>
      <c r="O472" s="84" t="n">
        <v>1</v>
      </c>
      <c r="P472" s="85">
        <f>AVERAGE(D472:I472)</f>
        <v/>
      </c>
      <c r="Q472" s="85">
        <f>AVERAGE(J472:L472)</f>
        <v/>
      </c>
      <c r="R472" s="85">
        <f>AVERAGE(M472:O472)</f>
        <v/>
      </c>
      <c r="S472" s="85">
        <f>'02_지표정의'!$C$22*P472+'02_지표정의'!$C$23*Q472+'02_지표정의'!$C$24*R472</f>
        <v/>
      </c>
      <c r="T472" s="73">
        <f>IF(OR(AND(B472="gemini",C472="gemma"),AND(B472="qwen3_6",C472="qwen"),AND(B472="mistral",C472="ministral")),1,0)</f>
        <v/>
      </c>
      <c r="U472" s="73">
        <f>IF(LEFT(A472,3)="PAT","특허","보고서")</f>
        <v/>
      </c>
      <c r="V472" s="86">
        <f>COUNTIF($S$2:$S$976,"&lt;"&amp;S472)+(COUNTIF($S$2:$S$976,"="&amp;S472)+1)/2</f>
        <v/>
      </c>
      <c r="W472" s="73">
        <f>IF(C472="qwen",0,COUNTIFS($C$2:$C$976,"&lt;&gt;qwen",$S$2:$S$976,"&lt;"&amp;S472)+1)</f>
        <v/>
      </c>
      <c r="X472" s="73">
        <f>IF(C472="ministral",0,COUNTIFS($C$2:$C$976,"&lt;&gt;ministral",$S$2:$S$976,"&lt;"&amp;S472)+1)</f>
        <v/>
      </c>
      <c r="Y472" s="73">
        <f>IF(C472="gemma",0,COUNTIFS($C$2:$C$976,"&lt;&gt;gemma",$S$2:$S$976,"&lt;"&amp;S472)+1)</f>
        <v/>
      </c>
      <c r="Z472" s="87">
        <f>COUNTIFS($B$2:$B$976,B472,$C$2:$C$976,C472,$S$2:$S$976,"&lt;"&amp;S472)+1</f>
        <v/>
      </c>
      <c r="AA472" s="88">
        <f>ABS(S472-SUMPRODUCT(('05B_가정검정'!$A$5:$A$19=B472)*('05B_가정검정'!$B$5:$B$19=C472)*'05B_가정검정'!$E$5:$E$19))</f>
        <v/>
      </c>
      <c r="AB472" s="88">
        <f>S472-AVERAGEIFS($S$2:$S$976,$B$2:$B$976,B472,$C$2:$C$976,C472)</f>
        <v/>
      </c>
    </row>
    <row r="473" ht="15" customHeight="1" s="68">
      <c r="A473" s="83" t="inlineStr">
        <is>
          <t>RPT-01</t>
        </is>
      </c>
      <c r="B473" s="83" t="inlineStr">
        <is>
          <t>gemini</t>
        </is>
      </c>
      <c r="C473" s="83" t="inlineStr">
        <is>
          <t>gemma</t>
        </is>
      </c>
      <c r="D473" s="84" t="n">
        <v>0.236612702366127</v>
      </c>
      <c r="E473" s="84" t="n">
        <v>0.393939393939394</v>
      </c>
      <c r="F473" s="84" t="n">
        <v>0.129770992366412</v>
      </c>
      <c r="G473" s="84" t="n">
        <v>0.234848484848485</v>
      </c>
      <c r="H473" s="84" t="n">
        <v>0.262596492057471</v>
      </c>
      <c r="I473" s="84" t="n">
        <v>0.233252766427803</v>
      </c>
      <c r="J473" s="84" t="n">
        <v>0.729434135283605</v>
      </c>
      <c r="K473" s="84" t="n">
        <v>0.783961566044821</v>
      </c>
      <c r="L473" s="84" t="n">
        <v>0.897662127722647</v>
      </c>
      <c r="M473" s="84" t="n">
        <v>0.906542056074766</v>
      </c>
      <c r="N473" s="84" t="n">
        <v>0.916666666666667</v>
      </c>
      <c r="O473" s="84" t="n">
        <v>1</v>
      </c>
      <c r="P473" s="85">
        <f>AVERAGE(D473:I473)</f>
        <v/>
      </c>
      <c r="Q473" s="85">
        <f>AVERAGE(J473:L473)</f>
        <v/>
      </c>
      <c r="R473" s="85">
        <f>AVERAGE(M473:O473)</f>
        <v/>
      </c>
      <c r="S473" s="85">
        <f>'02_지표정의'!$C$22*P473+'02_지표정의'!$C$23*Q473+'02_지표정의'!$C$24*R473</f>
        <v/>
      </c>
      <c r="T473" s="73">
        <f>IF(OR(AND(B473="gemini",C473="gemma"),AND(B473="qwen3_6",C473="qwen"),AND(B473="mistral",C473="ministral")),1,0)</f>
        <v/>
      </c>
      <c r="U473" s="73">
        <f>IF(LEFT(A473,3)="PAT","특허","보고서")</f>
        <v/>
      </c>
      <c r="V473" s="86">
        <f>COUNTIF($S$2:$S$976,"&lt;"&amp;S473)+(COUNTIF($S$2:$S$976,"="&amp;S473)+1)/2</f>
        <v/>
      </c>
      <c r="W473" s="73">
        <f>IF(C473="qwen",0,COUNTIFS($C$2:$C$976,"&lt;&gt;qwen",$S$2:$S$976,"&lt;"&amp;S473)+1)</f>
        <v/>
      </c>
      <c r="X473" s="73">
        <f>IF(C473="ministral",0,COUNTIFS($C$2:$C$976,"&lt;&gt;ministral",$S$2:$S$976,"&lt;"&amp;S473)+1)</f>
        <v/>
      </c>
      <c r="Y473" s="73">
        <f>IF(C473="gemma",0,COUNTIFS($C$2:$C$976,"&lt;&gt;gemma",$S$2:$S$976,"&lt;"&amp;S473)+1)</f>
        <v/>
      </c>
      <c r="Z473" s="87">
        <f>COUNTIFS($B$2:$B$976,B473,$C$2:$C$976,C473,$S$2:$S$976,"&lt;"&amp;S473)+1</f>
        <v/>
      </c>
      <c r="AA473" s="88">
        <f>ABS(S473-SUMPRODUCT(('05B_가정검정'!$A$5:$A$19=B473)*('05B_가정검정'!$B$5:$B$19=C473)*'05B_가정검정'!$E$5:$E$19))</f>
        <v/>
      </c>
      <c r="AB473" s="88">
        <f>S473-AVERAGEIFS($S$2:$S$976,$B$2:$B$976,B473,$C$2:$C$976,C473)</f>
        <v/>
      </c>
    </row>
    <row r="474" ht="15" customHeight="1" s="68">
      <c r="A474" s="83" t="inlineStr">
        <is>
          <t>RPT-01</t>
        </is>
      </c>
      <c r="B474" s="83" t="inlineStr">
        <is>
          <t>gemini</t>
        </is>
      </c>
      <c r="C474" s="83" t="inlineStr">
        <is>
          <t>ministral</t>
        </is>
      </c>
      <c r="D474" s="84" t="n">
        <v>0.311986863711002</v>
      </c>
      <c r="E474" s="84" t="n">
        <v>0.307262569832402</v>
      </c>
      <c r="F474" s="84" t="n">
        <v>0.129213483146067</v>
      </c>
      <c r="G474" s="84" t="n">
        <v>0.195530726256983</v>
      </c>
      <c r="H474" s="84" t="n">
        <v>0.21102887023455</v>
      </c>
      <c r="I474" s="84" t="n">
        <v>0.32916663991104</v>
      </c>
      <c r="J474" s="84" t="n">
        <v>0.763499450848711</v>
      </c>
      <c r="K474" s="84" t="n">
        <v>0.800272609766026</v>
      </c>
      <c r="L474" s="84" t="n">
        <v>0.897058732320607</v>
      </c>
      <c r="M474" s="84" t="n">
        <v>0.395918367346939</v>
      </c>
      <c r="N474" s="84" t="n">
        <v>0.458333333333333</v>
      </c>
      <c r="O474" s="84" t="n">
        <v>1</v>
      </c>
      <c r="P474" s="85">
        <f>AVERAGE(D474:I474)</f>
        <v/>
      </c>
      <c r="Q474" s="85">
        <f>AVERAGE(J474:L474)</f>
        <v/>
      </c>
      <c r="R474" s="85">
        <f>AVERAGE(M474:O474)</f>
        <v/>
      </c>
      <c r="S474" s="85">
        <f>'02_지표정의'!$C$22*P474+'02_지표정의'!$C$23*Q474+'02_지표정의'!$C$24*R474</f>
        <v/>
      </c>
      <c r="T474" s="73">
        <f>IF(OR(AND(B474="gemini",C474="gemma"),AND(B474="qwen3_6",C474="qwen"),AND(B474="mistral",C474="ministral")),1,0)</f>
        <v/>
      </c>
      <c r="U474" s="73">
        <f>IF(LEFT(A474,3)="PAT","특허","보고서")</f>
        <v/>
      </c>
      <c r="V474" s="86">
        <f>COUNTIF($S$2:$S$976,"&lt;"&amp;S474)+(COUNTIF($S$2:$S$976,"="&amp;S474)+1)/2</f>
        <v/>
      </c>
      <c r="W474" s="73">
        <f>IF(C474="qwen",0,COUNTIFS($C$2:$C$976,"&lt;&gt;qwen",$S$2:$S$976,"&lt;"&amp;S474)+1)</f>
        <v/>
      </c>
      <c r="X474" s="73">
        <f>IF(C474="ministral",0,COUNTIFS($C$2:$C$976,"&lt;&gt;ministral",$S$2:$S$976,"&lt;"&amp;S474)+1)</f>
        <v/>
      </c>
      <c r="Y474" s="73">
        <f>IF(C474="gemma",0,COUNTIFS($C$2:$C$976,"&lt;&gt;gemma",$S$2:$S$976,"&lt;"&amp;S474)+1)</f>
        <v/>
      </c>
      <c r="Z474" s="87">
        <f>COUNTIFS($B$2:$B$976,B474,$C$2:$C$976,C474,$S$2:$S$976,"&lt;"&amp;S474)+1</f>
        <v/>
      </c>
      <c r="AA474" s="88">
        <f>ABS(S474-SUMPRODUCT(('05B_가정검정'!$A$5:$A$19=B474)*('05B_가정검정'!$B$5:$B$19=C474)*'05B_가정검정'!$E$5:$E$19))</f>
        <v/>
      </c>
      <c r="AB474" s="88">
        <f>S474-AVERAGEIFS($S$2:$S$976,$B$2:$B$976,B474,$C$2:$C$976,C474)</f>
        <v/>
      </c>
    </row>
    <row r="475" ht="15" customHeight="1" s="68">
      <c r="A475" s="83" t="inlineStr">
        <is>
          <t>RPT-01</t>
        </is>
      </c>
      <c r="B475" s="83" t="inlineStr">
        <is>
          <t>gemini</t>
        </is>
      </c>
      <c r="C475" s="83" t="inlineStr">
        <is>
          <t>qwen</t>
        </is>
      </c>
      <c r="D475" s="84" t="n">
        <v>0.298642533936652</v>
      </c>
      <c r="E475" s="84" t="n">
        <v>0.465648854961832</v>
      </c>
      <c r="F475" s="84" t="n">
        <v>0.138461538461539</v>
      </c>
      <c r="G475" s="84" t="n">
        <v>0.282442748091603</v>
      </c>
      <c r="H475" s="84" t="n">
        <v>0.320831017016836</v>
      </c>
      <c r="I475" s="84" t="n">
        <v>0.362678478235054</v>
      </c>
      <c r="J475" s="84" t="n">
        <v>0.750700707623274</v>
      </c>
      <c r="K475" s="84" t="n">
        <v>0.804737863891386</v>
      </c>
      <c r="L475" s="84" t="n">
        <v>0.903116955926596</v>
      </c>
      <c r="M475" s="84" t="n">
        <v>0.906542056074766</v>
      </c>
      <c r="N475" s="84" t="n">
        <v>0.916666666666667</v>
      </c>
      <c r="O475" s="84" t="n">
        <v>1</v>
      </c>
      <c r="P475" s="85">
        <f>AVERAGE(D475:I475)</f>
        <v/>
      </c>
      <c r="Q475" s="85">
        <f>AVERAGE(J475:L475)</f>
        <v/>
      </c>
      <c r="R475" s="85">
        <f>AVERAGE(M475:O475)</f>
        <v/>
      </c>
      <c r="S475" s="85">
        <f>'02_지표정의'!$C$22*P475+'02_지표정의'!$C$23*Q475+'02_지표정의'!$C$24*R475</f>
        <v/>
      </c>
      <c r="T475" s="73">
        <f>IF(OR(AND(B475="gemini",C475="gemma"),AND(B475="qwen3_6",C475="qwen"),AND(B475="mistral",C475="ministral")),1,0)</f>
        <v/>
      </c>
      <c r="U475" s="73">
        <f>IF(LEFT(A475,3)="PAT","특허","보고서")</f>
        <v/>
      </c>
      <c r="V475" s="86">
        <f>COUNTIF($S$2:$S$976,"&lt;"&amp;S475)+(COUNTIF($S$2:$S$976,"="&amp;S475)+1)/2</f>
        <v/>
      </c>
      <c r="W475" s="73">
        <f>IF(C475="qwen",0,COUNTIFS($C$2:$C$976,"&lt;&gt;qwen",$S$2:$S$976,"&lt;"&amp;S475)+1)</f>
        <v/>
      </c>
      <c r="X475" s="73">
        <f>IF(C475="ministral",0,COUNTIFS($C$2:$C$976,"&lt;&gt;ministral",$S$2:$S$976,"&lt;"&amp;S475)+1)</f>
        <v/>
      </c>
      <c r="Y475" s="73">
        <f>IF(C475="gemma",0,COUNTIFS($C$2:$C$976,"&lt;&gt;gemma",$S$2:$S$976,"&lt;"&amp;S475)+1)</f>
        <v/>
      </c>
      <c r="Z475" s="87">
        <f>COUNTIFS($B$2:$B$976,B475,$C$2:$C$976,C475,$S$2:$S$976,"&lt;"&amp;S475)+1</f>
        <v/>
      </c>
      <c r="AA475" s="88">
        <f>ABS(S475-SUMPRODUCT(('05B_가정검정'!$A$5:$A$19=B475)*('05B_가정검정'!$B$5:$B$19=C475)*'05B_가정검정'!$E$5:$E$19))</f>
        <v/>
      </c>
      <c r="AB475" s="88">
        <f>S475-AVERAGEIFS($S$2:$S$976,$B$2:$B$976,B475,$C$2:$C$976,C475)</f>
        <v/>
      </c>
    </row>
    <row r="476" ht="15" customHeight="1" s="68">
      <c r="A476" s="83" t="inlineStr">
        <is>
          <t>RPT-01</t>
        </is>
      </c>
      <c r="B476" s="83" t="inlineStr">
        <is>
          <t>mistral</t>
        </is>
      </c>
      <c r="C476" s="83" t="inlineStr">
        <is>
          <t>gemma</t>
        </is>
      </c>
      <c r="D476" s="84" t="n">
        <v>0.262180974477958</v>
      </c>
      <c r="E476" s="84" t="n">
        <v>0.321543408360129</v>
      </c>
      <c r="F476" s="84" t="n">
        <v>0.116504854368932</v>
      </c>
      <c r="G476" s="84" t="n">
        <v>0.218649517684888</v>
      </c>
      <c r="H476" s="84" t="n">
        <v>0.28380004136638</v>
      </c>
      <c r="I476" s="84" t="n">
        <v>0.213703026003382</v>
      </c>
      <c r="J476" s="84" t="n">
        <v>0.733175640966373</v>
      </c>
      <c r="K476" s="84" t="n">
        <v>0.680468616861031</v>
      </c>
      <c r="L476" s="84" t="n">
        <v>0.7975365060191389</v>
      </c>
      <c r="M476" s="84" t="n">
        <v>0.659259259259259</v>
      </c>
      <c r="N476" s="84" t="n">
        <v>0.6621621621621619</v>
      </c>
      <c r="O476" s="84" t="n">
        <v>1</v>
      </c>
      <c r="P476" s="85">
        <f>AVERAGE(D476:I476)</f>
        <v/>
      </c>
      <c r="Q476" s="85">
        <f>AVERAGE(J476:L476)</f>
        <v/>
      </c>
      <c r="R476" s="85">
        <f>AVERAGE(M476:O476)</f>
        <v/>
      </c>
      <c r="S476" s="85">
        <f>'02_지표정의'!$C$22*P476+'02_지표정의'!$C$23*Q476+'02_지표정의'!$C$24*R476</f>
        <v/>
      </c>
      <c r="T476" s="73">
        <f>IF(OR(AND(B476="gemini",C476="gemma"),AND(B476="qwen3_6",C476="qwen"),AND(B476="mistral",C476="ministral")),1,0)</f>
        <v/>
      </c>
      <c r="U476" s="73">
        <f>IF(LEFT(A476,3)="PAT","특허","보고서")</f>
        <v/>
      </c>
      <c r="V476" s="86">
        <f>COUNTIF($S$2:$S$976,"&lt;"&amp;S476)+(COUNTIF($S$2:$S$976,"="&amp;S476)+1)/2</f>
        <v/>
      </c>
      <c r="W476" s="73">
        <f>IF(C476="qwen",0,COUNTIFS($C$2:$C$976,"&lt;&gt;qwen",$S$2:$S$976,"&lt;"&amp;S476)+1)</f>
        <v/>
      </c>
      <c r="X476" s="73">
        <f>IF(C476="ministral",0,COUNTIFS($C$2:$C$976,"&lt;&gt;ministral",$S$2:$S$976,"&lt;"&amp;S476)+1)</f>
        <v/>
      </c>
      <c r="Y476" s="73">
        <f>IF(C476="gemma",0,COUNTIFS($C$2:$C$976,"&lt;&gt;gemma",$S$2:$S$976,"&lt;"&amp;S476)+1)</f>
        <v/>
      </c>
      <c r="Z476" s="87">
        <f>COUNTIFS($B$2:$B$976,B476,$C$2:$C$976,C476,$S$2:$S$976,"&lt;"&amp;S476)+1</f>
        <v/>
      </c>
      <c r="AA476" s="88">
        <f>ABS(S476-SUMPRODUCT(('05B_가정검정'!$A$5:$A$19=B476)*('05B_가정검정'!$B$5:$B$19=C476)*'05B_가정검정'!$E$5:$E$19))</f>
        <v/>
      </c>
      <c r="AB476" s="88">
        <f>S476-AVERAGEIFS($S$2:$S$976,$B$2:$B$976,B476,$C$2:$C$976,C476)</f>
        <v/>
      </c>
    </row>
    <row r="477" ht="15" customHeight="1" s="68">
      <c r="A477" s="83" t="inlineStr">
        <is>
          <t>RPT-01</t>
        </is>
      </c>
      <c r="B477" s="83" t="inlineStr">
        <is>
          <t>mistral</t>
        </is>
      </c>
      <c r="C477" s="83" t="inlineStr">
        <is>
          <t>ministral</t>
        </is>
      </c>
      <c r="D477" s="84" t="n">
        <v>0.422155688622755</v>
      </c>
      <c r="E477" s="84" t="n">
        <v>0.380246913580247</v>
      </c>
      <c r="F477" s="84" t="n">
        <v>0.158808933002481</v>
      </c>
      <c r="G477" s="84" t="n">
        <v>0.222222222222222</v>
      </c>
      <c r="H477" s="84" t="n">
        <v>0.282856314837202</v>
      </c>
      <c r="I477" s="84" t="n">
        <v>0.488971544539366</v>
      </c>
      <c r="J477" s="84" t="n">
        <v>0.725911698852891</v>
      </c>
      <c r="K477" s="84" t="n">
        <v>0.716858496568087</v>
      </c>
      <c r="L477" s="84" t="n">
        <v>0.875791050149313</v>
      </c>
      <c r="M477" s="84" t="n">
        <v>0.457142857142857</v>
      </c>
      <c r="N477" s="84" t="n">
        <v>0.333333333333333</v>
      </c>
      <c r="O477" s="84" t="n">
        <v>1</v>
      </c>
      <c r="P477" s="85">
        <f>AVERAGE(D477:I477)</f>
        <v/>
      </c>
      <c r="Q477" s="85">
        <f>AVERAGE(J477:L477)</f>
        <v/>
      </c>
      <c r="R477" s="85">
        <f>AVERAGE(M477:O477)</f>
        <v/>
      </c>
      <c r="S477" s="85">
        <f>'02_지표정의'!$C$22*P477+'02_지표정의'!$C$23*Q477+'02_지표정의'!$C$24*R477</f>
        <v/>
      </c>
      <c r="T477" s="73">
        <f>IF(OR(AND(B477="gemini",C477="gemma"),AND(B477="qwen3_6",C477="qwen"),AND(B477="mistral",C477="ministral")),1,0)</f>
        <v/>
      </c>
      <c r="U477" s="73">
        <f>IF(LEFT(A477,3)="PAT","특허","보고서")</f>
        <v/>
      </c>
      <c r="V477" s="86">
        <f>COUNTIF($S$2:$S$976,"&lt;"&amp;S477)+(COUNTIF($S$2:$S$976,"="&amp;S477)+1)/2</f>
        <v/>
      </c>
      <c r="W477" s="73">
        <f>IF(C477="qwen",0,COUNTIFS($C$2:$C$976,"&lt;&gt;qwen",$S$2:$S$976,"&lt;"&amp;S477)+1)</f>
        <v/>
      </c>
      <c r="X477" s="73">
        <f>IF(C477="ministral",0,COUNTIFS($C$2:$C$976,"&lt;&gt;ministral",$S$2:$S$976,"&lt;"&amp;S477)+1)</f>
        <v/>
      </c>
      <c r="Y477" s="73">
        <f>IF(C477="gemma",0,COUNTIFS($C$2:$C$976,"&lt;&gt;gemma",$S$2:$S$976,"&lt;"&amp;S477)+1)</f>
        <v/>
      </c>
      <c r="Z477" s="87">
        <f>COUNTIFS($B$2:$B$976,B477,$C$2:$C$976,C477,$S$2:$S$976,"&lt;"&amp;S477)+1</f>
        <v/>
      </c>
      <c r="AA477" s="88">
        <f>ABS(S477-SUMPRODUCT(('05B_가정검정'!$A$5:$A$19=B477)*('05B_가정검정'!$B$5:$B$19=C477)*'05B_가정검정'!$E$5:$E$19))</f>
        <v/>
      </c>
      <c r="AB477" s="88">
        <f>S477-AVERAGEIFS($S$2:$S$976,$B$2:$B$976,B477,$C$2:$C$976,C477)</f>
        <v/>
      </c>
    </row>
    <row r="478" ht="15" customHeight="1" s="68">
      <c r="A478" s="83" t="inlineStr">
        <is>
          <t>RPT-01</t>
        </is>
      </c>
      <c r="B478" s="83" t="inlineStr">
        <is>
          <t>mistral</t>
        </is>
      </c>
      <c r="C478" s="83" t="inlineStr">
        <is>
          <t>qwen</t>
        </is>
      </c>
      <c r="D478" s="84" t="n">
        <v>0.337950138504155</v>
      </c>
      <c r="E478" s="84" t="n">
        <v>0.517799352750809</v>
      </c>
      <c r="F478" s="84" t="n">
        <v>0.195439739413681</v>
      </c>
      <c r="G478" s="84" t="n">
        <v>0.330097087378641</v>
      </c>
      <c r="H478" s="84" t="n">
        <v>0.34593796456909</v>
      </c>
      <c r="I478" s="84" t="n">
        <v>0.449379237415658</v>
      </c>
      <c r="J478" s="84" t="n">
        <v>0.702208047379833</v>
      </c>
      <c r="K478" s="84" t="n">
        <v>0.665041359745485</v>
      </c>
      <c r="L478" s="84" t="n">
        <v>0.855033722014095</v>
      </c>
      <c r="M478" s="84" t="n">
        <v>0.659259259259259</v>
      </c>
      <c r="N478" s="84" t="n">
        <v>0.6621621621621619</v>
      </c>
      <c r="O478" s="84" t="n">
        <v>1</v>
      </c>
      <c r="P478" s="85">
        <f>AVERAGE(D478:I478)</f>
        <v/>
      </c>
      <c r="Q478" s="85">
        <f>AVERAGE(J478:L478)</f>
        <v/>
      </c>
      <c r="R478" s="85">
        <f>AVERAGE(M478:O478)</f>
        <v/>
      </c>
      <c r="S478" s="85">
        <f>'02_지표정의'!$C$22*P478+'02_지표정의'!$C$23*Q478+'02_지표정의'!$C$24*R478</f>
        <v/>
      </c>
      <c r="T478" s="73">
        <f>IF(OR(AND(B478="gemini",C478="gemma"),AND(B478="qwen3_6",C478="qwen"),AND(B478="mistral",C478="ministral")),1,0)</f>
        <v/>
      </c>
      <c r="U478" s="73">
        <f>IF(LEFT(A478,3)="PAT","특허","보고서")</f>
        <v/>
      </c>
      <c r="V478" s="86">
        <f>COUNTIF($S$2:$S$976,"&lt;"&amp;S478)+(COUNTIF($S$2:$S$976,"="&amp;S478)+1)/2</f>
        <v/>
      </c>
      <c r="W478" s="73">
        <f>IF(C478="qwen",0,COUNTIFS($C$2:$C$976,"&lt;&gt;qwen",$S$2:$S$976,"&lt;"&amp;S478)+1)</f>
        <v/>
      </c>
      <c r="X478" s="73">
        <f>IF(C478="ministral",0,COUNTIFS($C$2:$C$976,"&lt;&gt;ministral",$S$2:$S$976,"&lt;"&amp;S478)+1)</f>
        <v/>
      </c>
      <c r="Y478" s="73">
        <f>IF(C478="gemma",0,COUNTIFS($C$2:$C$976,"&lt;&gt;gemma",$S$2:$S$976,"&lt;"&amp;S478)+1)</f>
        <v/>
      </c>
      <c r="Z478" s="87">
        <f>COUNTIFS($B$2:$B$976,B478,$C$2:$C$976,C478,$S$2:$S$976,"&lt;"&amp;S478)+1</f>
        <v/>
      </c>
      <c r="AA478" s="88">
        <f>ABS(S478-SUMPRODUCT(('05B_가정검정'!$A$5:$A$19=B478)*('05B_가정검정'!$B$5:$B$19=C478)*'05B_가정검정'!$E$5:$E$19))</f>
        <v/>
      </c>
      <c r="AB478" s="88">
        <f>S478-AVERAGEIFS($S$2:$S$976,$B$2:$B$976,B478,$C$2:$C$976,C478)</f>
        <v/>
      </c>
    </row>
    <row r="479" ht="15" customHeight="1" s="68">
      <c r="A479" s="83" t="inlineStr">
        <is>
          <t>RPT-01</t>
        </is>
      </c>
      <c r="B479" s="83" t="inlineStr">
        <is>
          <t>qwen3_6</t>
        </is>
      </c>
      <c r="C479" s="83" t="inlineStr">
        <is>
          <t>gemma</t>
        </is>
      </c>
      <c r="D479" s="84" t="n">
        <v>0.256235827664399</v>
      </c>
      <c r="E479" s="84" t="n">
        <v>0.36969696969697</v>
      </c>
      <c r="F479" s="84" t="n">
        <v>0.121951219512195</v>
      </c>
      <c r="G479" s="84" t="n">
        <v>0.254545454545455</v>
      </c>
      <c r="H479" s="84" t="n">
        <v>0.378825752720757</v>
      </c>
      <c r="I479" s="84" t="n">
        <v>0.263248646410495</v>
      </c>
      <c r="J479" s="84" t="n">
        <v>0.757205048965087</v>
      </c>
      <c r="K479" s="84" t="n">
        <v>0.734945053535635</v>
      </c>
      <c r="L479" s="84" t="n">
        <v>0.81389673885337</v>
      </c>
      <c r="M479" s="84" t="n">
        <v>0.906542056074766</v>
      </c>
      <c r="N479" s="84" t="n">
        <v>0.916666666666667</v>
      </c>
      <c r="O479" s="84" t="n">
        <v>1</v>
      </c>
      <c r="P479" s="85">
        <f>AVERAGE(D479:I479)</f>
        <v/>
      </c>
      <c r="Q479" s="85">
        <f>AVERAGE(J479:L479)</f>
        <v/>
      </c>
      <c r="R479" s="85">
        <f>AVERAGE(M479:O479)</f>
        <v/>
      </c>
      <c r="S479" s="85">
        <f>'02_지표정의'!$C$22*P479+'02_지표정의'!$C$23*Q479+'02_지표정의'!$C$24*R479</f>
        <v/>
      </c>
      <c r="T479" s="73">
        <f>IF(OR(AND(B479="gemini",C479="gemma"),AND(B479="qwen3_6",C479="qwen"),AND(B479="mistral",C479="ministral")),1,0)</f>
        <v/>
      </c>
      <c r="U479" s="73">
        <f>IF(LEFT(A479,3)="PAT","특허","보고서")</f>
        <v/>
      </c>
      <c r="V479" s="86">
        <f>COUNTIF($S$2:$S$976,"&lt;"&amp;S479)+(COUNTIF($S$2:$S$976,"="&amp;S479)+1)/2</f>
        <v/>
      </c>
      <c r="W479" s="73">
        <f>IF(C479="qwen",0,COUNTIFS($C$2:$C$976,"&lt;&gt;qwen",$S$2:$S$976,"&lt;"&amp;S479)+1)</f>
        <v/>
      </c>
      <c r="X479" s="73">
        <f>IF(C479="ministral",0,COUNTIFS($C$2:$C$976,"&lt;&gt;ministral",$S$2:$S$976,"&lt;"&amp;S479)+1)</f>
        <v/>
      </c>
      <c r="Y479" s="73">
        <f>IF(C479="gemma",0,COUNTIFS($C$2:$C$976,"&lt;&gt;gemma",$S$2:$S$976,"&lt;"&amp;S479)+1)</f>
        <v/>
      </c>
      <c r="Z479" s="87">
        <f>COUNTIFS($B$2:$B$976,B479,$C$2:$C$976,C479,$S$2:$S$976,"&lt;"&amp;S479)+1</f>
        <v/>
      </c>
      <c r="AA479" s="88">
        <f>ABS(S479-SUMPRODUCT(('05B_가정검정'!$A$5:$A$19=B479)*('05B_가정검정'!$B$5:$B$19=C479)*'05B_가정검정'!$E$5:$E$19))</f>
        <v/>
      </c>
      <c r="AB479" s="88">
        <f>S479-AVERAGEIFS($S$2:$S$976,$B$2:$B$976,B479,$C$2:$C$976,C479)</f>
        <v/>
      </c>
    </row>
    <row r="480" ht="15" customHeight="1" s="68">
      <c r="A480" s="83" t="inlineStr">
        <is>
          <t>RPT-01</t>
        </is>
      </c>
      <c r="B480" s="83" t="inlineStr">
        <is>
          <t>qwen3_6</t>
        </is>
      </c>
      <c r="C480" s="83" t="inlineStr">
        <is>
          <t>ministral</t>
        </is>
      </c>
      <c r="D480" s="84" t="n">
        <v>0.299418604651163</v>
      </c>
      <c r="E480" s="84" t="n">
        <v>0.382075471698113</v>
      </c>
      <c r="F480" s="84" t="n">
        <v>0.118483412322275</v>
      </c>
      <c r="G480" s="84" t="n">
        <v>0.231132075471698</v>
      </c>
      <c r="H480" s="84" t="n">
        <v>0.259948335605033</v>
      </c>
      <c r="I480" s="84" t="n">
        <v>0.387081587524967</v>
      </c>
      <c r="J480" s="84" t="n">
        <v>0.723065877766125</v>
      </c>
      <c r="K480" s="84" t="n">
        <v>0.7073834684478409</v>
      </c>
      <c r="L480" s="84" t="n">
        <v>0.876890294923957</v>
      </c>
      <c r="M480" s="84" t="n">
        <v>0.395918367346939</v>
      </c>
      <c r="N480" s="84" t="n">
        <v>0.458333333333333</v>
      </c>
      <c r="O480" s="84" t="n">
        <v>1</v>
      </c>
      <c r="P480" s="85">
        <f>AVERAGE(D480:I480)</f>
        <v/>
      </c>
      <c r="Q480" s="85">
        <f>AVERAGE(J480:L480)</f>
        <v/>
      </c>
      <c r="R480" s="85">
        <f>AVERAGE(M480:O480)</f>
        <v/>
      </c>
      <c r="S480" s="85">
        <f>'02_지표정의'!$C$22*P480+'02_지표정의'!$C$23*Q480+'02_지표정의'!$C$24*R480</f>
        <v/>
      </c>
      <c r="T480" s="73">
        <f>IF(OR(AND(B480="gemini",C480="gemma"),AND(B480="qwen3_6",C480="qwen"),AND(B480="mistral",C480="ministral")),1,0)</f>
        <v/>
      </c>
      <c r="U480" s="73">
        <f>IF(LEFT(A480,3)="PAT","특허","보고서")</f>
        <v/>
      </c>
      <c r="V480" s="86">
        <f>COUNTIF($S$2:$S$976,"&lt;"&amp;S480)+(COUNTIF($S$2:$S$976,"="&amp;S480)+1)/2</f>
        <v/>
      </c>
      <c r="W480" s="73">
        <f>IF(C480="qwen",0,COUNTIFS($C$2:$C$976,"&lt;&gt;qwen",$S$2:$S$976,"&lt;"&amp;S480)+1)</f>
        <v/>
      </c>
      <c r="X480" s="73">
        <f>IF(C480="ministral",0,COUNTIFS($C$2:$C$976,"&lt;&gt;ministral",$S$2:$S$976,"&lt;"&amp;S480)+1)</f>
        <v/>
      </c>
      <c r="Y480" s="73">
        <f>IF(C480="gemma",0,COUNTIFS($C$2:$C$976,"&lt;&gt;gemma",$S$2:$S$976,"&lt;"&amp;S480)+1)</f>
        <v/>
      </c>
      <c r="Z480" s="87">
        <f>COUNTIFS($B$2:$B$976,B480,$C$2:$C$976,C480,$S$2:$S$976,"&lt;"&amp;S480)+1</f>
        <v/>
      </c>
      <c r="AA480" s="88">
        <f>ABS(S480-SUMPRODUCT(('05B_가정검정'!$A$5:$A$19=B480)*('05B_가정검정'!$B$5:$B$19=C480)*'05B_가정검정'!$E$5:$E$19))</f>
        <v/>
      </c>
      <c r="AB480" s="88">
        <f>S480-AVERAGEIFS($S$2:$S$976,$B$2:$B$976,B480,$C$2:$C$976,C480)</f>
        <v/>
      </c>
    </row>
    <row r="481" ht="15" customHeight="1" s="68">
      <c r="A481" s="83" t="inlineStr">
        <is>
          <t>RPT-01</t>
        </is>
      </c>
      <c r="B481" s="83" t="inlineStr">
        <is>
          <t>qwen3_6</t>
        </is>
      </c>
      <c r="C481" s="83" t="inlineStr">
        <is>
          <t>qwen</t>
        </is>
      </c>
      <c r="D481" s="84" t="n">
        <v>0.318059299191375</v>
      </c>
      <c r="E481" s="84" t="n">
        <v>0.512195121951219</v>
      </c>
      <c r="F481" s="84" t="n">
        <v>0.190184049079755</v>
      </c>
      <c r="G481" s="84" t="n">
        <v>0.304878048780488</v>
      </c>
      <c r="H481" s="84" t="n">
        <v>0.445390605449626</v>
      </c>
      <c r="I481" s="84" t="n">
        <v>0.442549284754029</v>
      </c>
      <c r="J481" s="84" t="n">
        <v>0.721159811246214</v>
      </c>
      <c r="K481" s="84" t="n">
        <v>0.7341137552117341</v>
      </c>
      <c r="L481" s="84" t="n">
        <v>0.890882356598317</v>
      </c>
      <c r="M481" s="84" t="n">
        <v>0.906542056074766</v>
      </c>
      <c r="N481" s="84" t="n">
        <v>0.916666666666667</v>
      </c>
      <c r="O481" s="84" t="n">
        <v>1</v>
      </c>
      <c r="P481" s="85">
        <f>AVERAGE(D481:I481)</f>
        <v/>
      </c>
      <c r="Q481" s="85">
        <f>AVERAGE(J481:L481)</f>
        <v/>
      </c>
      <c r="R481" s="85">
        <f>AVERAGE(M481:O481)</f>
        <v/>
      </c>
      <c r="S481" s="85">
        <f>'02_지표정의'!$C$22*P481+'02_지표정의'!$C$23*Q481+'02_지표정의'!$C$24*R481</f>
        <v/>
      </c>
      <c r="T481" s="73">
        <f>IF(OR(AND(B481="gemini",C481="gemma"),AND(B481="qwen3_6",C481="qwen"),AND(B481="mistral",C481="ministral")),1,0)</f>
        <v/>
      </c>
      <c r="U481" s="73">
        <f>IF(LEFT(A481,3)="PAT","특허","보고서")</f>
        <v/>
      </c>
      <c r="V481" s="86">
        <f>COUNTIF($S$2:$S$976,"&lt;"&amp;S481)+(COUNTIF($S$2:$S$976,"="&amp;S481)+1)/2</f>
        <v/>
      </c>
      <c r="W481" s="73">
        <f>IF(C481="qwen",0,COUNTIFS($C$2:$C$976,"&lt;&gt;qwen",$S$2:$S$976,"&lt;"&amp;S481)+1)</f>
        <v/>
      </c>
      <c r="X481" s="73">
        <f>IF(C481="ministral",0,COUNTIFS($C$2:$C$976,"&lt;&gt;ministral",$S$2:$S$976,"&lt;"&amp;S481)+1)</f>
        <v/>
      </c>
      <c r="Y481" s="73">
        <f>IF(C481="gemma",0,COUNTIFS($C$2:$C$976,"&lt;&gt;gemma",$S$2:$S$976,"&lt;"&amp;S481)+1)</f>
        <v/>
      </c>
      <c r="Z481" s="87">
        <f>COUNTIFS($B$2:$B$976,B481,$C$2:$C$976,C481,$S$2:$S$976,"&lt;"&amp;S481)+1</f>
        <v/>
      </c>
      <c r="AA481" s="88">
        <f>ABS(S481-SUMPRODUCT(('05B_가정검정'!$A$5:$A$19=B481)*('05B_가정검정'!$B$5:$B$19=C481)*'05B_가정검정'!$E$5:$E$19))</f>
        <v/>
      </c>
      <c r="AB481" s="88">
        <f>S481-AVERAGEIFS($S$2:$S$976,$B$2:$B$976,B481,$C$2:$C$976,C481)</f>
        <v/>
      </c>
    </row>
    <row r="482" ht="15" customHeight="1" s="68">
      <c r="A482" s="83" t="inlineStr">
        <is>
          <t>RPT-02</t>
        </is>
      </c>
      <c r="B482" s="83" t="inlineStr">
        <is>
          <t>chatgpt</t>
        </is>
      </c>
      <c r="C482" s="83" t="inlineStr">
        <is>
          <t>gemma</t>
        </is>
      </c>
      <c r="D482" s="84" t="n">
        <v>0.213166144200627</v>
      </c>
      <c r="E482" s="84" t="n">
        <v>0.295566502463054</v>
      </c>
      <c r="F482" s="84" t="n">
        <v>0.139303482587065</v>
      </c>
      <c r="G482" s="84" t="n">
        <v>0.236453201970443</v>
      </c>
      <c r="H482" s="84" t="n">
        <v>0.239661047889526</v>
      </c>
      <c r="I482" s="84" t="n">
        <v>0.133820574319299</v>
      </c>
      <c r="J482" s="84" t="n">
        <v>0.696251624646455</v>
      </c>
      <c r="K482" s="84" t="n">
        <v>0.546208529864337</v>
      </c>
      <c r="L482" s="84" t="n">
        <v>0.760150316378271</v>
      </c>
      <c r="M482" s="84" t="n">
        <v>0.515151515151515</v>
      </c>
      <c r="N482" s="84" t="n">
        <v>0.213483146067416</v>
      </c>
      <c r="O482" s="84" t="n">
        <v>1</v>
      </c>
      <c r="P482" s="85">
        <f>AVERAGE(D482:I482)</f>
        <v/>
      </c>
      <c r="Q482" s="85">
        <f>AVERAGE(J482:L482)</f>
        <v/>
      </c>
      <c r="R482" s="85">
        <f>AVERAGE(M482:O482)</f>
        <v/>
      </c>
      <c r="S482" s="85">
        <f>'02_지표정의'!$C$22*P482+'02_지표정의'!$C$23*Q482+'02_지표정의'!$C$24*R482</f>
        <v/>
      </c>
      <c r="T482" s="73">
        <f>IF(OR(AND(B482="gemini",C482="gemma"),AND(B482="qwen3_6",C482="qwen"),AND(B482="mistral",C482="ministral")),1,0)</f>
        <v/>
      </c>
      <c r="U482" s="73">
        <f>IF(LEFT(A482,3)="PAT","특허","보고서")</f>
        <v/>
      </c>
      <c r="V482" s="86">
        <f>COUNTIF($S$2:$S$976,"&lt;"&amp;S482)+(COUNTIF($S$2:$S$976,"="&amp;S482)+1)/2</f>
        <v/>
      </c>
      <c r="W482" s="73">
        <f>IF(C482="qwen",0,COUNTIFS($C$2:$C$976,"&lt;&gt;qwen",$S$2:$S$976,"&lt;"&amp;S482)+1)</f>
        <v/>
      </c>
      <c r="X482" s="73">
        <f>IF(C482="ministral",0,COUNTIFS($C$2:$C$976,"&lt;&gt;ministral",$S$2:$S$976,"&lt;"&amp;S482)+1)</f>
        <v/>
      </c>
      <c r="Y482" s="73">
        <f>IF(C482="gemma",0,COUNTIFS($C$2:$C$976,"&lt;&gt;gemma",$S$2:$S$976,"&lt;"&amp;S482)+1)</f>
        <v/>
      </c>
      <c r="Z482" s="87">
        <f>COUNTIFS($B$2:$B$976,B482,$C$2:$C$976,C482,$S$2:$S$976,"&lt;"&amp;S482)+1</f>
        <v/>
      </c>
      <c r="AA482" s="88">
        <f>ABS(S482-SUMPRODUCT(('05B_가정검정'!$A$5:$A$19=B482)*('05B_가정검정'!$B$5:$B$19=C482)*'05B_가정검정'!$E$5:$E$19))</f>
        <v/>
      </c>
      <c r="AB482" s="88">
        <f>S482-AVERAGEIFS($S$2:$S$976,$B$2:$B$976,B482,$C$2:$C$976,C482)</f>
        <v/>
      </c>
    </row>
    <row r="483" ht="15" customHeight="1" s="68">
      <c r="A483" s="83" t="inlineStr">
        <is>
          <t>RPT-02</t>
        </is>
      </c>
      <c r="B483" s="83" t="inlineStr">
        <is>
          <t>chatgpt</t>
        </is>
      </c>
      <c r="C483" s="83" t="inlineStr">
        <is>
          <t>ministral</t>
        </is>
      </c>
      <c r="D483" s="84" t="n">
        <v>0.29553264604811</v>
      </c>
      <c r="E483" s="84" t="n">
        <v>0.37037037037037</v>
      </c>
      <c r="F483" s="84" t="n">
        <v>0.192513368983957</v>
      </c>
      <c r="G483" s="84" t="n">
        <v>0.317460317460318</v>
      </c>
      <c r="H483" s="84" t="n">
        <v>0.162693971063722</v>
      </c>
      <c r="I483" s="84" t="n">
        <v>0.232485475115363</v>
      </c>
      <c r="J483" s="84" t="n">
        <v>0.727890263523972</v>
      </c>
      <c r="K483" s="84" t="n">
        <v>0.635337711196396</v>
      </c>
      <c r="L483" s="84" t="n">
        <v>0.811145014547304</v>
      </c>
      <c r="M483" s="84" t="n">
        <v>0.489473684210526</v>
      </c>
      <c r="N483" s="84" t="n">
        <v>0</v>
      </c>
      <c r="O483" s="84" t="n">
        <v>1</v>
      </c>
      <c r="P483" s="85">
        <f>AVERAGE(D483:I483)</f>
        <v/>
      </c>
      <c r="Q483" s="85">
        <f>AVERAGE(J483:L483)</f>
        <v/>
      </c>
      <c r="R483" s="85">
        <f>AVERAGE(M483:O483)</f>
        <v/>
      </c>
      <c r="S483" s="85">
        <f>'02_지표정의'!$C$22*P483+'02_지표정의'!$C$23*Q483+'02_지표정의'!$C$24*R483</f>
        <v/>
      </c>
      <c r="T483" s="73">
        <f>IF(OR(AND(B483="gemini",C483="gemma"),AND(B483="qwen3_6",C483="qwen"),AND(B483="mistral",C483="ministral")),1,0)</f>
        <v/>
      </c>
      <c r="U483" s="73">
        <f>IF(LEFT(A483,3)="PAT","특허","보고서")</f>
        <v/>
      </c>
      <c r="V483" s="86">
        <f>COUNTIF($S$2:$S$976,"&lt;"&amp;S483)+(COUNTIF($S$2:$S$976,"="&amp;S483)+1)/2</f>
        <v/>
      </c>
      <c r="W483" s="73">
        <f>IF(C483="qwen",0,COUNTIFS($C$2:$C$976,"&lt;&gt;qwen",$S$2:$S$976,"&lt;"&amp;S483)+1)</f>
        <v/>
      </c>
      <c r="X483" s="73">
        <f>IF(C483="ministral",0,COUNTIFS($C$2:$C$976,"&lt;&gt;ministral",$S$2:$S$976,"&lt;"&amp;S483)+1)</f>
        <v/>
      </c>
      <c r="Y483" s="73">
        <f>IF(C483="gemma",0,COUNTIFS($C$2:$C$976,"&lt;&gt;gemma",$S$2:$S$976,"&lt;"&amp;S483)+1)</f>
        <v/>
      </c>
      <c r="Z483" s="87">
        <f>COUNTIFS($B$2:$B$976,B483,$C$2:$C$976,C483,$S$2:$S$976,"&lt;"&amp;S483)+1</f>
        <v/>
      </c>
      <c r="AA483" s="88">
        <f>ABS(S483-SUMPRODUCT(('05B_가정검정'!$A$5:$A$19=B483)*('05B_가정검정'!$B$5:$B$19=C483)*'05B_가정검정'!$E$5:$E$19))</f>
        <v/>
      </c>
      <c r="AB483" s="88">
        <f>S483-AVERAGEIFS($S$2:$S$976,$B$2:$B$976,B483,$C$2:$C$976,C483)</f>
        <v/>
      </c>
    </row>
    <row r="484" ht="15" customHeight="1" s="68">
      <c r="A484" s="83" t="inlineStr">
        <is>
          <t>RPT-02</t>
        </is>
      </c>
      <c r="B484" s="83" t="inlineStr">
        <is>
          <t>chatgpt</t>
        </is>
      </c>
      <c r="C484" s="83" t="inlineStr">
        <is>
          <t>qwen</t>
        </is>
      </c>
      <c r="D484" s="84" t="n">
        <v>0.267657992565056</v>
      </c>
      <c r="E484" s="84" t="n">
        <v>0.363636363636364</v>
      </c>
      <c r="F484" s="84" t="n">
        <v>0.172972972972973</v>
      </c>
      <c r="G484" s="84" t="n">
        <v>0.310160427807487</v>
      </c>
      <c r="H484" s="84" t="n">
        <v>0.2293800292574</v>
      </c>
      <c r="I484" s="84" t="n">
        <v>0.287515148931456</v>
      </c>
      <c r="J484" s="84" t="n">
        <v>0.684107448553012</v>
      </c>
      <c r="K484" s="84" t="n">
        <v>0.611198915426129</v>
      </c>
      <c r="L484" s="84" t="n">
        <v>0.787753801171634</v>
      </c>
      <c r="M484" s="84" t="n">
        <v>0.490909090909091</v>
      </c>
      <c r="N484" s="84" t="n">
        <v>0.179775280898876</v>
      </c>
      <c r="O484" s="84" t="n">
        <v>0.842105263157895</v>
      </c>
      <c r="P484" s="85">
        <f>AVERAGE(D484:I484)</f>
        <v/>
      </c>
      <c r="Q484" s="85">
        <f>AVERAGE(J484:L484)</f>
        <v/>
      </c>
      <c r="R484" s="85">
        <f>AVERAGE(M484:O484)</f>
        <v/>
      </c>
      <c r="S484" s="85">
        <f>'02_지표정의'!$C$22*P484+'02_지표정의'!$C$23*Q484+'02_지표정의'!$C$24*R484</f>
        <v/>
      </c>
      <c r="T484" s="73">
        <f>IF(OR(AND(B484="gemini",C484="gemma"),AND(B484="qwen3_6",C484="qwen"),AND(B484="mistral",C484="ministral")),1,0)</f>
        <v/>
      </c>
      <c r="U484" s="73">
        <f>IF(LEFT(A484,3)="PAT","특허","보고서")</f>
        <v/>
      </c>
      <c r="V484" s="86">
        <f>COUNTIF($S$2:$S$976,"&lt;"&amp;S484)+(COUNTIF($S$2:$S$976,"="&amp;S484)+1)/2</f>
        <v/>
      </c>
      <c r="W484" s="73">
        <f>IF(C484="qwen",0,COUNTIFS($C$2:$C$976,"&lt;&gt;qwen",$S$2:$S$976,"&lt;"&amp;S484)+1)</f>
        <v/>
      </c>
      <c r="X484" s="73">
        <f>IF(C484="ministral",0,COUNTIFS($C$2:$C$976,"&lt;&gt;ministral",$S$2:$S$976,"&lt;"&amp;S484)+1)</f>
        <v/>
      </c>
      <c r="Y484" s="73">
        <f>IF(C484="gemma",0,COUNTIFS($C$2:$C$976,"&lt;&gt;gemma",$S$2:$S$976,"&lt;"&amp;S484)+1)</f>
        <v/>
      </c>
      <c r="Z484" s="87">
        <f>COUNTIFS($B$2:$B$976,B484,$C$2:$C$976,C484,$S$2:$S$976,"&lt;"&amp;S484)+1</f>
        <v/>
      </c>
      <c r="AA484" s="88">
        <f>ABS(S484-SUMPRODUCT(('05B_가정검정'!$A$5:$A$19=B484)*('05B_가정검정'!$B$5:$B$19=C484)*'05B_가정검정'!$E$5:$E$19))</f>
        <v/>
      </c>
      <c r="AB484" s="88">
        <f>S484-AVERAGEIFS($S$2:$S$976,$B$2:$B$976,B484,$C$2:$C$976,C484)</f>
        <v/>
      </c>
    </row>
    <row r="485" ht="15" customHeight="1" s="68">
      <c r="A485" s="83" t="inlineStr">
        <is>
          <t>RPT-02</t>
        </is>
      </c>
      <c r="B485" s="83" t="inlineStr">
        <is>
          <t>claude</t>
        </is>
      </c>
      <c r="C485" s="83" t="inlineStr">
        <is>
          <t>gemma</t>
        </is>
      </c>
      <c r="D485" s="84" t="n">
        <v>0.212860310421286</v>
      </c>
      <c r="E485" s="84" t="n">
        <v>0.28021978021978</v>
      </c>
      <c r="F485" s="84" t="n">
        <v>0.0662983425414365</v>
      </c>
      <c r="G485" s="84" t="n">
        <v>0.175824175824176</v>
      </c>
      <c r="H485" s="84" t="n">
        <v>0.33463632488929</v>
      </c>
      <c r="I485" s="84" t="n">
        <v>0.101799177732914</v>
      </c>
      <c r="J485" s="84" t="n">
        <v>0.707552861364851</v>
      </c>
      <c r="K485" s="84" t="n">
        <v>0.614297669618887</v>
      </c>
      <c r="L485" s="84" t="n">
        <v>0.833921043658166</v>
      </c>
      <c r="M485" s="84" t="n">
        <v>0.765765765765766</v>
      </c>
      <c r="N485" s="84" t="n">
        <v>0.790322580645161</v>
      </c>
      <c r="O485" s="84" t="n">
        <v>1</v>
      </c>
      <c r="P485" s="85">
        <f>AVERAGE(D485:I485)</f>
        <v/>
      </c>
      <c r="Q485" s="85">
        <f>AVERAGE(J485:L485)</f>
        <v/>
      </c>
      <c r="R485" s="85">
        <f>AVERAGE(M485:O485)</f>
        <v/>
      </c>
      <c r="S485" s="85">
        <f>'02_지표정의'!$C$22*P485+'02_지표정의'!$C$23*Q485+'02_지표정의'!$C$24*R485</f>
        <v/>
      </c>
      <c r="T485" s="73">
        <f>IF(OR(AND(B485="gemini",C485="gemma"),AND(B485="qwen3_6",C485="qwen"),AND(B485="mistral",C485="ministral")),1,0)</f>
        <v/>
      </c>
      <c r="U485" s="73">
        <f>IF(LEFT(A485,3)="PAT","특허","보고서")</f>
        <v/>
      </c>
      <c r="V485" s="86">
        <f>COUNTIF($S$2:$S$976,"&lt;"&amp;S485)+(COUNTIF($S$2:$S$976,"="&amp;S485)+1)/2</f>
        <v/>
      </c>
      <c r="W485" s="73">
        <f>IF(C485="qwen",0,COUNTIFS($C$2:$C$976,"&lt;&gt;qwen",$S$2:$S$976,"&lt;"&amp;S485)+1)</f>
        <v/>
      </c>
      <c r="X485" s="73">
        <f>IF(C485="ministral",0,COUNTIFS($C$2:$C$976,"&lt;&gt;ministral",$S$2:$S$976,"&lt;"&amp;S485)+1)</f>
        <v/>
      </c>
      <c r="Y485" s="73">
        <f>IF(C485="gemma",0,COUNTIFS($C$2:$C$976,"&lt;&gt;gemma",$S$2:$S$976,"&lt;"&amp;S485)+1)</f>
        <v/>
      </c>
      <c r="Z485" s="87">
        <f>COUNTIFS($B$2:$B$976,B485,$C$2:$C$976,C485,$S$2:$S$976,"&lt;"&amp;S485)+1</f>
        <v/>
      </c>
      <c r="AA485" s="88">
        <f>ABS(S485-SUMPRODUCT(('05B_가정검정'!$A$5:$A$19=B485)*('05B_가정검정'!$B$5:$B$19=C485)*'05B_가정검정'!$E$5:$E$19))</f>
        <v/>
      </c>
      <c r="AB485" s="88">
        <f>S485-AVERAGEIFS($S$2:$S$976,$B$2:$B$976,B485,$C$2:$C$976,C485)</f>
        <v/>
      </c>
    </row>
    <row r="486" ht="15" customHeight="1" s="68">
      <c r="A486" s="83" t="inlineStr">
        <is>
          <t>RPT-02</t>
        </is>
      </c>
      <c r="B486" s="83" t="inlineStr">
        <is>
          <t>claude</t>
        </is>
      </c>
      <c r="C486" s="83" t="inlineStr">
        <is>
          <t>ministral</t>
        </is>
      </c>
      <c r="D486" s="84" t="n">
        <v>0.217494089834515</v>
      </c>
      <c r="E486" s="84" t="n">
        <v>0.377142857142857</v>
      </c>
      <c r="F486" s="84" t="n">
        <v>0.132183908045977</v>
      </c>
      <c r="G486" s="84" t="n">
        <v>0.228571428571429</v>
      </c>
      <c r="H486" s="84" t="n">
        <v>0.233496887984154</v>
      </c>
      <c r="I486" s="84" t="n">
        <v>0.18458089095224</v>
      </c>
      <c r="J486" s="84" t="n">
        <v>0.696156691326123</v>
      </c>
      <c r="K486" s="84" t="n">
        <v>0.689790308509081</v>
      </c>
      <c r="L486" s="84" t="n">
        <v>0.865793818922457</v>
      </c>
      <c r="M486" s="84" t="n">
        <v>0.515789473684211</v>
      </c>
      <c r="N486" s="84" t="n">
        <v>0.46078431372549</v>
      </c>
      <c r="O486" s="84" t="n">
        <v>1</v>
      </c>
      <c r="P486" s="85">
        <f>AVERAGE(D486:I486)</f>
        <v/>
      </c>
      <c r="Q486" s="85">
        <f>AVERAGE(J486:L486)</f>
        <v/>
      </c>
      <c r="R486" s="85">
        <f>AVERAGE(M486:O486)</f>
        <v/>
      </c>
      <c r="S486" s="85">
        <f>'02_지표정의'!$C$22*P486+'02_지표정의'!$C$23*Q486+'02_지표정의'!$C$24*R486</f>
        <v/>
      </c>
      <c r="T486" s="73">
        <f>IF(OR(AND(B486="gemini",C486="gemma"),AND(B486="qwen3_6",C486="qwen"),AND(B486="mistral",C486="ministral")),1,0)</f>
        <v/>
      </c>
      <c r="U486" s="73">
        <f>IF(LEFT(A486,3)="PAT","특허","보고서")</f>
        <v/>
      </c>
      <c r="V486" s="86">
        <f>COUNTIF($S$2:$S$976,"&lt;"&amp;S486)+(COUNTIF($S$2:$S$976,"="&amp;S486)+1)/2</f>
        <v/>
      </c>
      <c r="W486" s="73">
        <f>IF(C486="qwen",0,COUNTIFS($C$2:$C$976,"&lt;&gt;qwen",$S$2:$S$976,"&lt;"&amp;S486)+1)</f>
        <v/>
      </c>
      <c r="X486" s="73">
        <f>IF(C486="ministral",0,COUNTIFS($C$2:$C$976,"&lt;&gt;ministral",$S$2:$S$976,"&lt;"&amp;S486)+1)</f>
        <v/>
      </c>
      <c r="Y486" s="73">
        <f>IF(C486="gemma",0,COUNTIFS($C$2:$C$976,"&lt;&gt;gemma",$S$2:$S$976,"&lt;"&amp;S486)+1)</f>
        <v/>
      </c>
      <c r="Z486" s="87">
        <f>COUNTIFS($B$2:$B$976,B486,$C$2:$C$976,C486,$S$2:$S$976,"&lt;"&amp;S486)+1</f>
        <v/>
      </c>
      <c r="AA486" s="88">
        <f>ABS(S486-SUMPRODUCT(('05B_가정검정'!$A$5:$A$19=B486)*('05B_가정검정'!$B$5:$B$19=C486)*'05B_가정검정'!$E$5:$E$19))</f>
        <v/>
      </c>
      <c r="AB486" s="88">
        <f>S486-AVERAGEIFS($S$2:$S$976,$B$2:$B$976,B486,$C$2:$C$976,C486)</f>
        <v/>
      </c>
    </row>
    <row r="487" ht="15" customHeight="1" s="68">
      <c r="A487" s="83" t="inlineStr">
        <is>
          <t>RPT-02</t>
        </is>
      </c>
      <c r="B487" s="83" t="inlineStr">
        <is>
          <t>claude</t>
        </is>
      </c>
      <c r="C487" s="83" t="inlineStr">
        <is>
          <t>qwen</t>
        </is>
      </c>
      <c r="D487" s="84" t="n">
        <v>0.231920199501247</v>
      </c>
      <c r="E487" s="84" t="n">
        <v>0.362068965517241</v>
      </c>
      <c r="F487" s="84" t="n">
        <v>0.161849710982659</v>
      </c>
      <c r="G487" s="84" t="n">
        <v>0.224137931034483</v>
      </c>
      <c r="H487" s="84" t="n">
        <v>0.282174982650041</v>
      </c>
      <c r="I487" s="84" t="n">
        <v>0.305753476153595</v>
      </c>
      <c r="J487" s="84" t="n">
        <v>0.713687621707797</v>
      </c>
      <c r="K487" s="84" t="n">
        <v>0.677431239556996</v>
      </c>
      <c r="L487" s="84" t="n">
        <v>0.872035099662279</v>
      </c>
      <c r="M487" s="84" t="n">
        <v>0.72972972972973</v>
      </c>
      <c r="N487" s="84" t="n">
        <v>0.741935483870968</v>
      </c>
      <c r="O487" s="84" t="n">
        <v>0.842105263157895</v>
      </c>
      <c r="P487" s="85">
        <f>AVERAGE(D487:I487)</f>
        <v/>
      </c>
      <c r="Q487" s="85">
        <f>AVERAGE(J487:L487)</f>
        <v/>
      </c>
      <c r="R487" s="85">
        <f>AVERAGE(M487:O487)</f>
        <v/>
      </c>
      <c r="S487" s="85">
        <f>'02_지표정의'!$C$22*P487+'02_지표정의'!$C$23*Q487+'02_지표정의'!$C$24*R487</f>
        <v/>
      </c>
      <c r="T487" s="73">
        <f>IF(OR(AND(B487="gemini",C487="gemma"),AND(B487="qwen3_6",C487="qwen"),AND(B487="mistral",C487="ministral")),1,0)</f>
        <v/>
      </c>
      <c r="U487" s="73">
        <f>IF(LEFT(A487,3)="PAT","특허","보고서")</f>
        <v/>
      </c>
      <c r="V487" s="86">
        <f>COUNTIF($S$2:$S$976,"&lt;"&amp;S487)+(COUNTIF($S$2:$S$976,"="&amp;S487)+1)/2</f>
        <v/>
      </c>
      <c r="W487" s="73">
        <f>IF(C487="qwen",0,COUNTIFS($C$2:$C$976,"&lt;&gt;qwen",$S$2:$S$976,"&lt;"&amp;S487)+1)</f>
        <v/>
      </c>
      <c r="X487" s="73">
        <f>IF(C487="ministral",0,COUNTIFS($C$2:$C$976,"&lt;&gt;ministral",$S$2:$S$976,"&lt;"&amp;S487)+1)</f>
        <v/>
      </c>
      <c r="Y487" s="73">
        <f>IF(C487="gemma",0,COUNTIFS($C$2:$C$976,"&lt;&gt;gemma",$S$2:$S$976,"&lt;"&amp;S487)+1)</f>
        <v/>
      </c>
      <c r="Z487" s="87">
        <f>COUNTIFS($B$2:$B$976,B487,$C$2:$C$976,C487,$S$2:$S$976,"&lt;"&amp;S487)+1</f>
        <v/>
      </c>
      <c r="AA487" s="88">
        <f>ABS(S487-SUMPRODUCT(('05B_가정검정'!$A$5:$A$19=B487)*('05B_가정검정'!$B$5:$B$19=C487)*'05B_가정검정'!$E$5:$E$19))</f>
        <v/>
      </c>
      <c r="AB487" s="88">
        <f>S487-AVERAGEIFS($S$2:$S$976,$B$2:$B$976,B487,$C$2:$C$976,C487)</f>
        <v/>
      </c>
    </row>
    <row r="488" ht="15" customHeight="1" s="68">
      <c r="A488" s="83" t="inlineStr">
        <is>
          <t>RPT-02</t>
        </is>
      </c>
      <c r="B488" s="83" t="inlineStr">
        <is>
          <t>gemini</t>
        </is>
      </c>
      <c r="C488" s="83" t="inlineStr">
        <is>
          <t>gemma</t>
        </is>
      </c>
      <c r="D488" s="84" t="n">
        <v>0.201307189542484</v>
      </c>
      <c r="E488" s="84" t="n">
        <v>0.320675105485232</v>
      </c>
      <c r="F488" s="84" t="n">
        <v>0.0765957446808511</v>
      </c>
      <c r="G488" s="84" t="n">
        <v>0.210970464135021</v>
      </c>
      <c r="H488" s="84" t="n">
        <v>0.313623137312726</v>
      </c>
      <c r="I488" s="84" t="n">
        <v>0.151198248853981</v>
      </c>
      <c r="J488" s="84" t="n">
        <v>0.736683454452751</v>
      </c>
      <c r="K488" s="84" t="n">
        <v>0.712599492834569</v>
      </c>
      <c r="L488" s="84" t="n">
        <v>0.855650011962134</v>
      </c>
      <c r="M488" s="84" t="n">
        <v>0.906542056074766</v>
      </c>
      <c r="N488" s="84" t="n">
        <v>0.916666666666667</v>
      </c>
      <c r="O488" s="84" t="n">
        <v>1</v>
      </c>
      <c r="P488" s="85">
        <f>AVERAGE(D488:I488)</f>
        <v/>
      </c>
      <c r="Q488" s="85">
        <f>AVERAGE(J488:L488)</f>
        <v/>
      </c>
      <c r="R488" s="85">
        <f>AVERAGE(M488:O488)</f>
        <v/>
      </c>
      <c r="S488" s="85">
        <f>'02_지표정의'!$C$22*P488+'02_지표정의'!$C$23*Q488+'02_지표정의'!$C$24*R488</f>
        <v/>
      </c>
      <c r="T488" s="73">
        <f>IF(OR(AND(B488="gemini",C488="gemma"),AND(B488="qwen3_6",C488="qwen"),AND(B488="mistral",C488="ministral")),1,0)</f>
        <v/>
      </c>
      <c r="U488" s="73">
        <f>IF(LEFT(A488,3)="PAT","특허","보고서")</f>
        <v/>
      </c>
      <c r="V488" s="86">
        <f>COUNTIF($S$2:$S$976,"&lt;"&amp;S488)+(COUNTIF($S$2:$S$976,"="&amp;S488)+1)/2</f>
        <v/>
      </c>
      <c r="W488" s="73">
        <f>IF(C488="qwen",0,COUNTIFS($C$2:$C$976,"&lt;&gt;qwen",$S$2:$S$976,"&lt;"&amp;S488)+1)</f>
        <v/>
      </c>
      <c r="X488" s="73">
        <f>IF(C488="ministral",0,COUNTIFS($C$2:$C$976,"&lt;&gt;ministral",$S$2:$S$976,"&lt;"&amp;S488)+1)</f>
        <v/>
      </c>
      <c r="Y488" s="73">
        <f>IF(C488="gemma",0,COUNTIFS($C$2:$C$976,"&lt;&gt;gemma",$S$2:$S$976,"&lt;"&amp;S488)+1)</f>
        <v/>
      </c>
      <c r="Z488" s="87">
        <f>COUNTIFS($B$2:$B$976,B488,$C$2:$C$976,C488,$S$2:$S$976,"&lt;"&amp;S488)+1</f>
        <v/>
      </c>
      <c r="AA488" s="88">
        <f>ABS(S488-SUMPRODUCT(('05B_가정검정'!$A$5:$A$19=B488)*('05B_가정검정'!$B$5:$B$19=C488)*'05B_가정검정'!$E$5:$E$19))</f>
        <v/>
      </c>
      <c r="AB488" s="88">
        <f>S488-AVERAGEIFS($S$2:$S$976,$B$2:$B$976,B488,$C$2:$C$976,C488)</f>
        <v/>
      </c>
    </row>
    <row r="489" ht="15" customHeight="1" s="68">
      <c r="A489" s="83" t="inlineStr">
        <is>
          <t>RPT-02</t>
        </is>
      </c>
      <c r="B489" s="83" t="inlineStr">
        <is>
          <t>gemini</t>
        </is>
      </c>
      <c r="C489" s="83" t="inlineStr">
        <is>
          <t>ministral</t>
        </is>
      </c>
      <c r="D489" s="84" t="n">
        <v>0.242595204513399</v>
      </c>
      <c r="E489" s="84" t="n">
        <v>0.42152466367713</v>
      </c>
      <c r="F489" s="84" t="n">
        <v>0.144796380090498</v>
      </c>
      <c r="G489" s="84" t="n">
        <v>0.286995515695067</v>
      </c>
      <c r="H489" s="84" t="n">
        <v>0.21683844387665</v>
      </c>
      <c r="I489" s="84" t="n">
        <v>0.196782786872123</v>
      </c>
      <c r="J489" s="84" t="n">
        <v>0.7567787356126</v>
      </c>
      <c r="K489" s="84" t="n">
        <v>0.76148438998795</v>
      </c>
      <c r="L489" s="84" t="n">
        <v>0.8816413878645341</v>
      </c>
      <c r="M489" s="84" t="n">
        <v>0.510526315789474</v>
      </c>
      <c r="N489" s="84" t="n">
        <v>0.53921568627451</v>
      </c>
      <c r="O489" s="84" t="n">
        <v>1</v>
      </c>
      <c r="P489" s="85">
        <f>AVERAGE(D489:I489)</f>
        <v/>
      </c>
      <c r="Q489" s="85">
        <f>AVERAGE(J489:L489)</f>
        <v/>
      </c>
      <c r="R489" s="85">
        <f>AVERAGE(M489:O489)</f>
        <v/>
      </c>
      <c r="S489" s="85">
        <f>'02_지표정의'!$C$22*P489+'02_지표정의'!$C$23*Q489+'02_지표정의'!$C$24*R489</f>
        <v/>
      </c>
      <c r="T489" s="73">
        <f>IF(OR(AND(B489="gemini",C489="gemma"),AND(B489="qwen3_6",C489="qwen"),AND(B489="mistral",C489="ministral")),1,0)</f>
        <v/>
      </c>
      <c r="U489" s="73">
        <f>IF(LEFT(A489,3)="PAT","특허","보고서")</f>
        <v/>
      </c>
      <c r="V489" s="86">
        <f>COUNTIF($S$2:$S$976,"&lt;"&amp;S489)+(COUNTIF($S$2:$S$976,"="&amp;S489)+1)/2</f>
        <v/>
      </c>
      <c r="W489" s="73">
        <f>IF(C489="qwen",0,COUNTIFS($C$2:$C$976,"&lt;&gt;qwen",$S$2:$S$976,"&lt;"&amp;S489)+1)</f>
        <v/>
      </c>
      <c r="X489" s="73">
        <f>IF(C489="ministral",0,COUNTIFS($C$2:$C$976,"&lt;&gt;ministral",$S$2:$S$976,"&lt;"&amp;S489)+1)</f>
        <v/>
      </c>
      <c r="Y489" s="73">
        <f>IF(C489="gemma",0,COUNTIFS($C$2:$C$976,"&lt;&gt;gemma",$S$2:$S$976,"&lt;"&amp;S489)+1)</f>
        <v/>
      </c>
      <c r="Z489" s="87">
        <f>COUNTIFS($B$2:$B$976,B489,$C$2:$C$976,C489,$S$2:$S$976,"&lt;"&amp;S489)+1</f>
        <v/>
      </c>
      <c r="AA489" s="88">
        <f>ABS(S489-SUMPRODUCT(('05B_가정검정'!$A$5:$A$19=B489)*('05B_가정검정'!$B$5:$B$19=C489)*'05B_가정검정'!$E$5:$E$19))</f>
        <v/>
      </c>
      <c r="AB489" s="88">
        <f>S489-AVERAGEIFS($S$2:$S$976,$B$2:$B$976,B489,$C$2:$C$976,C489)</f>
        <v/>
      </c>
    </row>
    <row r="490" ht="15" customHeight="1" s="68">
      <c r="A490" s="83" t="inlineStr">
        <is>
          <t>RPT-02</t>
        </is>
      </c>
      <c r="B490" s="83" t="inlineStr">
        <is>
          <t>gemini</t>
        </is>
      </c>
      <c r="C490" s="83" t="inlineStr">
        <is>
          <t>qwen</t>
        </is>
      </c>
      <c r="D490" s="84" t="n">
        <v>0.258646616541353</v>
      </c>
      <c r="E490" s="84" t="n">
        <v>0.407239819004525</v>
      </c>
      <c r="F490" s="84" t="n">
        <v>0.182648401826484</v>
      </c>
      <c r="G490" s="84" t="n">
        <v>0.316742081447964</v>
      </c>
      <c r="H490" s="84" t="n">
        <v>0.338682308123125</v>
      </c>
      <c r="I490" s="84" t="n">
        <v>0.28904904951793</v>
      </c>
      <c r="J490" s="84" t="n">
        <v>0.745131954702467</v>
      </c>
      <c r="K490" s="84" t="n">
        <v>0.7740952256556241</v>
      </c>
      <c r="L490" s="84" t="n">
        <v>0.887922481133672</v>
      </c>
      <c r="M490" s="84" t="n">
        <v>0.864077669902913</v>
      </c>
      <c r="N490" s="84" t="n">
        <v>0.859649122807018</v>
      </c>
      <c r="O490" s="84" t="n">
        <v>0.842105263157895</v>
      </c>
      <c r="P490" s="85">
        <f>AVERAGE(D490:I490)</f>
        <v/>
      </c>
      <c r="Q490" s="85">
        <f>AVERAGE(J490:L490)</f>
        <v/>
      </c>
      <c r="R490" s="85">
        <f>AVERAGE(M490:O490)</f>
        <v/>
      </c>
      <c r="S490" s="85">
        <f>'02_지표정의'!$C$22*P490+'02_지표정의'!$C$23*Q490+'02_지표정의'!$C$24*R490</f>
        <v/>
      </c>
      <c r="T490" s="73">
        <f>IF(OR(AND(B490="gemini",C490="gemma"),AND(B490="qwen3_6",C490="qwen"),AND(B490="mistral",C490="ministral")),1,0)</f>
        <v/>
      </c>
      <c r="U490" s="73">
        <f>IF(LEFT(A490,3)="PAT","특허","보고서")</f>
        <v/>
      </c>
      <c r="V490" s="86">
        <f>COUNTIF($S$2:$S$976,"&lt;"&amp;S490)+(COUNTIF($S$2:$S$976,"="&amp;S490)+1)/2</f>
        <v/>
      </c>
      <c r="W490" s="73">
        <f>IF(C490="qwen",0,COUNTIFS($C$2:$C$976,"&lt;&gt;qwen",$S$2:$S$976,"&lt;"&amp;S490)+1)</f>
        <v/>
      </c>
      <c r="X490" s="73">
        <f>IF(C490="ministral",0,COUNTIFS($C$2:$C$976,"&lt;&gt;ministral",$S$2:$S$976,"&lt;"&amp;S490)+1)</f>
        <v/>
      </c>
      <c r="Y490" s="73">
        <f>IF(C490="gemma",0,COUNTIFS($C$2:$C$976,"&lt;&gt;gemma",$S$2:$S$976,"&lt;"&amp;S490)+1)</f>
        <v/>
      </c>
      <c r="Z490" s="87">
        <f>COUNTIFS($B$2:$B$976,B490,$C$2:$C$976,C490,$S$2:$S$976,"&lt;"&amp;S490)+1</f>
        <v/>
      </c>
      <c r="AA490" s="88">
        <f>ABS(S490-SUMPRODUCT(('05B_가정검정'!$A$5:$A$19=B490)*('05B_가정검정'!$B$5:$B$19=C490)*'05B_가정검정'!$E$5:$E$19))</f>
        <v/>
      </c>
      <c r="AB490" s="88">
        <f>S490-AVERAGEIFS($S$2:$S$976,$B$2:$B$976,B490,$C$2:$C$976,C490)</f>
        <v/>
      </c>
    </row>
    <row r="491" ht="15" customHeight="1" s="68">
      <c r="A491" s="83" t="inlineStr">
        <is>
          <t>RPT-02</t>
        </is>
      </c>
      <c r="B491" s="83" t="inlineStr">
        <is>
          <t>mistral</t>
        </is>
      </c>
      <c r="C491" s="83" t="inlineStr">
        <is>
          <t>gemma</t>
        </is>
      </c>
      <c r="D491" s="84" t="n">
        <v>0.227906976744186</v>
      </c>
      <c r="E491" s="84" t="n">
        <v>0.30921052631579</v>
      </c>
      <c r="F491" s="84" t="n">
        <v>0.0927152317880795</v>
      </c>
      <c r="G491" s="84" t="n">
        <v>0.230263157894737</v>
      </c>
      <c r="H491" s="84" t="n">
        <v>0.290594470915674</v>
      </c>
      <c r="I491" s="84" t="n">
        <v>0.182722705950963</v>
      </c>
      <c r="J491" s="84" t="n">
        <v>0.66720974826877</v>
      </c>
      <c r="K491" s="84" t="n">
        <v>0.590265640923503</v>
      </c>
      <c r="L491" s="84" t="n">
        <v>0.822817156572292</v>
      </c>
      <c r="M491" s="84" t="n">
        <v>0.497206703910615</v>
      </c>
      <c r="N491" s="84" t="n">
        <v>0.445783132530121</v>
      </c>
      <c r="O491" s="84" t="n">
        <v>0.68421052631579</v>
      </c>
      <c r="P491" s="85">
        <f>AVERAGE(D491:I491)</f>
        <v/>
      </c>
      <c r="Q491" s="85">
        <f>AVERAGE(J491:L491)</f>
        <v/>
      </c>
      <c r="R491" s="85">
        <f>AVERAGE(M491:O491)</f>
        <v/>
      </c>
      <c r="S491" s="85">
        <f>'02_지표정의'!$C$22*P491+'02_지표정의'!$C$23*Q491+'02_지표정의'!$C$24*R491</f>
        <v/>
      </c>
      <c r="T491" s="73">
        <f>IF(OR(AND(B491="gemini",C491="gemma"),AND(B491="qwen3_6",C491="qwen"),AND(B491="mistral",C491="ministral")),1,0)</f>
        <v/>
      </c>
      <c r="U491" s="73">
        <f>IF(LEFT(A491,3)="PAT","특허","보고서")</f>
        <v/>
      </c>
      <c r="V491" s="86">
        <f>COUNTIF($S$2:$S$976,"&lt;"&amp;S491)+(COUNTIF($S$2:$S$976,"="&amp;S491)+1)/2</f>
        <v/>
      </c>
      <c r="W491" s="73">
        <f>IF(C491="qwen",0,COUNTIFS($C$2:$C$976,"&lt;&gt;qwen",$S$2:$S$976,"&lt;"&amp;S491)+1)</f>
        <v/>
      </c>
      <c r="X491" s="73">
        <f>IF(C491="ministral",0,COUNTIFS($C$2:$C$976,"&lt;&gt;ministral",$S$2:$S$976,"&lt;"&amp;S491)+1)</f>
        <v/>
      </c>
      <c r="Y491" s="73">
        <f>IF(C491="gemma",0,COUNTIFS($C$2:$C$976,"&lt;&gt;gemma",$S$2:$S$976,"&lt;"&amp;S491)+1)</f>
        <v/>
      </c>
      <c r="Z491" s="87">
        <f>COUNTIFS($B$2:$B$976,B491,$C$2:$C$976,C491,$S$2:$S$976,"&lt;"&amp;S491)+1</f>
        <v/>
      </c>
      <c r="AA491" s="88">
        <f>ABS(S491-SUMPRODUCT(('05B_가정검정'!$A$5:$A$19=B491)*('05B_가정검정'!$B$5:$B$19=C491)*'05B_가정검정'!$E$5:$E$19))</f>
        <v/>
      </c>
      <c r="AB491" s="88">
        <f>S491-AVERAGEIFS($S$2:$S$976,$B$2:$B$976,B491,$C$2:$C$976,C491)</f>
        <v/>
      </c>
    </row>
    <row r="492" ht="15" customHeight="1" s="68">
      <c r="A492" s="83" t="inlineStr">
        <is>
          <t>RPT-02</t>
        </is>
      </c>
      <c r="B492" s="83" t="inlineStr">
        <is>
          <t>mistral</t>
        </is>
      </c>
      <c r="C492" s="83" t="inlineStr">
        <is>
          <t>ministral</t>
        </is>
      </c>
      <c r="D492" s="84" t="n">
        <v>0.291044776119403</v>
      </c>
      <c r="E492" s="84" t="n">
        <v>0.441379310344828</v>
      </c>
      <c r="F492" s="84" t="n">
        <v>0.166666666666667</v>
      </c>
      <c r="G492" s="84" t="n">
        <v>0.310344827586207</v>
      </c>
      <c r="H492" s="84" t="n">
        <v>0.305196820855681</v>
      </c>
      <c r="I492" s="84" t="n">
        <v>0.205288111677687</v>
      </c>
      <c r="J492" s="84" t="n">
        <v>0.683202683376503</v>
      </c>
      <c r="K492" s="84" t="n">
        <v>0.663085187288402</v>
      </c>
      <c r="L492" s="84" t="n">
        <v>0.857559799754599</v>
      </c>
      <c r="M492" s="84" t="n">
        <v>0.642105263157895</v>
      </c>
      <c r="N492" s="84" t="n">
        <v>0.441176470588235</v>
      </c>
      <c r="O492" s="84" t="n">
        <v>0.68421052631579</v>
      </c>
      <c r="P492" s="85">
        <f>AVERAGE(D492:I492)</f>
        <v/>
      </c>
      <c r="Q492" s="85">
        <f>AVERAGE(J492:L492)</f>
        <v/>
      </c>
      <c r="R492" s="85">
        <f>AVERAGE(M492:O492)</f>
        <v/>
      </c>
      <c r="S492" s="85">
        <f>'02_지표정의'!$C$22*P492+'02_지표정의'!$C$23*Q492+'02_지표정의'!$C$24*R492</f>
        <v/>
      </c>
      <c r="T492" s="73">
        <f>IF(OR(AND(B492="gemini",C492="gemma"),AND(B492="qwen3_6",C492="qwen"),AND(B492="mistral",C492="ministral")),1,0)</f>
        <v/>
      </c>
      <c r="U492" s="73">
        <f>IF(LEFT(A492,3)="PAT","특허","보고서")</f>
        <v/>
      </c>
      <c r="V492" s="86">
        <f>COUNTIF($S$2:$S$976,"&lt;"&amp;S492)+(COUNTIF($S$2:$S$976,"="&amp;S492)+1)/2</f>
        <v/>
      </c>
      <c r="W492" s="73">
        <f>IF(C492="qwen",0,COUNTIFS($C$2:$C$976,"&lt;&gt;qwen",$S$2:$S$976,"&lt;"&amp;S492)+1)</f>
        <v/>
      </c>
      <c r="X492" s="73">
        <f>IF(C492="ministral",0,COUNTIFS($C$2:$C$976,"&lt;&gt;ministral",$S$2:$S$976,"&lt;"&amp;S492)+1)</f>
        <v/>
      </c>
      <c r="Y492" s="73">
        <f>IF(C492="gemma",0,COUNTIFS($C$2:$C$976,"&lt;&gt;gemma",$S$2:$S$976,"&lt;"&amp;S492)+1)</f>
        <v/>
      </c>
      <c r="Z492" s="87">
        <f>COUNTIFS($B$2:$B$976,B492,$C$2:$C$976,C492,$S$2:$S$976,"&lt;"&amp;S492)+1</f>
        <v/>
      </c>
      <c r="AA492" s="88">
        <f>ABS(S492-SUMPRODUCT(('05B_가정검정'!$A$5:$A$19=B492)*('05B_가정검정'!$B$5:$B$19=C492)*'05B_가정검정'!$E$5:$E$19))</f>
        <v/>
      </c>
      <c r="AB492" s="88">
        <f>S492-AVERAGEIFS($S$2:$S$976,$B$2:$B$976,B492,$C$2:$C$976,C492)</f>
        <v/>
      </c>
    </row>
    <row r="493" ht="15" customHeight="1" s="68">
      <c r="A493" s="83" t="inlineStr">
        <is>
          <t>RPT-02</t>
        </is>
      </c>
      <c r="B493" s="83" t="inlineStr">
        <is>
          <t>mistral</t>
        </is>
      </c>
      <c r="C493" s="83" t="inlineStr">
        <is>
          <t>qwen</t>
        </is>
      </c>
      <c r="D493" s="84" t="n">
        <v>0.257894736842105</v>
      </c>
      <c r="E493" s="84" t="n">
        <v>0.423611111111111</v>
      </c>
      <c r="F493" s="84" t="n">
        <v>0.13986013986014</v>
      </c>
      <c r="G493" s="84" t="n">
        <v>0.305555555555556</v>
      </c>
      <c r="H493" s="84" t="n">
        <v>0.272673259530165</v>
      </c>
      <c r="I493" s="84" t="n">
        <v>0.253093921486795</v>
      </c>
      <c r="J493" s="84" t="n">
        <v>0.676077217560515</v>
      </c>
      <c r="K493" s="84" t="n">
        <v>0.646179976363408</v>
      </c>
      <c r="L493" s="84" t="n">
        <v>0.859108101404693</v>
      </c>
      <c r="M493" s="84" t="n">
        <v>0.474860335195531</v>
      </c>
      <c r="N493" s="84" t="n">
        <v>0.481927710843374</v>
      </c>
      <c r="O493" s="84" t="n">
        <v>0.8125</v>
      </c>
      <c r="P493" s="85">
        <f>AVERAGE(D493:I493)</f>
        <v/>
      </c>
      <c r="Q493" s="85">
        <f>AVERAGE(J493:L493)</f>
        <v/>
      </c>
      <c r="R493" s="85">
        <f>AVERAGE(M493:O493)</f>
        <v/>
      </c>
      <c r="S493" s="85">
        <f>'02_지표정의'!$C$22*P493+'02_지표정의'!$C$23*Q493+'02_지표정의'!$C$24*R493</f>
        <v/>
      </c>
      <c r="T493" s="73">
        <f>IF(OR(AND(B493="gemini",C493="gemma"),AND(B493="qwen3_6",C493="qwen"),AND(B493="mistral",C493="ministral")),1,0)</f>
        <v/>
      </c>
      <c r="U493" s="73">
        <f>IF(LEFT(A493,3)="PAT","특허","보고서")</f>
        <v/>
      </c>
      <c r="V493" s="86">
        <f>COUNTIF($S$2:$S$976,"&lt;"&amp;S493)+(COUNTIF($S$2:$S$976,"="&amp;S493)+1)/2</f>
        <v/>
      </c>
      <c r="W493" s="73">
        <f>IF(C493="qwen",0,COUNTIFS($C$2:$C$976,"&lt;&gt;qwen",$S$2:$S$976,"&lt;"&amp;S493)+1)</f>
        <v/>
      </c>
      <c r="X493" s="73">
        <f>IF(C493="ministral",0,COUNTIFS($C$2:$C$976,"&lt;&gt;ministral",$S$2:$S$976,"&lt;"&amp;S493)+1)</f>
        <v/>
      </c>
      <c r="Y493" s="73">
        <f>IF(C493="gemma",0,COUNTIFS($C$2:$C$976,"&lt;&gt;gemma",$S$2:$S$976,"&lt;"&amp;S493)+1)</f>
        <v/>
      </c>
      <c r="Z493" s="87">
        <f>COUNTIFS($B$2:$B$976,B493,$C$2:$C$976,C493,$S$2:$S$976,"&lt;"&amp;S493)+1</f>
        <v/>
      </c>
      <c r="AA493" s="88">
        <f>ABS(S493-SUMPRODUCT(('05B_가정검정'!$A$5:$A$19=B493)*('05B_가정검정'!$B$5:$B$19=C493)*'05B_가정검정'!$E$5:$E$19))</f>
        <v/>
      </c>
      <c r="AB493" s="88">
        <f>S493-AVERAGEIFS($S$2:$S$976,$B$2:$B$976,B493,$C$2:$C$976,C493)</f>
        <v/>
      </c>
    </row>
    <row r="494" ht="15" customHeight="1" s="68">
      <c r="A494" s="83" t="inlineStr">
        <is>
          <t>RPT-02</t>
        </is>
      </c>
      <c r="B494" s="83" t="inlineStr">
        <is>
          <t>qwen3_6</t>
        </is>
      </c>
      <c r="C494" s="83" t="inlineStr">
        <is>
          <t>gemma</t>
        </is>
      </c>
      <c r="D494" s="84" t="n">
        <v>0.189973614775726</v>
      </c>
      <c r="E494" s="84" t="n">
        <v>0.279569892473118</v>
      </c>
      <c r="F494" s="84" t="n">
        <v>0.08664259927797829</v>
      </c>
      <c r="G494" s="84" t="n">
        <v>0.21505376344086</v>
      </c>
      <c r="H494" s="84" t="n">
        <v>0.33436017043937</v>
      </c>
      <c r="I494" s="84" t="n">
        <v>0.103085098802188</v>
      </c>
      <c r="J494" s="84" t="n">
        <v>0.676723827367926</v>
      </c>
      <c r="K494" s="84" t="n">
        <v>0.616305005183183</v>
      </c>
      <c r="L494" s="84" t="n">
        <v>0.851415625638441</v>
      </c>
      <c r="M494" s="84" t="n">
        <v>0.906542056074766</v>
      </c>
      <c r="N494" s="84" t="n">
        <v>0.916666666666667</v>
      </c>
      <c r="O494" s="84" t="n">
        <v>1</v>
      </c>
      <c r="P494" s="85">
        <f>AVERAGE(D494:I494)</f>
        <v/>
      </c>
      <c r="Q494" s="85">
        <f>AVERAGE(J494:L494)</f>
        <v/>
      </c>
      <c r="R494" s="85">
        <f>AVERAGE(M494:O494)</f>
        <v/>
      </c>
      <c r="S494" s="85">
        <f>'02_지표정의'!$C$22*P494+'02_지표정의'!$C$23*Q494+'02_지표정의'!$C$24*R494</f>
        <v/>
      </c>
      <c r="T494" s="73">
        <f>IF(OR(AND(B494="gemini",C494="gemma"),AND(B494="qwen3_6",C494="qwen"),AND(B494="mistral",C494="ministral")),1,0)</f>
        <v/>
      </c>
      <c r="U494" s="73">
        <f>IF(LEFT(A494,3)="PAT","특허","보고서")</f>
        <v/>
      </c>
      <c r="V494" s="86">
        <f>COUNTIF($S$2:$S$976,"&lt;"&amp;S494)+(COUNTIF($S$2:$S$976,"="&amp;S494)+1)/2</f>
        <v/>
      </c>
      <c r="W494" s="73">
        <f>IF(C494="qwen",0,COUNTIFS($C$2:$C$976,"&lt;&gt;qwen",$S$2:$S$976,"&lt;"&amp;S494)+1)</f>
        <v/>
      </c>
      <c r="X494" s="73">
        <f>IF(C494="ministral",0,COUNTIFS($C$2:$C$976,"&lt;&gt;ministral",$S$2:$S$976,"&lt;"&amp;S494)+1)</f>
        <v/>
      </c>
      <c r="Y494" s="73">
        <f>IF(C494="gemma",0,COUNTIFS($C$2:$C$976,"&lt;&gt;gemma",$S$2:$S$976,"&lt;"&amp;S494)+1)</f>
        <v/>
      </c>
      <c r="Z494" s="87">
        <f>COUNTIFS($B$2:$B$976,B494,$C$2:$C$976,C494,$S$2:$S$976,"&lt;"&amp;S494)+1</f>
        <v/>
      </c>
      <c r="AA494" s="88">
        <f>ABS(S494-SUMPRODUCT(('05B_가정검정'!$A$5:$A$19=B494)*('05B_가정검정'!$B$5:$B$19=C494)*'05B_가정검정'!$E$5:$E$19))</f>
        <v/>
      </c>
      <c r="AB494" s="88">
        <f>S494-AVERAGEIFS($S$2:$S$976,$B$2:$B$976,B494,$C$2:$C$976,C494)</f>
        <v/>
      </c>
    </row>
    <row r="495" ht="15" customHeight="1" s="68">
      <c r="A495" s="83" t="inlineStr">
        <is>
          <t>RPT-02</t>
        </is>
      </c>
      <c r="B495" s="83" t="inlineStr">
        <is>
          <t>qwen3_6</t>
        </is>
      </c>
      <c r="C495" s="83" t="inlineStr">
        <is>
          <t>ministral</t>
        </is>
      </c>
      <c r="D495" s="84" t="n">
        <v>0.236467236467237</v>
      </c>
      <c r="E495" s="84" t="n">
        <v>0.384905660377359</v>
      </c>
      <c r="F495" s="84" t="n">
        <v>0.167300380228137</v>
      </c>
      <c r="G495" s="84" t="n">
        <v>0.294339622641509</v>
      </c>
      <c r="H495" s="84" t="n">
        <v>0.265425079478263</v>
      </c>
      <c r="I495" s="84" t="n">
        <v>0.218373800030481</v>
      </c>
      <c r="J495" s="84" t="n">
        <v>0.676774396855656</v>
      </c>
      <c r="K495" s="84" t="n">
        <v>0.660777484297345</v>
      </c>
      <c r="L495" s="84" t="n">
        <v>0.863311200345792</v>
      </c>
      <c r="M495" s="84" t="n">
        <v>0.510526315789474</v>
      </c>
      <c r="N495" s="84" t="n">
        <v>0.53921568627451</v>
      </c>
      <c r="O495" s="84" t="n">
        <v>1</v>
      </c>
      <c r="P495" s="85">
        <f>AVERAGE(D495:I495)</f>
        <v/>
      </c>
      <c r="Q495" s="85">
        <f>AVERAGE(J495:L495)</f>
        <v/>
      </c>
      <c r="R495" s="85">
        <f>AVERAGE(M495:O495)</f>
        <v/>
      </c>
      <c r="S495" s="85">
        <f>'02_지표정의'!$C$22*P495+'02_지표정의'!$C$23*Q495+'02_지표정의'!$C$24*R495</f>
        <v/>
      </c>
      <c r="T495" s="73">
        <f>IF(OR(AND(B495="gemini",C495="gemma"),AND(B495="qwen3_6",C495="qwen"),AND(B495="mistral",C495="ministral")),1,0)</f>
        <v/>
      </c>
      <c r="U495" s="73">
        <f>IF(LEFT(A495,3)="PAT","특허","보고서")</f>
        <v/>
      </c>
      <c r="V495" s="86">
        <f>COUNTIF($S$2:$S$976,"&lt;"&amp;S495)+(COUNTIF($S$2:$S$976,"="&amp;S495)+1)/2</f>
        <v/>
      </c>
      <c r="W495" s="73">
        <f>IF(C495="qwen",0,COUNTIFS($C$2:$C$976,"&lt;&gt;qwen",$S$2:$S$976,"&lt;"&amp;S495)+1)</f>
        <v/>
      </c>
      <c r="X495" s="73">
        <f>IF(C495="ministral",0,COUNTIFS($C$2:$C$976,"&lt;&gt;ministral",$S$2:$S$976,"&lt;"&amp;S495)+1)</f>
        <v/>
      </c>
      <c r="Y495" s="73">
        <f>IF(C495="gemma",0,COUNTIFS($C$2:$C$976,"&lt;&gt;gemma",$S$2:$S$976,"&lt;"&amp;S495)+1)</f>
        <v/>
      </c>
      <c r="Z495" s="87">
        <f>COUNTIFS($B$2:$B$976,B495,$C$2:$C$976,C495,$S$2:$S$976,"&lt;"&amp;S495)+1</f>
        <v/>
      </c>
      <c r="AA495" s="88">
        <f>ABS(S495-SUMPRODUCT(('05B_가정검정'!$A$5:$A$19=B495)*('05B_가정검정'!$B$5:$B$19=C495)*'05B_가정검정'!$E$5:$E$19))</f>
        <v/>
      </c>
      <c r="AB495" s="88">
        <f>S495-AVERAGEIFS($S$2:$S$976,$B$2:$B$976,B495,$C$2:$C$976,C495)</f>
        <v/>
      </c>
    </row>
    <row r="496" ht="15" customHeight="1" s="68">
      <c r="A496" s="83" t="inlineStr">
        <is>
          <t>RPT-02</t>
        </is>
      </c>
      <c r="B496" s="83" t="inlineStr">
        <is>
          <t>qwen3_6</t>
        </is>
      </c>
      <c r="C496" s="83" t="inlineStr">
        <is>
          <t>qwen</t>
        </is>
      </c>
      <c r="D496" s="84" t="n">
        <v>0.258358662613982</v>
      </c>
      <c r="E496" s="84" t="n">
        <v>0.418250950570342</v>
      </c>
      <c r="F496" s="84" t="n">
        <v>0.168582375478927</v>
      </c>
      <c r="G496" s="84" t="n">
        <v>0.288973384030418</v>
      </c>
      <c r="H496" s="84" t="n">
        <v>0.393806568407904</v>
      </c>
      <c r="I496" s="84" t="n">
        <v>0.302505114011306</v>
      </c>
      <c r="J496" s="84" t="n">
        <v>0.701224233417142</v>
      </c>
      <c r="K496" s="84" t="n">
        <v>0.649195666499381</v>
      </c>
      <c r="L496" s="84" t="n">
        <v>0.8775778398338659</v>
      </c>
      <c r="M496" s="84" t="n">
        <v>0.864077669902913</v>
      </c>
      <c r="N496" s="84" t="n">
        <v>0.859649122807018</v>
      </c>
      <c r="O496" s="84" t="n">
        <v>0.842105263157895</v>
      </c>
      <c r="P496" s="85">
        <f>AVERAGE(D496:I496)</f>
        <v/>
      </c>
      <c r="Q496" s="85">
        <f>AVERAGE(J496:L496)</f>
        <v/>
      </c>
      <c r="R496" s="85">
        <f>AVERAGE(M496:O496)</f>
        <v/>
      </c>
      <c r="S496" s="85">
        <f>'02_지표정의'!$C$22*P496+'02_지표정의'!$C$23*Q496+'02_지표정의'!$C$24*R496</f>
        <v/>
      </c>
      <c r="T496" s="73">
        <f>IF(OR(AND(B496="gemini",C496="gemma"),AND(B496="qwen3_6",C496="qwen"),AND(B496="mistral",C496="ministral")),1,0)</f>
        <v/>
      </c>
      <c r="U496" s="73">
        <f>IF(LEFT(A496,3)="PAT","특허","보고서")</f>
        <v/>
      </c>
      <c r="V496" s="86">
        <f>COUNTIF($S$2:$S$976,"&lt;"&amp;S496)+(COUNTIF($S$2:$S$976,"="&amp;S496)+1)/2</f>
        <v/>
      </c>
      <c r="W496" s="73">
        <f>IF(C496="qwen",0,COUNTIFS($C$2:$C$976,"&lt;&gt;qwen",$S$2:$S$976,"&lt;"&amp;S496)+1)</f>
        <v/>
      </c>
      <c r="X496" s="73">
        <f>IF(C496="ministral",0,COUNTIFS($C$2:$C$976,"&lt;&gt;ministral",$S$2:$S$976,"&lt;"&amp;S496)+1)</f>
        <v/>
      </c>
      <c r="Y496" s="73">
        <f>IF(C496="gemma",0,COUNTIFS($C$2:$C$976,"&lt;&gt;gemma",$S$2:$S$976,"&lt;"&amp;S496)+1)</f>
        <v/>
      </c>
      <c r="Z496" s="87">
        <f>COUNTIFS($B$2:$B$976,B496,$C$2:$C$976,C496,$S$2:$S$976,"&lt;"&amp;S496)+1</f>
        <v/>
      </c>
      <c r="AA496" s="88">
        <f>ABS(S496-SUMPRODUCT(('05B_가정검정'!$A$5:$A$19=B496)*('05B_가정검정'!$B$5:$B$19=C496)*'05B_가정검정'!$E$5:$E$19))</f>
        <v/>
      </c>
      <c r="AB496" s="88">
        <f>S496-AVERAGEIFS($S$2:$S$976,$B$2:$B$976,B496,$C$2:$C$976,C496)</f>
        <v/>
      </c>
    </row>
    <row r="497" ht="15" customHeight="1" s="68">
      <c r="A497" s="83" t="inlineStr">
        <is>
          <t>RPT-03</t>
        </is>
      </c>
      <c r="B497" s="83" t="inlineStr">
        <is>
          <t>chatgpt</t>
        </is>
      </c>
      <c r="C497" s="83" t="inlineStr">
        <is>
          <t>gemma</t>
        </is>
      </c>
      <c r="D497" s="84" t="n">
        <v>0.226646248085758</v>
      </c>
      <c r="E497" s="84" t="n">
        <v>0.282926829268293</v>
      </c>
      <c r="F497" s="84" t="n">
        <v>0.09852216748768471</v>
      </c>
      <c r="G497" s="84" t="n">
        <v>0.253658536585366</v>
      </c>
      <c r="H497" s="84" t="n">
        <v>0.211975825943115</v>
      </c>
      <c r="I497" s="84" t="n">
        <v>0.196508407381766</v>
      </c>
      <c r="J497" s="84" t="n">
        <v>0.691507610757193</v>
      </c>
      <c r="K497" s="84" t="n">
        <v>0.66149807811741</v>
      </c>
      <c r="L497" s="84" t="n">
        <v>0.834313106120031</v>
      </c>
      <c r="M497" s="84" t="n">
        <v>0.515151515151515</v>
      </c>
      <c r="N497" s="84" t="n">
        <v>0.213483146067416</v>
      </c>
      <c r="O497" s="84" t="n">
        <v>1</v>
      </c>
      <c r="P497" s="85">
        <f>AVERAGE(D497:I497)</f>
        <v/>
      </c>
      <c r="Q497" s="85">
        <f>AVERAGE(J497:L497)</f>
        <v/>
      </c>
      <c r="R497" s="85">
        <f>AVERAGE(M497:O497)</f>
        <v/>
      </c>
      <c r="S497" s="85">
        <f>'02_지표정의'!$C$22*P497+'02_지표정의'!$C$23*Q497+'02_지표정의'!$C$24*R497</f>
        <v/>
      </c>
      <c r="T497" s="73">
        <f>IF(OR(AND(B497="gemini",C497="gemma"),AND(B497="qwen3_6",C497="qwen"),AND(B497="mistral",C497="ministral")),1,0)</f>
        <v/>
      </c>
      <c r="U497" s="73">
        <f>IF(LEFT(A497,3)="PAT","특허","보고서")</f>
        <v/>
      </c>
      <c r="V497" s="86">
        <f>COUNTIF($S$2:$S$976,"&lt;"&amp;S497)+(COUNTIF($S$2:$S$976,"="&amp;S497)+1)/2</f>
        <v/>
      </c>
      <c r="W497" s="73">
        <f>IF(C497="qwen",0,COUNTIFS($C$2:$C$976,"&lt;&gt;qwen",$S$2:$S$976,"&lt;"&amp;S497)+1)</f>
        <v/>
      </c>
      <c r="X497" s="73">
        <f>IF(C497="ministral",0,COUNTIFS($C$2:$C$976,"&lt;&gt;ministral",$S$2:$S$976,"&lt;"&amp;S497)+1)</f>
        <v/>
      </c>
      <c r="Y497" s="73">
        <f>IF(C497="gemma",0,COUNTIFS($C$2:$C$976,"&lt;&gt;gemma",$S$2:$S$976,"&lt;"&amp;S497)+1)</f>
        <v/>
      </c>
      <c r="Z497" s="87">
        <f>COUNTIFS($B$2:$B$976,B497,$C$2:$C$976,C497,$S$2:$S$976,"&lt;"&amp;S497)+1</f>
        <v/>
      </c>
      <c r="AA497" s="88">
        <f>ABS(S497-SUMPRODUCT(('05B_가정검정'!$A$5:$A$19=B497)*('05B_가정검정'!$B$5:$B$19=C497)*'05B_가정검정'!$E$5:$E$19))</f>
        <v/>
      </c>
      <c r="AB497" s="88">
        <f>S497-AVERAGEIFS($S$2:$S$976,$B$2:$B$976,B497,$C$2:$C$976,C497)</f>
        <v/>
      </c>
    </row>
    <row r="498" ht="15" customHeight="1" s="68">
      <c r="A498" s="83" t="inlineStr">
        <is>
          <t>RPT-03</t>
        </is>
      </c>
      <c r="B498" s="83" t="inlineStr">
        <is>
          <t>chatgpt</t>
        </is>
      </c>
      <c r="C498" s="83" t="inlineStr">
        <is>
          <t>ministral</t>
        </is>
      </c>
      <c r="D498" s="84" t="n">
        <v>0.279411764705882</v>
      </c>
      <c r="E498" s="84" t="n">
        <v>0.216783216783217</v>
      </c>
      <c r="F498" s="84" t="n">
        <v>0.0774647887323944</v>
      </c>
      <c r="G498" s="84" t="n">
        <v>0.202797202797203</v>
      </c>
      <c r="H498" s="84" t="n">
        <v>0.133801670960372</v>
      </c>
      <c r="I498" s="84" t="n">
        <v>0.306426457371819</v>
      </c>
      <c r="J498" s="84" t="n">
        <v>0.747569612481377</v>
      </c>
      <c r="K498" s="84" t="n">
        <v>0.7255041070186961</v>
      </c>
      <c r="L498" s="84" t="n">
        <v>0.867324893637837</v>
      </c>
      <c r="M498" s="84" t="n">
        <v>0.476702508960573</v>
      </c>
      <c r="N498" s="84" t="n">
        <v>0.0155038759689923</v>
      </c>
      <c r="O498" s="84" t="n">
        <v>1</v>
      </c>
      <c r="P498" s="85">
        <f>AVERAGE(D498:I498)</f>
        <v/>
      </c>
      <c r="Q498" s="85">
        <f>AVERAGE(J498:L498)</f>
        <v/>
      </c>
      <c r="R498" s="85">
        <f>AVERAGE(M498:O498)</f>
        <v/>
      </c>
      <c r="S498" s="85">
        <f>'02_지표정의'!$C$22*P498+'02_지표정의'!$C$23*Q498+'02_지표정의'!$C$24*R498</f>
        <v/>
      </c>
      <c r="T498" s="73">
        <f>IF(OR(AND(B498="gemini",C498="gemma"),AND(B498="qwen3_6",C498="qwen"),AND(B498="mistral",C498="ministral")),1,0)</f>
        <v/>
      </c>
      <c r="U498" s="73">
        <f>IF(LEFT(A498,3)="PAT","특허","보고서")</f>
        <v/>
      </c>
      <c r="V498" s="86">
        <f>COUNTIF($S$2:$S$976,"&lt;"&amp;S498)+(COUNTIF($S$2:$S$976,"="&amp;S498)+1)/2</f>
        <v/>
      </c>
      <c r="W498" s="73">
        <f>IF(C498="qwen",0,COUNTIFS($C$2:$C$976,"&lt;&gt;qwen",$S$2:$S$976,"&lt;"&amp;S498)+1)</f>
        <v/>
      </c>
      <c r="X498" s="73">
        <f>IF(C498="ministral",0,COUNTIFS($C$2:$C$976,"&lt;&gt;ministral",$S$2:$S$976,"&lt;"&amp;S498)+1)</f>
        <v/>
      </c>
      <c r="Y498" s="73">
        <f>IF(C498="gemma",0,COUNTIFS($C$2:$C$976,"&lt;&gt;gemma",$S$2:$S$976,"&lt;"&amp;S498)+1)</f>
        <v/>
      </c>
      <c r="Z498" s="87">
        <f>COUNTIFS($B$2:$B$976,B498,$C$2:$C$976,C498,$S$2:$S$976,"&lt;"&amp;S498)+1</f>
        <v/>
      </c>
      <c r="AA498" s="88">
        <f>ABS(S498-SUMPRODUCT(('05B_가정검정'!$A$5:$A$19=B498)*('05B_가정검정'!$B$5:$B$19=C498)*'05B_가정검정'!$E$5:$E$19))</f>
        <v/>
      </c>
      <c r="AB498" s="88">
        <f>S498-AVERAGEIFS($S$2:$S$976,$B$2:$B$976,B498,$C$2:$C$976,C498)</f>
        <v/>
      </c>
    </row>
    <row r="499" ht="15" customHeight="1" s="68">
      <c r="A499" s="83" t="inlineStr">
        <is>
          <t>RPT-03</t>
        </is>
      </c>
      <c r="B499" s="83" t="inlineStr">
        <is>
          <t>chatgpt</t>
        </is>
      </c>
      <c r="C499" s="83" t="inlineStr">
        <is>
          <t>qwen</t>
        </is>
      </c>
      <c r="D499" s="84" t="n">
        <v>0.305376344086022</v>
      </c>
      <c r="E499" s="84" t="n">
        <v>0.478632478632479</v>
      </c>
      <c r="F499" s="84" t="n">
        <v>0.191304347826087</v>
      </c>
      <c r="G499" s="84" t="n">
        <v>0.427350427350427</v>
      </c>
      <c r="H499" s="84" t="n">
        <v>0.340233877716838</v>
      </c>
      <c r="I499" s="84" t="n">
        <v>0.255199775197265</v>
      </c>
      <c r="J499" s="84" t="n">
        <v>0.770220749330375</v>
      </c>
      <c r="K499" s="84" t="n">
        <v>0.70147398343365</v>
      </c>
      <c r="L499" s="84" t="n">
        <v>0.855089602889079</v>
      </c>
      <c r="M499" s="84" t="n">
        <v>0.515151515151515</v>
      </c>
      <c r="N499" s="84" t="n">
        <v>0.213483146067416</v>
      </c>
      <c r="O499" s="84" t="n">
        <v>1</v>
      </c>
      <c r="P499" s="85">
        <f>AVERAGE(D499:I499)</f>
        <v/>
      </c>
      <c r="Q499" s="85">
        <f>AVERAGE(J499:L499)</f>
        <v/>
      </c>
      <c r="R499" s="85">
        <f>AVERAGE(M499:O499)</f>
        <v/>
      </c>
      <c r="S499" s="85">
        <f>'02_지표정의'!$C$22*P499+'02_지표정의'!$C$23*Q499+'02_지표정의'!$C$24*R499</f>
        <v/>
      </c>
      <c r="T499" s="73">
        <f>IF(OR(AND(B499="gemini",C499="gemma"),AND(B499="qwen3_6",C499="qwen"),AND(B499="mistral",C499="ministral")),1,0)</f>
        <v/>
      </c>
      <c r="U499" s="73">
        <f>IF(LEFT(A499,3)="PAT","특허","보고서")</f>
        <v/>
      </c>
      <c r="V499" s="86">
        <f>COUNTIF($S$2:$S$976,"&lt;"&amp;S499)+(COUNTIF($S$2:$S$976,"="&amp;S499)+1)/2</f>
        <v/>
      </c>
      <c r="W499" s="73">
        <f>IF(C499="qwen",0,COUNTIFS($C$2:$C$976,"&lt;&gt;qwen",$S$2:$S$976,"&lt;"&amp;S499)+1)</f>
        <v/>
      </c>
      <c r="X499" s="73">
        <f>IF(C499="ministral",0,COUNTIFS($C$2:$C$976,"&lt;&gt;ministral",$S$2:$S$976,"&lt;"&amp;S499)+1)</f>
        <v/>
      </c>
      <c r="Y499" s="73">
        <f>IF(C499="gemma",0,COUNTIFS($C$2:$C$976,"&lt;&gt;gemma",$S$2:$S$976,"&lt;"&amp;S499)+1)</f>
        <v/>
      </c>
      <c r="Z499" s="87">
        <f>COUNTIFS($B$2:$B$976,B499,$C$2:$C$976,C499,$S$2:$S$976,"&lt;"&amp;S499)+1</f>
        <v/>
      </c>
      <c r="AA499" s="88">
        <f>ABS(S499-SUMPRODUCT(('05B_가정검정'!$A$5:$A$19=B499)*('05B_가정검정'!$B$5:$B$19=C499)*'05B_가정검정'!$E$5:$E$19))</f>
        <v/>
      </c>
      <c r="AB499" s="88">
        <f>S499-AVERAGEIFS($S$2:$S$976,$B$2:$B$976,B499,$C$2:$C$976,C499)</f>
        <v/>
      </c>
    </row>
    <row r="500" ht="15" customHeight="1" s="68">
      <c r="A500" s="83" t="inlineStr">
        <is>
          <t>RPT-03</t>
        </is>
      </c>
      <c r="B500" s="83" t="inlineStr">
        <is>
          <t>claude</t>
        </is>
      </c>
      <c r="C500" s="83" t="inlineStr">
        <is>
          <t>gemma</t>
        </is>
      </c>
      <c r="D500" s="84" t="n">
        <v>0.256673511293635</v>
      </c>
      <c r="E500" s="84" t="n">
        <v>0.330827067669173</v>
      </c>
      <c r="F500" s="84" t="n">
        <v>0.0909090909090909</v>
      </c>
      <c r="G500" s="84" t="n">
        <v>0.218045112781955</v>
      </c>
      <c r="H500" s="84" t="n">
        <v>0.316611014581733</v>
      </c>
      <c r="I500" s="84" t="n">
        <v>0.183295335620079</v>
      </c>
      <c r="J500" s="84" t="n">
        <v>0.7128746823904371</v>
      </c>
      <c r="K500" s="84" t="n">
        <v>0.629526964009696</v>
      </c>
      <c r="L500" s="84" t="n">
        <v>0.771875284696233</v>
      </c>
      <c r="M500" s="84" t="n">
        <v>0.567073170731707</v>
      </c>
      <c r="N500" s="84" t="n">
        <v>0.521276595744681</v>
      </c>
      <c r="O500" s="84" t="n">
        <v>1</v>
      </c>
      <c r="P500" s="85">
        <f>AVERAGE(D500:I500)</f>
        <v/>
      </c>
      <c r="Q500" s="85">
        <f>AVERAGE(J500:L500)</f>
        <v/>
      </c>
      <c r="R500" s="85">
        <f>AVERAGE(M500:O500)</f>
        <v/>
      </c>
      <c r="S500" s="85">
        <f>'02_지표정의'!$C$22*P500+'02_지표정의'!$C$23*Q500+'02_지표정의'!$C$24*R500</f>
        <v/>
      </c>
      <c r="T500" s="73">
        <f>IF(OR(AND(B500="gemini",C500="gemma"),AND(B500="qwen3_6",C500="qwen"),AND(B500="mistral",C500="ministral")),1,0)</f>
        <v/>
      </c>
      <c r="U500" s="73">
        <f>IF(LEFT(A500,3)="PAT","특허","보고서")</f>
        <v/>
      </c>
      <c r="V500" s="86">
        <f>COUNTIF($S$2:$S$976,"&lt;"&amp;S500)+(COUNTIF($S$2:$S$976,"="&amp;S500)+1)/2</f>
        <v/>
      </c>
      <c r="W500" s="73">
        <f>IF(C500="qwen",0,COUNTIFS($C$2:$C$976,"&lt;&gt;qwen",$S$2:$S$976,"&lt;"&amp;S500)+1)</f>
        <v/>
      </c>
      <c r="X500" s="73">
        <f>IF(C500="ministral",0,COUNTIFS($C$2:$C$976,"&lt;&gt;ministral",$S$2:$S$976,"&lt;"&amp;S500)+1)</f>
        <v/>
      </c>
      <c r="Y500" s="73">
        <f>IF(C500="gemma",0,COUNTIFS($C$2:$C$976,"&lt;&gt;gemma",$S$2:$S$976,"&lt;"&amp;S500)+1)</f>
        <v/>
      </c>
      <c r="Z500" s="87">
        <f>COUNTIFS($B$2:$B$976,B500,$C$2:$C$976,C500,$S$2:$S$976,"&lt;"&amp;S500)+1</f>
        <v/>
      </c>
      <c r="AA500" s="88">
        <f>ABS(S500-SUMPRODUCT(('05B_가정검정'!$A$5:$A$19=B500)*('05B_가정검정'!$B$5:$B$19=C500)*'05B_가정검정'!$E$5:$E$19))</f>
        <v/>
      </c>
      <c r="AB500" s="88">
        <f>S500-AVERAGEIFS($S$2:$S$976,$B$2:$B$976,B500,$C$2:$C$976,C500)</f>
        <v/>
      </c>
    </row>
    <row r="501" ht="15" customHeight="1" s="68">
      <c r="A501" s="83" t="inlineStr">
        <is>
          <t>RPT-03</t>
        </is>
      </c>
      <c r="B501" s="83" t="inlineStr">
        <is>
          <t>claude</t>
        </is>
      </c>
      <c r="C501" s="83" t="inlineStr">
        <is>
          <t>ministral</t>
        </is>
      </c>
      <c r="D501" s="84" t="n">
        <v>0.311688311688312</v>
      </c>
      <c r="E501" s="84" t="n">
        <v>0.29971181556196</v>
      </c>
      <c r="F501" s="84" t="n">
        <v>0.110144927536232</v>
      </c>
      <c r="G501" s="84" t="n">
        <v>0.219020172910663</v>
      </c>
      <c r="H501" s="84" t="n">
        <v>0.234768363195957</v>
      </c>
      <c r="I501" s="84" t="n">
        <v>0.265427375785567</v>
      </c>
      <c r="J501" s="84" t="n">
        <v>0.736781358697792</v>
      </c>
      <c r="K501" s="84" t="n">
        <v>0.667471950361093</v>
      </c>
      <c r="L501" s="84" t="n">
        <v>0.827207510527819</v>
      </c>
      <c r="M501" s="84" t="n">
        <v>0.530465949820789</v>
      </c>
      <c r="N501" s="84" t="n">
        <v>0.527131782945737</v>
      </c>
      <c r="O501" s="84" t="n">
        <v>1</v>
      </c>
      <c r="P501" s="85">
        <f>AVERAGE(D501:I501)</f>
        <v/>
      </c>
      <c r="Q501" s="85">
        <f>AVERAGE(J501:L501)</f>
        <v/>
      </c>
      <c r="R501" s="85">
        <f>AVERAGE(M501:O501)</f>
        <v/>
      </c>
      <c r="S501" s="85">
        <f>'02_지표정의'!$C$22*P501+'02_지표정의'!$C$23*Q501+'02_지표정의'!$C$24*R501</f>
        <v/>
      </c>
      <c r="T501" s="73">
        <f>IF(OR(AND(B501="gemini",C501="gemma"),AND(B501="qwen3_6",C501="qwen"),AND(B501="mistral",C501="ministral")),1,0)</f>
        <v/>
      </c>
      <c r="U501" s="73">
        <f>IF(LEFT(A501,3)="PAT","특허","보고서")</f>
        <v/>
      </c>
      <c r="V501" s="86">
        <f>COUNTIF($S$2:$S$976,"&lt;"&amp;S501)+(COUNTIF($S$2:$S$976,"="&amp;S501)+1)/2</f>
        <v/>
      </c>
      <c r="W501" s="73">
        <f>IF(C501="qwen",0,COUNTIFS($C$2:$C$976,"&lt;&gt;qwen",$S$2:$S$976,"&lt;"&amp;S501)+1)</f>
        <v/>
      </c>
      <c r="X501" s="73">
        <f>IF(C501="ministral",0,COUNTIFS($C$2:$C$976,"&lt;&gt;ministral",$S$2:$S$976,"&lt;"&amp;S501)+1)</f>
        <v/>
      </c>
      <c r="Y501" s="73">
        <f>IF(C501="gemma",0,COUNTIFS($C$2:$C$976,"&lt;&gt;gemma",$S$2:$S$976,"&lt;"&amp;S501)+1)</f>
        <v/>
      </c>
      <c r="Z501" s="87">
        <f>COUNTIFS($B$2:$B$976,B501,$C$2:$C$976,C501,$S$2:$S$976,"&lt;"&amp;S501)+1</f>
        <v/>
      </c>
      <c r="AA501" s="88">
        <f>ABS(S501-SUMPRODUCT(('05B_가정검정'!$A$5:$A$19=B501)*('05B_가정검정'!$B$5:$B$19=C501)*'05B_가정검정'!$E$5:$E$19))</f>
        <v/>
      </c>
      <c r="AB501" s="88">
        <f>S501-AVERAGEIFS($S$2:$S$976,$B$2:$B$976,B501,$C$2:$C$976,C501)</f>
        <v/>
      </c>
    </row>
    <row r="502" ht="15" customHeight="1" s="68">
      <c r="A502" s="83" t="inlineStr">
        <is>
          <t>RPT-03</t>
        </is>
      </c>
      <c r="B502" s="83" t="inlineStr">
        <is>
          <t>claude</t>
        </is>
      </c>
      <c r="C502" s="83" t="inlineStr">
        <is>
          <t>qwen</t>
        </is>
      </c>
      <c r="D502" s="84" t="n">
        <v>0.267175572519084</v>
      </c>
      <c r="E502" s="84" t="n">
        <v>0.404494382022472</v>
      </c>
      <c r="F502" s="84" t="n">
        <v>0.147727272727273</v>
      </c>
      <c r="G502" s="84" t="n">
        <v>0.292134831460674</v>
      </c>
      <c r="H502" s="84" t="n">
        <v>0.199016160916528</v>
      </c>
      <c r="I502" s="84" t="n">
        <v>0.213058895988932</v>
      </c>
      <c r="J502" s="84" t="n">
        <v>0.740967943560484</v>
      </c>
      <c r="K502" s="84" t="n">
        <v>0.618984718463773</v>
      </c>
      <c r="L502" s="84" t="n">
        <v>0.852122339697216</v>
      </c>
      <c r="M502" s="84" t="n">
        <v>0.567073170731707</v>
      </c>
      <c r="N502" s="84" t="n">
        <v>0.521276595744681</v>
      </c>
      <c r="O502" s="84" t="n">
        <v>1</v>
      </c>
      <c r="P502" s="85">
        <f>AVERAGE(D502:I502)</f>
        <v/>
      </c>
      <c r="Q502" s="85">
        <f>AVERAGE(J502:L502)</f>
        <v/>
      </c>
      <c r="R502" s="85">
        <f>AVERAGE(M502:O502)</f>
        <v/>
      </c>
      <c r="S502" s="85">
        <f>'02_지표정의'!$C$22*P502+'02_지표정의'!$C$23*Q502+'02_지표정의'!$C$24*R502</f>
        <v/>
      </c>
      <c r="T502" s="73">
        <f>IF(OR(AND(B502="gemini",C502="gemma"),AND(B502="qwen3_6",C502="qwen"),AND(B502="mistral",C502="ministral")),1,0)</f>
        <v/>
      </c>
      <c r="U502" s="73">
        <f>IF(LEFT(A502,3)="PAT","특허","보고서")</f>
        <v/>
      </c>
      <c r="V502" s="86">
        <f>COUNTIF($S$2:$S$976,"&lt;"&amp;S502)+(COUNTIF($S$2:$S$976,"="&amp;S502)+1)/2</f>
        <v/>
      </c>
      <c r="W502" s="73">
        <f>IF(C502="qwen",0,COUNTIFS($C$2:$C$976,"&lt;&gt;qwen",$S$2:$S$976,"&lt;"&amp;S502)+1)</f>
        <v/>
      </c>
      <c r="X502" s="73">
        <f>IF(C502="ministral",0,COUNTIFS($C$2:$C$976,"&lt;&gt;ministral",$S$2:$S$976,"&lt;"&amp;S502)+1)</f>
        <v/>
      </c>
      <c r="Y502" s="73">
        <f>IF(C502="gemma",0,COUNTIFS($C$2:$C$976,"&lt;&gt;gemma",$S$2:$S$976,"&lt;"&amp;S502)+1)</f>
        <v/>
      </c>
      <c r="Z502" s="87">
        <f>COUNTIFS($B$2:$B$976,B502,$C$2:$C$976,C502,$S$2:$S$976,"&lt;"&amp;S502)+1</f>
        <v/>
      </c>
      <c r="AA502" s="88">
        <f>ABS(S502-SUMPRODUCT(('05B_가정검정'!$A$5:$A$19=B502)*('05B_가정검정'!$B$5:$B$19=C502)*'05B_가정검정'!$E$5:$E$19))</f>
        <v/>
      </c>
      <c r="AB502" s="88">
        <f>S502-AVERAGEIFS($S$2:$S$976,$B$2:$B$976,B502,$C$2:$C$976,C502)</f>
        <v/>
      </c>
    </row>
    <row r="503" ht="15" customHeight="1" s="68">
      <c r="A503" s="83" t="inlineStr">
        <is>
          <t>RPT-03</t>
        </is>
      </c>
      <c r="B503" s="83" t="inlineStr">
        <is>
          <t>gemini</t>
        </is>
      </c>
      <c r="C503" s="83" t="inlineStr">
        <is>
          <t>gemma</t>
        </is>
      </c>
      <c r="D503" s="84" t="n">
        <v>0.252659574468085</v>
      </c>
      <c r="E503" s="84" t="n">
        <v>0.324074074074074</v>
      </c>
      <c r="F503" s="84" t="n">
        <v>0.140186915887851</v>
      </c>
      <c r="G503" s="84" t="n">
        <v>0.296296296296296</v>
      </c>
      <c r="H503" s="84" t="n">
        <v>0.284152340990932</v>
      </c>
      <c r="I503" s="84" t="n">
        <v>0.206982314664048</v>
      </c>
      <c r="J503" s="84" t="n">
        <v>0.731684574091628</v>
      </c>
      <c r="K503" s="84" t="n">
        <v>0.80104847644983</v>
      </c>
      <c r="L503" s="84" t="n">
        <v>0.899723035951748</v>
      </c>
      <c r="M503" s="84" t="n">
        <v>0.906542056074766</v>
      </c>
      <c r="N503" s="84" t="n">
        <v>0.916666666666667</v>
      </c>
      <c r="O503" s="84" t="n">
        <v>1</v>
      </c>
      <c r="P503" s="85">
        <f>AVERAGE(D503:I503)</f>
        <v/>
      </c>
      <c r="Q503" s="85">
        <f>AVERAGE(J503:L503)</f>
        <v/>
      </c>
      <c r="R503" s="85">
        <f>AVERAGE(M503:O503)</f>
        <v/>
      </c>
      <c r="S503" s="85">
        <f>'02_지표정의'!$C$22*P503+'02_지표정의'!$C$23*Q503+'02_지표정의'!$C$24*R503</f>
        <v/>
      </c>
      <c r="T503" s="73">
        <f>IF(OR(AND(B503="gemini",C503="gemma"),AND(B503="qwen3_6",C503="qwen"),AND(B503="mistral",C503="ministral")),1,0)</f>
        <v/>
      </c>
      <c r="U503" s="73">
        <f>IF(LEFT(A503,3)="PAT","특허","보고서")</f>
        <v/>
      </c>
      <c r="V503" s="86">
        <f>COUNTIF($S$2:$S$976,"&lt;"&amp;S503)+(COUNTIF($S$2:$S$976,"="&amp;S503)+1)/2</f>
        <v/>
      </c>
      <c r="W503" s="73">
        <f>IF(C503="qwen",0,COUNTIFS($C$2:$C$976,"&lt;&gt;qwen",$S$2:$S$976,"&lt;"&amp;S503)+1)</f>
        <v/>
      </c>
      <c r="X503" s="73">
        <f>IF(C503="ministral",0,COUNTIFS($C$2:$C$976,"&lt;&gt;ministral",$S$2:$S$976,"&lt;"&amp;S503)+1)</f>
        <v/>
      </c>
      <c r="Y503" s="73">
        <f>IF(C503="gemma",0,COUNTIFS($C$2:$C$976,"&lt;&gt;gemma",$S$2:$S$976,"&lt;"&amp;S503)+1)</f>
        <v/>
      </c>
      <c r="Z503" s="87">
        <f>COUNTIFS($B$2:$B$976,B503,$C$2:$C$976,C503,$S$2:$S$976,"&lt;"&amp;S503)+1</f>
        <v/>
      </c>
      <c r="AA503" s="88">
        <f>ABS(S503-SUMPRODUCT(('05B_가정검정'!$A$5:$A$19=B503)*('05B_가정검정'!$B$5:$B$19=C503)*'05B_가정검정'!$E$5:$E$19))</f>
        <v/>
      </c>
      <c r="AB503" s="88">
        <f>S503-AVERAGEIFS($S$2:$S$976,$B$2:$B$976,B503,$C$2:$C$976,C503)</f>
        <v/>
      </c>
    </row>
    <row r="504" ht="15" customHeight="1" s="68">
      <c r="A504" s="83" t="inlineStr">
        <is>
          <t>RPT-03</t>
        </is>
      </c>
      <c r="B504" s="83" t="inlineStr">
        <is>
          <t>gemini</t>
        </is>
      </c>
      <c r="C504" s="83" t="inlineStr">
        <is>
          <t>ministral</t>
        </is>
      </c>
      <c r="D504" s="84" t="n">
        <v>0.256739409499358</v>
      </c>
      <c r="E504" s="84" t="n">
        <v>0.202020202020202</v>
      </c>
      <c r="F504" s="84" t="n">
        <v>0.0813559322033898</v>
      </c>
      <c r="G504" s="84" t="n">
        <v>0.181818181818182</v>
      </c>
      <c r="H504" s="84" t="n">
        <v>0.154702214812602</v>
      </c>
      <c r="I504" s="84" t="n">
        <v>0.20223414475807</v>
      </c>
      <c r="J504" s="84" t="n">
        <v>0.76771022593712</v>
      </c>
      <c r="K504" s="84" t="n">
        <v>0.768826171624179</v>
      </c>
      <c r="L504" s="84" t="n">
        <v>0.899540746664098</v>
      </c>
      <c r="M504" s="84" t="n">
        <v>0.347670250896057</v>
      </c>
      <c r="N504" s="84" t="n">
        <v>0.426356589147287</v>
      </c>
      <c r="O504" s="84" t="n">
        <v>1</v>
      </c>
      <c r="P504" s="85">
        <f>AVERAGE(D504:I504)</f>
        <v/>
      </c>
      <c r="Q504" s="85">
        <f>AVERAGE(J504:L504)</f>
        <v/>
      </c>
      <c r="R504" s="85">
        <f>AVERAGE(M504:O504)</f>
        <v/>
      </c>
      <c r="S504" s="85">
        <f>'02_지표정의'!$C$22*P504+'02_지표정의'!$C$23*Q504+'02_지표정의'!$C$24*R504</f>
        <v/>
      </c>
      <c r="T504" s="73">
        <f>IF(OR(AND(B504="gemini",C504="gemma"),AND(B504="qwen3_6",C504="qwen"),AND(B504="mistral",C504="ministral")),1,0)</f>
        <v/>
      </c>
      <c r="U504" s="73">
        <f>IF(LEFT(A504,3)="PAT","특허","보고서")</f>
        <v/>
      </c>
      <c r="V504" s="86">
        <f>COUNTIF($S$2:$S$976,"&lt;"&amp;S504)+(COUNTIF($S$2:$S$976,"="&amp;S504)+1)/2</f>
        <v/>
      </c>
      <c r="W504" s="73">
        <f>IF(C504="qwen",0,COUNTIFS($C$2:$C$976,"&lt;&gt;qwen",$S$2:$S$976,"&lt;"&amp;S504)+1)</f>
        <v/>
      </c>
      <c r="X504" s="73">
        <f>IF(C504="ministral",0,COUNTIFS($C$2:$C$976,"&lt;&gt;ministral",$S$2:$S$976,"&lt;"&amp;S504)+1)</f>
        <v/>
      </c>
      <c r="Y504" s="73">
        <f>IF(C504="gemma",0,COUNTIFS($C$2:$C$976,"&lt;&gt;gemma",$S$2:$S$976,"&lt;"&amp;S504)+1)</f>
        <v/>
      </c>
      <c r="Z504" s="87">
        <f>COUNTIFS($B$2:$B$976,B504,$C$2:$C$976,C504,$S$2:$S$976,"&lt;"&amp;S504)+1</f>
        <v/>
      </c>
      <c r="AA504" s="88">
        <f>ABS(S504-SUMPRODUCT(('05B_가정검정'!$A$5:$A$19=B504)*('05B_가정검정'!$B$5:$B$19=C504)*'05B_가정검정'!$E$5:$E$19))</f>
        <v/>
      </c>
      <c r="AB504" s="88">
        <f>S504-AVERAGEIFS($S$2:$S$976,$B$2:$B$976,B504,$C$2:$C$976,C504)</f>
        <v/>
      </c>
    </row>
    <row r="505" ht="15" customHeight="1" s="68">
      <c r="A505" s="83" t="inlineStr">
        <is>
          <t>RPT-03</t>
        </is>
      </c>
      <c r="B505" s="83" t="inlineStr">
        <is>
          <t>gemini</t>
        </is>
      </c>
      <c r="C505" s="83" t="inlineStr">
        <is>
          <t>qwen</t>
        </is>
      </c>
      <c r="D505" s="84" t="n">
        <v>0.308510638297872</v>
      </c>
      <c r="E505" s="84" t="n">
        <v>0.421875</v>
      </c>
      <c r="F505" s="84" t="n">
        <v>0.206349206349206</v>
      </c>
      <c r="G505" s="84" t="n">
        <v>0.390625</v>
      </c>
      <c r="H505" s="84" t="n">
        <v>0.447938138364259</v>
      </c>
      <c r="I505" s="84" t="n">
        <v>0.215410114716101</v>
      </c>
      <c r="J505" s="84" t="n">
        <v>0.787026432481143</v>
      </c>
      <c r="K505" s="84" t="n">
        <v>0.761208168242817</v>
      </c>
      <c r="L505" s="84" t="n">
        <v>0.8842968568389959</v>
      </c>
      <c r="M505" s="84" t="n">
        <v>0.906542056074766</v>
      </c>
      <c r="N505" s="84" t="n">
        <v>0.916666666666667</v>
      </c>
      <c r="O505" s="84" t="n">
        <v>1</v>
      </c>
      <c r="P505" s="85">
        <f>AVERAGE(D505:I505)</f>
        <v/>
      </c>
      <c r="Q505" s="85">
        <f>AVERAGE(J505:L505)</f>
        <v/>
      </c>
      <c r="R505" s="85">
        <f>AVERAGE(M505:O505)</f>
        <v/>
      </c>
      <c r="S505" s="85">
        <f>'02_지표정의'!$C$22*P505+'02_지표정의'!$C$23*Q505+'02_지표정의'!$C$24*R505</f>
        <v/>
      </c>
      <c r="T505" s="73">
        <f>IF(OR(AND(B505="gemini",C505="gemma"),AND(B505="qwen3_6",C505="qwen"),AND(B505="mistral",C505="ministral")),1,0)</f>
        <v/>
      </c>
      <c r="U505" s="73">
        <f>IF(LEFT(A505,3)="PAT","특허","보고서")</f>
        <v/>
      </c>
      <c r="V505" s="86">
        <f>COUNTIF($S$2:$S$976,"&lt;"&amp;S505)+(COUNTIF($S$2:$S$976,"="&amp;S505)+1)/2</f>
        <v/>
      </c>
      <c r="W505" s="73">
        <f>IF(C505="qwen",0,COUNTIFS($C$2:$C$976,"&lt;&gt;qwen",$S$2:$S$976,"&lt;"&amp;S505)+1)</f>
        <v/>
      </c>
      <c r="X505" s="73">
        <f>IF(C505="ministral",0,COUNTIFS($C$2:$C$976,"&lt;&gt;ministral",$S$2:$S$976,"&lt;"&amp;S505)+1)</f>
        <v/>
      </c>
      <c r="Y505" s="73">
        <f>IF(C505="gemma",0,COUNTIFS($C$2:$C$976,"&lt;&gt;gemma",$S$2:$S$976,"&lt;"&amp;S505)+1)</f>
        <v/>
      </c>
      <c r="Z505" s="87">
        <f>COUNTIFS($B$2:$B$976,B505,$C$2:$C$976,C505,$S$2:$S$976,"&lt;"&amp;S505)+1</f>
        <v/>
      </c>
      <c r="AA505" s="88">
        <f>ABS(S505-SUMPRODUCT(('05B_가정검정'!$A$5:$A$19=B505)*('05B_가정검정'!$B$5:$B$19=C505)*'05B_가정검정'!$E$5:$E$19))</f>
        <v/>
      </c>
      <c r="AB505" s="88">
        <f>S505-AVERAGEIFS($S$2:$S$976,$B$2:$B$976,B505,$C$2:$C$976,C505)</f>
        <v/>
      </c>
    </row>
    <row r="506" ht="15" customHeight="1" s="68">
      <c r="A506" s="83" t="inlineStr">
        <is>
          <t>RPT-03</t>
        </is>
      </c>
      <c r="B506" s="83" t="inlineStr">
        <is>
          <t>mistral</t>
        </is>
      </c>
      <c r="C506" s="83" t="inlineStr">
        <is>
          <t>gemma</t>
        </is>
      </c>
      <c r="D506" s="84" t="n">
        <v>0.284584980237154</v>
      </c>
      <c r="E506" s="84" t="n">
        <v>0.307692307692308</v>
      </c>
      <c r="F506" s="84" t="n">
        <v>0.100456621004566</v>
      </c>
      <c r="G506" s="84" t="n">
        <v>0.253393665158371</v>
      </c>
      <c r="H506" s="84" t="n">
        <v>0.316864428423344</v>
      </c>
      <c r="I506" s="84" t="n">
        <v>0.240509169300067</v>
      </c>
      <c r="J506" s="84" t="n">
        <v>0.7411915228246519</v>
      </c>
      <c r="K506" s="84" t="n">
        <v>0.650717837032323</v>
      </c>
      <c r="L506" s="84" t="n">
        <v>0.804450204010951</v>
      </c>
      <c r="M506" s="84" t="n">
        <v>0.659259259259259</v>
      </c>
      <c r="N506" s="84" t="n">
        <v>0.6621621621621619</v>
      </c>
      <c r="O506" s="84" t="n">
        <v>1</v>
      </c>
      <c r="P506" s="85">
        <f>AVERAGE(D506:I506)</f>
        <v/>
      </c>
      <c r="Q506" s="85">
        <f>AVERAGE(J506:L506)</f>
        <v/>
      </c>
      <c r="R506" s="85">
        <f>AVERAGE(M506:O506)</f>
        <v/>
      </c>
      <c r="S506" s="85">
        <f>'02_지표정의'!$C$22*P506+'02_지표정의'!$C$23*Q506+'02_지표정의'!$C$24*R506</f>
        <v/>
      </c>
      <c r="T506" s="73">
        <f>IF(OR(AND(B506="gemini",C506="gemma"),AND(B506="qwen3_6",C506="qwen"),AND(B506="mistral",C506="ministral")),1,0)</f>
        <v/>
      </c>
      <c r="U506" s="73">
        <f>IF(LEFT(A506,3)="PAT","특허","보고서")</f>
        <v/>
      </c>
      <c r="V506" s="86">
        <f>COUNTIF($S$2:$S$976,"&lt;"&amp;S506)+(COUNTIF($S$2:$S$976,"="&amp;S506)+1)/2</f>
        <v/>
      </c>
      <c r="W506" s="73">
        <f>IF(C506="qwen",0,COUNTIFS($C$2:$C$976,"&lt;&gt;qwen",$S$2:$S$976,"&lt;"&amp;S506)+1)</f>
        <v/>
      </c>
      <c r="X506" s="73">
        <f>IF(C506="ministral",0,COUNTIFS($C$2:$C$976,"&lt;&gt;ministral",$S$2:$S$976,"&lt;"&amp;S506)+1)</f>
        <v/>
      </c>
      <c r="Y506" s="73">
        <f>IF(C506="gemma",0,COUNTIFS($C$2:$C$976,"&lt;&gt;gemma",$S$2:$S$976,"&lt;"&amp;S506)+1)</f>
        <v/>
      </c>
      <c r="Z506" s="87">
        <f>COUNTIFS($B$2:$B$976,B506,$C$2:$C$976,C506,$S$2:$S$976,"&lt;"&amp;S506)+1</f>
        <v/>
      </c>
      <c r="AA506" s="88">
        <f>ABS(S506-SUMPRODUCT(('05B_가정검정'!$A$5:$A$19=B506)*('05B_가정검정'!$B$5:$B$19=C506)*'05B_가정검정'!$E$5:$E$19))</f>
        <v/>
      </c>
      <c r="AB506" s="88">
        <f>S506-AVERAGEIFS($S$2:$S$976,$B$2:$B$976,B506,$C$2:$C$976,C506)</f>
        <v/>
      </c>
    </row>
    <row r="507" ht="15" customHeight="1" s="68">
      <c r="A507" s="83" t="inlineStr">
        <is>
          <t>RPT-03</t>
        </is>
      </c>
      <c r="B507" s="83" t="inlineStr">
        <is>
          <t>mistral</t>
        </is>
      </c>
      <c r="C507" s="83" t="inlineStr">
        <is>
          <t>ministral</t>
        </is>
      </c>
      <c r="D507" s="84" t="n">
        <v>0.28498727735369</v>
      </c>
      <c r="E507" s="84" t="n">
        <v>0.271523178807947</v>
      </c>
      <c r="F507" s="84" t="n">
        <v>0.0933333333333333</v>
      </c>
      <c r="G507" s="84" t="n">
        <v>0.231788079470199</v>
      </c>
      <c r="H507" s="84" t="n">
        <v>0.195485384363913</v>
      </c>
      <c r="I507" s="84" t="n">
        <v>0.202766282506985</v>
      </c>
      <c r="J507" s="84" t="n">
        <v>0.720209274781762</v>
      </c>
      <c r="K507" s="84" t="n">
        <v>0.7123957248960791</v>
      </c>
      <c r="L507" s="84" t="n">
        <v>0.850604903331985</v>
      </c>
      <c r="M507" s="84" t="n">
        <v>0.42652329749104</v>
      </c>
      <c r="N507" s="84" t="n">
        <v>0.372093023255814</v>
      </c>
      <c r="O507" s="84" t="n">
        <v>1</v>
      </c>
      <c r="P507" s="85">
        <f>AVERAGE(D507:I507)</f>
        <v/>
      </c>
      <c r="Q507" s="85">
        <f>AVERAGE(J507:L507)</f>
        <v/>
      </c>
      <c r="R507" s="85">
        <f>AVERAGE(M507:O507)</f>
        <v/>
      </c>
      <c r="S507" s="85">
        <f>'02_지표정의'!$C$22*P507+'02_지표정의'!$C$23*Q507+'02_지표정의'!$C$24*R507</f>
        <v/>
      </c>
      <c r="T507" s="73">
        <f>IF(OR(AND(B507="gemini",C507="gemma"),AND(B507="qwen3_6",C507="qwen"),AND(B507="mistral",C507="ministral")),1,0)</f>
        <v/>
      </c>
      <c r="U507" s="73">
        <f>IF(LEFT(A507,3)="PAT","특허","보고서")</f>
        <v/>
      </c>
      <c r="V507" s="86">
        <f>COUNTIF($S$2:$S$976,"&lt;"&amp;S507)+(COUNTIF($S$2:$S$976,"="&amp;S507)+1)/2</f>
        <v/>
      </c>
      <c r="W507" s="73">
        <f>IF(C507="qwen",0,COUNTIFS($C$2:$C$976,"&lt;&gt;qwen",$S$2:$S$976,"&lt;"&amp;S507)+1)</f>
        <v/>
      </c>
      <c r="X507" s="73">
        <f>IF(C507="ministral",0,COUNTIFS($C$2:$C$976,"&lt;&gt;ministral",$S$2:$S$976,"&lt;"&amp;S507)+1)</f>
        <v/>
      </c>
      <c r="Y507" s="73">
        <f>IF(C507="gemma",0,COUNTIFS($C$2:$C$976,"&lt;&gt;gemma",$S$2:$S$976,"&lt;"&amp;S507)+1)</f>
        <v/>
      </c>
      <c r="Z507" s="87">
        <f>COUNTIFS($B$2:$B$976,B507,$C$2:$C$976,C507,$S$2:$S$976,"&lt;"&amp;S507)+1</f>
        <v/>
      </c>
      <c r="AA507" s="88">
        <f>ABS(S507-SUMPRODUCT(('05B_가정검정'!$A$5:$A$19=B507)*('05B_가정검정'!$B$5:$B$19=C507)*'05B_가정검정'!$E$5:$E$19))</f>
        <v/>
      </c>
      <c r="AB507" s="88">
        <f>S507-AVERAGEIFS($S$2:$S$976,$B$2:$B$976,B507,$C$2:$C$976,C507)</f>
        <v/>
      </c>
    </row>
    <row r="508" ht="15" customHeight="1" s="68">
      <c r="A508" s="83" t="inlineStr">
        <is>
          <t>RPT-03</t>
        </is>
      </c>
      <c r="B508" s="83" t="inlineStr">
        <is>
          <t>mistral</t>
        </is>
      </c>
      <c r="C508" s="83" t="inlineStr">
        <is>
          <t>qwen</t>
        </is>
      </c>
      <c r="D508" s="84" t="n">
        <v>0.287215411558669</v>
      </c>
      <c r="E508" s="84" t="n">
        <v>0.451127819548872</v>
      </c>
      <c r="F508" s="84" t="n">
        <v>0.213740458015267</v>
      </c>
      <c r="G508" s="84" t="n">
        <v>0.406015037593985</v>
      </c>
      <c r="H508" s="84" t="n">
        <v>0.339348962156831</v>
      </c>
      <c r="I508" s="84" t="n">
        <v>0.228915289144834</v>
      </c>
      <c r="J508" s="84" t="n">
        <v>0.722893394396393</v>
      </c>
      <c r="K508" s="84" t="n">
        <v>0.634427158461696</v>
      </c>
      <c r="L508" s="84" t="n">
        <v>0.861378181901177</v>
      </c>
      <c r="M508" s="84" t="n">
        <v>0.659259259259259</v>
      </c>
      <c r="N508" s="84" t="n">
        <v>0.6621621621621619</v>
      </c>
      <c r="O508" s="84" t="n">
        <v>1</v>
      </c>
      <c r="P508" s="85">
        <f>AVERAGE(D508:I508)</f>
        <v/>
      </c>
      <c r="Q508" s="85">
        <f>AVERAGE(J508:L508)</f>
        <v/>
      </c>
      <c r="R508" s="85">
        <f>AVERAGE(M508:O508)</f>
        <v/>
      </c>
      <c r="S508" s="85">
        <f>'02_지표정의'!$C$22*P508+'02_지표정의'!$C$23*Q508+'02_지표정의'!$C$24*R508</f>
        <v/>
      </c>
      <c r="T508" s="73">
        <f>IF(OR(AND(B508="gemini",C508="gemma"),AND(B508="qwen3_6",C508="qwen"),AND(B508="mistral",C508="ministral")),1,0)</f>
        <v/>
      </c>
      <c r="U508" s="73">
        <f>IF(LEFT(A508,3)="PAT","특허","보고서")</f>
        <v/>
      </c>
      <c r="V508" s="86">
        <f>COUNTIF($S$2:$S$976,"&lt;"&amp;S508)+(COUNTIF($S$2:$S$976,"="&amp;S508)+1)/2</f>
        <v/>
      </c>
      <c r="W508" s="73">
        <f>IF(C508="qwen",0,COUNTIFS($C$2:$C$976,"&lt;&gt;qwen",$S$2:$S$976,"&lt;"&amp;S508)+1)</f>
        <v/>
      </c>
      <c r="X508" s="73">
        <f>IF(C508="ministral",0,COUNTIFS($C$2:$C$976,"&lt;&gt;ministral",$S$2:$S$976,"&lt;"&amp;S508)+1)</f>
        <v/>
      </c>
      <c r="Y508" s="73">
        <f>IF(C508="gemma",0,COUNTIFS($C$2:$C$976,"&lt;&gt;gemma",$S$2:$S$976,"&lt;"&amp;S508)+1)</f>
        <v/>
      </c>
      <c r="Z508" s="87">
        <f>COUNTIFS($B$2:$B$976,B508,$C$2:$C$976,C508,$S$2:$S$976,"&lt;"&amp;S508)+1</f>
        <v/>
      </c>
      <c r="AA508" s="88">
        <f>ABS(S508-SUMPRODUCT(('05B_가정검정'!$A$5:$A$19=B508)*('05B_가정검정'!$B$5:$B$19=C508)*'05B_가정검정'!$E$5:$E$19))</f>
        <v/>
      </c>
      <c r="AB508" s="88">
        <f>S508-AVERAGEIFS($S$2:$S$976,$B$2:$B$976,B508,$C$2:$C$976,C508)</f>
        <v/>
      </c>
    </row>
    <row r="509" ht="15" customHeight="1" s="68">
      <c r="A509" s="83" t="inlineStr">
        <is>
          <t>RPT-03</t>
        </is>
      </c>
      <c r="B509" s="83" t="inlineStr">
        <is>
          <t>qwen3_6</t>
        </is>
      </c>
      <c r="C509" s="83" t="inlineStr">
        <is>
          <t>gemma</t>
        </is>
      </c>
      <c r="D509" s="84" t="n">
        <v>0.280092592592593</v>
      </c>
      <c r="E509" s="84" t="n">
        <v>0.330357142857143</v>
      </c>
      <c r="F509" s="84" t="n">
        <v>0.135135135135135</v>
      </c>
      <c r="G509" s="84" t="n">
        <v>0.276785714285714</v>
      </c>
      <c r="H509" s="84" t="n">
        <v>0.407345825490428</v>
      </c>
      <c r="I509" s="84" t="n">
        <v>0.261570661478126</v>
      </c>
      <c r="J509" s="84" t="n">
        <v>0.7590883876653221</v>
      </c>
      <c r="K509" s="84" t="n">
        <v>0.682333812443779</v>
      </c>
      <c r="L509" s="84" t="n">
        <v>0.824826226269011</v>
      </c>
      <c r="M509" s="84" t="n">
        <v>0.906542056074766</v>
      </c>
      <c r="N509" s="84" t="n">
        <v>0.916666666666667</v>
      </c>
      <c r="O509" s="84" t="n">
        <v>1</v>
      </c>
      <c r="P509" s="85">
        <f>AVERAGE(D509:I509)</f>
        <v/>
      </c>
      <c r="Q509" s="85">
        <f>AVERAGE(J509:L509)</f>
        <v/>
      </c>
      <c r="R509" s="85">
        <f>AVERAGE(M509:O509)</f>
        <v/>
      </c>
      <c r="S509" s="85">
        <f>'02_지표정의'!$C$22*P509+'02_지표정의'!$C$23*Q509+'02_지표정의'!$C$24*R509</f>
        <v/>
      </c>
      <c r="T509" s="73">
        <f>IF(OR(AND(B509="gemini",C509="gemma"),AND(B509="qwen3_6",C509="qwen"),AND(B509="mistral",C509="ministral")),1,0)</f>
        <v/>
      </c>
      <c r="U509" s="73">
        <f>IF(LEFT(A509,3)="PAT","특허","보고서")</f>
        <v/>
      </c>
      <c r="V509" s="86">
        <f>COUNTIF($S$2:$S$976,"&lt;"&amp;S509)+(COUNTIF($S$2:$S$976,"="&amp;S509)+1)/2</f>
        <v/>
      </c>
      <c r="W509" s="73">
        <f>IF(C509="qwen",0,COUNTIFS($C$2:$C$976,"&lt;&gt;qwen",$S$2:$S$976,"&lt;"&amp;S509)+1)</f>
        <v/>
      </c>
      <c r="X509" s="73">
        <f>IF(C509="ministral",0,COUNTIFS($C$2:$C$976,"&lt;&gt;ministral",$S$2:$S$976,"&lt;"&amp;S509)+1)</f>
        <v/>
      </c>
      <c r="Y509" s="73">
        <f>IF(C509="gemma",0,COUNTIFS($C$2:$C$976,"&lt;&gt;gemma",$S$2:$S$976,"&lt;"&amp;S509)+1)</f>
        <v/>
      </c>
      <c r="Z509" s="87">
        <f>COUNTIFS($B$2:$B$976,B509,$C$2:$C$976,C509,$S$2:$S$976,"&lt;"&amp;S509)+1</f>
        <v/>
      </c>
      <c r="AA509" s="88">
        <f>ABS(S509-SUMPRODUCT(('05B_가정검정'!$A$5:$A$19=B509)*('05B_가정검정'!$B$5:$B$19=C509)*'05B_가정검정'!$E$5:$E$19))</f>
        <v/>
      </c>
      <c r="AB509" s="88">
        <f>S509-AVERAGEIFS($S$2:$S$976,$B$2:$B$976,B509,$C$2:$C$976,C509)</f>
        <v/>
      </c>
    </row>
    <row r="510" ht="15" customHeight="1" s="68">
      <c r="A510" s="83" t="inlineStr">
        <is>
          <t>RPT-03</t>
        </is>
      </c>
      <c r="B510" s="83" t="inlineStr">
        <is>
          <t>qwen3_6</t>
        </is>
      </c>
      <c r="C510" s="83" t="inlineStr">
        <is>
          <t>ministral</t>
        </is>
      </c>
      <c r="D510" s="84" t="n">
        <v>0.249158249158249</v>
      </c>
      <c r="E510" s="84" t="n">
        <v>0.216393442622951</v>
      </c>
      <c r="F510" s="84" t="n">
        <v>0.0924092409240924</v>
      </c>
      <c r="G510" s="84" t="n">
        <v>0.19672131147541</v>
      </c>
      <c r="H510" s="84" t="n">
        <v>0.21251326389731</v>
      </c>
      <c r="I510" s="84" t="n">
        <v>0.233610472354415</v>
      </c>
      <c r="J510" s="84" t="n">
        <v>0.726521033541827</v>
      </c>
      <c r="K510" s="84" t="n">
        <v>0.698552977668888</v>
      </c>
      <c r="L510" s="84" t="n">
        <v>0.844498253378881</v>
      </c>
      <c r="M510" s="84" t="n">
        <v>0.347670250896057</v>
      </c>
      <c r="N510" s="84" t="n">
        <v>0.426356589147287</v>
      </c>
      <c r="O510" s="84" t="n">
        <v>1</v>
      </c>
      <c r="P510" s="85">
        <f>AVERAGE(D510:I510)</f>
        <v/>
      </c>
      <c r="Q510" s="85">
        <f>AVERAGE(J510:L510)</f>
        <v/>
      </c>
      <c r="R510" s="85">
        <f>AVERAGE(M510:O510)</f>
        <v/>
      </c>
      <c r="S510" s="85">
        <f>'02_지표정의'!$C$22*P510+'02_지표정의'!$C$23*Q510+'02_지표정의'!$C$24*R510</f>
        <v/>
      </c>
      <c r="T510" s="73">
        <f>IF(OR(AND(B510="gemini",C510="gemma"),AND(B510="qwen3_6",C510="qwen"),AND(B510="mistral",C510="ministral")),1,0)</f>
        <v/>
      </c>
      <c r="U510" s="73">
        <f>IF(LEFT(A510,3)="PAT","특허","보고서")</f>
        <v/>
      </c>
      <c r="V510" s="86">
        <f>COUNTIF($S$2:$S$976,"&lt;"&amp;S510)+(COUNTIF($S$2:$S$976,"="&amp;S510)+1)/2</f>
        <v/>
      </c>
      <c r="W510" s="73">
        <f>IF(C510="qwen",0,COUNTIFS($C$2:$C$976,"&lt;&gt;qwen",$S$2:$S$976,"&lt;"&amp;S510)+1)</f>
        <v/>
      </c>
      <c r="X510" s="73">
        <f>IF(C510="ministral",0,COUNTIFS($C$2:$C$976,"&lt;&gt;ministral",$S$2:$S$976,"&lt;"&amp;S510)+1)</f>
        <v/>
      </c>
      <c r="Y510" s="73">
        <f>IF(C510="gemma",0,COUNTIFS($C$2:$C$976,"&lt;&gt;gemma",$S$2:$S$976,"&lt;"&amp;S510)+1)</f>
        <v/>
      </c>
      <c r="Z510" s="87">
        <f>COUNTIFS($B$2:$B$976,B510,$C$2:$C$976,C510,$S$2:$S$976,"&lt;"&amp;S510)+1</f>
        <v/>
      </c>
      <c r="AA510" s="88">
        <f>ABS(S510-SUMPRODUCT(('05B_가정검정'!$A$5:$A$19=B510)*('05B_가정검정'!$B$5:$B$19=C510)*'05B_가정검정'!$E$5:$E$19))</f>
        <v/>
      </c>
      <c r="AB510" s="88">
        <f>S510-AVERAGEIFS($S$2:$S$976,$B$2:$B$976,B510,$C$2:$C$976,C510)</f>
        <v/>
      </c>
    </row>
    <row r="511" ht="15" customHeight="1" s="68">
      <c r="A511" s="83" t="inlineStr">
        <is>
          <t>RPT-03</t>
        </is>
      </c>
      <c r="B511" s="83" t="inlineStr">
        <is>
          <t>qwen3_6</t>
        </is>
      </c>
      <c r="C511" s="83" t="inlineStr">
        <is>
          <t>qwen</t>
        </is>
      </c>
      <c r="D511" s="84" t="n">
        <v>0.272189349112426</v>
      </c>
      <c r="E511" s="84" t="n">
        <v>0.426470588235294</v>
      </c>
      <c r="F511" s="84" t="n">
        <v>0.238805970149254</v>
      </c>
      <c r="G511" s="84" t="n">
        <v>0.426470588235294</v>
      </c>
      <c r="H511" s="84" t="n">
        <v>0.318541944468257</v>
      </c>
      <c r="I511" s="84" t="n">
        <v>0.256237473473433</v>
      </c>
      <c r="J511" s="84" t="n">
        <v>0.738352896005996</v>
      </c>
      <c r="K511" s="84" t="n">
        <v>0.714542817182363</v>
      </c>
      <c r="L511" s="84" t="n">
        <v>0.912489647851969</v>
      </c>
      <c r="M511" s="84" t="n">
        <v>0.906542056074766</v>
      </c>
      <c r="N511" s="84" t="n">
        <v>0.916666666666667</v>
      </c>
      <c r="O511" s="84" t="n">
        <v>1</v>
      </c>
      <c r="P511" s="85">
        <f>AVERAGE(D511:I511)</f>
        <v/>
      </c>
      <c r="Q511" s="85">
        <f>AVERAGE(J511:L511)</f>
        <v/>
      </c>
      <c r="R511" s="85">
        <f>AVERAGE(M511:O511)</f>
        <v/>
      </c>
      <c r="S511" s="85">
        <f>'02_지표정의'!$C$22*P511+'02_지표정의'!$C$23*Q511+'02_지표정의'!$C$24*R511</f>
        <v/>
      </c>
      <c r="T511" s="73">
        <f>IF(OR(AND(B511="gemini",C511="gemma"),AND(B511="qwen3_6",C511="qwen"),AND(B511="mistral",C511="ministral")),1,0)</f>
        <v/>
      </c>
      <c r="U511" s="73">
        <f>IF(LEFT(A511,3)="PAT","특허","보고서")</f>
        <v/>
      </c>
      <c r="V511" s="86">
        <f>COUNTIF($S$2:$S$976,"&lt;"&amp;S511)+(COUNTIF($S$2:$S$976,"="&amp;S511)+1)/2</f>
        <v/>
      </c>
      <c r="W511" s="73">
        <f>IF(C511="qwen",0,COUNTIFS($C$2:$C$976,"&lt;&gt;qwen",$S$2:$S$976,"&lt;"&amp;S511)+1)</f>
        <v/>
      </c>
      <c r="X511" s="73">
        <f>IF(C511="ministral",0,COUNTIFS($C$2:$C$976,"&lt;&gt;ministral",$S$2:$S$976,"&lt;"&amp;S511)+1)</f>
        <v/>
      </c>
      <c r="Y511" s="73">
        <f>IF(C511="gemma",0,COUNTIFS($C$2:$C$976,"&lt;&gt;gemma",$S$2:$S$976,"&lt;"&amp;S511)+1)</f>
        <v/>
      </c>
      <c r="Z511" s="87">
        <f>COUNTIFS($B$2:$B$976,B511,$C$2:$C$976,C511,$S$2:$S$976,"&lt;"&amp;S511)+1</f>
        <v/>
      </c>
      <c r="AA511" s="88">
        <f>ABS(S511-SUMPRODUCT(('05B_가정검정'!$A$5:$A$19=B511)*('05B_가정검정'!$B$5:$B$19=C511)*'05B_가정검정'!$E$5:$E$19))</f>
        <v/>
      </c>
      <c r="AB511" s="88">
        <f>S511-AVERAGEIFS($S$2:$S$976,$B$2:$B$976,B511,$C$2:$C$976,C511)</f>
        <v/>
      </c>
    </row>
    <row r="512" ht="15" customHeight="1" s="68">
      <c r="A512" s="83" t="inlineStr">
        <is>
          <t>RPT-04</t>
        </is>
      </c>
      <c r="B512" s="83" t="inlineStr">
        <is>
          <t>chatgpt</t>
        </is>
      </c>
      <c r="C512" s="83" t="inlineStr">
        <is>
          <t>gemma</t>
        </is>
      </c>
      <c r="D512" s="84" t="n">
        <v>0.233093525179856</v>
      </c>
      <c r="E512" s="84" t="n">
        <v>0.386266094420601</v>
      </c>
      <c r="F512" s="84" t="n">
        <v>0.147186147186147</v>
      </c>
      <c r="G512" s="84" t="n">
        <v>0.274678111587983</v>
      </c>
      <c r="H512" s="84" t="n">
        <v>0.226936643205925</v>
      </c>
      <c r="I512" s="84" t="n">
        <v>0.267450892453433</v>
      </c>
      <c r="J512" s="84" t="n">
        <v>0.711934320012493</v>
      </c>
      <c r="K512" s="84" t="n">
        <v>0.610455633619589</v>
      </c>
      <c r="L512" s="84" t="n">
        <v>0.782399723680208</v>
      </c>
      <c r="M512" s="84" t="n">
        <v>0.515151515151515</v>
      </c>
      <c r="N512" s="84" t="n">
        <v>0.213483146067416</v>
      </c>
      <c r="O512" s="84" t="n">
        <v>1</v>
      </c>
      <c r="P512" s="85">
        <f>AVERAGE(D512:I512)</f>
        <v/>
      </c>
      <c r="Q512" s="85">
        <f>AVERAGE(J512:L512)</f>
        <v/>
      </c>
      <c r="R512" s="85">
        <f>AVERAGE(M512:O512)</f>
        <v/>
      </c>
      <c r="S512" s="85">
        <f>'02_지표정의'!$C$22*P512+'02_지표정의'!$C$23*Q512+'02_지표정의'!$C$24*R512</f>
        <v/>
      </c>
      <c r="T512" s="73">
        <f>IF(OR(AND(B512="gemini",C512="gemma"),AND(B512="qwen3_6",C512="qwen"),AND(B512="mistral",C512="ministral")),1,0)</f>
        <v/>
      </c>
      <c r="U512" s="73">
        <f>IF(LEFT(A512,3)="PAT","특허","보고서")</f>
        <v/>
      </c>
      <c r="V512" s="86">
        <f>COUNTIF($S$2:$S$976,"&lt;"&amp;S512)+(COUNTIF($S$2:$S$976,"="&amp;S512)+1)/2</f>
        <v/>
      </c>
      <c r="W512" s="73">
        <f>IF(C512="qwen",0,COUNTIFS($C$2:$C$976,"&lt;&gt;qwen",$S$2:$S$976,"&lt;"&amp;S512)+1)</f>
        <v/>
      </c>
      <c r="X512" s="73">
        <f>IF(C512="ministral",0,COUNTIFS($C$2:$C$976,"&lt;&gt;ministral",$S$2:$S$976,"&lt;"&amp;S512)+1)</f>
        <v/>
      </c>
      <c r="Y512" s="73">
        <f>IF(C512="gemma",0,COUNTIFS($C$2:$C$976,"&lt;&gt;gemma",$S$2:$S$976,"&lt;"&amp;S512)+1)</f>
        <v/>
      </c>
      <c r="Z512" s="87">
        <f>COUNTIFS($B$2:$B$976,B512,$C$2:$C$976,C512,$S$2:$S$976,"&lt;"&amp;S512)+1</f>
        <v/>
      </c>
      <c r="AA512" s="88">
        <f>ABS(S512-SUMPRODUCT(('05B_가정검정'!$A$5:$A$19=B512)*('05B_가정검정'!$B$5:$B$19=C512)*'05B_가정검정'!$E$5:$E$19))</f>
        <v/>
      </c>
      <c r="AB512" s="88">
        <f>S512-AVERAGEIFS($S$2:$S$976,$B$2:$B$976,B512,$C$2:$C$976,C512)</f>
        <v/>
      </c>
    </row>
    <row r="513" ht="15" customHeight="1" s="68">
      <c r="A513" s="83" t="inlineStr">
        <is>
          <t>RPT-04</t>
        </is>
      </c>
      <c r="B513" s="83" t="inlineStr">
        <is>
          <t>chatgpt</t>
        </is>
      </c>
      <c r="C513" s="83" t="inlineStr">
        <is>
          <t>ministral</t>
        </is>
      </c>
      <c r="D513" s="84" t="n">
        <v>0.304273504273504</v>
      </c>
      <c r="E513" s="84" t="n">
        <v>0.342592592592593</v>
      </c>
      <c r="F513" s="84" t="n">
        <v>0.130841121495327</v>
      </c>
      <c r="G513" s="84" t="n">
        <v>0.268518518518519</v>
      </c>
      <c r="H513" s="84" t="n">
        <v>0.163131162126114</v>
      </c>
      <c r="I513" s="84" t="n">
        <v>0.280538244218258</v>
      </c>
      <c r="J513" s="84" t="n">
        <v>0.681444680733318</v>
      </c>
      <c r="K513" s="84" t="n">
        <v>0.679858821922434</v>
      </c>
      <c r="L513" s="84" t="n">
        <v>0.816913681180977</v>
      </c>
      <c r="M513" s="84" t="n">
        <v>0.440397350993378</v>
      </c>
      <c r="N513" s="84" t="n">
        <v>0</v>
      </c>
      <c r="O513" s="84" t="n">
        <v>0.526315789473684</v>
      </c>
      <c r="P513" s="85">
        <f>AVERAGE(D513:I513)</f>
        <v/>
      </c>
      <c r="Q513" s="85">
        <f>AVERAGE(J513:L513)</f>
        <v/>
      </c>
      <c r="R513" s="85">
        <f>AVERAGE(M513:O513)</f>
        <v/>
      </c>
      <c r="S513" s="85">
        <f>'02_지표정의'!$C$22*P513+'02_지표정의'!$C$23*Q513+'02_지표정의'!$C$24*R513</f>
        <v/>
      </c>
      <c r="T513" s="73">
        <f>IF(OR(AND(B513="gemini",C513="gemma"),AND(B513="qwen3_6",C513="qwen"),AND(B513="mistral",C513="ministral")),1,0)</f>
        <v/>
      </c>
      <c r="U513" s="73">
        <f>IF(LEFT(A513,3)="PAT","특허","보고서")</f>
        <v/>
      </c>
      <c r="V513" s="86">
        <f>COUNTIF($S$2:$S$976,"&lt;"&amp;S513)+(COUNTIF($S$2:$S$976,"="&amp;S513)+1)/2</f>
        <v/>
      </c>
      <c r="W513" s="73">
        <f>IF(C513="qwen",0,COUNTIFS($C$2:$C$976,"&lt;&gt;qwen",$S$2:$S$976,"&lt;"&amp;S513)+1)</f>
        <v/>
      </c>
      <c r="X513" s="73">
        <f>IF(C513="ministral",0,COUNTIFS($C$2:$C$976,"&lt;&gt;ministral",$S$2:$S$976,"&lt;"&amp;S513)+1)</f>
        <v/>
      </c>
      <c r="Y513" s="73">
        <f>IF(C513="gemma",0,COUNTIFS($C$2:$C$976,"&lt;&gt;gemma",$S$2:$S$976,"&lt;"&amp;S513)+1)</f>
        <v/>
      </c>
      <c r="Z513" s="87">
        <f>COUNTIFS($B$2:$B$976,B513,$C$2:$C$976,C513,$S$2:$S$976,"&lt;"&amp;S513)+1</f>
        <v/>
      </c>
      <c r="AA513" s="88">
        <f>ABS(S513-SUMPRODUCT(('05B_가정검정'!$A$5:$A$19=B513)*('05B_가정검정'!$B$5:$B$19=C513)*'05B_가정검정'!$E$5:$E$19))</f>
        <v/>
      </c>
      <c r="AB513" s="88">
        <f>S513-AVERAGEIFS($S$2:$S$976,$B$2:$B$976,B513,$C$2:$C$976,C513)</f>
        <v/>
      </c>
    </row>
    <row r="514" ht="15" customHeight="1" s="68">
      <c r="A514" s="83" t="inlineStr">
        <is>
          <t>RPT-04</t>
        </is>
      </c>
      <c r="B514" s="83" t="inlineStr">
        <is>
          <t>chatgpt</t>
        </is>
      </c>
      <c r="C514" s="83" t="inlineStr">
        <is>
          <t>qwen</t>
        </is>
      </c>
      <c r="D514" s="84" t="n">
        <v>0.27683615819209</v>
      </c>
      <c r="E514" s="84" t="n">
        <v>0.322344322344322</v>
      </c>
      <c r="F514" s="84" t="n">
        <v>0.11070110701107</v>
      </c>
      <c r="G514" s="84" t="n">
        <v>0.227106227106227</v>
      </c>
      <c r="H514" s="84" t="n">
        <v>0.179301616464211</v>
      </c>
      <c r="I514" s="84" t="n">
        <v>0.23917171309173</v>
      </c>
      <c r="J514" s="84" t="n">
        <v>0.681633684403967</v>
      </c>
      <c r="K514" s="84" t="n">
        <v>0.640182847381908</v>
      </c>
      <c r="L514" s="84" t="n">
        <v>0.8103056285670091</v>
      </c>
      <c r="M514" s="84" t="n">
        <v>0.45662100456621</v>
      </c>
      <c r="N514" s="84" t="n">
        <v>0</v>
      </c>
      <c r="O514" s="84" t="n">
        <v>1</v>
      </c>
      <c r="P514" s="85">
        <f>AVERAGE(D514:I514)</f>
        <v/>
      </c>
      <c r="Q514" s="85">
        <f>AVERAGE(J514:L514)</f>
        <v/>
      </c>
      <c r="R514" s="85">
        <f>AVERAGE(M514:O514)</f>
        <v/>
      </c>
      <c r="S514" s="85">
        <f>'02_지표정의'!$C$22*P514+'02_지표정의'!$C$23*Q514+'02_지표정의'!$C$24*R514</f>
        <v/>
      </c>
      <c r="T514" s="73">
        <f>IF(OR(AND(B514="gemini",C514="gemma"),AND(B514="qwen3_6",C514="qwen"),AND(B514="mistral",C514="ministral")),1,0)</f>
        <v/>
      </c>
      <c r="U514" s="73">
        <f>IF(LEFT(A514,3)="PAT","특허","보고서")</f>
        <v/>
      </c>
      <c r="V514" s="86">
        <f>COUNTIF($S$2:$S$976,"&lt;"&amp;S514)+(COUNTIF($S$2:$S$976,"="&amp;S514)+1)/2</f>
        <v/>
      </c>
      <c r="W514" s="73">
        <f>IF(C514="qwen",0,COUNTIFS($C$2:$C$976,"&lt;&gt;qwen",$S$2:$S$976,"&lt;"&amp;S514)+1)</f>
        <v/>
      </c>
      <c r="X514" s="73">
        <f>IF(C514="ministral",0,COUNTIFS($C$2:$C$976,"&lt;&gt;ministral",$S$2:$S$976,"&lt;"&amp;S514)+1)</f>
        <v/>
      </c>
      <c r="Y514" s="73">
        <f>IF(C514="gemma",0,COUNTIFS($C$2:$C$976,"&lt;&gt;gemma",$S$2:$S$976,"&lt;"&amp;S514)+1)</f>
        <v/>
      </c>
      <c r="Z514" s="87">
        <f>COUNTIFS($B$2:$B$976,B514,$C$2:$C$976,C514,$S$2:$S$976,"&lt;"&amp;S514)+1</f>
        <v/>
      </c>
      <c r="AA514" s="88">
        <f>ABS(S514-SUMPRODUCT(('05B_가정검정'!$A$5:$A$19=B514)*('05B_가정검정'!$B$5:$B$19=C514)*'05B_가정검정'!$E$5:$E$19))</f>
        <v/>
      </c>
      <c r="AB514" s="88">
        <f>S514-AVERAGEIFS($S$2:$S$976,$B$2:$B$976,B514,$C$2:$C$976,C514)</f>
        <v/>
      </c>
    </row>
    <row r="515" ht="15" customHeight="1" s="68">
      <c r="A515" s="83" t="inlineStr">
        <is>
          <t>RPT-04</t>
        </is>
      </c>
      <c r="B515" s="83" t="inlineStr">
        <is>
          <t>claude</t>
        </is>
      </c>
      <c r="C515" s="83" t="inlineStr">
        <is>
          <t>gemma</t>
        </is>
      </c>
      <c r="D515" s="84" t="n">
        <v>0.209259259259259</v>
      </c>
      <c r="E515" s="84" t="n">
        <v>0.334246575342466</v>
      </c>
      <c r="F515" s="84" t="n">
        <v>0.115702479338843</v>
      </c>
      <c r="G515" s="84" t="n">
        <v>0.219178082191781</v>
      </c>
      <c r="H515" s="84" t="n">
        <v>0.304022693457407</v>
      </c>
      <c r="I515" s="84" t="n">
        <v>0.238784638340656</v>
      </c>
      <c r="J515" s="84" t="n">
        <v>0.684836749625381</v>
      </c>
      <c r="K515" s="84" t="n">
        <v>0.664047833646187</v>
      </c>
      <c r="L515" s="84" t="n">
        <v>0.844505185089661</v>
      </c>
      <c r="M515" s="84" t="n">
        <v>0.62</v>
      </c>
      <c r="N515" s="84" t="n">
        <v>0.563218390804598</v>
      </c>
      <c r="O515" s="84" t="n">
        <v>1</v>
      </c>
      <c r="P515" s="85">
        <f>AVERAGE(D515:I515)</f>
        <v/>
      </c>
      <c r="Q515" s="85">
        <f>AVERAGE(J515:L515)</f>
        <v/>
      </c>
      <c r="R515" s="85">
        <f>AVERAGE(M515:O515)</f>
        <v/>
      </c>
      <c r="S515" s="85">
        <f>'02_지표정의'!$C$22*P515+'02_지표정의'!$C$23*Q515+'02_지표정의'!$C$24*R515</f>
        <v/>
      </c>
      <c r="T515" s="73">
        <f>IF(OR(AND(B515="gemini",C515="gemma"),AND(B515="qwen3_6",C515="qwen"),AND(B515="mistral",C515="ministral")),1,0)</f>
        <v/>
      </c>
      <c r="U515" s="73">
        <f>IF(LEFT(A515,3)="PAT","특허","보고서")</f>
        <v/>
      </c>
      <c r="V515" s="86">
        <f>COUNTIF($S$2:$S$976,"&lt;"&amp;S515)+(COUNTIF($S$2:$S$976,"="&amp;S515)+1)/2</f>
        <v/>
      </c>
      <c r="W515" s="73">
        <f>IF(C515="qwen",0,COUNTIFS($C$2:$C$976,"&lt;&gt;qwen",$S$2:$S$976,"&lt;"&amp;S515)+1)</f>
        <v/>
      </c>
      <c r="X515" s="73">
        <f>IF(C515="ministral",0,COUNTIFS($C$2:$C$976,"&lt;&gt;ministral",$S$2:$S$976,"&lt;"&amp;S515)+1)</f>
        <v/>
      </c>
      <c r="Y515" s="73">
        <f>IF(C515="gemma",0,COUNTIFS($C$2:$C$976,"&lt;&gt;gemma",$S$2:$S$976,"&lt;"&amp;S515)+1)</f>
        <v/>
      </c>
      <c r="Z515" s="87">
        <f>COUNTIFS($B$2:$B$976,B515,$C$2:$C$976,C515,$S$2:$S$976,"&lt;"&amp;S515)+1</f>
        <v/>
      </c>
      <c r="AA515" s="88">
        <f>ABS(S515-SUMPRODUCT(('05B_가정검정'!$A$5:$A$19=B515)*('05B_가정검정'!$B$5:$B$19=C515)*'05B_가정검정'!$E$5:$E$19))</f>
        <v/>
      </c>
      <c r="AB515" s="88">
        <f>S515-AVERAGEIFS($S$2:$S$976,$B$2:$B$976,B515,$C$2:$C$976,C515)</f>
        <v/>
      </c>
    </row>
    <row r="516" ht="15" customHeight="1" s="68">
      <c r="A516" s="83" t="inlineStr">
        <is>
          <t>RPT-04</t>
        </is>
      </c>
      <c r="B516" s="83" t="inlineStr">
        <is>
          <t>claude</t>
        </is>
      </c>
      <c r="C516" s="83" t="inlineStr">
        <is>
          <t>ministral</t>
        </is>
      </c>
      <c r="D516" s="84" t="n">
        <v>0.239175257731959</v>
      </c>
      <c r="E516" s="84" t="n">
        <v>0.298850574712644</v>
      </c>
      <c r="F516" s="84" t="n">
        <v>0.092485549132948</v>
      </c>
      <c r="G516" s="84" t="n">
        <v>0.252873563218391</v>
      </c>
      <c r="H516" s="84" t="n">
        <v>0.254446389615236</v>
      </c>
      <c r="I516" s="84" t="n">
        <v>0.250798379651055</v>
      </c>
      <c r="J516" s="84" t="n">
        <v>0.673450249349299</v>
      </c>
      <c r="K516" s="84" t="n">
        <v>0.658904231398407</v>
      </c>
      <c r="L516" s="84" t="n">
        <v>0.816937860999165</v>
      </c>
      <c r="M516" s="84" t="n">
        <v>0.447019867549669</v>
      </c>
      <c r="N516" s="84" t="n">
        <v>0.232</v>
      </c>
      <c r="O516" s="84" t="n">
        <v>0.526315789473684</v>
      </c>
      <c r="P516" s="85">
        <f>AVERAGE(D516:I516)</f>
        <v/>
      </c>
      <c r="Q516" s="85">
        <f>AVERAGE(J516:L516)</f>
        <v/>
      </c>
      <c r="R516" s="85">
        <f>AVERAGE(M516:O516)</f>
        <v/>
      </c>
      <c r="S516" s="85">
        <f>'02_지표정의'!$C$22*P516+'02_지표정의'!$C$23*Q516+'02_지표정의'!$C$24*R516</f>
        <v/>
      </c>
      <c r="T516" s="73">
        <f>IF(OR(AND(B516="gemini",C516="gemma"),AND(B516="qwen3_6",C516="qwen"),AND(B516="mistral",C516="ministral")),1,0)</f>
        <v/>
      </c>
      <c r="U516" s="73">
        <f>IF(LEFT(A516,3)="PAT","특허","보고서")</f>
        <v/>
      </c>
      <c r="V516" s="86">
        <f>COUNTIF($S$2:$S$976,"&lt;"&amp;S516)+(COUNTIF($S$2:$S$976,"="&amp;S516)+1)/2</f>
        <v/>
      </c>
      <c r="W516" s="73">
        <f>IF(C516="qwen",0,COUNTIFS($C$2:$C$976,"&lt;&gt;qwen",$S$2:$S$976,"&lt;"&amp;S516)+1)</f>
        <v/>
      </c>
      <c r="X516" s="73">
        <f>IF(C516="ministral",0,COUNTIFS($C$2:$C$976,"&lt;&gt;ministral",$S$2:$S$976,"&lt;"&amp;S516)+1)</f>
        <v/>
      </c>
      <c r="Y516" s="73">
        <f>IF(C516="gemma",0,COUNTIFS($C$2:$C$976,"&lt;&gt;gemma",$S$2:$S$976,"&lt;"&amp;S516)+1)</f>
        <v/>
      </c>
      <c r="Z516" s="87">
        <f>COUNTIFS($B$2:$B$976,B516,$C$2:$C$976,C516,$S$2:$S$976,"&lt;"&amp;S516)+1</f>
        <v/>
      </c>
      <c r="AA516" s="88">
        <f>ABS(S516-SUMPRODUCT(('05B_가정검정'!$A$5:$A$19=B516)*('05B_가정검정'!$B$5:$B$19=C516)*'05B_가정검정'!$E$5:$E$19))</f>
        <v/>
      </c>
      <c r="AB516" s="88">
        <f>S516-AVERAGEIFS($S$2:$S$976,$B$2:$B$976,B516,$C$2:$C$976,C516)</f>
        <v/>
      </c>
    </row>
    <row r="517" ht="15" customHeight="1" s="68">
      <c r="A517" s="83" t="inlineStr">
        <is>
          <t>RPT-04</t>
        </is>
      </c>
      <c r="B517" s="83" t="inlineStr">
        <is>
          <t>claude</t>
        </is>
      </c>
      <c r="C517" s="83" t="inlineStr">
        <is>
          <t>qwen</t>
        </is>
      </c>
      <c r="D517" s="84" t="n">
        <v>0.261665141811528</v>
      </c>
      <c r="E517" s="84" t="n">
        <v>0.414814814814815</v>
      </c>
      <c r="F517" s="84" t="n">
        <v>0.129032258064516</v>
      </c>
      <c r="G517" s="84" t="n">
        <v>0.261728395061729</v>
      </c>
      <c r="H517" s="84" t="n">
        <v>0.356633473828033</v>
      </c>
      <c r="I517" s="84" t="n">
        <v>0.351239137018732</v>
      </c>
      <c r="J517" s="84" t="n">
        <v>0.71359165842201</v>
      </c>
      <c r="K517" s="84" t="n">
        <v>0.635976338908314</v>
      </c>
      <c r="L517" s="84" t="n">
        <v>0.813057139479586</v>
      </c>
      <c r="M517" s="84" t="n">
        <v>0.593607305936073</v>
      </c>
      <c r="N517" s="84" t="n">
        <v>0.52991452991453</v>
      </c>
      <c r="O517" s="84" t="n">
        <v>1</v>
      </c>
      <c r="P517" s="85">
        <f>AVERAGE(D517:I517)</f>
        <v/>
      </c>
      <c r="Q517" s="85">
        <f>AVERAGE(J517:L517)</f>
        <v/>
      </c>
      <c r="R517" s="85">
        <f>AVERAGE(M517:O517)</f>
        <v/>
      </c>
      <c r="S517" s="85">
        <f>'02_지표정의'!$C$22*P517+'02_지표정의'!$C$23*Q517+'02_지표정의'!$C$24*R517</f>
        <v/>
      </c>
      <c r="T517" s="73">
        <f>IF(OR(AND(B517="gemini",C517="gemma"),AND(B517="qwen3_6",C517="qwen"),AND(B517="mistral",C517="ministral")),1,0)</f>
        <v/>
      </c>
      <c r="U517" s="73">
        <f>IF(LEFT(A517,3)="PAT","특허","보고서")</f>
        <v/>
      </c>
      <c r="V517" s="86">
        <f>COUNTIF($S$2:$S$976,"&lt;"&amp;S517)+(COUNTIF($S$2:$S$976,"="&amp;S517)+1)/2</f>
        <v/>
      </c>
      <c r="W517" s="73">
        <f>IF(C517="qwen",0,COUNTIFS($C$2:$C$976,"&lt;&gt;qwen",$S$2:$S$976,"&lt;"&amp;S517)+1)</f>
        <v/>
      </c>
      <c r="X517" s="73">
        <f>IF(C517="ministral",0,COUNTIFS($C$2:$C$976,"&lt;&gt;ministral",$S$2:$S$976,"&lt;"&amp;S517)+1)</f>
        <v/>
      </c>
      <c r="Y517" s="73">
        <f>IF(C517="gemma",0,COUNTIFS($C$2:$C$976,"&lt;&gt;gemma",$S$2:$S$976,"&lt;"&amp;S517)+1)</f>
        <v/>
      </c>
      <c r="Z517" s="87">
        <f>COUNTIFS($B$2:$B$976,B517,$C$2:$C$976,C517,$S$2:$S$976,"&lt;"&amp;S517)+1</f>
        <v/>
      </c>
      <c r="AA517" s="88">
        <f>ABS(S517-SUMPRODUCT(('05B_가정검정'!$A$5:$A$19=B517)*('05B_가정검정'!$B$5:$B$19=C517)*'05B_가정검정'!$E$5:$E$19))</f>
        <v/>
      </c>
      <c r="AB517" s="88">
        <f>S517-AVERAGEIFS($S$2:$S$976,$B$2:$B$976,B517,$C$2:$C$976,C517)</f>
        <v/>
      </c>
    </row>
    <row r="518" ht="15" customHeight="1" s="68">
      <c r="A518" s="83" t="inlineStr">
        <is>
          <t>RPT-04</t>
        </is>
      </c>
      <c r="B518" s="83" t="inlineStr">
        <is>
          <t>gemini</t>
        </is>
      </c>
      <c r="C518" s="83" t="inlineStr">
        <is>
          <t>gemma</t>
        </is>
      </c>
      <c r="D518" s="84" t="n">
        <v>0.24317617866005</v>
      </c>
      <c r="E518" s="84" t="n">
        <v>0.36</v>
      </c>
      <c r="F518" s="84" t="n">
        <v>0.153225806451613</v>
      </c>
      <c r="G518" s="84" t="n">
        <v>0.272</v>
      </c>
      <c r="H518" s="84" t="n">
        <v>0.292720455649852</v>
      </c>
      <c r="I518" s="84" t="n">
        <v>0.217127814120695</v>
      </c>
      <c r="J518" s="84" t="n">
        <v>0.74451732166235</v>
      </c>
      <c r="K518" s="84" t="n">
        <v>0.756179080475565</v>
      </c>
      <c r="L518" s="84" t="n">
        <v>0.887685193278017</v>
      </c>
      <c r="M518" s="84" t="n">
        <v>0.906542056074766</v>
      </c>
      <c r="N518" s="84" t="n">
        <v>0.916666666666667</v>
      </c>
      <c r="O518" s="84" t="n">
        <v>1</v>
      </c>
      <c r="P518" s="85">
        <f>AVERAGE(D518:I518)</f>
        <v/>
      </c>
      <c r="Q518" s="85">
        <f>AVERAGE(J518:L518)</f>
        <v/>
      </c>
      <c r="R518" s="85">
        <f>AVERAGE(M518:O518)</f>
        <v/>
      </c>
      <c r="S518" s="85">
        <f>'02_지표정의'!$C$22*P518+'02_지표정의'!$C$23*Q518+'02_지표정의'!$C$24*R518</f>
        <v/>
      </c>
      <c r="T518" s="73">
        <f>IF(OR(AND(B518="gemini",C518="gemma"),AND(B518="qwen3_6",C518="qwen"),AND(B518="mistral",C518="ministral")),1,0)</f>
        <v/>
      </c>
      <c r="U518" s="73">
        <f>IF(LEFT(A518,3)="PAT","특허","보고서")</f>
        <v/>
      </c>
      <c r="V518" s="86">
        <f>COUNTIF($S$2:$S$976,"&lt;"&amp;S518)+(COUNTIF($S$2:$S$976,"="&amp;S518)+1)/2</f>
        <v/>
      </c>
      <c r="W518" s="73">
        <f>IF(C518="qwen",0,COUNTIFS($C$2:$C$976,"&lt;&gt;qwen",$S$2:$S$976,"&lt;"&amp;S518)+1)</f>
        <v/>
      </c>
      <c r="X518" s="73">
        <f>IF(C518="ministral",0,COUNTIFS($C$2:$C$976,"&lt;&gt;ministral",$S$2:$S$976,"&lt;"&amp;S518)+1)</f>
        <v/>
      </c>
      <c r="Y518" s="73">
        <f>IF(C518="gemma",0,COUNTIFS($C$2:$C$976,"&lt;&gt;gemma",$S$2:$S$976,"&lt;"&amp;S518)+1)</f>
        <v/>
      </c>
      <c r="Z518" s="87">
        <f>COUNTIFS($B$2:$B$976,B518,$C$2:$C$976,C518,$S$2:$S$976,"&lt;"&amp;S518)+1</f>
        <v/>
      </c>
      <c r="AA518" s="88">
        <f>ABS(S518-SUMPRODUCT(('05B_가정검정'!$A$5:$A$19=B518)*('05B_가정검정'!$B$5:$B$19=C518)*'05B_가정검정'!$E$5:$E$19))</f>
        <v/>
      </c>
      <c r="AB518" s="88">
        <f>S518-AVERAGEIFS($S$2:$S$976,$B$2:$B$976,B518,$C$2:$C$976,C518)</f>
        <v/>
      </c>
    </row>
    <row r="519" ht="15" customHeight="1" s="68">
      <c r="A519" s="83" t="inlineStr">
        <is>
          <t>RPT-04</t>
        </is>
      </c>
      <c r="B519" s="83" t="inlineStr">
        <is>
          <t>gemini</t>
        </is>
      </c>
      <c r="C519" s="83" t="inlineStr">
        <is>
          <t>ministral</t>
        </is>
      </c>
      <c r="D519" s="84" t="n">
        <v>0.264367816091954</v>
      </c>
      <c r="E519" s="84" t="n">
        <v>0.291845493562232</v>
      </c>
      <c r="F519" s="84" t="n">
        <v>0.121212121212121</v>
      </c>
      <c r="G519" s="84" t="n">
        <v>0.266094420600858</v>
      </c>
      <c r="H519" s="84" t="n">
        <v>0.207954897139432</v>
      </c>
      <c r="I519" s="84" t="n">
        <v>0.189279626930101</v>
      </c>
      <c r="J519" s="84" t="n">
        <v>0.719482476853312</v>
      </c>
      <c r="K519" s="84" t="n">
        <v>0.76848526034022</v>
      </c>
      <c r="L519" s="84" t="n">
        <v>0.898596838360987</v>
      </c>
      <c r="M519" s="84" t="n">
        <v>0.321192052980132</v>
      </c>
      <c r="N519" s="84" t="n">
        <v>0.296</v>
      </c>
      <c r="O519" s="84" t="n">
        <v>0.526315789473684</v>
      </c>
      <c r="P519" s="85">
        <f>AVERAGE(D519:I519)</f>
        <v/>
      </c>
      <c r="Q519" s="85">
        <f>AVERAGE(J519:L519)</f>
        <v/>
      </c>
      <c r="R519" s="85">
        <f>AVERAGE(M519:O519)</f>
        <v/>
      </c>
      <c r="S519" s="85">
        <f>'02_지표정의'!$C$22*P519+'02_지표정의'!$C$23*Q519+'02_지표정의'!$C$24*R519</f>
        <v/>
      </c>
      <c r="T519" s="73">
        <f>IF(OR(AND(B519="gemini",C519="gemma"),AND(B519="qwen3_6",C519="qwen"),AND(B519="mistral",C519="ministral")),1,0)</f>
        <v/>
      </c>
      <c r="U519" s="73">
        <f>IF(LEFT(A519,3)="PAT","특허","보고서")</f>
        <v/>
      </c>
      <c r="V519" s="86">
        <f>COUNTIF($S$2:$S$976,"&lt;"&amp;S519)+(COUNTIF($S$2:$S$976,"="&amp;S519)+1)/2</f>
        <v/>
      </c>
      <c r="W519" s="73">
        <f>IF(C519="qwen",0,COUNTIFS($C$2:$C$976,"&lt;&gt;qwen",$S$2:$S$976,"&lt;"&amp;S519)+1)</f>
        <v/>
      </c>
      <c r="X519" s="73">
        <f>IF(C519="ministral",0,COUNTIFS($C$2:$C$976,"&lt;&gt;ministral",$S$2:$S$976,"&lt;"&amp;S519)+1)</f>
        <v/>
      </c>
      <c r="Y519" s="73">
        <f>IF(C519="gemma",0,COUNTIFS($C$2:$C$976,"&lt;&gt;gemma",$S$2:$S$976,"&lt;"&amp;S519)+1)</f>
        <v/>
      </c>
      <c r="Z519" s="87">
        <f>COUNTIFS($B$2:$B$976,B519,$C$2:$C$976,C519,$S$2:$S$976,"&lt;"&amp;S519)+1</f>
        <v/>
      </c>
      <c r="AA519" s="88">
        <f>ABS(S519-SUMPRODUCT(('05B_가정검정'!$A$5:$A$19=B519)*('05B_가정검정'!$B$5:$B$19=C519)*'05B_가정검정'!$E$5:$E$19))</f>
        <v/>
      </c>
      <c r="AB519" s="88">
        <f>S519-AVERAGEIFS($S$2:$S$976,$B$2:$B$976,B519,$C$2:$C$976,C519)</f>
        <v/>
      </c>
    </row>
    <row r="520" ht="15" customHeight="1" s="68">
      <c r="A520" s="83" t="inlineStr">
        <is>
          <t>RPT-04</t>
        </is>
      </c>
      <c r="B520" s="83" t="inlineStr">
        <is>
          <t>gemini</t>
        </is>
      </c>
      <c r="C520" s="83" t="inlineStr">
        <is>
          <t>qwen</t>
        </is>
      </c>
      <c r="D520" s="84" t="n">
        <v>0.288156288156288</v>
      </c>
      <c r="E520" s="84" t="n">
        <v>0.36551724137931</v>
      </c>
      <c r="F520" s="84" t="n">
        <v>0.125</v>
      </c>
      <c r="G520" s="84" t="n">
        <v>0.227586206896552</v>
      </c>
      <c r="H520" s="84" t="n">
        <v>0.247308259217898</v>
      </c>
      <c r="I520" s="84" t="n">
        <v>0.265584027964701</v>
      </c>
      <c r="J520" s="84" t="n">
        <v>0.7557032972607191</v>
      </c>
      <c r="K520" s="84" t="n">
        <v>0.761464382580067</v>
      </c>
      <c r="L520" s="84" t="n">
        <v>0.893348689822817</v>
      </c>
      <c r="M520" s="84" t="n">
        <v>0.442922374429224</v>
      </c>
      <c r="N520" s="84" t="n">
        <v>0.47008547008547</v>
      </c>
      <c r="O520" s="84" t="n">
        <v>1</v>
      </c>
      <c r="P520" s="85">
        <f>AVERAGE(D520:I520)</f>
        <v/>
      </c>
      <c r="Q520" s="85">
        <f>AVERAGE(J520:L520)</f>
        <v/>
      </c>
      <c r="R520" s="85">
        <f>AVERAGE(M520:O520)</f>
        <v/>
      </c>
      <c r="S520" s="85">
        <f>'02_지표정의'!$C$22*P520+'02_지표정의'!$C$23*Q520+'02_지표정의'!$C$24*R520</f>
        <v/>
      </c>
      <c r="T520" s="73">
        <f>IF(OR(AND(B520="gemini",C520="gemma"),AND(B520="qwen3_6",C520="qwen"),AND(B520="mistral",C520="ministral")),1,0)</f>
        <v/>
      </c>
      <c r="U520" s="73">
        <f>IF(LEFT(A520,3)="PAT","특허","보고서")</f>
        <v/>
      </c>
      <c r="V520" s="86">
        <f>COUNTIF($S$2:$S$976,"&lt;"&amp;S520)+(COUNTIF($S$2:$S$976,"="&amp;S520)+1)/2</f>
        <v/>
      </c>
      <c r="W520" s="73">
        <f>IF(C520="qwen",0,COUNTIFS($C$2:$C$976,"&lt;&gt;qwen",$S$2:$S$976,"&lt;"&amp;S520)+1)</f>
        <v/>
      </c>
      <c r="X520" s="73">
        <f>IF(C520="ministral",0,COUNTIFS($C$2:$C$976,"&lt;&gt;ministral",$S$2:$S$976,"&lt;"&amp;S520)+1)</f>
        <v/>
      </c>
      <c r="Y520" s="73">
        <f>IF(C520="gemma",0,COUNTIFS($C$2:$C$976,"&lt;&gt;gemma",$S$2:$S$976,"&lt;"&amp;S520)+1)</f>
        <v/>
      </c>
      <c r="Z520" s="87">
        <f>COUNTIFS($B$2:$B$976,B520,$C$2:$C$976,C520,$S$2:$S$976,"&lt;"&amp;S520)+1</f>
        <v/>
      </c>
      <c r="AA520" s="88">
        <f>ABS(S520-SUMPRODUCT(('05B_가정검정'!$A$5:$A$19=B520)*('05B_가정검정'!$B$5:$B$19=C520)*'05B_가정검정'!$E$5:$E$19))</f>
        <v/>
      </c>
      <c r="AB520" s="88">
        <f>S520-AVERAGEIFS($S$2:$S$976,$B$2:$B$976,B520,$C$2:$C$976,C520)</f>
        <v/>
      </c>
    </row>
    <row r="521" ht="15" customHeight="1" s="68">
      <c r="A521" s="83" t="inlineStr">
        <is>
          <t>RPT-04</t>
        </is>
      </c>
      <c r="B521" s="83" t="inlineStr">
        <is>
          <t>mistral</t>
        </is>
      </c>
      <c r="C521" s="83" t="inlineStr">
        <is>
          <t>gemma</t>
        </is>
      </c>
      <c r="D521" s="84" t="n">
        <v>0.191958495460441</v>
      </c>
      <c r="E521" s="84" t="n">
        <v>0.3</v>
      </c>
      <c r="F521" s="84" t="n">
        <v>0.107913669064748</v>
      </c>
      <c r="G521" s="84" t="n">
        <v>0.221428571428571</v>
      </c>
      <c r="H521" s="84" t="n">
        <v>0.278430720278101</v>
      </c>
      <c r="I521" s="84" t="n">
        <v>0.233508170708772</v>
      </c>
      <c r="J521" s="84" t="n">
        <v>0.676040545218794</v>
      </c>
      <c r="K521" s="84" t="n">
        <v>0.608838806277098</v>
      </c>
      <c r="L521" s="84" t="n">
        <v>0.820877443153171</v>
      </c>
      <c r="M521" s="84" t="n">
        <v>0.589403973509934</v>
      </c>
      <c r="N521" s="84" t="n">
        <v>0.597560975609756</v>
      </c>
      <c r="O521" s="84" t="n">
        <v>1</v>
      </c>
      <c r="P521" s="85">
        <f>AVERAGE(D521:I521)</f>
        <v/>
      </c>
      <c r="Q521" s="85">
        <f>AVERAGE(J521:L521)</f>
        <v/>
      </c>
      <c r="R521" s="85">
        <f>AVERAGE(M521:O521)</f>
        <v/>
      </c>
      <c r="S521" s="85">
        <f>'02_지표정의'!$C$22*P521+'02_지표정의'!$C$23*Q521+'02_지표정의'!$C$24*R521</f>
        <v/>
      </c>
      <c r="T521" s="73">
        <f>IF(OR(AND(B521="gemini",C521="gemma"),AND(B521="qwen3_6",C521="qwen"),AND(B521="mistral",C521="ministral")),1,0)</f>
        <v/>
      </c>
      <c r="U521" s="73">
        <f>IF(LEFT(A521,3)="PAT","특허","보고서")</f>
        <v/>
      </c>
      <c r="V521" s="86">
        <f>COUNTIF($S$2:$S$976,"&lt;"&amp;S521)+(COUNTIF($S$2:$S$976,"="&amp;S521)+1)/2</f>
        <v/>
      </c>
      <c r="W521" s="73">
        <f>IF(C521="qwen",0,COUNTIFS($C$2:$C$976,"&lt;&gt;qwen",$S$2:$S$976,"&lt;"&amp;S521)+1)</f>
        <v/>
      </c>
      <c r="X521" s="73">
        <f>IF(C521="ministral",0,COUNTIFS($C$2:$C$976,"&lt;&gt;ministral",$S$2:$S$976,"&lt;"&amp;S521)+1)</f>
        <v/>
      </c>
      <c r="Y521" s="73">
        <f>IF(C521="gemma",0,COUNTIFS($C$2:$C$976,"&lt;&gt;gemma",$S$2:$S$976,"&lt;"&amp;S521)+1)</f>
        <v/>
      </c>
      <c r="Z521" s="87">
        <f>COUNTIFS($B$2:$B$976,B521,$C$2:$C$976,C521,$S$2:$S$976,"&lt;"&amp;S521)+1</f>
        <v/>
      </c>
      <c r="AA521" s="88">
        <f>ABS(S521-SUMPRODUCT(('05B_가정검정'!$A$5:$A$19=B521)*('05B_가정검정'!$B$5:$B$19=C521)*'05B_가정검정'!$E$5:$E$19))</f>
        <v/>
      </c>
      <c r="AB521" s="88">
        <f>S521-AVERAGEIFS($S$2:$S$976,$B$2:$B$976,B521,$C$2:$C$976,C521)</f>
        <v/>
      </c>
    </row>
    <row r="522" ht="15" customHeight="1" s="68">
      <c r="A522" s="83" t="inlineStr">
        <is>
          <t>RPT-04</t>
        </is>
      </c>
      <c r="B522" s="83" t="inlineStr">
        <is>
          <t>mistral</t>
        </is>
      </c>
      <c r="C522" s="83" t="inlineStr">
        <is>
          <t>ministral</t>
        </is>
      </c>
      <c r="D522" s="84" t="n">
        <v>0.296520423600605</v>
      </c>
      <c r="E522" s="84" t="n">
        <v>0.334600760456274</v>
      </c>
      <c r="F522" s="84" t="n">
        <v>0.114942528735632</v>
      </c>
      <c r="G522" s="84" t="n">
        <v>0.250950570342205</v>
      </c>
      <c r="H522" s="84" t="n">
        <v>0.234055692471552</v>
      </c>
      <c r="I522" s="84" t="n">
        <v>0.184629426961527</v>
      </c>
      <c r="J522" s="84" t="n">
        <v>0.717422283199471</v>
      </c>
      <c r="K522" s="84" t="n">
        <v>0.710678281666458</v>
      </c>
      <c r="L522" s="84" t="n">
        <v>0.82607009523941</v>
      </c>
      <c r="M522" s="84" t="n">
        <v>0.433774834437086</v>
      </c>
      <c r="N522" s="84" t="n">
        <v>0.136</v>
      </c>
      <c r="O522" s="84" t="n">
        <v>0.526315789473684</v>
      </c>
      <c r="P522" s="85">
        <f>AVERAGE(D522:I522)</f>
        <v/>
      </c>
      <c r="Q522" s="85">
        <f>AVERAGE(J522:L522)</f>
        <v/>
      </c>
      <c r="R522" s="85">
        <f>AVERAGE(M522:O522)</f>
        <v/>
      </c>
      <c r="S522" s="85">
        <f>'02_지표정의'!$C$22*P522+'02_지표정의'!$C$23*Q522+'02_지표정의'!$C$24*R522</f>
        <v/>
      </c>
      <c r="T522" s="73">
        <f>IF(OR(AND(B522="gemini",C522="gemma"),AND(B522="qwen3_6",C522="qwen"),AND(B522="mistral",C522="ministral")),1,0)</f>
        <v/>
      </c>
      <c r="U522" s="73">
        <f>IF(LEFT(A522,3)="PAT","특허","보고서")</f>
        <v/>
      </c>
      <c r="V522" s="86">
        <f>COUNTIF($S$2:$S$976,"&lt;"&amp;S522)+(COUNTIF($S$2:$S$976,"="&amp;S522)+1)/2</f>
        <v/>
      </c>
      <c r="W522" s="73">
        <f>IF(C522="qwen",0,COUNTIFS($C$2:$C$976,"&lt;&gt;qwen",$S$2:$S$976,"&lt;"&amp;S522)+1)</f>
        <v/>
      </c>
      <c r="X522" s="73">
        <f>IF(C522="ministral",0,COUNTIFS($C$2:$C$976,"&lt;&gt;ministral",$S$2:$S$976,"&lt;"&amp;S522)+1)</f>
        <v/>
      </c>
      <c r="Y522" s="73">
        <f>IF(C522="gemma",0,COUNTIFS($C$2:$C$976,"&lt;&gt;gemma",$S$2:$S$976,"&lt;"&amp;S522)+1)</f>
        <v/>
      </c>
      <c r="Z522" s="87">
        <f>COUNTIFS($B$2:$B$976,B522,$C$2:$C$976,C522,$S$2:$S$976,"&lt;"&amp;S522)+1</f>
        <v/>
      </c>
      <c r="AA522" s="88">
        <f>ABS(S522-SUMPRODUCT(('05B_가정검정'!$A$5:$A$19=B522)*('05B_가정검정'!$B$5:$B$19=C522)*'05B_가정검정'!$E$5:$E$19))</f>
        <v/>
      </c>
      <c r="AB522" s="88">
        <f>S522-AVERAGEIFS($S$2:$S$976,$B$2:$B$976,B522,$C$2:$C$976,C522)</f>
        <v/>
      </c>
    </row>
    <row r="523" ht="15" customHeight="1" s="68">
      <c r="A523" s="83" t="inlineStr">
        <is>
          <t>RPT-04</t>
        </is>
      </c>
      <c r="B523" s="83" t="inlineStr">
        <is>
          <t>mistral</t>
        </is>
      </c>
      <c r="C523" s="83" t="inlineStr">
        <is>
          <t>qwen</t>
        </is>
      </c>
      <c r="D523" s="84" t="n">
        <v>0.311224489795918</v>
      </c>
      <c r="E523" s="84" t="n">
        <v>0.4</v>
      </c>
      <c r="F523" s="84" t="n">
        <v>0.106918238993711</v>
      </c>
      <c r="G523" s="84" t="n">
        <v>0.2375</v>
      </c>
      <c r="H523" s="84" t="n">
        <v>0.279711145507894</v>
      </c>
      <c r="I523" s="84" t="n">
        <v>0.354545409293429</v>
      </c>
      <c r="J523" s="84" t="n">
        <v>0.735652577330839</v>
      </c>
      <c r="K523" s="84" t="n">
        <v>0.681542886401583</v>
      </c>
      <c r="L523" s="84" t="n">
        <v>0.834652455546719</v>
      </c>
      <c r="M523" s="84" t="n">
        <v>0.497716894977169</v>
      </c>
      <c r="N523" s="84" t="n">
        <v>0.230769230769231</v>
      </c>
      <c r="O523" s="84" t="n">
        <v>1</v>
      </c>
      <c r="P523" s="85">
        <f>AVERAGE(D523:I523)</f>
        <v/>
      </c>
      <c r="Q523" s="85">
        <f>AVERAGE(J523:L523)</f>
        <v/>
      </c>
      <c r="R523" s="85">
        <f>AVERAGE(M523:O523)</f>
        <v/>
      </c>
      <c r="S523" s="85">
        <f>'02_지표정의'!$C$22*P523+'02_지표정의'!$C$23*Q523+'02_지표정의'!$C$24*R523</f>
        <v/>
      </c>
      <c r="T523" s="73">
        <f>IF(OR(AND(B523="gemini",C523="gemma"),AND(B523="qwen3_6",C523="qwen"),AND(B523="mistral",C523="ministral")),1,0)</f>
        <v/>
      </c>
      <c r="U523" s="73">
        <f>IF(LEFT(A523,3)="PAT","특허","보고서")</f>
        <v/>
      </c>
      <c r="V523" s="86">
        <f>COUNTIF($S$2:$S$976,"&lt;"&amp;S523)+(COUNTIF($S$2:$S$976,"="&amp;S523)+1)/2</f>
        <v/>
      </c>
      <c r="W523" s="73">
        <f>IF(C523="qwen",0,COUNTIFS($C$2:$C$976,"&lt;&gt;qwen",$S$2:$S$976,"&lt;"&amp;S523)+1)</f>
        <v/>
      </c>
      <c r="X523" s="73">
        <f>IF(C523="ministral",0,COUNTIFS($C$2:$C$976,"&lt;&gt;ministral",$S$2:$S$976,"&lt;"&amp;S523)+1)</f>
        <v/>
      </c>
      <c r="Y523" s="73">
        <f>IF(C523="gemma",0,COUNTIFS($C$2:$C$976,"&lt;&gt;gemma",$S$2:$S$976,"&lt;"&amp;S523)+1)</f>
        <v/>
      </c>
      <c r="Z523" s="87">
        <f>COUNTIFS($B$2:$B$976,B523,$C$2:$C$976,C523,$S$2:$S$976,"&lt;"&amp;S523)+1</f>
        <v/>
      </c>
      <c r="AA523" s="88">
        <f>ABS(S523-SUMPRODUCT(('05B_가정검정'!$A$5:$A$19=B523)*('05B_가정검정'!$B$5:$B$19=C523)*'05B_가정검정'!$E$5:$E$19))</f>
        <v/>
      </c>
      <c r="AB523" s="88">
        <f>S523-AVERAGEIFS($S$2:$S$976,$B$2:$B$976,B523,$C$2:$C$976,C523)</f>
        <v/>
      </c>
    </row>
    <row r="524" ht="15" customHeight="1" s="68">
      <c r="A524" s="83" t="inlineStr">
        <is>
          <t>RPT-04</t>
        </is>
      </c>
      <c r="B524" s="83" t="inlineStr">
        <is>
          <t>qwen3_6</t>
        </is>
      </c>
      <c r="C524" s="83" t="inlineStr">
        <is>
          <t>gemma</t>
        </is>
      </c>
      <c r="D524" s="84" t="n">
        <v>0.255079006772009</v>
      </c>
      <c r="E524" s="84" t="n">
        <v>0.346020761245675</v>
      </c>
      <c r="F524" s="84" t="n">
        <v>0.104529616724739</v>
      </c>
      <c r="G524" s="84" t="n">
        <v>0.242214532871972</v>
      </c>
      <c r="H524" s="84" t="n">
        <v>0.412493717182099</v>
      </c>
      <c r="I524" s="84" t="n">
        <v>0.26166023491478</v>
      </c>
      <c r="J524" s="84" t="n">
        <v>0.703716845295697</v>
      </c>
      <c r="K524" s="84" t="n">
        <v>0.667171560337681</v>
      </c>
      <c r="L524" s="84" t="n">
        <v>0.870387771815358</v>
      </c>
      <c r="M524" s="84" t="n">
        <v>0.906542056074766</v>
      </c>
      <c r="N524" s="84" t="n">
        <v>0.916666666666667</v>
      </c>
      <c r="O524" s="84" t="n">
        <v>1</v>
      </c>
      <c r="P524" s="85">
        <f>AVERAGE(D524:I524)</f>
        <v/>
      </c>
      <c r="Q524" s="85">
        <f>AVERAGE(J524:L524)</f>
        <v/>
      </c>
      <c r="R524" s="85">
        <f>AVERAGE(M524:O524)</f>
        <v/>
      </c>
      <c r="S524" s="85">
        <f>'02_지표정의'!$C$22*P524+'02_지표정의'!$C$23*Q524+'02_지표정의'!$C$24*R524</f>
        <v/>
      </c>
      <c r="T524" s="73">
        <f>IF(OR(AND(B524="gemini",C524="gemma"),AND(B524="qwen3_6",C524="qwen"),AND(B524="mistral",C524="ministral")),1,0)</f>
        <v/>
      </c>
      <c r="U524" s="73">
        <f>IF(LEFT(A524,3)="PAT","특허","보고서")</f>
        <v/>
      </c>
      <c r="V524" s="86">
        <f>COUNTIF($S$2:$S$976,"&lt;"&amp;S524)+(COUNTIF($S$2:$S$976,"="&amp;S524)+1)/2</f>
        <v/>
      </c>
      <c r="W524" s="73">
        <f>IF(C524="qwen",0,COUNTIFS($C$2:$C$976,"&lt;&gt;qwen",$S$2:$S$976,"&lt;"&amp;S524)+1)</f>
        <v/>
      </c>
      <c r="X524" s="73">
        <f>IF(C524="ministral",0,COUNTIFS($C$2:$C$976,"&lt;&gt;ministral",$S$2:$S$976,"&lt;"&amp;S524)+1)</f>
        <v/>
      </c>
      <c r="Y524" s="73">
        <f>IF(C524="gemma",0,COUNTIFS($C$2:$C$976,"&lt;&gt;gemma",$S$2:$S$976,"&lt;"&amp;S524)+1)</f>
        <v/>
      </c>
      <c r="Z524" s="87">
        <f>COUNTIFS($B$2:$B$976,B524,$C$2:$C$976,C524,$S$2:$S$976,"&lt;"&amp;S524)+1</f>
        <v/>
      </c>
      <c r="AA524" s="88">
        <f>ABS(S524-SUMPRODUCT(('05B_가정검정'!$A$5:$A$19=B524)*('05B_가정검정'!$B$5:$B$19=C524)*'05B_가정검정'!$E$5:$E$19))</f>
        <v/>
      </c>
      <c r="AB524" s="88">
        <f>S524-AVERAGEIFS($S$2:$S$976,$B$2:$B$976,B524,$C$2:$C$976,C524)</f>
        <v/>
      </c>
    </row>
    <row r="525" ht="15" customHeight="1" s="68">
      <c r="A525" s="83" t="inlineStr">
        <is>
          <t>RPT-04</t>
        </is>
      </c>
      <c r="B525" s="83" t="inlineStr">
        <is>
          <t>qwen3_6</t>
        </is>
      </c>
      <c r="C525" s="83" t="inlineStr">
        <is>
          <t>ministral</t>
        </is>
      </c>
      <c r="D525" s="84" t="n">
        <v>0.260309278350516</v>
      </c>
      <c r="E525" s="84" t="n">
        <v>0.338235294117647</v>
      </c>
      <c r="F525" s="84" t="n">
        <v>0.118518518518519</v>
      </c>
      <c r="G525" s="84" t="n">
        <v>0.264705882352941</v>
      </c>
      <c r="H525" s="84" t="n">
        <v>0.243241248802142</v>
      </c>
      <c r="I525" s="84" t="n">
        <v>0.206036947172116</v>
      </c>
      <c r="J525" s="84" t="n">
        <v>0.7088302000715661</v>
      </c>
      <c r="K525" s="84" t="n">
        <v>0.665928363596035</v>
      </c>
      <c r="L525" s="84" t="n">
        <v>0.825945786890402</v>
      </c>
      <c r="M525" s="84" t="n">
        <v>0.321192052980132</v>
      </c>
      <c r="N525" s="84" t="n">
        <v>0.296</v>
      </c>
      <c r="O525" s="84" t="n">
        <v>0.526315789473684</v>
      </c>
      <c r="P525" s="85">
        <f>AVERAGE(D525:I525)</f>
        <v/>
      </c>
      <c r="Q525" s="85">
        <f>AVERAGE(J525:L525)</f>
        <v/>
      </c>
      <c r="R525" s="85">
        <f>AVERAGE(M525:O525)</f>
        <v/>
      </c>
      <c r="S525" s="85">
        <f>'02_지표정의'!$C$22*P525+'02_지표정의'!$C$23*Q525+'02_지표정의'!$C$24*R525</f>
        <v/>
      </c>
      <c r="T525" s="73">
        <f>IF(OR(AND(B525="gemini",C525="gemma"),AND(B525="qwen3_6",C525="qwen"),AND(B525="mistral",C525="ministral")),1,0)</f>
        <v/>
      </c>
      <c r="U525" s="73">
        <f>IF(LEFT(A525,3)="PAT","특허","보고서")</f>
        <v/>
      </c>
      <c r="V525" s="86">
        <f>COUNTIF($S$2:$S$976,"&lt;"&amp;S525)+(COUNTIF($S$2:$S$976,"="&amp;S525)+1)/2</f>
        <v/>
      </c>
      <c r="W525" s="73">
        <f>IF(C525="qwen",0,COUNTIFS($C$2:$C$976,"&lt;&gt;qwen",$S$2:$S$976,"&lt;"&amp;S525)+1)</f>
        <v/>
      </c>
      <c r="X525" s="73">
        <f>IF(C525="ministral",0,COUNTIFS($C$2:$C$976,"&lt;&gt;ministral",$S$2:$S$976,"&lt;"&amp;S525)+1)</f>
        <v/>
      </c>
      <c r="Y525" s="73">
        <f>IF(C525="gemma",0,COUNTIFS($C$2:$C$976,"&lt;&gt;gemma",$S$2:$S$976,"&lt;"&amp;S525)+1)</f>
        <v/>
      </c>
      <c r="Z525" s="87">
        <f>COUNTIFS($B$2:$B$976,B525,$C$2:$C$976,C525,$S$2:$S$976,"&lt;"&amp;S525)+1</f>
        <v/>
      </c>
      <c r="AA525" s="88">
        <f>ABS(S525-SUMPRODUCT(('05B_가정검정'!$A$5:$A$19=B525)*('05B_가정검정'!$B$5:$B$19=C525)*'05B_가정검정'!$E$5:$E$19))</f>
        <v/>
      </c>
      <c r="AB525" s="88">
        <f>S525-AVERAGEIFS($S$2:$S$976,$B$2:$B$976,B525,$C$2:$C$976,C525)</f>
        <v/>
      </c>
    </row>
    <row r="526" ht="15" customHeight="1" s="68">
      <c r="A526" s="83" t="inlineStr">
        <is>
          <t>RPT-04</t>
        </is>
      </c>
      <c r="B526" s="83" t="inlineStr">
        <is>
          <t>qwen3_6</t>
        </is>
      </c>
      <c r="C526" s="83" t="inlineStr">
        <is>
          <t>qwen</t>
        </is>
      </c>
      <c r="D526" s="84" t="n">
        <v>0.302558398220245</v>
      </c>
      <c r="E526" s="84" t="n">
        <v>0.462006079027356</v>
      </c>
      <c r="F526" s="84" t="n">
        <v>0.165137614678899</v>
      </c>
      <c r="G526" s="84" t="n">
        <v>0.303951367781155</v>
      </c>
      <c r="H526" s="84" t="n">
        <v>0.326085490272761</v>
      </c>
      <c r="I526" s="84" t="n">
        <v>0.354160250068213</v>
      </c>
      <c r="J526" s="84" t="n">
        <v>0.737343455698406</v>
      </c>
      <c r="K526" s="84" t="n">
        <v>0.705124754240865</v>
      </c>
      <c r="L526" s="84" t="n">
        <v>0.8563383521867181</v>
      </c>
      <c r="M526" s="84" t="n">
        <v>0.442922374429224</v>
      </c>
      <c r="N526" s="84" t="n">
        <v>0.47008547008547</v>
      </c>
      <c r="O526" s="84" t="n">
        <v>1</v>
      </c>
      <c r="P526" s="85">
        <f>AVERAGE(D526:I526)</f>
        <v/>
      </c>
      <c r="Q526" s="85">
        <f>AVERAGE(J526:L526)</f>
        <v/>
      </c>
      <c r="R526" s="85">
        <f>AVERAGE(M526:O526)</f>
        <v/>
      </c>
      <c r="S526" s="85">
        <f>'02_지표정의'!$C$22*P526+'02_지표정의'!$C$23*Q526+'02_지표정의'!$C$24*R526</f>
        <v/>
      </c>
      <c r="T526" s="73">
        <f>IF(OR(AND(B526="gemini",C526="gemma"),AND(B526="qwen3_6",C526="qwen"),AND(B526="mistral",C526="ministral")),1,0)</f>
        <v/>
      </c>
      <c r="U526" s="73">
        <f>IF(LEFT(A526,3)="PAT","특허","보고서")</f>
        <v/>
      </c>
      <c r="V526" s="86">
        <f>COUNTIF($S$2:$S$976,"&lt;"&amp;S526)+(COUNTIF($S$2:$S$976,"="&amp;S526)+1)/2</f>
        <v/>
      </c>
      <c r="W526" s="73">
        <f>IF(C526="qwen",0,COUNTIFS($C$2:$C$976,"&lt;&gt;qwen",$S$2:$S$976,"&lt;"&amp;S526)+1)</f>
        <v/>
      </c>
      <c r="X526" s="73">
        <f>IF(C526="ministral",0,COUNTIFS($C$2:$C$976,"&lt;&gt;ministral",$S$2:$S$976,"&lt;"&amp;S526)+1)</f>
        <v/>
      </c>
      <c r="Y526" s="73">
        <f>IF(C526="gemma",0,COUNTIFS($C$2:$C$976,"&lt;&gt;gemma",$S$2:$S$976,"&lt;"&amp;S526)+1)</f>
        <v/>
      </c>
      <c r="Z526" s="87">
        <f>COUNTIFS($B$2:$B$976,B526,$C$2:$C$976,C526,$S$2:$S$976,"&lt;"&amp;S526)+1</f>
        <v/>
      </c>
      <c r="AA526" s="88">
        <f>ABS(S526-SUMPRODUCT(('05B_가정검정'!$A$5:$A$19=B526)*('05B_가정검정'!$B$5:$B$19=C526)*'05B_가정검정'!$E$5:$E$19))</f>
        <v/>
      </c>
      <c r="AB526" s="88">
        <f>S526-AVERAGEIFS($S$2:$S$976,$B$2:$B$976,B526,$C$2:$C$976,C526)</f>
        <v/>
      </c>
    </row>
    <row r="527" ht="15" customHeight="1" s="68">
      <c r="A527" s="83" t="inlineStr">
        <is>
          <t>RPT-05</t>
        </is>
      </c>
      <c r="B527" s="83" t="inlineStr">
        <is>
          <t>chatgpt</t>
        </is>
      </c>
      <c r="C527" s="83" t="inlineStr">
        <is>
          <t>gemma</t>
        </is>
      </c>
      <c r="D527" s="84" t="n">
        <v>0.211612903225806</v>
      </c>
      <c r="E527" s="84" t="n">
        <v>0.275</v>
      </c>
      <c r="F527" s="84" t="n">
        <v>0.126050420168067</v>
      </c>
      <c r="G527" s="84" t="n">
        <v>0.241666666666667</v>
      </c>
      <c r="H527" s="84" t="n">
        <v>0.196547342407136</v>
      </c>
      <c r="I527" s="84" t="n">
        <v>0.286748300521427</v>
      </c>
      <c r="J527" s="84" t="n">
        <v>0.637901143173463</v>
      </c>
      <c r="K527" s="84" t="n">
        <v>0.599580513009413</v>
      </c>
      <c r="L527" s="84" t="n">
        <v>0.743826190394971</v>
      </c>
      <c r="M527" s="84" t="n">
        <v>0.515151515151515</v>
      </c>
      <c r="N527" s="84" t="n">
        <v>0.213483146067416</v>
      </c>
      <c r="O527" s="84" t="n">
        <v>1</v>
      </c>
      <c r="P527" s="85">
        <f>AVERAGE(D527:I527)</f>
        <v/>
      </c>
      <c r="Q527" s="85">
        <f>AVERAGE(J527:L527)</f>
        <v/>
      </c>
      <c r="R527" s="85">
        <f>AVERAGE(M527:O527)</f>
        <v/>
      </c>
      <c r="S527" s="85">
        <f>'02_지표정의'!$C$22*P527+'02_지표정의'!$C$23*Q527+'02_지표정의'!$C$24*R527</f>
        <v/>
      </c>
      <c r="T527" s="73">
        <f>IF(OR(AND(B527="gemini",C527="gemma"),AND(B527="qwen3_6",C527="qwen"),AND(B527="mistral",C527="ministral")),1,0)</f>
        <v/>
      </c>
      <c r="U527" s="73">
        <f>IF(LEFT(A527,3)="PAT","특허","보고서")</f>
        <v/>
      </c>
      <c r="V527" s="86">
        <f>COUNTIF($S$2:$S$976,"&lt;"&amp;S527)+(COUNTIF($S$2:$S$976,"="&amp;S527)+1)/2</f>
        <v/>
      </c>
      <c r="W527" s="73">
        <f>IF(C527="qwen",0,COUNTIFS($C$2:$C$976,"&lt;&gt;qwen",$S$2:$S$976,"&lt;"&amp;S527)+1)</f>
        <v/>
      </c>
      <c r="X527" s="73">
        <f>IF(C527="ministral",0,COUNTIFS($C$2:$C$976,"&lt;&gt;ministral",$S$2:$S$976,"&lt;"&amp;S527)+1)</f>
        <v/>
      </c>
      <c r="Y527" s="73">
        <f>IF(C527="gemma",0,COUNTIFS($C$2:$C$976,"&lt;&gt;gemma",$S$2:$S$976,"&lt;"&amp;S527)+1)</f>
        <v/>
      </c>
      <c r="Z527" s="87">
        <f>COUNTIFS($B$2:$B$976,B527,$C$2:$C$976,C527,$S$2:$S$976,"&lt;"&amp;S527)+1</f>
        <v/>
      </c>
      <c r="AA527" s="88">
        <f>ABS(S527-SUMPRODUCT(('05B_가정검정'!$A$5:$A$19=B527)*('05B_가정검정'!$B$5:$B$19=C527)*'05B_가정검정'!$E$5:$E$19))</f>
        <v/>
      </c>
      <c r="AB527" s="88">
        <f>S527-AVERAGEIFS($S$2:$S$976,$B$2:$B$976,B527,$C$2:$C$976,C527)</f>
        <v/>
      </c>
    </row>
    <row r="528" ht="15" customHeight="1" s="68">
      <c r="A528" s="83" t="inlineStr">
        <is>
          <t>RPT-05</t>
        </is>
      </c>
      <c r="B528" s="83" t="inlineStr">
        <is>
          <t>chatgpt</t>
        </is>
      </c>
      <c r="C528" s="83" t="inlineStr">
        <is>
          <t>ministral</t>
        </is>
      </c>
      <c r="D528" s="84" t="n">
        <v>0.254160363086233</v>
      </c>
      <c r="E528" s="84" t="n">
        <v>0.309090909090909</v>
      </c>
      <c r="F528" s="84" t="n">
        <v>0.155963302752294</v>
      </c>
      <c r="G528" s="84" t="n">
        <v>0.263636363636364</v>
      </c>
      <c r="H528" s="84" t="n">
        <v>0.131523201986103</v>
      </c>
      <c r="I528" s="84" t="n">
        <v>0.419236438507559</v>
      </c>
      <c r="J528" s="84" t="n">
        <v>0.674169435820744</v>
      </c>
      <c r="K528" s="84" t="n">
        <v>0.691785045848166</v>
      </c>
      <c r="L528" s="84" t="n">
        <v>0.7800536310740031</v>
      </c>
      <c r="M528" s="84" t="n">
        <v>0.410764872521247</v>
      </c>
      <c r="N528" s="84" t="n">
        <v>0</v>
      </c>
      <c r="O528" s="84" t="n">
        <v>0.6052631578947369</v>
      </c>
      <c r="P528" s="85">
        <f>AVERAGE(D528:I528)</f>
        <v/>
      </c>
      <c r="Q528" s="85">
        <f>AVERAGE(J528:L528)</f>
        <v/>
      </c>
      <c r="R528" s="85">
        <f>AVERAGE(M528:O528)</f>
        <v/>
      </c>
      <c r="S528" s="85">
        <f>'02_지표정의'!$C$22*P528+'02_지표정의'!$C$23*Q528+'02_지표정의'!$C$24*R528</f>
        <v/>
      </c>
      <c r="T528" s="73">
        <f>IF(OR(AND(B528="gemini",C528="gemma"),AND(B528="qwen3_6",C528="qwen"),AND(B528="mistral",C528="ministral")),1,0)</f>
        <v/>
      </c>
      <c r="U528" s="73">
        <f>IF(LEFT(A528,3)="PAT","특허","보고서")</f>
        <v/>
      </c>
      <c r="V528" s="86">
        <f>COUNTIF($S$2:$S$976,"&lt;"&amp;S528)+(COUNTIF($S$2:$S$976,"="&amp;S528)+1)/2</f>
        <v/>
      </c>
      <c r="W528" s="73">
        <f>IF(C528="qwen",0,COUNTIFS($C$2:$C$976,"&lt;&gt;qwen",$S$2:$S$976,"&lt;"&amp;S528)+1)</f>
        <v/>
      </c>
      <c r="X528" s="73">
        <f>IF(C528="ministral",0,COUNTIFS($C$2:$C$976,"&lt;&gt;ministral",$S$2:$S$976,"&lt;"&amp;S528)+1)</f>
        <v/>
      </c>
      <c r="Y528" s="73">
        <f>IF(C528="gemma",0,COUNTIFS($C$2:$C$976,"&lt;&gt;gemma",$S$2:$S$976,"&lt;"&amp;S528)+1)</f>
        <v/>
      </c>
      <c r="Z528" s="87">
        <f>COUNTIFS($B$2:$B$976,B528,$C$2:$C$976,C528,$S$2:$S$976,"&lt;"&amp;S528)+1</f>
        <v/>
      </c>
      <c r="AA528" s="88">
        <f>ABS(S528-SUMPRODUCT(('05B_가정검정'!$A$5:$A$19=B528)*('05B_가정검정'!$B$5:$B$19=C528)*'05B_가정검정'!$E$5:$E$19))</f>
        <v/>
      </c>
      <c r="AB528" s="88">
        <f>S528-AVERAGEIFS($S$2:$S$976,$B$2:$B$976,B528,$C$2:$C$976,C528)</f>
        <v/>
      </c>
    </row>
    <row r="529" ht="15" customHeight="1" s="68">
      <c r="A529" s="83" t="inlineStr">
        <is>
          <t>RPT-05</t>
        </is>
      </c>
      <c r="B529" s="83" t="inlineStr">
        <is>
          <t>chatgpt</t>
        </is>
      </c>
      <c r="C529" s="83" t="inlineStr">
        <is>
          <t>qwen</t>
        </is>
      </c>
      <c r="D529" s="84" t="n">
        <v>0.278125</v>
      </c>
      <c r="E529" s="84" t="n">
        <v>0.466257668711656</v>
      </c>
      <c r="F529" s="84" t="n">
        <v>0.22360248447205</v>
      </c>
      <c r="G529" s="84" t="n">
        <v>0.380368098159509</v>
      </c>
      <c r="H529" s="84" t="n">
        <v>0.2253234455557</v>
      </c>
      <c r="I529" s="84" t="n">
        <v>0.447478713913654</v>
      </c>
      <c r="J529" s="84" t="n">
        <v>0.678293751553528</v>
      </c>
      <c r="K529" s="84" t="n">
        <v>0.627397460747375</v>
      </c>
      <c r="L529" s="84" t="n">
        <v>0.751729558746892</v>
      </c>
      <c r="M529" s="84" t="n">
        <v>0.384615384615385</v>
      </c>
      <c r="N529" s="84" t="n">
        <v>0</v>
      </c>
      <c r="O529" s="84" t="n">
        <v>1</v>
      </c>
      <c r="P529" s="85">
        <f>AVERAGE(D529:I529)</f>
        <v/>
      </c>
      <c r="Q529" s="85">
        <f>AVERAGE(J529:L529)</f>
        <v/>
      </c>
      <c r="R529" s="85">
        <f>AVERAGE(M529:O529)</f>
        <v/>
      </c>
      <c r="S529" s="85">
        <f>'02_지표정의'!$C$22*P529+'02_지표정의'!$C$23*Q529+'02_지표정의'!$C$24*R529</f>
        <v/>
      </c>
      <c r="T529" s="73">
        <f>IF(OR(AND(B529="gemini",C529="gemma"),AND(B529="qwen3_6",C529="qwen"),AND(B529="mistral",C529="ministral")),1,0)</f>
        <v/>
      </c>
      <c r="U529" s="73">
        <f>IF(LEFT(A529,3)="PAT","특허","보고서")</f>
        <v/>
      </c>
      <c r="V529" s="86">
        <f>COUNTIF($S$2:$S$976,"&lt;"&amp;S529)+(COUNTIF($S$2:$S$976,"="&amp;S529)+1)/2</f>
        <v/>
      </c>
      <c r="W529" s="73">
        <f>IF(C529="qwen",0,COUNTIFS($C$2:$C$976,"&lt;&gt;qwen",$S$2:$S$976,"&lt;"&amp;S529)+1)</f>
        <v/>
      </c>
      <c r="X529" s="73">
        <f>IF(C529="ministral",0,COUNTIFS($C$2:$C$976,"&lt;&gt;ministral",$S$2:$S$976,"&lt;"&amp;S529)+1)</f>
        <v/>
      </c>
      <c r="Y529" s="73">
        <f>IF(C529="gemma",0,COUNTIFS($C$2:$C$976,"&lt;&gt;gemma",$S$2:$S$976,"&lt;"&amp;S529)+1)</f>
        <v/>
      </c>
      <c r="Z529" s="87">
        <f>COUNTIFS($B$2:$B$976,B529,$C$2:$C$976,C529,$S$2:$S$976,"&lt;"&amp;S529)+1</f>
        <v/>
      </c>
      <c r="AA529" s="88">
        <f>ABS(S529-SUMPRODUCT(('05B_가정검정'!$A$5:$A$19=B529)*('05B_가정검정'!$B$5:$B$19=C529)*'05B_가정검정'!$E$5:$E$19))</f>
        <v/>
      </c>
      <c r="AB529" s="88">
        <f>S529-AVERAGEIFS($S$2:$S$976,$B$2:$B$976,B529,$C$2:$C$976,C529)</f>
        <v/>
      </c>
    </row>
    <row r="530" ht="15" customHeight="1" s="68">
      <c r="A530" s="83" t="inlineStr">
        <is>
          <t>RPT-05</t>
        </is>
      </c>
      <c r="B530" s="83" t="inlineStr">
        <is>
          <t>claude</t>
        </is>
      </c>
      <c r="C530" s="83" t="inlineStr">
        <is>
          <t>gemma</t>
        </is>
      </c>
      <c r="D530" s="84" t="n">
        <v>0.212341197822142</v>
      </c>
      <c r="E530" s="84" t="n">
        <v>0.279220779220779</v>
      </c>
      <c r="F530" s="84" t="n">
        <v>0.0849673202614379</v>
      </c>
      <c r="G530" s="84" t="n">
        <v>0.194805194805195</v>
      </c>
      <c r="H530" s="84" t="n">
        <v>0.313251873498054</v>
      </c>
      <c r="I530" s="84" t="n">
        <v>0.208171928808563</v>
      </c>
      <c r="J530" s="84" t="n">
        <v>0.675931643276434</v>
      </c>
      <c r="K530" s="84" t="n">
        <v>0.614416445148752</v>
      </c>
      <c r="L530" s="84" t="n">
        <v>0.820251231251837</v>
      </c>
      <c r="M530" s="84" t="n">
        <v>0.567073170731707</v>
      </c>
      <c r="N530" s="84" t="n">
        <v>0.521276595744681</v>
      </c>
      <c r="O530" s="84" t="n">
        <v>1</v>
      </c>
      <c r="P530" s="85">
        <f>AVERAGE(D530:I530)</f>
        <v/>
      </c>
      <c r="Q530" s="85">
        <f>AVERAGE(J530:L530)</f>
        <v/>
      </c>
      <c r="R530" s="85">
        <f>AVERAGE(M530:O530)</f>
        <v/>
      </c>
      <c r="S530" s="85">
        <f>'02_지표정의'!$C$22*P530+'02_지표정의'!$C$23*Q530+'02_지표정의'!$C$24*R530</f>
        <v/>
      </c>
      <c r="T530" s="73">
        <f>IF(OR(AND(B530="gemini",C530="gemma"),AND(B530="qwen3_6",C530="qwen"),AND(B530="mistral",C530="ministral")),1,0)</f>
        <v/>
      </c>
      <c r="U530" s="73">
        <f>IF(LEFT(A530,3)="PAT","특허","보고서")</f>
        <v/>
      </c>
      <c r="V530" s="86">
        <f>COUNTIF($S$2:$S$976,"&lt;"&amp;S530)+(COUNTIF($S$2:$S$976,"="&amp;S530)+1)/2</f>
        <v/>
      </c>
      <c r="W530" s="73">
        <f>IF(C530="qwen",0,COUNTIFS($C$2:$C$976,"&lt;&gt;qwen",$S$2:$S$976,"&lt;"&amp;S530)+1)</f>
        <v/>
      </c>
      <c r="X530" s="73">
        <f>IF(C530="ministral",0,COUNTIFS($C$2:$C$976,"&lt;&gt;ministral",$S$2:$S$976,"&lt;"&amp;S530)+1)</f>
        <v/>
      </c>
      <c r="Y530" s="73">
        <f>IF(C530="gemma",0,COUNTIFS($C$2:$C$976,"&lt;&gt;gemma",$S$2:$S$976,"&lt;"&amp;S530)+1)</f>
        <v/>
      </c>
      <c r="Z530" s="87">
        <f>COUNTIFS($B$2:$B$976,B530,$C$2:$C$976,C530,$S$2:$S$976,"&lt;"&amp;S530)+1</f>
        <v/>
      </c>
      <c r="AA530" s="88">
        <f>ABS(S530-SUMPRODUCT(('05B_가정검정'!$A$5:$A$19=B530)*('05B_가정검정'!$B$5:$B$19=C530)*'05B_가정검정'!$E$5:$E$19))</f>
        <v/>
      </c>
      <c r="AB530" s="88">
        <f>S530-AVERAGEIFS($S$2:$S$976,$B$2:$B$976,B530,$C$2:$C$976,C530)</f>
        <v/>
      </c>
    </row>
    <row r="531" ht="15" customHeight="1" s="68">
      <c r="A531" s="83" t="inlineStr">
        <is>
          <t>RPT-05</t>
        </is>
      </c>
      <c r="B531" s="83" t="inlineStr">
        <is>
          <t>claude</t>
        </is>
      </c>
      <c r="C531" s="83" t="inlineStr">
        <is>
          <t>ministral</t>
        </is>
      </c>
      <c r="D531" s="84" t="n">
        <v>0.251012145748988</v>
      </c>
      <c r="E531" s="84" t="n">
        <v>0.319444444444445</v>
      </c>
      <c r="F531" s="84" t="n">
        <v>0.111888111888112</v>
      </c>
      <c r="G531" s="84" t="n">
        <v>0.263888888888889</v>
      </c>
      <c r="H531" s="84" t="n">
        <v>0.248565524564066</v>
      </c>
      <c r="I531" s="84" t="n">
        <v>0.337504759742343</v>
      </c>
      <c r="J531" s="84" t="n">
        <v>0.728571286624088</v>
      </c>
      <c r="K531" s="84" t="n">
        <v>0.648051044213228</v>
      </c>
      <c r="L531" s="84" t="n">
        <v>0.833311963139534</v>
      </c>
      <c r="M531" s="84" t="n">
        <v>0.436260623229462</v>
      </c>
      <c r="N531" s="84" t="n">
        <v>0.24</v>
      </c>
      <c r="O531" s="84" t="n">
        <v>0.621052631578947</v>
      </c>
      <c r="P531" s="85">
        <f>AVERAGE(D531:I531)</f>
        <v/>
      </c>
      <c r="Q531" s="85">
        <f>AVERAGE(J531:L531)</f>
        <v/>
      </c>
      <c r="R531" s="85">
        <f>AVERAGE(M531:O531)</f>
        <v/>
      </c>
      <c r="S531" s="85">
        <f>'02_지표정의'!$C$22*P531+'02_지표정의'!$C$23*Q531+'02_지표정의'!$C$24*R531</f>
        <v/>
      </c>
      <c r="T531" s="73">
        <f>IF(OR(AND(B531="gemini",C531="gemma"),AND(B531="qwen3_6",C531="qwen"),AND(B531="mistral",C531="ministral")),1,0)</f>
        <v/>
      </c>
      <c r="U531" s="73">
        <f>IF(LEFT(A531,3)="PAT","특허","보고서")</f>
        <v/>
      </c>
      <c r="V531" s="86">
        <f>COUNTIF($S$2:$S$976,"&lt;"&amp;S531)+(COUNTIF($S$2:$S$976,"="&amp;S531)+1)/2</f>
        <v/>
      </c>
      <c r="W531" s="73">
        <f>IF(C531="qwen",0,COUNTIFS($C$2:$C$976,"&lt;&gt;qwen",$S$2:$S$976,"&lt;"&amp;S531)+1)</f>
        <v/>
      </c>
      <c r="X531" s="73">
        <f>IF(C531="ministral",0,COUNTIFS($C$2:$C$976,"&lt;&gt;ministral",$S$2:$S$976,"&lt;"&amp;S531)+1)</f>
        <v/>
      </c>
      <c r="Y531" s="73">
        <f>IF(C531="gemma",0,COUNTIFS($C$2:$C$976,"&lt;&gt;gemma",$S$2:$S$976,"&lt;"&amp;S531)+1)</f>
        <v/>
      </c>
      <c r="Z531" s="87">
        <f>COUNTIFS($B$2:$B$976,B531,$C$2:$C$976,C531,$S$2:$S$976,"&lt;"&amp;S531)+1</f>
        <v/>
      </c>
      <c r="AA531" s="88">
        <f>ABS(S531-SUMPRODUCT(('05B_가정검정'!$A$5:$A$19=B531)*('05B_가정검정'!$B$5:$B$19=C531)*'05B_가정검정'!$E$5:$E$19))</f>
        <v/>
      </c>
      <c r="AB531" s="88">
        <f>S531-AVERAGEIFS($S$2:$S$976,$B$2:$B$976,B531,$C$2:$C$976,C531)</f>
        <v/>
      </c>
    </row>
    <row r="532" ht="15" customHeight="1" s="68">
      <c r="A532" s="83" t="inlineStr">
        <is>
          <t>RPT-05</t>
        </is>
      </c>
      <c r="B532" s="83" t="inlineStr">
        <is>
          <t>claude</t>
        </is>
      </c>
      <c r="C532" s="83" t="inlineStr">
        <is>
          <t>qwen</t>
        </is>
      </c>
      <c r="D532" s="84" t="n">
        <v>0.241985522233713</v>
      </c>
      <c r="E532" s="84" t="n">
        <v>0.45021645021645</v>
      </c>
      <c r="F532" s="84" t="n">
        <v>0.218340611353712</v>
      </c>
      <c r="G532" s="84" t="n">
        <v>0.354978354978355</v>
      </c>
      <c r="H532" s="84" t="n">
        <v>0.337728587586111</v>
      </c>
      <c r="I532" s="84" t="n">
        <v>0.289733349273122</v>
      </c>
      <c r="J532" s="84" t="n">
        <v>0.717016868368859</v>
      </c>
      <c r="K532" s="84" t="n">
        <v>0.656657878844205</v>
      </c>
      <c r="L532" s="84" t="n">
        <v>0.851801759504854</v>
      </c>
      <c r="M532" s="84" t="n">
        <v>0.615384615384615</v>
      </c>
      <c r="N532" s="84" t="n">
        <v>0.549019607843137</v>
      </c>
      <c r="O532" s="84" t="n">
        <v>1</v>
      </c>
      <c r="P532" s="85">
        <f>AVERAGE(D532:I532)</f>
        <v/>
      </c>
      <c r="Q532" s="85">
        <f>AVERAGE(J532:L532)</f>
        <v/>
      </c>
      <c r="R532" s="85">
        <f>AVERAGE(M532:O532)</f>
        <v/>
      </c>
      <c r="S532" s="85">
        <f>'02_지표정의'!$C$22*P532+'02_지표정의'!$C$23*Q532+'02_지표정의'!$C$24*R532</f>
        <v/>
      </c>
      <c r="T532" s="73">
        <f>IF(OR(AND(B532="gemini",C532="gemma"),AND(B532="qwen3_6",C532="qwen"),AND(B532="mistral",C532="ministral")),1,0)</f>
        <v/>
      </c>
      <c r="U532" s="73">
        <f>IF(LEFT(A532,3)="PAT","특허","보고서")</f>
        <v/>
      </c>
      <c r="V532" s="86">
        <f>COUNTIF($S$2:$S$976,"&lt;"&amp;S532)+(COUNTIF($S$2:$S$976,"="&amp;S532)+1)/2</f>
        <v/>
      </c>
      <c r="W532" s="73">
        <f>IF(C532="qwen",0,COUNTIFS($C$2:$C$976,"&lt;&gt;qwen",$S$2:$S$976,"&lt;"&amp;S532)+1)</f>
        <v/>
      </c>
      <c r="X532" s="73">
        <f>IF(C532="ministral",0,COUNTIFS($C$2:$C$976,"&lt;&gt;ministral",$S$2:$S$976,"&lt;"&amp;S532)+1)</f>
        <v/>
      </c>
      <c r="Y532" s="73">
        <f>IF(C532="gemma",0,COUNTIFS($C$2:$C$976,"&lt;&gt;gemma",$S$2:$S$976,"&lt;"&amp;S532)+1)</f>
        <v/>
      </c>
      <c r="Z532" s="87">
        <f>COUNTIFS($B$2:$B$976,B532,$C$2:$C$976,C532,$S$2:$S$976,"&lt;"&amp;S532)+1</f>
        <v/>
      </c>
      <c r="AA532" s="88">
        <f>ABS(S532-SUMPRODUCT(('05B_가정검정'!$A$5:$A$19=B532)*('05B_가정검정'!$B$5:$B$19=C532)*'05B_가정검정'!$E$5:$E$19))</f>
        <v/>
      </c>
      <c r="AB532" s="88">
        <f>S532-AVERAGEIFS($S$2:$S$976,$B$2:$B$976,B532,$C$2:$C$976,C532)</f>
        <v/>
      </c>
    </row>
    <row r="533" ht="15" customHeight="1" s="68">
      <c r="A533" s="83" t="inlineStr">
        <is>
          <t>RPT-05</t>
        </is>
      </c>
      <c r="B533" s="83" t="inlineStr">
        <is>
          <t>gemini</t>
        </is>
      </c>
      <c r="C533" s="83" t="inlineStr">
        <is>
          <t>gemma</t>
        </is>
      </c>
      <c r="D533" s="84" t="n">
        <v>0.201680672268908</v>
      </c>
      <c r="E533" s="84" t="n">
        <v>0.265560165975104</v>
      </c>
      <c r="F533" s="84" t="n">
        <v>0.100418410041841</v>
      </c>
      <c r="G533" s="84" t="n">
        <v>0.240663900414938</v>
      </c>
      <c r="H533" s="84" t="n">
        <v>0.238647921396129</v>
      </c>
      <c r="I533" s="84" t="n">
        <v>0.225129062196697</v>
      </c>
      <c r="J533" s="84" t="n">
        <v>0.714246604881045</v>
      </c>
      <c r="K533" s="84" t="n">
        <v>0.800036200056616</v>
      </c>
      <c r="L533" s="84" t="n">
        <v>0.906464937855501</v>
      </c>
      <c r="M533" s="84" t="n">
        <v>0.906542056074766</v>
      </c>
      <c r="N533" s="84" t="n">
        <v>0.916666666666667</v>
      </c>
      <c r="O533" s="84" t="n">
        <v>1</v>
      </c>
      <c r="P533" s="85">
        <f>AVERAGE(D533:I533)</f>
        <v/>
      </c>
      <c r="Q533" s="85">
        <f>AVERAGE(J533:L533)</f>
        <v/>
      </c>
      <c r="R533" s="85">
        <f>AVERAGE(M533:O533)</f>
        <v/>
      </c>
      <c r="S533" s="85">
        <f>'02_지표정의'!$C$22*P533+'02_지표정의'!$C$23*Q533+'02_지표정의'!$C$24*R533</f>
        <v/>
      </c>
      <c r="T533" s="73">
        <f>IF(OR(AND(B533="gemini",C533="gemma"),AND(B533="qwen3_6",C533="qwen"),AND(B533="mistral",C533="ministral")),1,0)</f>
        <v/>
      </c>
      <c r="U533" s="73">
        <f>IF(LEFT(A533,3)="PAT","특허","보고서")</f>
        <v/>
      </c>
      <c r="V533" s="86">
        <f>COUNTIF($S$2:$S$976,"&lt;"&amp;S533)+(COUNTIF($S$2:$S$976,"="&amp;S533)+1)/2</f>
        <v/>
      </c>
      <c r="W533" s="73">
        <f>IF(C533="qwen",0,COUNTIFS($C$2:$C$976,"&lt;&gt;qwen",$S$2:$S$976,"&lt;"&amp;S533)+1)</f>
        <v/>
      </c>
      <c r="X533" s="73">
        <f>IF(C533="ministral",0,COUNTIFS($C$2:$C$976,"&lt;&gt;ministral",$S$2:$S$976,"&lt;"&amp;S533)+1)</f>
        <v/>
      </c>
      <c r="Y533" s="73">
        <f>IF(C533="gemma",0,COUNTIFS($C$2:$C$976,"&lt;&gt;gemma",$S$2:$S$976,"&lt;"&amp;S533)+1)</f>
        <v/>
      </c>
      <c r="Z533" s="87">
        <f>COUNTIFS($B$2:$B$976,B533,$C$2:$C$976,C533,$S$2:$S$976,"&lt;"&amp;S533)+1</f>
        <v/>
      </c>
      <c r="AA533" s="88">
        <f>ABS(S533-SUMPRODUCT(('05B_가정검정'!$A$5:$A$19=B533)*('05B_가정검정'!$B$5:$B$19=C533)*'05B_가정검정'!$E$5:$E$19))</f>
        <v/>
      </c>
      <c r="AB533" s="88">
        <f>S533-AVERAGEIFS($S$2:$S$976,$B$2:$B$976,B533,$C$2:$C$976,C533)</f>
        <v/>
      </c>
    </row>
    <row r="534" ht="15" customHeight="1" s="68">
      <c r="A534" s="83" t="inlineStr">
        <is>
          <t>RPT-05</t>
        </is>
      </c>
      <c r="B534" s="83" t="inlineStr">
        <is>
          <t>gemini</t>
        </is>
      </c>
      <c r="C534" s="83" t="inlineStr">
        <is>
          <t>ministral</t>
        </is>
      </c>
      <c r="D534" s="84" t="n">
        <v>0.205841446453408</v>
      </c>
      <c r="E534" s="84" t="n">
        <v>0.289592760180995</v>
      </c>
      <c r="F534" s="84" t="n">
        <v>0.127853881278539</v>
      </c>
      <c r="G534" s="84" t="n">
        <v>0.235294117647059</v>
      </c>
      <c r="H534" s="84" t="n">
        <v>0.156134709160203</v>
      </c>
      <c r="I534" s="84" t="n">
        <v>0.335963022350917</v>
      </c>
      <c r="J534" s="84" t="n">
        <v>0.749475493170276</v>
      </c>
      <c r="K534" s="84" t="n">
        <v>0.75493563632395</v>
      </c>
      <c r="L534" s="84" t="n">
        <v>0.886289445889858</v>
      </c>
      <c r="M534" s="84" t="n">
        <v>0.274787535410765</v>
      </c>
      <c r="N534" s="84" t="n">
        <v>0.286666666666667</v>
      </c>
      <c r="O534" s="84" t="n">
        <v>0.6052631578947369</v>
      </c>
      <c r="P534" s="85">
        <f>AVERAGE(D534:I534)</f>
        <v/>
      </c>
      <c r="Q534" s="85">
        <f>AVERAGE(J534:L534)</f>
        <v/>
      </c>
      <c r="R534" s="85">
        <f>AVERAGE(M534:O534)</f>
        <v/>
      </c>
      <c r="S534" s="85">
        <f>'02_지표정의'!$C$22*P534+'02_지표정의'!$C$23*Q534+'02_지표정의'!$C$24*R534</f>
        <v/>
      </c>
      <c r="T534" s="73">
        <f>IF(OR(AND(B534="gemini",C534="gemma"),AND(B534="qwen3_6",C534="qwen"),AND(B534="mistral",C534="ministral")),1,0)</f>
        <v/>
      </c>
      <c r="U534" s="73">
        <f>IF(LEFT(A534,3)="PAT","특허","보고서")</f>
        <v/>
      </c>
      <c r="V534" s="86">
        <f>COUNTIF($S$2:$S$976,"&lt;"&amp;S534)+(COUNTIF($S$2:$S$976,"="&amp;S534)+1)/2</f>
        <v/>
      </c>
      <c r="W534" s="73">
        <f>IF(C534="qwen",0,COUNTIFS($C$2:$C$976,"&lt;&gt;qwen",$S$2:$S$976,"&lt;"&amp;S534)+1)</f>
        <v/>
      </c>
      <c r="X534" s="73">
        <f>IF(C534="ministral",0,COUNTIFS($C$2:$C$976,"&lt;&gt;ministral",$S$2:$S$976,"&lt;"&amp;S534)+1)</f>
        <v/>
      </c>
      <c r="Y534" s="73">
        <f>IF(C534="gemma",0,COUNTIFS($C$2:$C$976,"&lt;&gt;gemma",$S$2:$S$976,"&lt;"&amp;S534)+1)</f>
        <v/>
      </c>
      <c r="Z534" s="87">
        <f>COUNTIFS($B$2:$B$976,B534,$C$2:$C$976,C534,$S$2:$S$976,"&lt;"&amp;S534)+1</f>
        <v/>
      </c>
      <c r="AA534" s="88">
        <f>ABS(S534-SUMPRODUCT(('05B_가정검정'!$A$5:$A$19=B534)*('05B_가정검정'!$B$5:$B$19=C534)*'05B_가정검정'!$E$5:$E$19))</f>
        <v/>
      </c>
      <c r="AB534" s="88">
        <f>S534-AVERAGEIFS($S$2:$S$976,$B$2:$B$976,B534,$C$2:$C$976,C534)</f>
        <v/>
      </c>
    </row>
    <row r="535" ht="15" customHeight="1" s="68">
      <c r="A535" s="83" t="inlineStr">
        <is>
          <t>RPT-05</t>
        </is>
      </c>
      <c r="B535" s="83" t="inlineStr">
        <is>
          <t>gemini</t>
        </is>
      </c>
      <c r="C535" s="83" t="inlineStr">
        <is>
          <t>qwen</t>
        </is>
      </c>
      <c r="D535" s="84" t="n">
        <v>0.257879656160458</v>
      </c>
      <c r="E535" s="84" t="n">
        <v>0.414634146341463</v>
      </c>
      <c r="F535" s="84" t="n">
        <v>0.185185185185185</v>
      </c>
      <c r="G535" s="84" t="n">
        <v>0.329268292682927</v>
      </c>
      <c r="H535" s="84" t="n">
        <v>0.268377192538242</v>
      </c>
      <c r="I535" s="84" t="n">
        <v>0.358723342541617</v>
      </c>
      <c r="J535" s="84" t="n">
        <v>0.769461168931279</v>
      </c>
      <c r="K535" s="84" t="n">
        <v>0.767068216298477</v>
      </c>
      <c r="L535" s="84" t="n">
        <v>0.886621153741174</v>
      </c>
      <c r="M535" s="84" t="n">
        <v>0.5739644970414201</v>
      </c>
      <c r="N535" s="84" t="n">
        <v>0.53921568627451</v>
      </c>
      <c r="O535" s="84" t="n">
        <v>1</v>
      </c>
      <c r="P535" s="85">
        <f>AVERAGE(D535:I535)</f>
        <v/>
      </c>
      <c r="Q535" s="85">
        <f>AVERAGE(J535:L535)</f>
        <v/>
      </c>
      <c r="R535" s="85">
        <f>AVERAGE(M535:O535)</f>
        <v/>
      </c>
      <c r="S535" s="85">
        <f>'02_지표정의'!$C$22*P535+'02_지표정의'!$C$23*Q535+'02_지표정의'!$C$24*R535</f>
        <v/>
      </c>
      <c r="T535" s="73">
        <f>IF(OR(AND(B535="gemini",C535="gemma"),AND(B535="qwen3_6",C535="qwen"),AND(B535="mistral",C535="ministral")),1,0)</f>
        <v/>
      </c>
      <c r="U535" s="73">
        <f>IF(LEFT(A535,3)="PAT","특허","보고서")</f>
        <v/>
      </c>
      <c r="V535" s="86">
        <f>COUNTIF($S$2:$S$976,"&lt;"&amp;S535)+(COUNTIF($S$2:$S$976,"="&amp;S535)+1)/2</f>
        <v/>
      </c>
      <c r="W535" s="73">
        <f>IF(C535="qwen",0,COUNTIFS($C$2:$C$976,"&lt;&gt;qwen",$S$2:$S$976,"&lt;"&amp;S535)+1)</f>
        <v/>
      </c>
      <c r="X535" s="73">
        <f>IF(C535="ministral",0,COUNTIFS($C$2:$C$976,"&lt;&gt;ministral",$S$2:$S$976,"&lt;"&amp;S535)+1)</f>
        <v/>
      </c>
      <c r="Y535" s="73">
        <f>IF(C535="gemma",0,COUNTIFS($C$2:$C$976,"&lt;&gt;gemma",$S$2:$S$976,"&lt;"&amp;S535)+1)</f>
        <v/>
      </c>
      <c r="Z535" s="87">
        <f>COUNTIFS($B$2:$B$976,B535,$C$2:$C$976,C535,$S$2:$S$976,"&lt;"&amp;S535)+1</f>
        <v/>
      </c>
      <c r="AA535" s="88">
        <f>ABS(S535-SUMPRODUCT(('05B_가정검정'!$A$5:$A$19=B535)*('05B_가정검정'!$B$5:$B$19=C535)*'05B_가정검정'!$E$5:$E$19))</f>
        <v/>
      </c>
      <c r="AB535" s="88">
        <f>S535-AVERAGEIFS($S$2:$S$976,$B$2:$B$976,B535,$C$2:$C$976,C535)</f>
        <v/>
      </c>
    </row>
    <row r="536" ht="15" customHeight="1" s="68">
      <c r="A536" s="83" t="inlineStr">
        <is>
          <t>RPT-05</t>
        </is>
      </c>
      <c r="B536" s="83" t="inlineStr">
        <is>
          <t>mistral</t>
        </is>
      </c>
      <c r="C536" s="83" t="inlineStr">
        <is>
          <t>gemma</t>
        </is>
      </c>
      <c r="D536" s="84" t="n">
        <v>0.253968253968254</v>
      </c>
      <c r="E536" s="84" t="n">
        <v>0.312267657992565</v>
      </c>
      <c r="F536" s="84" t="n">
        <v>0.0823970037453184</v>
      </c>
      <c r="G536" s="84" t="n">
        <v>0.20817843866171</v>
      </c>
      <c r="H536" s="84" t="n">
        <v>0.294264829167067</v>
      </c>
      <c r="I536" s="84" t="n">
        <v>0.317189979958717</v>
      </c>
      <c r="J536" s="84" t="n">
        <v>0.651528711423527</v>
      </c>
      <c r="K536" s="84" t="n">
        <v>0.700215020106798</v>
      </c>
      <c r="L536" s="84" t="n">
        <v>0.825044649469992</v>
      </c>
      <c r="M536" s="84" t="n">
        <v>0.622377622377622</v>
      </c>
      <c r="N536" s="84" t="n">
        <v>0.6125</v>
      </c>
      <c r="O536" s="84" t="n">
        <v>0.76</v>
      </c>
      <c r="P536" s="85">
        <f>AVERAGE(D536:I536)</f>
        <v/>
      </c>
      <c r="Q536" s="85">
        <f>AVERAGE(J536:L536)</f>
        <v/>
      </c>
      <c r="R536" s="85">
        <f>AVERAGE(M536:O536)</f>
        <v/>
      </c>
      <c r="S536" s="85">
        <f>'02_지표정의'!$C$22*P536+'02_지표정의'!$C$23*Q536+'02_지표정의'!$C$24*R536</f>
        <v/>
      </c>
      <c r="T536" s="73">
        <f>IF(OR(AND(B536="gemini",C536="gemma"),AND(B536="qwen3_6",C536="qwen"),AND(B536="mistral",C536="ministral")),1,0)</f>
        <v/>
      </c>
      <c r="U536" s="73">
        <f>IF(LEFT(A536,3)="PAT","특허","보고서")</f>
        <v/>
      </c>
      <c r="V536" s="86">
        <f>COUNTIF($S$2:$S$976,"&lt;"&amp;S536)+(COUNTIF($S$2:$S$976,"="&amp;S536)+1)/2</f>
        <v/>
      </c>
      <c r="W536" s="73">
        <f>IF(C536="qwen",0,COUNTIFS($C$2:$C$976,"&lt;&gt;qwen",$S$2:$S$976,"&lt;"&amp;S536)+1)</f>
        <v/>
      </c>
      <c r="X536" s="73">
        <f>IF(C536="ministral",0,COUNTIFS($C$2:$C$976,"&lt;&gt;ministral",$S$2:$S$976,"&lt;"&amp;S536)+1)</f>
        <v/>
      </c>
      <c r="Y536" s="73">
        <f>IF(C536="gemma",0,COUNTIFS($C$2:$C$976,"&lt;&gt;gemma",$S$2:$S$976,"&lt;"&amp;S536)+1)</f>
        <v/>
      </c>
      <c r="Z536" s="87">
        <f>COUNTIFS($B$2:$B$976,B536,$C$2:$C$976,C536,$S$2:$S$976,"&lt;"&amp;S536)+1</f>
        <v/>
      </c>
      <c r="AA536" s="88">
        <f>ABS(S536-SUMPRODUCT(('05B_가정검정'!$A$5:$A$19=B536)*('05B_가정검정'!$B$5:$B$19=C536)*'05B_가정검정'!$E$5:$E$19))</f>
        <v/>
      </c>
      <c r="AB536" s="88">
        <f>S536-AVERAGEIFS($S$2:$S$976,$B$2:$B$976,B536,$C$2:$C$976,C536)</f>
        <v/>
      </c>
    </row>
    <row r="537" ht="15" customHeight="1" s="68">
      <c r="A537" s="83" t="inlineStr">
        <is>
          <t>RPT-05</t>
        </is>
      </c>
      <c r="B537" s="83" t="inlineStr">
        <is>
          <t>mistral</t>
        </is>
      </c>
      <c r="C537" s="83" t="inlineStr">
        <is>
          <t>ministral</t>
        </is>
      </c>
      <c r="D537" s="84" t="n">
        <v>0.307291666666667</v>
      </c>
      <c r="E537" s="84" t="n">
        <v>0.329317269076305</v>
      </c>
      <c r="F537" s="84" t="n">
        <v>0.129554655870445</v>
      </c>
      <c r="G537" s="84" t="n">
        <v>0.224899598393574</v>
      </c>
      <c r="H537" s="84" t="n">
        <v>0.227847800184365</v>
      </c>
      <c r="I537" s="84" t="n">
        <v>0.408950904449126</v>
      </c>
      <c r="J537" s="84" t="n">
        <v>0.690663132824669</v>
      </c>
      <c r="K537" s="84" t="n">
        <v>0.724914969280767</v>
      </c>
      <c r="L537" s="84" t="n">
        <v>0.847509677738541</v>
      </c>
      <c r="M537" s="84" t="n">
        <v>0.371104815864023</v>
      </c>
      <c r="N537" s="84" t="n">
        <v>0.166666666666667</v>
      </c>
      <c r="O537" s="84" t="n">
        <v>0.46</v>
      </c>
      <c r="P537" s="85">
        <f>AVERAGE(D537:I537)</f>
        <v/>
      </c>
      <c r="Q537" s="85">
        <f>AVERAGE(J537:L537)</f>
        <v/>
      </c>
      <c r="R537" s="85">
        <f>AVERAGE(M537:O537)</f>
        <v/>
      </c>
      <c r="S537" s="85">
        <f>'02_지표정의'!$C$22*P537+'02_지표정의'!$C$23*Q537+'02_지표정의'!$C$24*R537</f>
        <v/>
      </c>
      <c r="T537" s="73">
        <f>IF(OR(AND(B537="gemini",C537="gemma"),AND(B537="qwen3_6",C537="qwen"),AND(B537="mistral",C537="ministral")),1,0)</f>
        <v/>
      </c>
      <c r="U537" s="73">
        <f>IF(LEFT(A537,3)="PAT","특허","보고서")</f>
        <v/>
      </c>
      <c r="V537" s="86">
        <f>COUNTIF($S$2:$S$976,"&lt;"&amp;S537)+(COUNTIF($S$2:$S$976,"="&amp;S537)+1)/2</f>
        <v/>
      </c>
      <c r="W537" s="73">
        <f>IF(C537="qwen",0,COUNTIFS($C$2:$C$976,"&lt;&gt;qwen",$S$2:$S$976,"&lt;"&amp;S537)+1)</f>
        <v/>
      </c>
      <c r="X537" s="73">
        <f>IF(C537="ministral",0,COUNTIFS($C$2:$C$976,"&lt;&gt;ministral",$S$2:$S$976,"&lt;"&amp;S537)+1)</f>
        <v/>
      </c>
      <c r="Y537" s="73">
        <f>IF(C537="gemma",0,COUNTIFS($C$2:$C$976,"&lt;&gt;gemma",$S$2:$S$976,"&lt;"&amp;S537)+1)</f>
        <v/>
      </c>
      <c r="Z537" s="87">
        <f>COUNTIFS($B$2:$B$976,B537,$C$2:$C$976,C537,$S$2:$S$976,"&lt;"&amp;S537)+1</f>
        <v/>
      </c>
      <c r="AA537" s="88">
        <f>ABS(S537-SUMPRODUCT(('05B_가정검정'!$A$5:$A$19=B537)*('05B_가정검정'!$B$5:$B$19=C537)*'05B_가정검정'!$E$5:$E$19))</f>
        <v/>
      </c>
      <c r="AB537" s="88">
        <f>S537-AVERAGEIFS($S$2:$S$976,$B$2:$B$976,B537,$C$2:$C$976,C537)</f>
        <v/>
      </c>
    </row>
    <row r="538" ht="15" customHeight="1" s="68">
      <c r="A538" s="83" t="inlineStr">
        <is>
          <t>RPT-05</t>
        </is>
      </c>
      <c r="B538" s="83" t="inlineStr">
        <is>
          <t>mistral</t>
        </is>
      </c>
      <c r="C538" s="83" t="inlineStr">
        <is>
          <t>qwen</t>
        </is>
      </c>
      <c r="D538" s="84" t="n">
        <v>0.265060240963855</v>
      </c>
      <c r="E538" s="84" t="n">
        <v>0.447916666666667</v>
      </c>
      <c r="F538" s="84" t="n">
        <v>0.168421052631579</v>
      </c>
      <c r="G538" s="84" t="n">
        <v>0.3125</v>
      </c>
      <c r="H538" s="84" t="n">
        <v>0.311702939108365</v>
      </c>
      <c r="I538" s="84" t="n">
        <v>0.343462037698453</v>
      </c>
      <c r="J538" s="84" t="n">
        <v>0.69301910597734</v>
      </c>
      <c r="K538" s="84" t="n">
        <v>0.70678874654042</v>
      </c>
      <c r="L538" s="84" t="n">
        <v>0.87847613233407</v>
      </c>
      <c r="M538" s="84" t="n">
        <v>0.50887573964497</v>
      </c>
      <c r="N538" s="84" t="n">
        <v>0.284313725490196</v>
      </c>
      <c r="O538" s="84" t="n">
        <v>0.76</v>
      </c>
      <c r="P538" s="85">
        <f>AVERAGE(D538:I538)</f>
        <v/>
      </c>
      <c r="Q538" s="85">
        <f>AVERAGE(J538:L538)</f>
        <v/>
      </c>
      <c r="R538" s="85">
        <f>AVERAGE(M538:O538)</f>
        <v/>
      </c>
      <c r="S538" s="85">
        <f>'02_지표정의'!$C$22*P538+'02_지표정의'!$C$23*Q538+'02_지표정의'!$C$24*R538</f>
        <v/>
      </c>
      <c r="T538" s="73">
        <f>IF(OR(AND(B538="gemini",C538="gemma"),AND(B538="qwen3_6",C538="qwen"),AND(B538="mistral",C538="ministral")),1,0)</f>
        <v/>
      </c>
      <c r="U538" s="73">
        <f>IF(LEFT(A538,3)="PAT","특허","보고서")</f>
        <v/>
      </c>
      <c r="V538" s="86">
        <f>COUNTIF($S$2:$S$976,"&lt;"&amp;S538)+(COUNTIF($S$2:$S$976,"="&amp;S538)+1)/2</f>
        <v/>
      </c>
      <c r="W538" s="73">
        <f>IF(C538="qwen",0,COUNTIFS($C$2:$C$976,"&lt;&gt;qwen",$S$2:$S$976,"&lt;"&amp;S538)+1)</f>
        <v/>
      </c>
      <c r="X538" s="73">
        <f>IF(C538="ministral",0,COUNTIFS($C$2:$C$976,"&lt;&gt;ministral",$S$2:$S$976,"&lt;"&amp;S538)+1)</f>
        <v/>
      </c>
      <c r="Y538" s="73">
        <f>IF(C538="gemma",0,COUNTIFS($C$2:$C$976,"&lt;&gt;gemma",$S$2:$S$976,"&lt;"&amp;S538)+1)</f>
        <v/>
      </c>
      <c r="Z538" s="87">
        <f>COUNTIFS($B$2:$B$976,B538,$C$2:$C$976,C538,$S$2:$S$976,"&lt;"&amp;S538)+1</f>
        <v/>
      </c>
      <c r="AA538" s="88">
        <f>ABS(S538-SUMPRODUCT(('05B_가정검정'!$A$5:$A$19=B538)*('05B_가정검정'!$B$5:$B$19=C538)*'05B_가정검정'!$E$5:$E$19))</f>
        <v/>
      </c>
      <c r="AB538" s="88">
        <f>S538-AVERAGEIFS($S$2:$S$976,$B$2:$B$976,B538,$C$2:$C$976,C538)</f>
        <v/>
      </c>
    </row>
    <row r="539" ht="15" customHeight="1" s="68">
      <c r="A539" s="83" t="inlineStr">
        <is>
          <t>RPT-05</t>
        </is>
      </c>
      <c r="B539" s="83" t="inlineStr">
        <is>
          <t>qwen3_6</t>
        </is>
      </c>
      <c r="C539" s="83" t="inlineStr">
        <is>
          <t>gemma</t>
        </is>
      </c>
      <c r="D539" s="84" t="n">
        <v>0.257142857142857</v>
      </c>
      <c r="E539" s="84" t="n">
        <v>0.37956204379562</v>
      </c>
      <c r="F539" s="84" t="n">
        <v>0.102941176470588</v>
      </c>
      <c r="G539" s="84" t="n">
        <v>0.277372262773723</v>
      </c>
      <c r="H539" s="84" t="n">
        <v>0.384587765399741</v>
      </c>
      <c r="I539" s="84" t="n">
        <v>0.302090452298869</v>
      </c>
      <c r="J539" s="84" t="n">
        <v>0.735248471414682</v>
      </c>
      <c r="K539" s="84" t="n">
        <v>0.68912208136497</v>
      </c>
      <c r="L539" s="84" t="n">
        <v>0.842379633075467</v>
      </c>
      <c r="M539" s="84" t="n">
        <v>0.906542056074766</v>
      </c>
      <c r="N539" s="84" t="n">
        <v>0.916666666666667</v>
      </c>
      <c r="O539" s="84" t="n">
        <v>1</v>
      </c>
      <c r="P539" s="85">
        <f>AVERAGE(D539:I539)</f>
        <v/>
      </c>
      <c r="Q539" s="85">
        <f>AVERAGE(J539:L539)</f>
        <v/>
      </c>
      <c r="R539" s="85">
        <f>AVERAGE(M539:O539)</f>
        <v/>
      </c>
      <c r="S539" s="85">
        <f>'02_지표정의'!$C$22*P539+'02_지표정의'!$C$23*Q539+'02_지표정의'!$C$24*R539</f>
        <v/>
      </c>
      <c r="T539" s="73">
        <f>IF(OR(AND(B539="gemini",C539="gemma"),AND(B539="qwen3_6",C539="qwen"),AND(B539="mistral",C539="ministral")),1,0)</f>
        <v/>
      </c>
      <c r="U539" s="73">
        <f>IF(LEFT(A539,3)="PAT","특허","보고서")</f>
        <v/>
      </c>
      <c r="V539" s="86">
        <f>COUNTIF($S$2:$S$976,"&lt;"&amp;S539)+(COUNTIF($S$2:$S$976,"="&amp;S539)+1)/2</f>
        <v/>
      </c>
      <c r="W539" s="73">
        <f>IF(C539="qwen",0,COUNTIFS($C$2:$C$976,"&lt;&gt;qwen",$S$2:$S$976,"&lt;"&amp;S539)+1)</f>
        <v/>
      </c>
      <c r="X539" s="73">
        <f>IF(C539="ministral",0,COUNTIFS($C$2:$C$976,"&lt;&gt;ministral",$S$2:$S$976,"&lt;"&amp;S539)+1)</f>
        <v/>
      </c>
      <c r="Y539" s="73">
        <f>IF(C539="gemma",0,COUNTIFS($C$2:$C$976,"&lt;&gt;gemma",$S$2:$S$976,"&lt;"&amp;S539)+1)</f>
        <v/>
      </c>
      <c r="Z539" s="87">
        <f>COUNTIFS($B$2:$B$976,B539,$C$2:$C$976,C539,$S$2:$S$976,"&lt;"&amp;S539)+1</f>
        <v/>
      </c>
      <c r="AA539" s="88">
        <f>ABS(S539-SUMPRODUCT(('05B_가정검정'!$A$5:$A$19=B539)*('05B_가정검정'!$B$5:$B$19=C539)*'05B_가정검정'!$E$5:$E$19))</f>
        <v/>
      </c>
      <c r="AB539" s="88">
        <f>S539-AVERAGEIFS($S$2:$S$976,$B$2:$B$976,B539,$C$2:$C$976,C539)</f>
        <v/>
      </c>
    </row>
    <row r="540" ht="15" customHeight="1" s="68">
      <c r="A540" s="83" t="inlineStr">
        <is>
          <t>RPT-05</t>
        </is>
      </c>
      <c r="B540" s="83" t="inlineStr">
        <is>
          <t>qwen3_6</t>
        </is>
      </c>
      <c r="C540" s="83" t="inlineStr">
        <is>
          <t>ministral</t>
        </is>
      </c>
      <c r="D540" s="84" t="n">
        <v>0.249422632794457</v>
      </c>
      <c r="E540" s="84" t="n">
        <v>0.299212598425197</v>
      </c>
      <c r="F540" s="84" t="n">
        <v>0.119047619047619</v>
      </c>
      <c r="G540" s="84" t="n">
        <v>0.244094488188976</v>
      </c>
      <c r="H540" s="84" t="n">
        <v>0.227611588122752</v>
      </c>
      <c r="I540" s="84" t="n">
        <v>0.332165442458838</v>
      </c>
      <c r="J540" s="84" t="n">
        <v>0.729898005158833</v>
      </c>
      <c r="K540" s="84" t="n">
        <v>0.699663843678763</v>
      </c>
      <c r="L540" s="84" t="n">
        <v>0.852961344373691</v>
      </c>
      <c r="M540" s="84" t="n">
        <v>0.274787535410765</v>
      </c>
      <c r="N540" s="84" t="n">
        <v>0.286666666666667</v>
      </c>
      <c r="O540" s="84" t="n">
        <v>0.6052631578947369</v>
      </c>
      <c r="P540" s="85">
        <f>AVERAGE(D540:I540)</f>
        <v/>
      </c>
      <c r="Q540" s="85">
        <f>AVERAGE(J540:L540)</f>
        <v/>
      </c>
      <c r="R540" s="85">
        <f>AVERAGE(M540:O540)</f>
        <v/>
      </c>
      <c r="S540" s="85">
        <f>'02_지표정의'!$C$22*P540+'02_지표정의'!$C$23*Q540+'02_지표정의'!$C$24*R540</f>
        <v/>
      </c>
      <c r="T540" s="73">
        <f>IF(OR(AND(B540="gemini",C540="gemma"),AND(B540="qwen3_6",C540="qwen"),AND(B540="mistral",C540="ministral")),1,0)</f>
        <v/>
      </c>
      <c r="U540" s="73">
        <f>IF(LEFT(A540,3)="PAT","특허","보고서")</f>
        <v/>
      </c>
      <c r="V540" s="86">
        <f>COUNTIF($S$2:$S$976,"&lt;"&amp;S540)+(COUNTIF($S$2:$S$976,"="&amp;S540)+1)/2</f>
        <v/>
      </c>
      <c r="W540" s="73">
        <f>IF(C540="qwen",0,COUNTIFS($C$2:$C$976,"&lt;&gt;qwen",$S$2:$S$976,"&lt;"&amp;S540)+1)</f>
        <v/>
      </c>
      <c r="X540" s="73">
        <f>IF(C540="ministral",0,COUNTIFS($C$2:$C$976,"&lt;&gt;ministral",$S$2:$S$976,"&lt;"&amp;S540)+1)</f>
        <v/>
      </c>
      <c r="Y540" s="73">
        <f>IF(C540="gemma",0,COUNTIFS($C$2:$C$976,"&lt;&gt;gemma",$S$2:$S$976,"&lt;"&amp;S540)+1)</f>
        <v/>
      </c>
      <c r="Z540" s="87">
        <f>COUNTIFS($B$2:$B$976,B540,$C$2:$C$976,C540,$S$2:$S$976,"&lt;"&amp;S540)+1</f>
        <v/>
      </c>
      <c r="AA540" s="88">
        <f>ABS(S540-SUMPRODUCT(('05B_가정검정'!$A$5:$A$19=B540)*('05B_가정검정'!$B$5:$B$19=C540)*'05B_가정검정'!$E$5:$E$19))</f>
        <v/>
      </c>
      <c r="AB540" s="88">
        <f>S540-AVERAGEIFS($S$2:$S$976,$B$2:$B$976,B540,$C$2:$C$976,C540)</f>
        <v/>
      </c>
    </row>
    <row r="541" ht="15" customHeight="1" s="68">
      <c r="A541" s="83" t="inlineStr">
        <is>
          <t>RPT-05</t>
        </is>
      </c>
      <c r="B541" s="83" t="inlineStr">
        <is>
          <t>qwen3_6</t>
        </is>
      </c>
      <c r="C541" s="83" t="inlineStr">
        <is>
          <t>qwen</t>
        </is>
      </c>
      <c r="D541" s="84" t="n">
        <v>0.288757396449704</v>
      </c>
      <c r="E541" s="84" t="n">
        <v>0.426395939086294</v>
      </c>
      <c r="F541" s="84" t="n">
        <v>0.174358974358974</v>
      </c>
      <c r="G541" s="84" t="n">
        <v>0.345177664974619</v>
      </c>
      <c r="H541" s="84" t="n">
        <v>0.436872626359479</v>
      </c>
      <c r="I541" s="84" t="n">
        <v>0.415507796506864</v>
      </c>
      <c r="J541" s="84" t="n">
        <v>0.748848448755267</v>
      </c>
      <c r="K541" s="84" t="n">
        <v>0.726228417469838</v>
      </c>
      <c r="L541" s="84" t="n">
        <v>0.893965875914844</v>
      </c>
      <c r="M541" s="84" t="n">
        <v>0.5739644970414201</v>
      </c>
      <c r="N541" s="84" t="n">
        <v>0.53921568627451</v>
      </c>
      <c r="O541" s="84" t="n">
        <v>1</v>
      </c>
      <c r="P541" s="85">
        <f>AVERAGE(D541:I541)</f>
        <v/>
      </c>
      <c r="Q541" s="85">
        <f>AVERAGE(J541:L541)</f>
        <v/>
      </c>
      <c r="R541" s="85">
        <f>AVERAGE(M541:O541)</f>
        <v/>
      </c>
      <c r="S541" s="85">
        <f>'02_지표정의'!$C$22*P541+'02_지표정의'!$C$23*Q541+'02_지표정의'!$C$24*R541</f>
        <v/>
      </c>
      <c r="T541" s="73">
        <f>IF(OR(AND(B541="gemini",C541="gemma"),AND(B541="qwen3_6",C541="qwen"),AND(B541="mistral",C541="ministral")),1,0)</f>
        <v/>
      </c>
      <c r="U541" s="73">
        <f>IF(LEFT(A541,3)="PAT","특허","보고서")</f>
        <v/>
      </c>
      <c r="V541" s="86">
        <f>COUNTIF($S$2:$S$976,"&lt;"&amp;S541)+(COUNTIF($S$2:$S$976,"="&amp;S541)+1)/2</f>
        <v/>
      </c>
      <c r="W541" s="73">
        <f>IF(C541="qwen",0,COUNTIFS($C$2:$C$976,"&lt;&gt;qwen",$S$2:$S$976,"&lt;"&amp;S541)+1)</f>
        <v/>
      </c>
      <c r="X541" s="73">
        <f>IF(C541="ministral",0,COUNTIFS($C$2:$C$976,"&lt;&gt;ministral",$S$2:$S$976,"&lt;"&amp;S541)+1)</f>
        <v/>
      </c>
      <c r="Y541" s="73">
        <f>IF(C541="gemma",0,COUNTIFS($C$2:$C$976,"&lt;&gt;gemma",$S$2:$S$976,"&lt;"&amp;S541)+1)</f>
        <v/>
      </c>
      <c r="Z541" s="87">
        <f>COUNTIFS($B$2:$B$976,B541,$C$2:$C$976,C541,$S$2:$S$976,"&lt;"&amp;S541)+1</f>
        <v/>
      </c>
      <c r="AA541" s="88">
        <f>ABS(S541-SUMPRODUCT(('05B_가정검정'!$A$5:$A$19=B541)*('05B_가정검정'!$B$5:$B$19=C541)*'05B_가정검정'!$E$5:$E$19))</f>
        <v/>
      </c>
      <c r="AB541" s="88">
        <f>S541-AVERAGEIFS($S$2:$S$976,$B$2:$B$976,B541,$C$2:$C$976,C541)</f>
        <v/>
      </c>
    </row>
    <row r="542" ht="15" customHeight="1" s="68">
      <c r="A542" s="83" t="inlineStr">
        <is>
          <t>RPT-06</t>
        </is>
      </c>
      <c r="B542" s="83" t="inlineStr">
        <is>
          <t>chatgpt</t>
        </is>
      </c>
      <c r="C542" s="83" t="inlineStr">
        <is>
          <t>gemma</t>
        </is>
      </c>
      <c r="D542" s="84" t="n">
        <v>0.261519302615193</v>
      </c>
      <c r="E542" s="84" t="n">
        <v>0.302816901408451</v>
      </c>
      <c r="F542" s="84" t="n">
        <v>0.113475177304965</v>
      </c>
      <c r="G542" s="84" t="n">
        <v>0.225352112676056</v>
      </c>
      <c r="H542" s="84" t="n">
        <v>0.305432043207366</v>
      </c>
      <c r="I542" s="84" t="n">
        <v>0.300027852253442</v>
      </c>
      <c r="J542" s="84" t="n">
        <v>0.6486659516979431</v>
      </c>
      <c r="K542" s="84" t="n">
        <v>0.562200728677906</v>
      </c>
      <c r="L542" s="84" t="n">
        <v>0.769305525439106</v>
      </c>
      <c r="M542" s="84" t="n">
        <v>0.246113989637306</v>
      </c>
      <c r="N542" s="84" t="n">
        <v>0.107954545454545</v>
      </c>
      <c r="O542" s="84" t="n">
        <v>1</v>
      </c>
      <c r="P542" s="85">
        <f>AVERAGE(D542:I542)</f>
        <v/>
      </c>
      <c r="Q542" s="85">
        <f>AVERAGE(J542:L542)</f>
        <v/>
      </c>
      <c r="R542" s="85">
        <f>AVERAGE(M542:O542)</f>
        <v/>
      </c>
      <c r="S542" s="85">
        <f>'02_지표정의'!$C$22*P542+'02_지표정의'!$C$23*Q542+'02_지표정의'!$C$24*R542</f>
        <v/>
      </c>
      <c r="T542" s="73">
        <f>IF(OR(AND(B542="gemini",C542="gemma"),AND(B542="qwen3_6",C542="qwen"),AND(B542="mistral",C542="ministral")),1,0)</f>
        <v/>
      </c>
      <c r="U542" s="73">
        <f>IF(LEFT(A542,3)="PAT","특허","보고서")</f>
        <v/>
      </c>
      <c r="V542" s="86">
        <f>COUNTIF($S$2:$S$976,"&lt;"&amp;S542)+(COUNTIF($S$2:$S$976,"="&amp;S542)+1)/2</f>
        <v/>
      </c>
      <c r="W542" s="73">
        <f>IF(C542="qwen",0,COUNTIFS($C$2:$C$976,"&lt;&gt;qwen",$S$2:$S$976,"&lt;"&amp;S542)+1)</f>
        <v/>
      </c>
      <c r="X542" s="73">
        <f>IF(C542="ministral",0,COUNTIFS($C$2:$C$976,"&lt;&gt;ministral",$S$2:$S$976,"&lt;"&amp;S542)+1)</f>
        <v/>
      </c>
      <c r="Y542" s="73">
        <f>IF(C542="gemma",0,COUNTIFS($C$2:$C$976,"&lt;&gt;gemma",$S$2:$S$976,"&lt;"&amp;S542)+1)</f>
        <v/>
      </c>
      <c r="Z542" s="87">
        <f>COUNTIFS($B$2:$B$976,B542,$C$2:$C$976,C542,$S$2:$S$976,"&lt;"&amp;S542)+1</f>
        <v/>
      </c>
      <c r="AA542" s="88">
        <f>ABS(S542-SUMPRODUCT(('05B_가정검정'!$A$5:$A$19=B542)*('05B_가정검정'!$B$5:$B$19=C542)*'05B_가정검정'!$E$5:$E$19))</f>
        <v/>
      </c>
      <c r="AB542" s="88">
        <f>S542-AVERAGEIFS($S$2:$S$976,$B$2:$B$976,B542,$C$2:$C$976,C542)</f>
        <v/>
      </c>
    </row>
    <row r="543" ht="15" customHeight="1" s="68">
      <c r="A543" s="83" t="inlineStr">
        <is>
          <t>RPT-06</t>
        </is>
      </c>
      <c r="B543" s="83" t="inlineStr">
        <is>
          <t>chatgpt</t>
        </is>
      </c>
      <c r="C543" s="83" t="inlineStr">
        <is>
          <t>ministral</t>
        </is>
      </c>
      <c r="D543" s="84" t="n">
        <v>0.341829085457271</v>
      </c>
      <c r="E543" s="84" t="n">
        <v>0.322751322751323</v>
      </c>
      <c r="F543" s="84" t="n">
        <v>0.09042553191489359</v>
      </c>
      <c r="G543" s="84" t="n">
        <v>0.227513227513228</v>
      </c>
      <c r="H543" s="84" t="n">
        <v>0.260568104986793</v>
      </c>
      <c r="I543" s="84" t="n">
        <v>0.410240372039873</v>
      </c>
      <c r="J543" s="84" t="n">
        <v>0.688702506480983</v>
      </c>
      <c r="K543" s="84" t="n">
        <v>0.674265212282102</v>
      </c>
      <c r="L543" s="84" t="n">
        <v>0.8283448566510619</v>
      </c>
      <c r="M543" s="84" t="n">
        <v>0.343137254901961</v>
      </c>
      <c r="N543" s="84" t="n">
        <v>0</v>
      </c>
      <c r="O543" s="84" t="n">
        <v>0.694976076555024</v>
      </c>
      <c r="P543" s="85">
        <f>AVERAGE(D543:I543)</f>
        <v/>
      </c>
      <c r="Q543" s="85">
        <f>AVERAGE(J543:L543)</f>
        <v/>
      </c>
      <c r="R543" s="85">
        <f>AVERAGE(M543:O543)</f>
        <v/>
      </c>
      <c r="S543" s="85">
        <f>'02_지표정의'!$C$22*P543+'02_지표정의'!$C$23*Q543+'02_지표정의'!$C$24*R543</f>
        <v/>
      </c>
      <c r="T543" s="73">
        <f>IF(OR(AND(B543="gemini",C543="gemma"),AND(B543="qwen3_6",C543="qwen"),AND(B543="mistral",C543="ministral")),1,0)</f>
        <v/>
      </c>
      <c r="U543" s="73">
        <f>IF(LEFT(A543,3)="PAT","특허","보고서")</f>
        <v/>
      </c>
      <c r="V543" s="86">
        <f>COUNTIF($S$2:$S$976,"&lt;"&amp;S543)+(COUNTIF($S$2:$S$976,"="&amp;S543)+1)/2</f>
        <v/>
      </c>
      <c r="W543" s="73">
        <f>IF(C543="qwen",0,COUNTIFS($C$2:$C$976,"&lt;&gt;qwen",$S$2:$S$976,"&lt;"&amp;S543)+1)</f>
        <v/>
      </c>
      <c r="X543" s="73">
        <f>IF(C543="ministral",0,COUNTIFS($C$2:$C$976,"&lt;&gt;ministral",$S$2:$S$976,"&lt;"&amp;S543)+1)</f>
        <v/>
      </c>
      <c r="Y543" s="73">
        <f>IF(C543="gemma",0,COUNTIFS($C$2:$C$976,"&lt;&gt;gemma",$S$2:$S$976,"&lt;"&amp;S543)+1)</f>
        <v/>
      </c>
      <c r="Z543" s="87">
        <f>COUNTIFS($B$2:$B$976,B543,$C$2:$C$976,C543,$S$2:$S$976,"&lt;"&amp;S543)+1</f>
        <v/>
      </c>
      <c r="AA543" s="88">
        <f>ABS(S543-SUMPRODUCT(('05B_가정검정'!$A$5:$A$19=B543)*('05B_가정검정'!$B$5:$B$19=C543)*'05B_가정검정'!$E$5:$E$19))</f>
        <v/>
      </c>
      <c r="AB543" s="88">
        <f>S543-AVERAGEIFS($S$2:$S$976,$B$2:$B$976,B543,$C$2:$C$976,C543)</f>
        <v/>
      </c>
    </row>
    <row r="544" ht="15" customHeight="1" s="68">
      <c r="A544" s="83" t="inlineStr">
        <is>
          <t>RPT-06</t>
        </is>
      </c>
      <c r="B544" s="83" t="inlineStr">
        <is>
          <t>chatgpt</t>
        </is>
      </c>
      <c r="C544" s="83" t="inlineStr">
        <is>
          <t>qwen</t>
        </is>
      </c>
      <c r="D544" s="84" t="n">
        <v>0.308965517241379</v>
      </c>
      <c r="E544" s="84" t="n">
        <v>0.421052631578948</v>
      </c>
      <c r="F544" s="84" t="n">
        <v>0.122448979591837</v>
      </c>
      <c r="G544" s="84" t="n">
        <v>0.331983805668016</v>
      </c>
      <c r="H544" s="84" t="n">
        <v>0.367176231746534</v>
      </c>
      <c r="I544" s="84" t="n">
        <v>0.387552694814474</v>
      </c>
      <c r="J544" s="84" t="n">
        <v>0.671756129834971</v>
      </c>
      <c r="K544" s="84" t="n">
        <v>0.6277514743492441</v>
      </c>
      <c r="L544" s="84" t="n">
        <v>0.823859802788937</v>
      </c>
      <c r="M544" s="84" t="n">
        <v>0.295336787564767</v>
      </c>
      <c r="N544" s="84" t="n">
        <v>0</v>
      </c>
      <c r="O544" s="84" t="n">
        <v>1</v>
      </c>
      <c r="P544" s="85">
        <f>AVERAGE(D544:I544)</f>
        <v/>
      </c>
      <c r="Q544" s="85">
        <f>AVERAGE(J544:L544)</f>
        <v/>
      </c>
      <c r="R544" s="85">
        <f>AVERAGE(M544:O544)</f>
        <v/>
      </c>
      <c r="S544" s="85">
        <f>'02_지표정의'!$C$22*P544+'02_지표정의'!$C$23*Q544+'02_지표정의'!$C$24*R544</f>
        <v/>
      </c>
      <c r="T544" s="73">
        <f>IF(OR(AND(B544="gemini",C544="gemma"),AND(B544="qwen3_6",C544="qwen"),AND(B544="mistral",C544="ministral")),1,0)</f>
        <v/>
      </c>
      <c r="U544" s="73">
        <f>IF(LEFT(A544,3)="PAT","특허","보고서")</f>
        <v/>
      </c>
      <c r="V544" s="86">
        <f>COUNTIF($S$2:$S$976,"&lt;"&amp;S544)+(COUNTIF($S$2:$S$976,"="&amp;S544)+1)/2</f>
        <v/>
      </c>
      <c r="W544" s="73">
        <f>IF(C544="qwen",0,COUNTIFS($C$2:$C$976,"&lt;&gt;qwen",$S$2:$S$976,"&lt;"&amp;S544)+1)</f>
        <v/>
      </c>
      <c r="X544" s="73">
        <f>IF(C544="ministral",0,COUNTIFS($C$2:$C$976,"&lt;&gt;ministral",$S$2:$S$976,"&lt;"&amp;S544)+1)</f>
        <v/>
      </c>
      <c r="Y544" s="73">
        <f>IF(C544="gemma",0,COUNTIFS($C$2:$C$976,"&lt;&gt;gemma",$S$2:$S$976,"&lt;"&amp;S544)+1)</f>
        <v/>
      </c>
      <c r="Z544" s="87">
        <f>COUNTIFS($B$2:$B$976,B544,$C$2:$C$976,C544,$S$2:$S$976,"&lt;"&amp;S544)+1</f>
        <v/>
      </c>
      <c r="AA544" s="88">
        <f>ABS(S544-SUMPRODUCT(('05B_가정검정'!$A$5:$A$19=B544)*('05B_가정검정'!$B$5:$B$19=C544)*'05B_가정검정'!$E$5:$E$19))</f>
        <v/>
      </c>
      <c r="AB544" s="88">
        <f>S544-AVERAGEIFS($S$2:$S$976,$B$2:$B$976,B544,$C$2:$C$976,C544)</f>
        <v/>
      </c>
    </row>
    <row r="545" ht="15" customHeight="1" s="68">
      <c r="A545" s="83" t="inlineStr">
        <is>
          <t>RPT-06</t>
        </is>
      </c>
      <c r="B545" s="83" t="inlineStr">
        <is>
          <t>claude</t>
        </is>
      </c>
      <c r="C545" s="83" t="inlineStr">
        <is>
          <t>gemma</t>
        </is>
      </c>
      <c r="D545" s="84" t="n">
        <v>0.242095754290876</v>
      </c>
      <c r="E545" s="84" t="n">
        <v>0.323809523809524</v>
      </c>
      <c r="F545" s="84" t="n">
        <v>0.0830670926517572</v>
      </c>
      <c r="G545" s="84" t="n">
        <v>0.184126984126984</v>
      </c>
      <c r="H545" s="84" t="n">
        <v>0.319859286335025</v>
      </c>
      <c r="I545" s="84" t="n">
        <v>0.275340778700515</v>
      </c>
      <c r="J545" s="84" t="n">
        <v>0.6425603326367439</v>
      </c>
      <c r="K545" s="84" t="n">
        <v>0.638741647042121</v>
      </c>
      <c r="L545" s="84" t="n">
        <v>0.802507507007534</v>
      </c>
      <c r="M545" s="84" t="n">
        <v>0.567073170731707</v>
      </c>
      <c r="N545" s="84" t="n">
        <v>0.521276595744681</v>
      </c>
      <c r="O545" s="84" t="n">
        <v>1</v>
      </c>
      <c r="P545" s="85">
        <f>AVERAGE(D545:I545)</f>
        <v/>
      </c>
      <c r="Q545" s="85">
        <f>AVERAGE(J545:L545)</f>
        <v/>
      </c>
      <c r="R545" s="85">
        <f>AVERAGE(M545:O545)</f>
        <v/>
      </c>
      <c r="S545" s="85">
        <f>'02_지표정의'!$C$22*P545+'02_지표정의'!$C$23*Q545+'02_지표정의'!$C$24*R545</f>
        <v/>
      </c>
      <c r="T545" s="73">
        <f>IF(OR(AND(B545="gemini",C545="gemma"),AND(B545="qwen3_6",C545="qwen"),AND(B545="mistral",C545="ministral")),1,0)</f>
        <v/>
      </c>
      <c r="U545" s="73">
        <f>IF(LEFT(A545,3)="PAT","특허","보고서")</f>
        <v/>
      </c>
      <c r="V545" s="86">
        <f>COUNTIF($S$2:$S$976,"&lt;"&amp;S545)+(COUNTIF($S$2:$S$976,"="&amp;S545)+1)/2</f>
        <v/>
      </c>
      <c r="W545" s="73">
        <f>IF(C545="qwen",0,COUNTIFS($C$2:$C$976,"&lt;&gt;qwen",$S$2:$S$976,"&lt;"&amp;S545)+1)</f>
        <v/>
      </c>
      <c r="X545" s="73">
        <f>IF(C545="ministral",0,COUNTIFS($C$2:$C$976,"&lt;&gt;ministral",$S$2:$S$976,"&lt;"&amp;S545)+1)</f>
        <v/>
      </c>
      <c r="Y545" s="73">
        <f>IF(C545="gemma",0,COUNTIFS($C$2:$C$976,"&lt;&gt;gemma",$S$2:$S$976,"&lt;"&amp;S545)+1)</f>
        <v/>
      </c>
      <c r="Z545" s="87">
        <f>COUNTIFS($B$2:$B$976,B545,$C$2:$C$976,C545,$S$2:$S$976,"&lt;"&amp;S545)+1</f>
        <v/>
      </c>
      <c r="AA545" s="88">
        <f>ABS(S545-SUMPRODUCT(('05B_가정검정'!$A$5:$A$19=B545)*('05B_가정검정'!$B$5:$B$19=C545)*'05B_가정검정'!$E$5:$E$19))</f>
        <v/>
      </c>
      <c r="AB545" s="88">
        <f>S545-AVERAGEIFS($S$2:$S$976,$B$2:$B$976,B545,$C$2:$C$976,C545)</f>
        <v/>
      </c>
    </row>
    <row r="546" ht="15" customHeight="1" s="68">
      <c r="A546" s="83" t="inlineStr">
        <is>
          <t>RPT-06</t>
        </is>
      </c>
      <c r="B546" s="83" t="inlineStr">
        <is>
          <t>claude</t>
        </is>
      </c>
      <c r="C546" s="83" t="inlineStr">
        <is>
          <t>ministral</t>
        </is>
      </c>
      <c r="D546" s="84" t="n">
        <v>0.280123583934089</v>
      </c>
      <c r="E546" s="84" t="n">
        <v>0.293398533007335</v>
      </c>
      <c r="F546" s="84" t="n">
        <v>0.0982800982800983</v>
      </c>
      <c r="G546" s="84" t="n">
        <v>0.205378973105135</v>
      </c>
      <c r="H546" s="84" t="n">
        <v>0.241953145955609</v>
      </c>
      <c r="I546" s="84" t="n">
        <v>0.307573055150536</v>
      </c>
      <c r="J546" s="84" t="n">
        <v>0.711076886271082</v>
      </c>
      <c r="K546" s="84" t="n">
        <v>0.683646405653903</v>
      </c>
      <c r="L546" s="84" t="n">
        <v>0.8275791509031361</v>
      </c>
      <c r="M546" s="84" t="n">
        <v>0.387254901960784</v>
      </c>
      <c r="N546" s="84" t="n">
        <v>0.22093023255814</v>
      </c>
      <c r="O546" s="84" t="n">
        <v>0.694976076555024</v>
      </c>
      <c r="P546" s="85">
        <f>AVERAGE(D546:I546)</f>
        <v/>
      </c>
      <c r="Q546" s="85">
        <f>AVERAGE(J546:L546)</f>
        <v/>
      </c>
      <c r="R546" s="85">
        <f>AVERAGE(M546:O546)</f>
        <v/>
      </c>
      <c r="S546" s="85">
        <f>'02_지표정의'!$C$22*P546+'02_지표정의'!$C$23*Q546+'02_지표정의'!$C$24*R546</f>
        <v/>
      </c>
      <c r="T546" s="73">
        <f>IF(OR(AND(B546="gemini",C546="gemma"),AND(B546="qwen3_6",C546="qwen"),AND(B546="mistral",C546="ministral")),1,0)</f>
        <v/>
      </c>
      <c r="U546" s="73">
        <f>IF(LEFT(A546,3)="PAT","특허","보고서")</f>
        <v/>
      </c>
      <c r="V546" s="86">
        <f>COUNTIF($S$2:$S$976,"&lt;"&amp;S546)+(COUNTIF($S$2:$S$976,"="&amp;S546)+1)/2</f>
        <v/>
      </c>
      <c r="W546" s="73">
        <f>IF(C546="qwen",0,COUNTIFS($C$2:$C$976,"&lt;&gt;qwen",$S$2:$S$976,"&lt;"&amp;S546)+1)</f>
        <v/>
      </c>
      <c r="X546" s="73">
        <f>IF(C546="ministral",0,COUNTIFS($C$2:$C$976,"&lt;&gt;ministral",$S$2:$S$976,"&lt;"&amp;S546)+1)</f>
        <v/>
      </c>
      <c r="Y546" s="73">
        <f>IF(C546="gemma",0,COUNTIFS($C$2:$C$976,"&lt;&gt;gemma",$S$2:$S$976,"&lt;"&amp;S546)+1)</f>
        <v/>
      </c>
      <c r="Z546" s="87">
        <f>COUNTIFS($B$2:$B$976,B546,$C$2:$C$976,C546,$S$2:$S$976,"&lt;"&amp;S546)+1</f>
        <v/>
      </c>
      <c r="AA546" s="88">
        <f>ABS(S546-SUMPRODUCT(('05B_가정검정'!$A$5:$A$19=B546)*('05B_가정검정'!$B$5:$B$19=C546)*'05B_가정검정'!$E$5:$E$19))</f>
        <v/>
      </c>
      <c r="AB546" s="88">
        <f>S546-AVERAGEIFS($S$2:$S$976,$B$2:$B$976,B546,$C$2:$C$976,C546)</f>
        <v/>
      </c>
    </row>
    <row r="547" ht="15" customHeight="1" s="68">
      <c r="A547" s="83" t="inlineStr">
        <is>
          <t>RPT-06</t>
        </is>
      </c>
      <c r="B547" s="83" t="inlineStr">
        <is>
          <t>claude</t>
        </is>
      </c>
      <c r="C547" s="83" t="inlineStr">
        <is>
          <t>qwen</t>
        </is>
      </c>
      <c r="D547" s="84" t="n">
        <v>0.250728862973761</v>
      </c>
      <c r="E547" s="84" t="n">
        <v>0.41726618705036</v>
      </c>
      <c r="F547" s="84" t="n">
        <v>0.144927536231884</v>
      </c>
      <c r="G547" s="84" t="n">
        <v>0.302158273381295</v>
      </c>
      <c r="H547" s="84" t="n">
        <v>0.355185192295256</v>
      </c>
      <c r="I547" s="84" t="n">
        <v>0.324665782704141</v>
      </c>
      <c r="J547" s="84" t="n">
        <v>0.686020129670593</v>
      </c>
      <c r="K547" s="84" t="n">
        <v>0.67180864860108</v>
      </c>
      <c r="L547" s="84" t="n">
        <v>0.8482095294962561</v>
      </c>
      <c r="M547" s="84" t="n">
        <v>0.695121951219512</v>
      </c>
      <c r="N547" s="84" t="n">
        <v>0.734042553191489</v>
      </c>
      <c r="O547" s="84" t="n">
        <v>1</v>
      </c>
      <c r="P547" s="85">
        <f>AVERAGE(D547:I547)</f>
        <v/>
      </c>
      <c r="Q547" s="85">
        <f>AVERAGE(J547:L547)</f>
        <v/>
      </c>
      <c r="R547" s="85">
        <f>AVERAGE(M547:O547)</f>
        <v/>
      </c>
      <c r="S547" s="85">
        <f>'02_지표정의'!$C$22*P547+'02_지표정의'!$C$23*Q547+'02_지표정의'!$C$24*R547</f>
        <v/>
      </c>
      <c r="T547" s="73">
        <f>IF(OR(AND(B547="gemini",C547="gemma"),AND(B547="qwen3_6",C547="qwen"),AND(B547="mistral",C547="ministral")),1,0)</f>
        <v/>
      </c>
      <c r="U547" s="73">
        <f>IF(LEFT(A547,3)="PAT","특허","보고서")</f>
        <v/>
      </c>
      <c r="V547" s="86">
        <f>COUNTIF($S$2:$S$976,"&lt;"&amp;S547)+(COUNTIF($S$2:$S$976,"="&amp;S547)+1)/2</f>
        <v/>
      </c>
      <c r="W547" s="73">
        <f>IF(C547="qwen",0,COUNTIFS($C$2:$C$976,"&lt;&gt;qwen",$S$2:$S$976,"&lt;"&amp;S547)+1)</f>
        <v/>
      </c>
      <c r="X547" s="73">
        <f>IF(C547="ministral",0,COUNTIFS($C$2:$C$976,"&lt;&gt;ministral",$S$2:$S$976,"&lt;"&amp;S547)+1)</f>
        <v/>
      </c>
      <c r="Y547" s="73">
        <f>IF(C547="gemma",0,COUNTIFS($C$2:$C$976,"&lt;&gt;gemma",$S$2:$S$976,"&lt;"&amp;S547)+1)</f>
        <v/>
      </c>
      <c r="Z547" s="87">
        <f>COUNTIFS($B$2:$B$976,B547,$C$2:$C$976,C547,$S$2:$S$976,"&lt;"&amp;S547)+1</f>
        <v/>
      </c>
      <c r="AA547" s="88">
        <f>ABS(S547-SUMPRODUCT(('05B_가정검정'!$A$5:$A$19=B547)*('05B_가정검정'!$B$5:$B$19=C547)*'05B_가정검정'!$E$5:$E$19))</f>
        <v/>
      </c>
      <c r="AB547" s="88">
        <f>S547-AVERAGEIFS($S$2:$S$976,$B$2:$B$976,B547,$C$2:$C$976,C547)</f>
        <v/>
      </c>
    </row>
    <row r="548" ht="15" customHeight="1" s="68">
      <c r="A548" s="83" t="inlineStr">
        <is>
          <t>RPT-06</t>
        </is>
      </c>
      <c r="B548" s="83" t="inlineStr">
        <is>
          <t>gemini</t>
        </is>
      </c>
      <c r="C548" s="83" t="inlineStr">
        <is>
          <t>gemma</t>
        </is>
      </c>
      <c r="D548" s="84" t="n">
        <v>0.233796296296296</v>
      </c>
      <c r="E548" s="84" t="n">
        <v>0.330645161290323</v>
      </c>
      <c r="F548" s="84" t="n">
        <v>0.113821138211382</v>
      </c>
      <c r="G548" s="84" t="n">
        <v>0.225806451612903</v>
      </c>
      <c r="H548" s="84" t="n">
        <v>0.25748237548061</v>
      </c>
      <c r="I548" s="84" t="n">
        <v>0.280892700355735</v>
      </c>
      <c r="J548" s="84" t="n">
        <v>0.722409880977344</v>
      </c>
      <c r="K548" s="84" t="n">
        <v>0.796825220593063</v>
      </c>
      <c r="L548" s="84" t="n">
        <v>0.908660415038141</v>
      </c>
      <c r="M548" s="84" t="n">
        <v>0.906542056074766</v>
      </c>
      <c r="N548" s="84" t="n">
        <v>0.916666666666667</v>
      </c>
      <c r="O548" s="84" t="n">
        <v>1</v>
      </c>
      <c r="P548" s="85">
        <f>AVERAGE(D548:I548)</f>
        <v/>
      </c>
      <c r="Q548" s="85">
        <f>AVERAGE(J548:L548)</f>
        <v/>
      </c>
      <c r="R548" s="85">
        <f>AVERAGE(M548:O548)</f>
        <v/>
      </c>
      <c r="S548" s="85">
        <f>'02_지표정의'!$C$22*P548+'02_지표정의'!$C$23*Q548+'02_지표정의'!$C$24*R548</f>
        <v/>
      </c>
      <c r="T548" s="73">
        <f>IF(OR(AND(B548="gemini",C548="gemma"),AND(B548="qwen3_6",C548="qwen"),AND(B548="mistral",C548="ministral")),1,0)</f>
        <v/>
      </c>
      <c r="U548" s="73">
        <f>IF(LEFT(A548,3)="PAT","특허","보고서")</f>
        <v/>
      </c>
      <c r="V548" s="86">
        <f>COUNTIF($S$2:$S$976,"&lt;"&amp;S548)+(COUNTIF($S$2:$S$976,"="&amp;S548)+1)/2</f>
        <v/>
      </c>
      <c r="W548" s="73">
        <f>IF(C548="qwen",0,COUNTIFS($C$2:$C$976,"&lt;&gt;qwen",$S$2:$S$976,"&lt;"&amp;S548)+1)</f>
        <v/>
      </c>
      <c r="X548" s="73">
        <f>IF(C548="ministral",0,COUNTIFS($C$2:$C$976,"&lt;&gt;ministral",$S$2:$S$976,"&lt;"&amp;S548)+1)</f>
        <v/>
      </c>
      <c r="Y548" s="73">
        <f>IF(C548="gemma",0,COUNTIFS($C$2:$C$976,"&lt;&gt;gemma",$S$2:$S$976,"&lt;"&amp;S548)+1)</f>
        <v/>
      </c>
      <c r="Z548" s="87">
        <f>COUNTIFS($B$2:$B$976,B548,$C$2:$C$976,C548,$S$2:$S$976,"&lt;"&amp;S548)+1</f>
        <v/>
      </c>
      <c r="AA548" s="88">
        <f>ABS(S548-SUMPRODUCT(('05B_가정검정'!$A$5:$A$19=B548)*('05B_가정검정'!$B$5:$B$19=C548)*'05B_가정검정'!$E$5:$E$19))</f>
        <v/>
      </c>
      <c r="AB548" s="88">
        <f>S548-AVERAGEIFS($S$2:$S$976,$B$2:$B$976,B548,$C$2:$C$976,C548)</f>
        <v/>
      </c>
    </row>
    <row r="549" ht="15" customHeight="1" s="68">
      <c r="A549" s="83" t="inlineStr">
        <is>
          <t>RPT-06</t>
        </is>
      </c>
      <c r="B549" s="83" t="inlineStr">
        <is>
          <t>gemini</t>
        </is>
      </c>
      <c r="C549" s="83" t="inlineStr">
        <is>
          <t>ministral</t>
        </is>
      </c>
      <c r="D549" s="84" t="n">
        <v>0.282967032967033</v>
      </c>
      <c r="E549" s="84" t="n">
        <v>0.251461988304094</v>
      </c>
      <c r="F549" s="84" t="n">
        <v>0.1</v>
      </c>
      <c r="G549" s="84" t="n">
        <v>0.192982456140351</v>
      </c>
      <c r="H549" s="84" t="n">
        <v>0.182542056344839</v>
      </c>
      <c r="I549" s="84" t="n">
        <v>0.320106318709838</v>
      </c>
      <c r="J549" s="84" t="n">
        <v>0.761039644485007</v>
      </c>
      <c r="K549" s="84" t="n">
        <v>0.788374287797391</v>
      </c>
      <c r="L549" s="84" t="n">
        <v>0.910953659913239</v>
      </c>
      <c r="M549" s="84" t="n">
        <v>0.237745098039216</v>
      </c>
      <c r="N549" s="84" t="n">
        <v>0.215116279069768</v>
      </c>
      <c r="O549" s="84" t="n">
        <v>0.661244019138756</v>
      </c>
      <c r="P549" s="85">
        <f>AVERAGE(D549:I549)</f>
        <v/>
      </c>
      <c r="Q549" s="85">
        <f>AVERAGE(J549:L549)</f>
        <v/>
      </c>
      <c r="R549" s="85">
        <f>AVERAGE(M549:O549)</f>
        <v/>
      </c>
      <c r="S549" s="85">
        <f>'02_지표정의'!$C$22*P549+'02_지표정의'!$C$23*Q549+'02_지표정의'!$C$24*R549</f>
        <v/>
      </c>
      <c r="T549" s="73">
        <f>IF(OR(AND(B549="gemini",C549="gemma"),AND(B549="qwen3_6",C549="qwen"),AND(B549="mistral",C549="ministral")),1,0)</f>
        <v/>
      </c>
      <c r="U549" s="73">
        <f>IF(LEFT(A549,3)="PAT","특허","보고서")</f>
        <v/>
      </c>
      <c r="V549" s="86">
        <f>COUNTIF($S$2:$S$976,"&lt;"&amp;S549)+(COUNTIF($S$2:$S$976,"="&amp;S549)+1)/2</f>
        <v/>
      </c>
      <c r="W549" s="73">
        <f>IF(C549="qwen",0,COUNTIFS($C$2:$C$976,"&lt;&gt;qwen",$S$2:$S$976,"&lt;"&amp;S549)+1)</f>
        <v/>
      </c>
      <c r="X549" s="73">
        <f>IF(C549="ministral",0,COUNTIFS($C$2:$C$976,"&lt;&gt;ministral",$S$2:$S$976,"&lt;"&amp;S549)+1)</f>
        <v/>
      </c>
      <c r="Y549" s="73">
        <f>IF(C549="gemma",0,COUNTIFS($C$2:$C$976,"&lt;&gt;gemma",$S$2:$S$976,"&lt;"&amp;S549)+1)</f>
        <v/>
      </c>
      <c r="Z549" s="87">
        <f>COUNTIFS($B$2:$B$976,B549,$C$2:$C$976,C549,$S$2:$S$976,"&lt;"&amp;S549)+1</f>
        <v/>
      </c>
      <c r="AA549" s="88">
        <f>ABS(S549-SUMPRODUCT(('05B_가정검정'!$A$5:$A$19=B549)*('05B_가정검정'!$B$5:$B$19=C549)*'05B_가정검정'!$E$5:$E$19))</f>
        <v/>
      </c>
      <c r="AB549" s="88">
        <f>S549-AVERAGEIFS($S$2:$S$976,$B$2:$B$976,B549,$C$2:$C$976,C549)</f>
        <v/>
      </c>
    </row>
    <row r="550" ht="15" customHeight="1" s="68">
      <c r="A550" s="83" t="inlineStr">
        <is>
          <t>RPT-06</t>
        </is>
      </c>
      <c r="B550" s="83" t="inlineStr">
        <is>
          <t>gemini</t>
        </is>
      </c>
      <c r="C550" s="83" t="inlineStr">
        <is>
          <t>qwen</t>
        </is>
      </c>
      <c r="D550" s="84" t="n">
        <v>0.241730279898219</v>
      </c>
      <c r="E550" s="84" t="n">
        <v>0.388625592417062</v>
      </c>
      <c r="F550" s="84" t="n">
        <v>0.105263157894737</v>
      </c>
      <c r="G550" s="84" t="n">
        <v>0.255924170616114</v>
      </c>
      <c r="H550" s="84" t="n">
        <v>0.282473694899677</v>
      </c>
      <c r="I550" s="84" t="n">
        <v>0.306394935026098</v>
      </c>
      <c r="J550" s="84" t="n">
        <v>0.761922245177081</v>
      </c>
      <c r="K550" s="84" t="n">
        <v>0.752122154118724</v>
      </c>
      <c r="L550" s="84" t="n">
        <v>0.888465816367724</v>
      </c>
      <c r="M550" s="84" t="n">
        <v>0.702898550724638</v>
      </c>
      <c r="N550" s="84" t="n">
        <v>0.679012345679012</v>
      </c>
      <c r="O550" s="84" t="n">
        <v>1</v>
      </c>
      <c r="P550" s="85">
        <f>AVERAGE(D550:I550)</f>
        <v/>
      </c>
      <c r="Q550" s="85">
        <f>AVERAGE(J550:L550)</f>
        <v/>
      </c>
      <c r="R550" s="85">
        <f>AVERAGE(M550:O550)</f>
        <v/>
      </c>
      <c r="S550" s="85">
        <f>'02_지표정의'!$C$22*P550+'02_지표정의'!$C$23*Q550+'02_지표정의'!$C$24*R550</f>
        <v/>
      </c>
      <c r="T550" s="73">
        <f>IF(OR(AND(B550="gemini",C550="gemma"),AND(B550="qwen3_6",C550="qwen"),AND(B550="mistral",C550="ministral")),1,0)</f>
        <v/>
      </c>
      <c r="U550" s="73">
        <f>IF(LEFT(A550,3)="PAT","특허","보고서")</f>
        <v/>
      </c>
      <c r="V550" s="86">
        <f>COUNTIF($S$2:$S$976,"&lt;"&amp;S550)+(COUNTIF($S$2:$S$976,"="&amp;S550)+1)/2</f>
        <v/>
      </c>
      <c r="W550" s="73">
        <f>IF(C550="qwen",0,COUNTIFS($C$2:$C$976,"&lt;&gt;qwen",$S$2:$S$976,"&lt;"&amp;S550)+1)</f>
        <v/>
      </c>
      <c r="X550" s="73">
        <f>IF(C550="ministral",0,COUNTIFS($C$2:$C$976,"&lt;&gt;ministral",$S$2:$S$976,"&lt;"&amp;S550)+1)</f>
        <v/>
      </c>
      <c r="Y550" s="73">
        <f>IF(C550="gemma",0,COUNTIFS($C$2:$C$976,"&lt;&gt;gemma",$S$2:$S$976,"&lt;"&amp;S550)+1)</f>
        <v/>
      </c>
      <c r="Z550" s="87">
        <f>COUNTIFS($B$2:$B$976,B550,$C$2:$C$976,C550,$S$2:$S$976,"&lt;"&amp;S550)+1</f>
        <v/>
      </c>
      <c r="AA550" s="88">
        <f>ABS(S550-SUMPRODUCT(('05B_가정검정'!$A$5:$A$19=B550)*('05B_가정검정'!$B$5:$B$19=C550)*'05B_가정검정'!$E$5:$E$19))</f>
        <v/>
      </c>
      <c r="AB550" s="88">
        <f>S550-AVERAGEIFS($S$2:$S$976,$B$2:$B$976,B550,$C$2:$C$976,C550)</f>
        <v/>
      </c>
    </row>
    <row r="551" ht="15" customHeight="1" s="68">
      <c r="A551" s="83" t="inlineStr">
        <is>
          <t>RPT-06</t>
        </is>
      </c>
      <c r="B551" s="83" t="inlineStr">
        <is>
          <t>mistral</t>
        </is>
      </c>
      <c r="C551" s="83" t="inlineStr">
        <is>
          <t>gemma</t>
        </is>
      </c>
      <c r="D551" s="84" t="n">
        <v>0.278846153846154</v>
      </c>
      <c r="E551" s="84" t="n">
        <v>0.329113924050633</v>
      </c>
      <c r="F551" s="84" t="n">
        <v>0.119148936170213</v>
      </c>
      <c r="G551" s="84" t="n">
        <v>0.227848101265823</v>
      </c>
      <c r="H551" s="84" t="n">
        <v>0.27982925293858</v>
      </c>
      <c r="I551" s="84" t="n">
        <v>0.214787599618495</v>
      </c>
      <c r="J551" s="84" t="n">
        <v>0.700487621845073</v>
      </c>
      <c r="K551" s="84" t="n">
        <v>0.655970758922966</v>
      </c>
      <c r="L551" s="84" t="n">
        <v>0.778217107764291</v>
      </c>
      <c r="M551" s="84" t="n">
        <v>0.659259259259259</v>
      </c>
      <c r="N551" s="84" t="n">
        <v>0.6621621621621619</v>
      </c>
      <c r="O551" s="84" t="n">
        <v>1</v>
      </c>
      <c r="P551" s="85">
        <f>AVERAGE(D551:I551)</f>
        <v/>
      </c>
      <c r="Q551" s="85">
        <f>AVERAGE(J551:L551)</f>
        <v/>
      </c>
      <c r="R551" s="85">
        <f>AVERAGE(M551:O551)</f>
        <v/>
      </c>
      <c r="S551" s="85">
        <f>'02_지표정의'!$C$22*P551+'02_지표정의'!$C$23*Q551+'02_지표정의'!$C$24*R551</f>
        <v/>
      </c>
      <c r="T551" s="73">
        <f>IF(OR(AND(B551="gemini",C551="gemma"),AND(B551="qwen3_6",C551="qwen"),AND(B551="mistral",C551="ministral")),1,0)</f>
        <v/>
      </c>
      <c r="U551" s="73">
        <f>IF(LEFT(A551,3)="PAT","특허","보고서")</f>
        <v/>
      </c>
      <c r="V551" s="86">
        <f>COUNTIF($S$2:$S$976,"&lt;"&amp;S551)+(COUNTIF($S$2:$S$976,"="&amp;S551)+1)/2</f>
        <v/>
      </c>
      <c r="W551" s="73">
        <f>IF(C551="qwen",0,COUNTIFS($C$2:$C$976,"&lt;&gt;qwen",$S$2:$S$976,"&lt;"&amp;S551)+1)</f>
        <v/>
      </c>
      <c r="X551" s="73">
        <f>IF(C551="ministral",0,COUNTIFS($C$2:$C$976,"&lt;&gt;ministral",$S$2:$S$976,"&lt;"&amp;S551)+1)</f>
        <v/>
      </c>
      <c r="Y551" s="73">
        <f>IF(C551="gemma",0,COUNTIFS($C$2:$C$976,"&lt;&gt;gemma",$S$2:$S$976,"&lt;"&amp;S551)+1)</f>
        <v/>
      </c>
      <c r="Z551" s="87">
        <f>COUNTIFS($B$2:$B$976,B551,$C$2:$C$976,C551,$S$2:$S$976,"&lt;"&amp;S551)+1</f>
        <v/>
      </c>
      <c r="AA551" s="88">
        <f>ABS(S551-SUMPRODUCT(('05B_가정검정'!$A$5:$A$19=B551)*('05B_가정검정'!$B$5:$B$19=C551)*'05B_가정검정'!$E$5:$E$19))</f>
        <v/>
      </c>
      <c r="AB551" s="88">
        <f>S551-AVERAGEIFS($S$2:$S$976,$B$2:$B$976,B551,$C$2:$C$976,C551)</f>
        <v/>
      </c>
    </row>
    <row r="552" ht="15" customHeight="1" s="68">
      <c r="A552" s="83" t="inlineStr">
        <is>
          <t>RPT-06</t>
        </is>
      </c>
      <c r="B552" s="83" t="inlineStr">
        <is>
          <t>mistral</t>
        </is>
      </c>
      <c r="C552" s="83" t="inlineStr">
        <is>
          <t>ministral</t>
        </is>
      </c>
      <c r="D552" s="84" t="n">
        <v>0.359195402298851</v>
      </c>
      <c r="E552" s="84" t="n">
        <v>0.290030211480363</v>
      </c>
      <c r="F552" s="84" t="n">
        <v>0.151975683890578</v>
      </c>
      <c r="G552" s="84" t="n">
        <v>0.22356495468278</v>
      </c>
      <c r="H552" s="84" t="n">
        <v>0.209306291969679</v>
      </c>
      <c r="I552" s="84" t="n">
        <v>0.393427867780809</v>
      </c>
      <c r="J552" s="84" t="n">
        <v>0.7007169164799359</v>
      </c>
      <c r="K552" s="84" t="n">
        <v>0.6929825361532</v>
      </c>
      <c r="L552" s="84" t="n">
        <v>0.799323443761911</v>
      </c>
      <c r="M552" s="84" t="n">
        <v>0.313725490196078</v>
      </c>
      <c r="N552" s="84" t="n">
        <v>0.191860465116279</v>
      </c>
      <c r="O552" s="84" t="n">
        <v>0.661244019138756</v>
      </c>
      <c r="P552" s="85">
        <f>AVERAGE(D552:I552)</f>
        <v/>
      </c>
      <c r="Q552" s="85">
        <f>AVERAGE(J552:L552)</f>
        <v/>
      </c>
      <c r="R552" s="85">
        <f>AVERAGE(M552:O552)</f>
        <v/>
      </c>
      <c r="S552" s="85">
        <f>'02_지표정의'!$C$22*P552+'02_지표정의'!$C$23*Q552+'02_지표정의'!$C$24*R552</f>
        <v/>
      </c>
      <c r="T552" s="73">
        <f>IF(OR(AND(B552="gemini",C552="gemma"),AND(B552="qwen3_6",C552="qwen"),AND(B552="mistral",C552="ministral")),1,0)</f>
        <v/>
      </c>
      <c r="U552" s="73">
        <f>IF(LEFT(A552,3)="PAT","특허","보고서")</f>
        <v/>
      </c>
      <c r="V552" s="86">
        <f>COUNTIF($S$2:$S$976,"&lt;"&amp;S552)+(COUNTIF($S$2:$S$976,"="&amp;S552)+1)/2</f>
        <v/>
      </c>
      <c r="W552" s="73">
        <f>IF(C552="qwen",0,COUNTIFS($C$2:$C$976,"&lt;&gt;qwen",$S$2:$S$976,"&lt;"&amp;S552)+1)</f>
        <v/>
      </c>
      <c r="X552" s="73">
        <f>IF(C552="ministral",0,COUNTIFS($C$2:$C$976,"&lt;&gt;ministral",$S$2:$S$976,"&lt;"&amp;S552)+1)</f>
        <v/>
      </c>
      <c r="Y552" s="73">
        <f>IF(C552="gemma",0,COUNTIFS($C$2:$C$976,"&lt;&gt;gemma",$S$2:$S$976,"&lt;"&amp;S552)+1)</f>
        <v/>
      </c>
      <c r="Z552" s="87">
        <f>COUNTIFS($B$2:$B$976,B552,$C$2:$C$976,C552,$S$2:$S$976,"&lt;"&amp;S552)+1</f>
        <v/>
      </c>
      <c r="AA552" s="88">
        <f>ABS(S552-SUMPRODUCT(('05B_가정검정'!$A$5:$A$19=B552)*('05B_가정검정'!$B$5:$B$19=C552)*'05B_가정검정'!$E$5:$E$19))</f>
        <v/>
      </c>
      <c r="AB552" s="88">
        <f>S552-AVERAGEIFS($S$2:$S$976,$B$2:$B$976,B552,$C$2:$C$976,C552)</f>
        <v/>
      </c>
    </row>
    <row r="553" ht="15" customHeight="1" s="68">
      <c r="A553" s="83" t="inlineStr">
        <is>
          <t>RPT-06</t>
        </is>
      </c>
      <c r="B553" s="83" t="inlineStr">
        <is>
          <t>mistral</t>
        </is>
      </c>
      <c r="C553" s="83" t="inlineStr">
        <is>
          <t>qwen</t>
        </is>
      </c>
      <c r="D553" s="84" t="n">
        <v>0.297082228116711</v>
      </c>
      <c r="E553" s="84" t="n">
        <v>0.43</v>
      </c>
      <c r="F553" s="84" t="n">
        <v>0.151515151515152</v>
      </c>
      <c r="G553" s="84" t="n">
        <v>0.3</v>
      </c>
      <c r="H553" s="84" t="n">
        <v>0.314591653268966</v>
      </c>
      <c r="I553" s="84" t="n">
        <v>0.324219524316131</v>
      </c>
      <c r="J553" s="84" t="n">
        <v>0.706833911471772</v>
      </c>
      <c r="K553" s="84" t="n">
        <v>0.70580611746434</v>
      </c>
      <c r="L553" s="84" t="n">
        <v>0.8504917510805819</v>
      </c>
      <c r="M553" s="84" t="n">
        <v>0.557971014492754</v>
      </c>
      <c r="N553" s="84" t="n">
        <v>0.432098765432099</v>
      </c>
      <c r="O553" s="84" t="n">
        <v>1</v>
      </c>
      <c r="P553" s="85">
        <f>AVERAGE(D553:I553)</f>
        <v/>
      </c>
      <c r="Q553" s="85">
        <f>AVERAGE(J553:L553)</f>
        <v/>
      </c>
      <c r="R553" s="85">
        <f>AVERAGE(M553:O553)</f>
        <v/>
      </c>
      <c r="S553" s="85">
        <f>'02_지표정의'!$C$22*P553+'02_지표정의'!$C$23*Q553+'02_지표정의'!$C$24*R553</f>
        <v/>
      </c>
      <c r="T553" s="73">
        <f>IF(OR(AND(B553="gemini",C553="gemma"),AND(B553="qwen3_6",C553="qwen"),AND(B553="mistral",C553="ministral")),1,0)</f>
        <v/>
      </c>
      <c r="U553" s="73">
        <f>IF(LEFT(A553,3)="PAT","특허","보고서")</f>
        <v/>
      </c>
      <c r="V553" s="86">
        <f>COUNTIF($S$2:$S$976,"&lt;"&amp;S553)+(COUNTIF($S$2:$S$976,"="&amp;S553)+1)/2</f>
        <v/>
      </c>
      <c r="W553" s="73">
        <f>IF(C553="qwen",0,COUNTIFS($C$2:$C$976,"&lt;&gt;qwen",$S$2:$S$976,"&lt;"&amp;S553)+1)</f>
        <v/>
      </c>
      <c r="X553" s="73">
        <f>IF(C553="ministral",0,COUNTIFS($C$2:$C$976,"&lt;&gt;ministral",$S$2:$S$976,"&lt;"&amp;S553)+1)</f>
        <v/>
      </c>
      <c r="Y553" s="73">
        <f>IF(C553="gemma",0,COUNTIFS($C$2:$C$976,"&lt;&gt;gemma",$S$2:$S$976,"&lt;"&amp;S553)+1)</f>
        <v/>
      </c>
      <c r="Z553" s="87">
        <f>COUNTIFS($B$2:$B$976,B553,$C$2:$C$976,C553,$S$2:$S$976,"&lt;"&amp;S553)+1</f>
        <v/>
      </c>
      <c r="AA553" s="88">
        <f>ABS(S553-SUMPRODUCT(('05B_가정검정'!$A$5:$A$19=B553)*('05B_가정검정'!$B$5:$B$19=C553)*'05B_가정검정'!$E$5:$E$19))</f>
        <v/>
      </c>
      <c r="AB553" s="88">
        <f>S553-AVERAGEIFS($S$2:$S$976,$B$2:$B$976,B553,$C$2:$C$976,C553)</f>
        <v/>
      </c>
    </row>
    <row r="554" ht="15" customHeight="1" s="68">
      <c r="A554" s="83" t="inlineStr">
        <is>
          <t>RPT-06</t>
        </is>
      </c>
      <c r="B554" s="83" t="inlineStr">
        <is>
          <t>qwen3_6</t>
        </is>
      </c>
      <c r="C554" s="83" t="inlineStr">
        <is>
          <t>gemma</t>
        </is>
      </c>
      <c r="D554" s="84" t="n">
        <v>0.259713701431493</v>
      </c>
      <c r="E554" s="84" t="n">
        <v>0.373134328358209</v>
      </c>
      <c r="F554" s="84" t="n">
        <v>0.105263157894737</v>
      </c>
      <c r="G554" s="84" t="n">
        <v>0.223880597014925</v>
      </c>
      <c r="H554" s="84" t="n">
        <v>0.376543549229385</v>
      </c>
      <c r="I554" s="84" t="n">
        <v>0.328302430980226</v>
      </c>
      <c r="J554" s="84" t="n">
        <v>0.723187788047908</v>
      </c>
      <c r="K554" s="84" t="n">
        <v>0.661634065176</v>
      </c>
      <c r="L554" s="84" t="n">
        <v>0.827616432154766</v>
      </c>
      <c r="M554" s="84" t="n">
        <v>0.906542056074766</v>
      </c>
      <c r="N554" s="84" t="n">
        <v>0.916666666666667</v>
      </c>
      <c r="O554" s="84" t="n">
        <v>1</v>
      </c>
      <c r="P554" s="85">
        <f>AVERAGE(D554:I554)</f>
        <v/>
      </c>
      <c r="Q554" s="85">
        <f>AVERAGE(J554:L554)</f>
        <v/>
      </c>
      <c r="R554" s="85">
        <f>AVERAGE(M554:O554)</f>
        <v/>
      </c>
      <c r="S554" s="85">
        <f>'02_지표정의'!$C$22*P554+'02_지표정의'!$C$23*Q554+'02_지표정의'!$C$24*R554</f>
        <v/>
      </c>
      <c r="T554" s="73">
        <f>IF(OR(AND(B554="gemini",C554="gemma"),AND(B554="qwen3_6",C554="qwen"),AND(B554="mistral",C554="ministral")),1,0)</f>
        <v/>
      </c>
      <c r="U554" s="73">
        <f>IF(LEFT(A554,3)="PAT","특허","보고서")</f>
        <v/>
      </c>
      <c r="V554" s="86">
        <f>COUNTIF($S$2:$S$976,"&lt;"&amp;S554)+(COUNTIF($S$2:$S$976,"="&amp;S554)+1)/2</f>
        <v/>
      </c>
      <c r="W554" s="73">
        <f>IF(C554="qwen",0,COUNTIFS($C$2:$C$976,"&lt;&gt;qwen",$S$2:$S$976,"&lt;"&amp;S554)+1)</f>
        <v/>
      </c>
      <c r="X554" s="73">
        <f>IF(C554="ministral",0,COUNTIFS($C$2:$C$976,"&lt;&gt;ministral",$S$2:$S$976,"&lt;"&amp;S554)+1)</f>
        <v/>
      </c>
      <c r="Y554" s="73">
        <f>IF(C554="gemma",0,COUNTIFS($C$2:$C$976,"&lt;&gt;gemma",$S$2:$S$976,"&lt;"&amp;S554)+1)</f>
        <v/>
      </c>
      <c r="Z554" s="87">
        <f>COUNTIFS($B$2:$B$976,B554,$C$2:$C$976,C554,$S$2:$S$976,"&lt;"&amp;S554)+1</f>
        <v/>
      </c>
      <c r="AA554" s="88">
        <f>ABS(S554-SUMPRODUCT(('05B_가정검정'!$A$5:$A$19=B554)*('05B_가정검정'!$B$5:$B$19=C554)*'05B_가정검정'!$E$5:$E$19))</f>
        <v/>
      </c>
      <c r="AB554" s="88">
        <f>S554-AVERAGEIFS($S$2:$S$976,$B$2:$B$976,B554,$C$2:$C$976,C554)</f>
        <v/>
      </c>
    </row>
    <row r="555" ht="15" customHeight="1" s="68">
      <c r="A555" s="83" t="inlineStr">
        <is>
          <t>RPT-06</t>
        </is>
      </c>
      <c r="B555" s="83" t="inlineStr">
        <is>
          <t>qwen3_6</t>
        </is>
      </c>
      <c r="C555" s="83" t="inlineStr">
        <is>
          <t>ministral</t>
        </is>
      </c>
      <c r="D555" s="84" t="n">
        <v>0.261282660332542</v>
      </c>
      <c r="E555" s="84" t="n">
        <v>0.287292817679558</v>
      </c>
      <c r="F555" s="84" t="n">
        <v>0.111111111111111</v>
      </c>
      <c r="G555" s="84" t="n">
        <v>0.209944751381216</v>
      </c>
      <c r="H555" s="84" t="n">
        <v>0.217700508191551</v>
      </c>
      <c r="I555" s="84" t="n">
        <v>0.290490370541581</v>
      </c>
      <c r="J555" s="84" t="n">
        <v>0.72145152264001</v>
      </c>
      <c r="K555" s="84" t="n">
        <v>0.69416111696192</v>
      </c>
      <c r="L555" s="84" t="n">
        <v>0.83254074132039</v>
      </c>
      <c r="M555" s="84" t="n">
        <v>0.237745098039216</v>
      </c>
      <c r="N555" s="84" t="n">
        <v>0.215116279069768</v>
      </c>
      <c r="O555" s="84" t="n">
        <v>0.661244019138756</v>
      </c>
      <c r="P555" s="85">
        <f>AVERAGE(D555:I555)</f>
        <v/>
      </c>
      <c r="Q555" s="85">
        <f>AVERAGE(J555:L555)</f>
        <v/>
      </c>
      <c r="R555" s="85">
        <f>AVERAGE(M555:O555)</f>
        <v/>
      </c>
      <c r="S555" s="85">
        <f>'02_지표정의'!$C$22*P555+'02_지표정의'!$C$23*Q555+'02_지표정의'!$C$24*R555</f>
        <v/>
      </c>
      <c r="T555" s="73">
        <f>IF(OR(AND(B555="gemini",C555="gemma"),AND(B555="qwen3_6",C555="qwen"),AND(B555="mistral",C555="ministral")),1,0)</f>
        <v/>
      </c>
      <c r="U555" s="73">
        <f>IF(LEFT(A555,3)="PAT","특허","보고서")</f>
        <v/>
      </c>
      <c r="V555" s="86">
        <f>COUNTIF($S$2:$S$976,"&lt;"&amp;S555)+(COUNTIF($S$2:$S$976,"="&amp;S555)+1)/2</f>
        <v/>
      </c>
      <c r="W555" s="73">
        <f>IF(C555="qwen",0,COUNTIFS($C$2:$C$976,"&lt;&gt;qwen",$S$2:$S$976,"&lt;"&amp;S555)+1)</f>
        <v/>
      </c>
      <c r="X555" s="73">
        <f>IF(C555="ministral",0,COUNTIFS($C$2:$C$976,"&lt;&gt;ministral",$S$2:$S$976,"&lt;"&amp;S555)+1)</f>
        <v/>
      </c>
      <c r="Y555" s="73">
        <f>IF(C555="gemma",0,COUNTIFS($C$2:$C$976,"&lt;&gt;gemma",$S$2:$S$976,"&lt;"&amp;S555)+1)</f>
        <v/>
      </c>
      <c r="Z555" s="87">
        <f>COUNTIFS($B$2:$B$976,B555,$C$2:$C$976,C555,$S$2:$S$976,"&lt;"&amp;S555)+1</f>
        <v/>
      </c>
      <c r="AA555" s="88">
        <f>ABS(S555-SUMPRODUCT(('05B_가정검정'!$A$5:$A$19=B555)*('05B_가정검정'!$B$5:$B$19=C555)*'05B_가정검정'!$E$5:$E$19))</f>
        <v/>
      </c>
      <c r="AB555" s="88">
        <f>S555-AVERAGEIFS($S$2:$S$976,$B$2:$B$976,B555,$C$2:$C$976,C555)</f>
        <v/>
      </c>
    </row>
    <row r="556" ht="15" customHeight="1" s="68">
      <c r="A556" s="83" t="inlineStr">
        <is>
          <t>RPT-06</t>
        </is>
      </c>
      <c r="B556" s="83" t="inlineStr">
        <is>
          <t>qwen3_6</t>
        </is>
      </c>
      <c r="C556" s="83" t="inlineStr">
        <is>
          <t>qwen</t>
        </is>
      </c>
      <c r="D556" s="84" t="n">
        <v>0.282222222222222</v>
      </c>
      <c r="E556" s="84" t="n">
        <v>0.406926406926407</v>
      </c>
      <c r="F556" s="84" t="n">
        <v>0.165938864628821</v>
      </c>
      <c r="G556" s="84" t="n">
        <v>0.303030303030303</v>
      </c>
      <c r="H556" s="84" t="n">
        <v>0.414066372883097</v>
      </c>
      <c r="I556" s="84" t="n">
        <v>0.427385393991657</v>
      </c>
      <c r="J556" s="84" t="n">
        <v>0.736498629240817</v>
      </c>
      <c r="K556" s="84" t="n">
        <v>0.729471562189309</v>
      </c>
      <c r="L556" s="84" t="n">
        <v>0.879792257898229</v>
      </c>
      <c r="M556" s="84" t="n">
        <v>0.702898550724638</v>
      </c>
      <c r="N556" s="84" t="n">
        <v>0.679012345679012</v>
      </c>
      <c r="O556" s="84" t="n">
        <v>1</v>
      </c>
      <c r="P556" s="85">
        <f>AVERAGE(D556:I556)</f>
        <v/>
      </c>
      <c r="Q556" s="85">
        <f>AVERAGE(J556:L556)</f>
        <v/>
      </c>
      <c r="R556" s="85">
        <f>AVERAGE(M556:O556)</f>
        <v/>
      </c>
      <c r="S556" s="85">
        <f>'02_지표정의'!$C$22*P556+'02_지표정의'!$C$23*Q556+'02_지표정의'!$C$24*R556</f>
        <v/>
      </c>
      <c r="T556" s="73">
        <f>IF(OR(AND(B556="gemini",C556="gemma"),AND(B556="qwen3_6",C556="qwen"),AND(B556="mistral",C556="ministral")),1,0)</f>
        <v/>
      </c>
      <c r="U556" s="73">
        <f>IF(LEFT(A556,3)="PAT","특허","보고서")</f>
        <v/>
      </c>
      <c r="V556" s="86">
        <f>COUNTIF($S$2:$S$976,"&lt;"&amp;S556)+(COUNTIF($S$2:$S$976,"="&amp;S556)+1)/2</f>
        <v/>
      </c>
      <c r="W556" s="73">
        <f>IF(C556="qwen",0,COUNTIFS($C$2:$C$976,"&lt;&gt;qwen",$S$2:$S$976,"&lt;"&amp;S556)+1)</f>
        <v/>
      </c>
      <c r="X556" s="73">
        <f>IF(C556="ministral",0,COUNTIFS($C$2:$C$976,"&lt;&gt;ministral",$S$2:$S$976,"&lt;"&amp;S556)+1)</f>
        <v/>
      </c>
      <c r="Y556" s="73">
        <f>IF(C556="gemma",0,COUNTIFS($C$2:$C$976,"&lt;&gt;gemma",$S$2:$S$976,"&lt;"&amp;S556)+1)</f>
        <v/>
      </c>
      <c r="Z556" s="87">
        <f>COUNTIFS($B$2:$B$976,B556,$C$2:$C$976,C556,$S$2:$S$976,"&lt;"&amp;S556)+1</f>
        <v/>
      </c>
      <c r="AA556" s="88">
        <f>ABS(S556-SUMPRODUCT(('05B_가정검정'!$A$5:$A$19=B556)*('05B_가정검정'!$B$5:$B$19=C556)*'05B_가정검정'!$E$5:$E$19))</f>
        <v/>
      </c>
      <c r="AB556" s="88">
        <f>S556-AVERAGEIFS($S$2:$S$976,$B$2:$B$976,B556,$C$2:$C$976,C556)</f>
        <v/>
      </c>
    </row>
    <row r="557" ht="15" customHeight="1" s="68">
      <c r="A557" s="83" t="inlineStr">
        <is>
          <t>RPT-07</t>
        </is>
      </c>
      <c r="B557" s="83" t="inlineStr">
        <is>
          <t>chatgpt</t>
        </is>
      </c>
      <c r="C557" s="83" t="inlineStr">
        <is>
          <t>gemma</t>
        </is>
      </c>
      <c r="D557" s="84" t="n">
        <v>0.249211356466877</v>
      </c>
      <c r="E557" s="84" t="n">
        <v>0.333333333333333</v>
      </c>
      <c r="F557" s="84" t="n">
        <v>0.112244897959184</v>
      </c>
      <c r="G557" s="84" t="n">
        <v>0.262626262626263</v>
      </c>
      <c r="H557" s="84" t="n">
        <v>0.229964661119394</v>
      </c>
      <c r="I557" s="84" t="n">
        <v>0.257218566393269</v>
      </c>
      <c r="J557" s="84" t="n">
        <v>0.675810592275789</v>
      </c>
      <c r="K557" s="84" t="n">
        <v>0.635831341899296</v>
      </c>
      <c r="L557" s="84" t="n">
        <v>0.758062121379068</v>
      </c>
      <c r="M557" s="84" t="n">
        <v>0.515151515151515</v>
      </c>
      <c r="N557" s="84" t="n">
        <v>0.213483146067416</v>
      </c>
      <c r="O557" s="84" t="n">
        <v>1</v>
      </c>
      <c r="P557" s="85">
        <f>AVERAGE(D557:I557)</f>
        <v/>
      </c>
      <c r="Q557" s="85">
        <f>AVERAGE(J557:L557)</f>
        <v/>
      </c>
      <c r="R557" s="85">
        <f>AVERAGE(M557:O557)</f>
        <v/>
      </c>
      <c r="S557" s="85">
        <f>'02_지표정의'!$C$22*P557+'02_지표정의'!$C$23*Q557+'02_지표정의'!$C$24*R557</f>
        <v/>
      </c>
      <c r="T557" s="73">
        <f>IF(OR(AND(B557="gemini",C557="gemma"),AND(B557="qwen3_6",C557="qwen"),AND(B557="mistral",C557="ministral")),1,0)</f>
        <v/>
      </c>
      <c r="U557" s="73">
        <f>IF(LEFT(A557,3)="PAT","특허","보고서")</f>
        <v/>
      </c>
      <c r="V557" s="86">
        <f>COUNTIF($S$2:$S$976,"&lt;"&amp;S557)+(COUNTIF($S$2:$S$976,"="&amp;S557)+1)/2</f>
        <v/>
      </c>
      <c r="W557" s="73">
        <f>IF(C557="qwen",0,COUNTIFS($C$2:$C$976,"&lt;&gt;qwen",$S$2:$S$976,"&lt;"&amp;S557)+1)</f>
        <v/>
      </c>
      <c r="X557" s="73">
        <f>IF(C557="ministral",0,COUNTIFS($C$2:$C$976,"&lt;&gt;ministral",$S$2:$S$976,"&lt;"&amp;S557)+1)</f>
        <v/>
      </c>
      <c r="Y557" s="73">
        <f>IF(C557="gemma",0,COUNTIFS($C$2:$C$976,"&lt;&gt;gemma",$S$2:$S$976,"&lt;"&amp;S557)+1)</f>
        <v/>
      </c>
      <c r="Z557" s="87">
        <f>COUNTIFS($B$2:$B$976,B557,$C$2:$C$976,C557,$S$2:$S$976,"&lt;"&amp;S557)+1</f>
        <v/>
      </c>
      <c r="AA557" s="88">
        <f>ABS(S557-SUMPRODUCT(('05B_가정검정'!$A$5:$A$19=B557)*('05B_가정검정'!$B$5:$B$19=C557)*'05B_가정검정'!$E$5:$E$19))</f>
        <v/>
      </c>
      <c r="AB557" s="88">
        <f>S557-AVERAGEIFS($S$2:$S$976,$B$2:$B$976,B557,$C$2:$C$976,C557)</f>
        <v/>
      </c>
    </row>
    <row r="558" ht="15" customHeight="1" s="68">
      <c r="A558" s="83" t="inlineStr">
        <is>
          <t>RPT-07</t>
        </is>
      </c>
      <c r="B558" s="83" t="inlineStr">
        <is>
          <t>chatgpt</t>
        </is>
      </c>
      <c r="C558" s="83" t="inlineStr">
        <is>
          <t>ministral</t>
        </is>
      </c>
      <c r="D558" s="84" t="n">
        <v>0.276691729323308</v>
      </c>
      <c r="E558" s="84" t="n">
        <v>0.222222222222222</v>
      </c>
      <c r="F558" s="84" t="n">
        <v>0.0813559322033898</v>
      </c>
      <c r="G558" s="84" t="n">
        <v>0.175084175084175</v>
      </c>
      <c r="H558" s="84" t="n">
        <v>0.129659052815275</v>
      </c>
      <c r="I558" s="84" t="n">
        <v>0.334398270114468</v>
      </c>
      <c r="J558" s="84" t="n">
        <v>0.645748668005839</v>
      </c>
      <c r="K558" s="84" t="n">
        <v>0.703287623578928</v>
      </c>
      <c r="L558" s="84" t="n">
        <v>0.776627475637394</v>
      </c>
      <c r="M558" s="84" t="n">
        <v>0.353629976580796</v>
      </c>
      <c r="N558" s="84" t="n">
        <v>0.154255319148936</v>
      </c>
      <c r="O558" s="84" t="n">
        <v>0.6052631578947369</v>
      </c>
      <c r="P558" s="85">
        <f>AVERAGE(D558:I558)</f>
        <v/>
      </c>
      <c r="Q558" s="85">
        <f>AVERAGE(J558:L558)</f>
        <v/>
      </c>
      <c r="R558" s="85">
        <f>AVERAGE(M558:O558)</f>
        <v/>
      </c>
      <c r="S558" s="85">
        <f>'02_지표정의'!$C$22*P558+'02_지표정의'!$C$23*Q558+'02_지표정의'!$C$24*R558</f>
        <v/>
      </c>
      <c r="T558" s="73">
        <f>IF(OR(AND(B558="gemini",C558="gemma"),AND(B558="qwen3_6",C558="qwen"),AND(B558="mistral",C558="ministral")),1,0)</f>
        <v/>
      </c>
      <c r="U558" s="73">
        <f>IF(LEFT(A558,3)="PAT","특허","보고서")</f>
        <v/>
      </c>
      <c r="V558" s="86">
        <f>COUNTIF($S$2:$S$976,"&lt;"&amp;S558)+(COUNTIF($S$2:$S$976,"="&amp;S558)+1)/2</f>
        <v/>
      </c>
      <c r="W558" s="73">
        <f>IF(C558="qwen",0,COUNTIFS($C$2:$C$976,"&lt;&gt;qwen",$S$2:$S$976,"&lt;"&amp;S558)+1)</f>
        <v/>
      </c>
      <c r="X558" s="73">
        <f>IF(C558="ministral",0,COUNTIFS($C$2:$C$976,"&lt;&gt;ministral",$S$2:$S$976,"&lt;"&amp;S558)+1)</f>
        <v/>
      </c>
      <c r="Y558" s="73">
        <f>IF(C558="gemma",0,COUNTIFS($C$2:$C$976,"&lt;&gt;gemma",$S$2:$S$976,"&lt;"&amp;S558)+1)</f>
        <v/>
      </c>
      <c r="Z558" s="87">
        <f>COUNTIFS($B$2:$B$976,B558,$C$2:$C$976,C558,$S$2:$S$976,"&lt;"&amp;S558)+1</f>
        <v/>
      </c>
      <c r="AA558" s="88">
        <f>ABS(S558-SUMPRODUCT(('05B_가정검정'!$A$5:$A$19=B558)*('05B_가정검정'!$B$5:$B$19=C558)*'05B_가정검정'!$E$5:$E$19))</f>
        <v/>
      </c>
      <c r="AB558" s="88">
        <f>S558-AVERAGEIFS($S$2:$S$976,$B$2:$B$976,B558,$C$2:$C$976,C558)</f>
        <v/>
      </c>
    </row>
    <row r="559" ht="15" customHeight="1" s="68">
      <c r="A559" s="83" t="inlineStr">
        <is>
          <t>RPT-07</t>
        </is>
      </c>
      <c r="B559" s="83" t="inlineStr">
        <is>
          <t>chatgpt</t>
        </is>
      </c>
      <c r="C559" s="83" t="inlineStr">
        <is>
          <t>qwen</t>
        </is>
      </c>
      <c r="D559" s="84" t="n">
        <v>0.234398782343988</v>
      </c>
      <c r="E559" s="84" t="n">
        <v>0.334728033472803</v>
      </c>
      <c r="F559" s="84" t="n">
        <v>0.160337552742616</v>
      </c>
      <c r="G559" s="84" t="n">
        <v>0.259414225941423</v>
      </c>
      <c r="H559" s="84" t="n">
        <v>0.217815498337995</v>
      </c>
      <c r="I559" s="84" t="n">
        <v>0.277539205135086</v>
      </c>
      <c r="J559" s="84" t="n">
        <v>0.613405162896384</v>
      </c>
      <c r="K559" s="84" t="n">
        <v>0.610422294464401</v>
      </c>
      <c r="L559" s="84" t="n">
        <v>0.758542705525041</v>
      </c>
      <c r="M559" s="84" t="n">
        <v>0.515151515151515</v>
      </c>
      <c r="N559" s="84" t="n">
        <v>0.213483146067416</v>
      </c>
      <c r="O559" s="84" t="n">
        <v>1</v>
      </c>
      <c r="P559" s="85">
        <f>AVERAGE(D559:I559)</f>
        <v/>
      </c>
      <c r="Q559" s="85">
        <f>AVERAGE(J559:L559)</f>
        <v/>
      </c>
      <c r="R559" s="85">
        <f>AVERAGE(M559:O559)</f>
        <v/>
      </c>
      <c r="S559" s="85">
        <f>'02_지표정의'!$C$22*P559+'02_지표정의'!$C$23*Q559+'02_지표정의'!$C$24*R559</f>
        <v/>
      </c>
      <c r="T559" s="73">
        <f>IF(OR(AND(B559="gemini",C559="gemma"),AND(B559="qwen3_6",C559="qwen"),AND(B559="mistral",C559="ministral")),1,0)</f>
        <v/>
      </c>
      <c r="U559" s="73">
        <f>IF(LEFT(A559,3)="PAT","특허","보고서")</f>
        <v/>
      </c>
      <c r="V559" s="86">
        <f>COUNTIF($S$2:$S$976,"&lt;"&amp;S559)+(COUNTIF($S$2:$S$976,"="&amp;S559)+1)/2</f>
        <v/>
      </c>
      <c r="W559" s="73">
        <f>IF(C559="qwen",0,COUNTIFS($C$2:$C$976,"&lt;&gt;qwen",$S$2:$S$976,"&lt;"&amp;S559)+1)</f>
        <v/>
      </c>
      <c r="X559" s="73">
        <f>IF(C559="ministral",0,COUNTIFS($C$2:$C$976,"&lt;&gt;ministral",$S$2:$S$976,"&lt;"&amp;S559)+1)</f>
        <v/>
      </c>
      <c r="Y559" s="73">
        <f>IF(C559="gemma",0,COUNTIFS($C$2:$C$976,"&lt;&gt;gemma",$S$2:$S$976,"&lt;"&amp;S559)+1)</f>
        <v/>
      </c>
      <c r="Z559" s="87">
        <f>COUNTIFS($B$2:$B$976,B559,$C$2:$C$976,C559,$S$2:$S$976,"&lt;"&amp;S559)+1</f>
        <v/>
      </c>
      <c r="AA559" s="88">
        <f>ABS(S559-SUMPRODUCT(('05B_가정검정'!$A$5:$A$19=B559)*('05B_가정검정'!$B$5:$B$19=C559)*'05B_가정검정'!$E$5:$E$19))</f>
        <v/>
      </c>
      <c r="AB559" s="88">
        <f>S559-AVERAGEIFS($S$2:$S$976,$B$2:$B$976,B559,$C$2:$C$976,C559)</f>
        <v/>
      </c>
    </row>
    <row r="560" ht="15" customHeight="1" s="68">
      <c r="A560" s="83" t="inlineStr">
        <is>
          <t>RPT-07</t>
        </is>
      </c>
      <c r="B560" s="83" t="inlineStr">
        <is>
          <t>claude</t>
        </is>
      </c>
      <c r="C560" s="83" t="inlineStr">
        <is>
          <t>gemma</t>
        </is>
      </c>
      <c r="D560" s="84" t="n">
        <v>0.24282982791587</v>
      </c>
      <c r="E560" s="84" t="n">
        <v>0.325301204819277</v>
      </c>
      <c r="F560" s="84" t="n">
        <v>0.06666666666666669</v>
      </c>
      <c r="G560" s="84" t="n">
        <v>0.174698795180723</v>
      </c>
      <c r="H560" s="84" t="n">
        <v>0.311888811849196</v>
      </c>
      <c r="I560" s="84" t="n">
        <v>0.220452487219722</v>
      </c>
      <c r="J560" s="84" t="n">
        <v>0.684154399369108</v>
      </c>
      <c r="K560" s="84" t="n">
        <v>0.664880981059908</v>
      </c>
      <c r="L560" s="84" t="n">
        <v>0.848754399568167</v>
      </c>
      <c r="M560" s="84" t="n">
        <v>0.645833333333333</v>
      </c>
      <c r="N560" s="84" t="n">
        <v>0.583333333333333</v>
      </c>
      <c r="O560" s="84" t="n">
        <v>1</v>
      </c>
      <c r="P560" s="85">
        <f>AVERAGE(D560:I560)</f>
        <v/>
      </c>
      <c r="Q560" s="85">
        <f>AVERAGE(J560:L560)</f>
        <v/>
      </c>
      <c r="R560" s="85">
        <f>AVERAGE(M560:O560)</f>
        <v/>
      </c>
      <c r="S560" s="85">
        <f>'02_지표정의'!$C$22*P560+'02_지표정의'!$C$23*Q560+'02_지표정의'!$C$24*R560</f>
        <v/>
      </c>
      <c r="T560" s="73">
        <f>IF(OR(AND(B560="gemini",C560="gemma"),AND(B560="qwen3_6",C560="qwen"),AND(B560="mistral",C560="ministral")),1,0)</f>
        <v/>
      </c>
      <c r="U560" s="73">
        <f>IF(LEFT(A560,3)="PAT","특허","보고서")</f>
        <v/>
      </c>
      <c r="V560" s="86">
        <f>COUNTIF($S$2:$S$976,"&lt;"&amp;S560)+(COUNTIF($S$2:$S$976,"="&amp;S560)+1)/2</f>
        <v/>
      </c>
      <c r="W560" s="73">
        <f>IF(C560="qwen",0,COUNTIFS($C$2:$C$976,"&lt;&gt;qwen",$S$2:$S$976,"&lt;"&amp;S560)+1)</f>
        <v/>
      </c>
      <c r="X560" s="73">
        <f>IF(C560="ministral",0,COUNTIFS($C$2:$C$976,"&lt;&gt;ministral",$S$2:$S$976,"&lt;"&amp;S560)+1)</f>
        <v/>
      </c>
      <c r="Y560" s="73">
        <f>IF(C560="gemma",0,COUNTIFS($C$2:$C$976,"&lt;&gt;gemma",$S$2:$S$976,"&lt;"&amp;S560)+1)</f>
        <v/>
      </c>
      <c r="Z560" s="87">
        <f>COUNTIFS($B$2:$B$976,B560,$C$2:$C$976,C560,$S$2:$S$976,"&lt;"&amp;S560)+1</f>
        <v/>
      </c>
      <c r="AA560" s="88">
        <f>ABS(S560-SUMPRODUCT(('05B_가정검정'!$A$5:$A$19=B560)*('05B_가정검정'!$B$5:$B$19=C560)*'05B_가정검정'!$E$5:$E$19))</f>
        <v/>
      </c>
      <c r="AB560" s="88">
        <f>S560-AVERAGEIFS($S$2:$S$976,$B$2:$B$976,B560,$C$2:$C$976,C560)</f>
        <v/>
      </c>
    </row>
    <row r="561" ht="15" customHeight="1" s="68">
      <c r="A561" s="83" t="inlineStr">
        <is>
          <t>RPT-07</t>
        </is>
      </c>
      <c r="B561" s="83" t="inlineStr">
        <is>
          <t>claude</t>
        </is>
      </c>
      <c r="C561" s="83" t="inlineStr">
        <is>
          <t>ministral</t>
        </is>
      </c>
      <c r="D561" s="84" t="n">
        <v>0.298978644382544</v>
      </c>
      <c r="E561" s="84" t="n">
        <v>0.264501160092807</v>
      </c>
      <c r="F561" s="84" t="n">
        <v>0.0792540792540793</v>
      </c>
      <c r="G561" s="84" t="n">
        <v>0.190255220417633</v>
      </c>
      <c r="H561" s="84" t="n">
        <v>0.243570904285103</v>
      </c>
      <c r="I561" s="84" t="n">
        <v>0.275637414959689</v>
      </c>
      <c r="J561" s="84" t="n">
        <v>0.71715797638762</v>
      </c>
      <c r="K561" s="84" t="n">
        <v>0.708730331121437</v>
      </c>
      <c r="L561" s="84" t="n">
        <v>0.8283037926651859</v>
      </c>
      <c r="M561" s="84" t="n">
        <v>0.337236533957846</v>
      </c>
      <c r="N561" s="84" t="n">
        <v>0.287234042553192</v>
      </c>
      <c r="O561" s="84" t="n">
        <v>0.621052631578947</v>
      </c>
      <c r="P561" s="85">
        <f>AVERAGE(D561:I561)</f>
        <v/>
      </c>
      <c r="Q561" s="85">
        <f>AVERAGE(J561:L561)</f>
        <v/>
      </c>
      <c r="R561" s="85">
        <f>AVERAGE(M561:O561)</f>
        <v/>
      </c>
      <c r="S561" s="85">
        <f>'02_지표정의'!$C$22*P561+'02_지표정의'!$C$23*Q561+'02_지표정의'!$C$24*R561</f>
        <v/>
      </c>
      <c r="T561" s="73">
        <f>IF(OR(AND(B561="gemini",C561="gemma"),AND(B561="qwen3_6",C561="qwen"),AND(B561="mistral",C561="ministral")),1,0)</f>
        <v/>
      </c>
      <c r="U561" s="73">
        <f>IF(LEFT(A561,3)="PAT","특허","보고서")</f>
        <v/>
      </c>
      <c r="V561" s="86">
        <f>COUNTIF($S$2:$S$976,"&lt;"&amp;S561)+(COUNTIF($S$2:$S$976,"="&amp;S561)+1)/2</f>
        <v/>
      </c>
      <c r="W561" s="73">
        <f>IF(C561="qwen",0,COUNTIFS($C$2:$C$976,"&lt;&gt;qwen",$S$2:$S$976,"&lt;"&amp;S561)+1)</f>
        <v/>
      </c>
      <c r="X561" s="73">
        <f>IF(C561="ministral",0,COUNTIFS($C$2:$C$976,"&lt;&gt;ministral",$S$2:$S$976,"&lt;"&amp;S561)+1)</f>
        <v/>
      </c>
      <c r="Y561" s="73">
        <f>IF(C561="gemma",0,COUNTIFS($C$2:$C$976,"&lt;&gt;gemma",$S$2:$S$976,"&lt;"&amp;S561)+1)</f>
        <v/>
      </c>
      <c r="Z561" s="87">
        <f>COUNTIFS($B$2:$B$976,B561,$C$2:$C$976,C561,$S$2:$S$976,"&lt;"&amp;S561)+1</f>
        <v/>
      </c>
      <c r="AA561" s="88">
        <f>ABS(S561-SUMPRODUCT(('05B_가정검정'!$A$5:$A$19=B561)*('05B_가정검정'!$B$5:$B$19=C561)*'05B_가정검정'!$E$5:$E$19))</f>
        <v/>
      </c>
      <c r="AB561" s="88">
        <f>S561-AVERAGEIFS($S$2:$S$976,$B$2:$B$976,B561,$C$2:$C$976,C561)</f>
        <v/>
      </c>
    </row>
    <row r="562" ht="15" customHeight="1" s="68">
      <c r="A562" s="83" t="inlineStr">
        <is>
          <t>RPT-07</t>
        </is>
      </c>
      <c r="B562" s="83" t="inlineStr">
        <is>
          <t>claude</t>
        </is>
      </c>
      <c r="C562" s="83" t="inlineStr">
        <is>
          <t>qwen</t>
        </is>
      </c>
      <c r="D562" s="84" t="n">
        <v>0.269410664172124</v>
      </c>
      <c r="E562" s="84" t="n">
        <v>0.46112600536193</v>
      </c>
      <c r="F562" s="84" t="n">
        <v>0.253369272237197</v>
      </c>
      <c r="G562" s="84" t="n">
        <v>0.278820375335121</v>
      </c>
      <c r="H562" s="84" t="n">
        <v>0.312409789462576</v>
      </c>
      <c r="I562" s="84" t="n">
        <v>0.321348634909813</v>
      </c>
      <c r="J562" s="84" t="n">
        <v>0.676024558360743</v>
      </c>
      <c r="K562" s="84" t="n">
        <v>0.656223680792405</v>
      </c>
      <c r="L562" s="84" t="n">
        <v>0.818499476669969</v>
      </c>
      <c r="M562" s="84" t="n">
        <v>0.645833333333333</v>
      </c>
      <c r="N562" s="84" t="n">
        <v>0.583333333333333</v>
      </c>
      <c r="O562" s="84" t="n">
        <v>1</v>
      </c>
      <c r="P562" s="85">
        <f>AVERAGE(D562:I562)</f>
        <v/>
      </c>
      <c r="Q562" s="85">
        <f>AVERAGE(J562:L562)</f>
        <v/>
      </c>
      <c r="R562" s="85">
        <f>AVERAGE(M562:O562)</f>
        <v/>
      </c>
      <c r="S562" s="85">
        <f>'02_지표정의'!$C$22*P562+'02_지표정의'!$C$23*Q562+'02_지표정의'!$C$24*R562</f>
        <v/>
      </c>
      <c r="T562" s="73">
        <f>IF(OR(AND(B562="gemini",C562="gemma"),AND(B562="qwen3_6",C562="qwen"),AND(B562="mistral",C562="ministral")),1,0)</f>
        <v/>
      </c>
      <c r="U562" s="73">
        <f>IF(LEFT(A562,3)="PAT","특허","보고서")</f>
        <v/>
      </c>
      <c r="V562" s="86">
        <f>COUNTIF($S$2:$S$976,"&lt;"&amp;S562)+(COUNTIF($S$2:$S$976,"="&amp;S562)+1)/2</f>
        <v/>
      </c>
      <c r="W562" s="73">
        <f>IF(C562="qwen",0,COUNTIFS($C$2:$C$976,"&lt;&gt;qwen",$S$2:$S$976,"&lt;"&amp;S562)+1)</f>
        <v/>
      </c>
      <c r="X562" s="73">
        <f>IF(C562="ministral",0,COUNTIFS($C$2:$C$976,"&lt;&gt;ministral",$S$2:$S$976,"&lt;"&amp;S562)+1)</f>
        <v/>
      </c>
      <c r="Y562" s="73">
        <f>IF(C562="gemma",0,COUNTIFS($C$2:$C$976,"&lt;&gt;gemma",$S$2:$S$976,"&lt;"&amp;S562)+1)</f>
        <v/>
      </c>
      <c r="Z562" s="87">
        <f>COUNTIFS($B$2:$B$976,B562,$C$2:$C$976,C562,$S$2:$S$976,"&lt;"&amp;S562)+1</f>
        <v/>
      </c>
      <c r="AA562" s="88">
        <f>ABS(S562-SUMPRODUCT(('05B_가정검정'!$A$5:$A$19=B562)*('05B_가정검정'!$B$5:$B$19=C562)*'05B_가정검정'!$E$5:$E$19))</f>
        <v/>
      </c>
      <c r="AB562" s="88">
        <f>S562-AVERAGEIFS($S$2:$S$976,$B$2:$B$976,B562,$C$2:$C$976,C562)</f>
        <v/>
      </c>
    </row>
    <row r="563" ht="15" customHeight="1" s="68">
      <c r="A563" s="83" t="inlineStr">
        <is>
          <t>RPT-07</t>
        </is>
      </c>
      <c r="B563" s="83" t="inlineStr">
        <is>
          <t>gemini</t>
        </is>
      </c>
      <c r="C563" s="83" t="inlineStr">
        <is>
          <t>gemma</t>
        </is>
      </c>
      <c r="D563" s="84" t="n">
        <v>0.246684350132626</v>
      </c>
      <c r="E563" s="84" t="n">
        <v>0.361233480176211</v>
      </c>
      <c r="F563" s="84" t="n">
        <v>0.08888888888888891</v>
      </c>
      <c r="G563" s="84" t="n">
        <v>0.220264317180617</v>
      </c>
      <c r="H563" s="84" t="n">
        <v>0.313776289859695</v>
      </c>
      <c r="I563" s="84" t="n">
        <v>0.177307671944922</v>
      </c>
      <c r="J563" s="84" t="n">
        <v>0.742914519593048</v>
      </c>
      <c r="K563" s="84" t="n">
        <v>0.7341661903775319</v>
      </c>
      <c r="L563" s="84" t="n">
        <v>0.872727466151506</v>
      </c>
      <c r="M563" s="84" t="n">
        <v>0.869158878504673</v>
      </c>
      <c r="N563" s="84" t="n">
        <v>0.883333333333333</v>
      </c>
      <c r="O563" s="84" t="n">
        <v>1</v>
      </c>
      <c r="P563" s="85">
        <f>AVERAGE(D563:I563)</f>
        <v/>
      </c>
      <c r="Q563" s="85">
        <f>AVERAGE(J563:L563)</f>
        <v/>
      </c>
      <c r="R563" s="85">
        <f>AVERAGE(M563:O563)</f>
        <v/>
      </c>
      <c r="S563" s="85">
        <f>'02_지표정의'!$C$22*P563+'02_지표정의'!$C$23*Q563+'02_지표정의'!$C$24*R563</f>
        <v/>
      </c>
      <c r="T563" s="73">
        <f>IF(OR(AND(B563="gemini",C563="gemma"),AND(B563="qwen3_6",C563="qwen"),AND(B563="mistral",C563="ministral")),1,0)</f>
        <v/>
      </c>
      <c r="U563" s="73">
        <f>IF(LEFT(A563,3)="PAT","특허","보고서")</f>
        <v/>
      </c>
      <c r="V563" s="86">
        <f>COUNTIF($S$2:$S$976,"&lt;"&amp;S563)+(COUNTIF($S$2:$S$976,"="&amp;S563)+1)/2</f>
        <v/>
      </c>
      <c r="W563" s="73">
        <f>IF(C563="qwen",0,COUNTIFS($C$2:$C$976,"&lt;&gt;qwen",$S$2:$S$976,"&lt;"&amp;S563)+1)</f>
        <v/>
      </c>
      <c r="X563" s="73">
        <f>IF(C563="ministral",0,COUNTIFS($C$2:$C$976,"&lt;&gt;ministral",$S$2:$S$976,"&lt;"&amp;S563)+1)</f>
        <v/>
      </c>
      <c r="Y563" s="73">
        <f>IF(C563="gemma",0,COUNTIFS($C$2:$C$976,"&lt;&gt;gemma",$S$2:$S$976,"&lt;"&amp;S563)+1)</f>
        <v/>
      </c>
      <c r="Z563" s="87">
        <f>COUNTIFS($B$2:$B$976,B563,$C$2:$C$976,C563,$S$2:$S$976,"&lt;"&amp;S563)+1</f>
        <v/>
      </c>
      <c r="AA563" s="88">
        <f>ABS(S563-SUMPRODUCT(('05B_가정검정'!$A$5:$A$19=B563)*('05B_가정검정'!$B$5:$B$19=C563)*'05B_가정검정'!$E$5:$E$19))</f>
        <v/>
      </c>
      <c r="AB563" s="88">
        <f>S563-AVERAGEIFS($S$2:$S$976,$B$2:$B$976,B563,$C$2:$C$976,C563)</f>
        <v/>
      </c>
    </row>
    <row r="564" ht="15" customHeight="1" s="68">
      <c r="A564" s="83" t="inlineStr">
        <is>
          <t>RPT-07</t>
        </is>
      </c>
      <c r="B564" s="83" t="inlineStr">
        <is>
          <t>gemini</t>
        </is>
      </c>
      <c r="C564" s="83" t="inlineStr">
        <is>
          <t>ministral</t>
        </is>
      </c>
      <c r="D564" s="84" t="n">
        <v>0.254777070063694</v>
      </c>
      <c r="E564" s="84" t="n">
        <v>0.220858895705521</v>
      </c>
      <c r="F564" s="84" t="n">
        <v>0.0740740740740741</v>
      </c>
      <c r="G564" s="84" t="n">
        <v>0.159509202453988</v>
      </c>
      <c r="H564" s="84" t="n">
        <v>0.163392466164029</v>
      </c>
      <c r="I564" s="84" t="n">
        <v>0.223338881566797</v>
      </c>
      <c r="J564" s="84" t="n">
        <v>0.738407909165385</v>
      </c>
      <c r="K564" s="84" t="n">
        <v>0.796885167697741</v>
      </c>
      <c r="L564" s="84" t="n">
        <v>0.911199171457299</v>
      </c>
      <c r="M564" s="84" t="n">
        <v>0.236533957845433</v>
      </c>
      <c r="N564" s="84" t="n">
        <v>0.23936170212766</v>
      </c>
      <c r="O564" s="84" t="n">
        <v>0.6052631578947369</v>
      </c>
      <c r="P564" s="85">
        <f>AVERAGE(D564:I564)</f>
        <v/>
      </c>
      <c r="Q564" s="85">
        <f>AVERAGE(J564:L564)</f>
        <v/>
      </c>
      <c r="R564" s="85">
        <f>AVERAGE(M564:O564)</f>
        <v/>
      </c>
      <c r="S564" s="85">
        <f>'02_지표정의'!$C$22*P564+'02_지표정의'!$C$23*Q564+'02_지표정의'!$C$24*R564</f>
        <v/>
      </c>
      <c r="T564" s="73">
        <f>IF(OR(AND(B564="gemini",C564="gemma"),AND(B564="qwen3_6",C564="qwen"),AND(B564="mistral",C564="ministral")),1,0)</f>
        <v/>
      </c>
      <c r="U564" s="73">
        <f>IF(LEFT(A564,3)="PAT","특허","보고서")</f>
        <v/>
      </c>
      <c r="V564" s="86">
        <f>COUNTIF($S$2:$S$976,"&lt;"&amp;S564)+(COUNTIF($S$2:$S$976,"="&amp;S564)+1)/2</f>
        <v/>
      </c>
      <c r="W564" s="73">
        <f>IF(C564="qwen",0,COUNTIFS($C$2:$C$976,"&lt;&gt;qwen",$S$2:$S$976,"&lt;"&amp;S564)+1)</f>
        <v/>
      </c>
      <c r="X564" s="73">
        <f>IF(C564="ministral",0,COUNTIFS($C$2:$C$976,"&lt;&gt;ministral",$S$2:$S$976,"&lt;"&amp;S564)+1)</f>
        <v/>
      </c>
      <c r="Y564" s="73">
        <f>IF(C564="gemma",0,COUNTIFS($C$2:$C$976,"&lt;&gt;gemma",$S$2:$S$976,"&lt;"&amp;S564)+1)</f>
        <v/>
      </c>
      <c r="Z564" s="87">
        <f>COUNTIFS($B$2:$B$976,B564,$C$2:$C$976,C564,$S$2:$S$976,"&lt;"&amp;S564)+1</f>
        <v/>
      </c>
      <c r="AA564" s="88">
        <f>ABS(S564-SUMPRODUCT(('05B_가정검정'!$A$5:$A$19=B564)*('05B_가정검정'!$B$5:$B$19=C564)*'05B_가정검정'!$E$5:$E$19))</f>
        <v/>
      </c>
      <c r="AB564" s="88">
        <f>S564-AVERAGEIFS($S$2:$S$976,$B$2:$B$976,B564,$C$2:$C$976,C564)</f>
        <v/>
      </c>
    </row>
    <row r="565" ht="15" customHeight="1" s="68">
      <c r="A565" s="83" t="inlineStr">
        <is>
          <t>RPT-07</t>
        </is>
      </c>
      <c r="B565" s="83" t="inlineStr">
        <is>
          <t>gemini</t>
        </is>
      </c>
      <c r="C565" s="83" t="inlineStr">
        <is>
          <t>qwen</t>
        </is>
      </c>
      <c r="D565" s="84" t="n">
        <v>0.254826254826255</v>
      </c>
      <c r="E565" s="84" t="n">
        <v>0.485074626865672</v>
      </c>
      <c r="F565" s="84" t="n">
        <v>0.24812030075188</v>
      </c>
      <c r="G565" s="84" t="n">
        <v>0.335820895522388</v>
      </c>
      <c r="H565" s="84" t="n">
        <v>0.322255343013608</v>
      </c>
      <c r="I565" s="84" t="n">
        <v>0.352559682165628</v>
      </c>
      <c r="J565" s="84" t="n">
        <v>0.726923933978858</v>
      </c>
      <c r="K565" s="84" t="n">
        <v>0.749464747095524</v>
      </c>
      <c r="L565" s="84" t="n">
        <v>0.879308780030311</v>
      </c>
      <c r="M565" s="84" t="n">
        <v>0.869158878504673</v>
      </c>
      <c r="N565" s="84" t="n">
        <v>0.883333333333333</v>
      </c>
      <c r="O565" s="84" t="n">
        <v>1</v>
      </c>
      <c r="P565" s="85">
        <f>AVERAGE(D565:I565)</f>
        <v/>
      </c>
      <c r="Q565" s="85">
        <f>AVERAGE(J565:L565)</f>
        <v/>
      </c>
      <c r="R565" s="85">
        <f>AVERAGE(M565:O565)</f>
        <v/>
      </c>
      <c r="S565" s="85">
        <f>'02_지표정의'!$C$22*P565+'02_지표정의'!$C$23*Q565+'02_지표정의'!$C$24*R565</f>
        <v/>
      </c>
      <c r="T565" s="73">
        <f>IF(OR(AND(B565="gemini",C565="gemma"),AND(B565="qwen3_6",C565="qwen"),AND(B565="mistral",C565="ministral")),1,0)</f>
        <v/>
      </c>
      <c r="U565" s="73">
        <f>IF(LEFT(A565,3)="PAT","특허","보고서")</f>
        <v/>
      </c>
      <c r="V565" s="86">
        <f>COUNTIF($S$2:$S$976,"&lt;"&amp;S565)+(COUNTIF($S$2:$S$976,"="&amp;S565)+1)/2</f>
        <v/>
      </c>
      <c r="W565" s="73">
        <f>IF(C565="qwen",0,COUNTIFS($C$2:$C$976,"&lt;&gt;qwen",$S$2:$S$976,"&lt;"&amp;S565)+1)</f>
        <v/>
      </c>
      <c r="X565" s="73">
        <f>IF(C565="ministral",0,COUNTIFS($C$2:$C$976,"&lt;&gt;ministral",$S$2:$S$976,"&lt;"&amp;S565)+1)</f>
        <v/>
      </c>
      <c r="Y565" s="73">
        <f>IF(C565="gemma",0,COUNTIFS($C$2:$C$976,"&lt;&gt;gemma",$S$2:$S$976,"&lt;"&amp;S565)+1)</f>
        <v/>
      </c>
      <c r="Z565" s="87">
        <f>COUNTIFS($B$2:$B$976,B565,$C$2:$C$976,C565,$S$2:$S$976,"&lt;"&amp;S565)+1</f>
        <v/>
      </c>
      <c r="AA565" s="88">
        <f>ABS(S565-SUMPRODUCT(('05B_가정검정'!$A$5:$A$19=B565)*('05B_가정검정'!$B$5:$B$19=C565)*'05B_가정검정'!$E$5:$E$19))</f>
        <v/>
      </c>
      <c r="AB565" s="88">
        <f>S565-AVERAGEIFS($S$2:$S$976,$B$2:$B$976,B565,$C$2:$C$976,C565)</f>
        <v/>
      </c>
    </row>
    <row r="566" ht="15" customHeight="1" s="68">
      <c r="A566" s="83" t="inlineStr">
        <is>
          <t>RPT-07</t>
        </is>
      </c>
      <c r="B566" s="83" t="inlineStr">
        <is>
          <t>mistral</t>
        </is>
      </c>
      <c r="C566" s="83" t="inlineStr">
        <is>
          <t>gemma</t>
        </is>
      </c>
      <c r="D566" s="84" t="n">
        <v>0.25130890052356</v>
      </c>
      <c r="E566" s="84" t="n">
        <v>0.320388349514563</v>
      </c>
      <c r="F566" s="84" t="n">
        <v>0.107843137254902</v>
      </c>
      <c r="G566" s="84" t="n">
        <v>0.233009708737864</v>
      </c>
      <c r="H566" s="84" t="n">
        <v>0.310203947684765</v>
      </c>
      <c r="I566" s="84" t="n">
        <v>0.203228691977956</v>
      </c>
      <c r="J566" s="84" t="n">
        <v>0.686685990093141</v>
      </c>
      <c r="K566" s="84" t="n">
        <v>0.664117728061776</v>
      </c>
      <c r="L566" s="84" t="n">
        <v>0.846957529361437</v>
      </c>
      <c r="M566" s="84" t="n">
        <v>0.747899159663866</v>
      </c>
      <c r="N566" s="84" t="n">
        <v>0.742424242424242</v>
      </c>
      <c r="O566" s="84" t="n">
        <v>1</v>
      </c>
      <c r="P566" s="85">
        <f>AVERAGE(D566:I566)</f>
        <v/>
      </c>
      <c r="Q566" s="85">
        <f>AVERAGE(J566:L566)</f>
        <v/>
      </c>
      <c r="R566" s="85">
        <f>AVERAGE(M566:O566)</f>
        <v/>
      </c>
      <c r="S566" s="85">
        <f>'02_지표정의'!$C$22*P566+'02_지표정의'!$C$23*Q566+'02_지표정의'!$C$24*R566</f>
        <v/>
      </c>
      <c r="T566" s="73">
        <f>IF(OR(AND(B566="gemini",C566="gemma"),AND(B566="qwen3_6",C566="qwen"),AND(B566="mistral",C566="ministral")),1,0)</f>
        <v/>
      </c>
      <c r="U566" s="73">
        <f>IF(LEFT(A566,3)="PAT","특허","보고서")</f>
        <v/>
      </c>
      <c r="V566" s="86">
        <f>COUNTIF($S$2:$S$976,"&lt;"&amp;S566)+(COUNTIF($S$2:$S$976,"="&amp;S566)+1)/2</f>
        <v/>
      </c>
      <c r="W566" s="73">
        <f>IF(C566="qwen",0,COUNTIFS($C$2:$C$976,"&lt;&gt;qwen",$S$2:$S$976,"&lt;"&amp;S566)+1)</f>
        <v/>
      </c>
      <c r="X566" s="73">
        <f>IF(C566="ministral",0,COUNTIFS($C$2:$C$976,"&lt;&gt;ministral",$S$2:$S$976,"&lt;"&amp;S566)+1)</f>
        <v/>
      </c>
      <c r="Y566" s="73">
        <f>IF(C566="gemma",0,COUNTIFS($C$2:$C$976,"&lt;&gt;gemma",$S$2:$S$976,"&lt;"&amp;S566)+1)</f>
        <v/>
      </c>
      <c r="Z566" s="87">
        <f>COUNTIFS($B$2:$B$976,B566,$C$2:$C$976,C566,$S$2:$S$976,"&lt;"&amp;S566)+1</f>
        <v/>
      </c>
      <c r="AA566" s="88">
        <f>ABS(S566-SUMPRODUCT(('05B_가정검정'!$A$5:$A$19=B566)*('05B_가정검정'!$B$5:$B$19=C566)*'05B_가정검정'!$E$5:$E$19))</f>
        <v/>
      </c>
      <c r="AB566" s="88">
        <f>S566-AVERAGEIFS($S$2:$S$976,$B$2:$B$976,B566,$C$2:$C$976,C566)</f>
        <v/>
      </c>
    </row>
    <row r="567" ht="15" customHeight="1" s="68">
      <c r="A567" s="83" t="inlineStr">
        <is>
          <t>RPT-07</t>
        </is>
      </c>
      <c r="B567" s="83" t="inlineStr">
        <is>
          <t>mistral</t>
        </is>
      </c>
      <c r="C567" s="83" t="inlineStr">
        <is>
          <t>ministral</t>
        </is>
      </c>
      <c r="D567" s="84" t="n">
        <v>0.357232704402516</v>
      </c>
      <c r="E567" s="84" t="n">
        <v>0.281967213114754</v>
      </c>
      <c r="F567" s="84" t="n">
        <v>0.125412541254125</v>
      </c>
      <c r="G567" s="84" t="n">
        <v>0.229508196721312</v>
      </c>
      <c r="H567" s="84" t="n">
        <v>0.197358251653994</v>
      </c>
      <c r="I567" s="84" t="n">
        <v>0.357659995738945</v>
      </c>
      <c r="J567" s="84" t="n">
        <v>0.726158286590082</v>
      </c>
      <c r="K567" s="84" t="n">
        <v>0.730611364501878</v>
      </c>
      <c r="L567" s="84" t="n">
        <v>0.855697815612065</v>
      </c>
      <c r="M567" s="84" t="n">
        <v>0.269320843091335</v>
      </c>
      <c r="N567" s="84" t="n">
        <v>0.191489361702128</v>
      </c>
      <c r="O567" s="84" t="n">
        <v>0.6052631578947369</v>
      </c>
      <c r="P567" s="85">
        <f>AVERAGE(D567:I567)</f>
        <v/>
      </c>
      <c r="Q567" s="85">
        <f>AVERAGE(J567:L567)</f>
        <v/>
      </c>
      <c r="R567" s="85">
        <f>AVERAGE(M567:O567)</f>
        <v/>
      </c>
      <c r="S567" s="85">
        <f>'02_지표정의'!$C$22*P567+'02_지표정의'!$C$23*Q567+'02_지표정의'!$C$24*R567</f>
        <v/>
      </c>
      <c r="T567" s="73">
        <f>IF(OR(AND(B567="gemini",C567="gemma"),AND(B567="qwen3_6",C567="qwen"),AND(B567="mistral",C567="ministral")),1,0)</f>
        <v/>
      </c>
      <c r="U567" s="73">
        <f>IF(LEFT(A567,3)="PAT","특허","보고서")</f>
        <v/>
      </c>
      <c r="V567" s="86">
        <f>COUNTIF($S$2:$S$976,"&lt;"&amp;S567)+(COUNTIF($S$2:$S$976,"="&amp;S567)+1)/2</f>
        <v/>
      </c>
      <c r="W567" s="73">
        <f>IF(C567="qwen",0,COUNTIFS($C$2:$C$976,"&lt;&gt;qwen",$S$2:$S$976,"&lt;"&amp;S567)+1)</f>
        <v/>
      </c>
      <c r="X567" s="73">
        <f>IF(C567="ministral",0,COUNTIFS($C$2:$C$976,"&lt;&gt;ministral",$S$2:$S$976,"&lt;"&amp;S567)+1)</f>
        <v/>
      </c>
      <c r="Y567" s="73">
        <f>IF(C567="gemma",0,COUNTIFS($C$2:$C$976,"&lt;&gt;gemma",$S$2:$S$976,"&lt;"&amp;S567)+1)</f>
        <v/>
      </c>
      <c r="Z567" s="87">
        <f>COUNTIFS($B$2:$B$976,B567,$C$2:$C$976,C567,$S$2:$S$976,"&lt;"&amp;S567)+1</f>
        <v/>
      </c>
      <c r="AA567" s="88">
        <f>ABS(S567-SUMPRODUCT(('05B_가정검정'!$A$5:$A$19=B567)*('05B_가정검정'!$B$5:$B$19=C567)*'05B_가정검정'!$E$5:$E$19))</f>
        <v/>
      </c>
      <c r="AB567" s="88">
        <f>S567-AVERAGEIFS($S$2:$S$976,$B$2:$B$976,B567,$C$2:$C$976,C567)</f>
        <v/>
      </c>
    </row>
    <row r="568" ht="15" customHeight="1" s="68">
      <c r="A568" s="83" t="inlineStr">
        <is>
          <t>RPT-07</t>
        </is>
      </c>
      <c r="B568" s="83" t="inlineStr">
        <is>
          <t>mistral</t>
        </is>
      </c>
      <c r="C568" s="83" t="inlineStr">
        <is>
          <t>qwen</t>
        </is>
      </c>
      <c r="D568" s="84" t="n">
        <v>0.289707750952986</v>
      </c>
      <c r="E568" s="84" t="n">
        <v>0.331983805668016</v>
      </c>
      <c r="F568" s="84" t="n">
        <v>0.114285714285714</v>
      </c>
      <c r="G568" s="84" t="n">
        <v>0.234817813765182</v>
      </c>
      <c r="H568" s="84" t="n">
        <v>0.302676955042815</v>
      </c>
      <c r="I568" s="84" t="n">
        <v>0.208628142094102</v>
      </c>
      <c r="J568" s="84" t="n">
        <v>0.742607114359351</v>
      </c>
      <c r="K568" s="84" t="n">
        <v>0.642131406441664</v>
      </c>
      <c r="L568" s="84" t="n">
        <v>0.804061824725303</v>
      </c>
      <c r="M568" s="84" t="n">
        <v>0.747899159663866</v>
      </c>
      <c r="N568" s="84" t="n">
        <v>0.742424242424242</v>
      </c>
      <c r="O568" s="84" t="n">
        <v>1</v>
      </c>
      <c r="P568" s="85">
        <f>AVERAGE(D568:I568)</f>
        <v/>
      </c>
      <c r="Q568" s="85">
        <f>AVERAGE(J568:L568)</f>
        <v/>
      </c>
      <c r="R568" s="85">
        <f>AVERAGE(M568:O568)</f>
        <v/>
      </c>
      <c r="S568" s="85">
        <f>'02_지표정의'!$C$22*P568+'02_지표정의'!$C$23*Q568+'02_지표정의'!$C$24*R568</f>
        <v/>
      </c>
      <c r="T568" s="73">
        <f>IF(OR(AND(B568="gemini",C568="gemma"),AND(B568="qwen3_6",C568="qwen"),AND(B568="mistral",C568="ministral")),1,0)</f>
        <v/>
      </c>
      <c r="U568" s="73">
        <f>IF(LEFT(A568,3)="PAT","특허","보고서")</f>
        <v/>
      </c>
      <c r="V568" s="86">
        <f>COUNTIF($S$2:$S$976,"&lt;"&amp;S568)+(COUNTIF($S$2:$S$976,"="&amp;S568)+1)/2</f>
        <v/>
      </c>
      <c r="W568" s="73">
        <f>IF(C568="qwen",0,COUNTIFS($C$2:$C$976,"&lt;&gt;qwen",$S$2:$S$976,"&lt;"&amp;S568)+1)</f>
        <v/>
      </c>
      <c r="X568" s="73">
        <f>IF(C568="ministral",0,COUNTIFS($C$2:$C$976,"&lt;&gt;ministral",$S$2:$S$976,"&lt;"&amp;S568)+1)</f>
        <v/>
      </c>
      <c r="Y568" s="73">
        <f>IF(C568="gemma",0,COUNTIFS($C$2:$C$976,"&lt;&gt;gemma",$S$2:$S$976,"&lt;"&amp;S568)+1)</f>
        <v/>
      </c>
      <c r="Z568" s="87">
        <f>COUNTIFS($B$2:$B$976,B568,$C$2:$C$976,C568,$S$2:$S$976,"&lt;"&amp;S568)+1</f>
        <v/>
      </c>
      <c r="AA568" s="88">
        <f>ABS(S568-SUMPRODUCT(('05B_가정검정'!$A$5:$A$19=B568)*('05B_가정검정'!$B$5:$B$19=C568)*'05B_가정검정'!$E$5:$E$19))</f>
        <v/>
      </c>
      <c r="AB568" s="88">
        <f>S568-AVERAGEIFS($S$2:$S$976,$B$2:$B$976,B568,$C$2:$C$976,C568)</f>
        <v/>
      </c>
    </row>
    <row r="569" ht="15" customHeight="1" s="68">
      <c r="A569" s="83" t="inlineStr">
        <is>
          <t>RPT-07</t>
        </is>
      </c>
      <c r="B569" s="83" t="inlineStr">
        <is>
          <t>qwen3_6</t>
        </is>
      </c>
      <c r="C569" s="83" t="inlineStr">
        <is>
          <t>gemma</t>
        </is>
      </c>
      <c r="D569" s="84" t="n">
        <v>0.291079812206573</v>
      </c>
      <c r="E569" s="84" t="n">
        <v>0.409395973154362</v>
      </c>
      <c r="F569" s="84" t="n">
        <v>0.114864864864865</v>
      </c>
      <c r="G569" s="84" t="n">
        <v>0.241610738255034</v>
      </c>
      <c r="H569" s="84" t="n">
        <v>0.451206124320573</v>
      </c>
      <c r="I569" s="84" t="n">
        <v>0.218654838738553</v>
      </c>
      <c r="J569" s="84" t="n">
        <v>0.7292236189453249</v>
      </c>
      <c r="K569" s="84" t="n">
        <v>0.713797675611723</v>
      </c>
      <c r="L569" s="84" t="n">
        <v>0.892127347584781</v>
      </c>
      <c r="M569" s="84" t="n">
        <v>0.906542056074766</v>
      </c>
      <c r="N569" s="84" t="n">
        <v>0.916666666666667</v>
      </c>
      <c r="O569" s="84" t="n">
        <v>1</v>
      </c>
      <c r="P569" s="85">
        <f>AVERAGE(D569:I569)</f>
        <v/>
      </c>
      <c r="Q569" s="85">
        <f>AVERAGE(J569:L569)</f>
        <v/>
      </c>
      <c r="R569" s="85">
        <f>AVERAGE(M569:O569)</f>
        <v/>
      </c>
      <c r="S569" s="85">
        <f>'02_지표정의'!$C$22*P569+'02_지표정의'!$C$23*Q569+'02_지표정의'!$C$24*R569</f>
        <v/>
      </c>
      <c r="T569" s="73">
        <f>IF(OR(AND(B569="gemini",C569="gemma"),AND(B569="qwen3_6",C569="qwen"),AND(B569="mistral",C569="ministral")),1,0)</f>
        <v/>
      </c>
      <c r="U569" s="73">
        <f>IF(LEFT(A569,3)="PAT","특허","보고서")</f>
        <v/>
      </c>
      <c r="V569" s="86">
        <f>COUNTIF($S$2:$S$976,"&lt;"&amp;S569)+(COUNTIF($S$2:$S$976,"="&amp;S569)+1)/2</f>
        <v/>
      </c>
      <c r="W569" s="73">
        <f>IF(C569="qwen",0,COUNTIFS($C$2:$C$976,"&lt;&gt;qwen",$S$2:$S$976,"&lt;"&amp;S569)+1)</f>
        <v/>
      </c>
      <c r="X569" s="73">
        <f>IF(C569="ministral",0,COUNTIFS($C$2:$C$976,"&lt;&gt;ministral",$S$2:$S$976,"&lt;"&amp;S569)+1)</f>
        <v/>
      </c>
      <c r="Y569" s="73">
        <f>IF(C569="gemma",0,COUNTIFS($C$2:$C$976,"&lt;&gt;gemma",$S$2:$S$976,"&lt;"&amp;S569)+1)</f>
        <v/>
      </c>
      <c r="Z569" s="87">
        <f>COUNTIFS($B$2:$B$976,B569,$C$2:$C$976,C569,$S$2:$S$976,"&lt;"&amp;S569)+1</f>
        <v/>
      </c>
      <c r="AA569" s="88">
        <f>ABS(S569-SUMPRODUCT(('05B_가정검정'!$A$5:$A$19=B569)*('05B_가정검정'!$B$5:$B$19=C569)*'05B_가정검정'!$E$5:$E$19))</f>
        <v/>
      </c>
      <c r="AB569" s="88">
        <f>S569-AVERAGEIFS($S$2:$S$976,$B$2:$B$976,B569,$C$2:$C$976,C569)</f>
        <v/>
      </c>
    </row>
    <row r="570" ht="15" customHeight="1" s="68">
      <c r="A570" s="83" t="inlineStr">
        <is>
          <t>RPT-07</t>
        </is>
      </c>
      <c r="B570" s="83" t="inlineStr">
        <is>
          <t>qwen3_6</t>
        </is>
      </c>
      <c r="C570" s="83" t="inlineStr">
        <is>
          <t>ministral</t>
        </is>
      </c>
      <c r="D570" s="84" t="n">
        <v>0.22876557191393</v>
      </c>
      <c r="E570" s="84" t="n">
        <v>0.201511335012594</v>
      </c>
      <c r="F570" s="84" t="n">
        <v>0.0759493670886076</v>
      </c>
      <c r="G570" s="84" t="n">
        <v>0.171284634760705</v>
      </c>
      <c r="H570" s="84" t="n">
        <v>0.208698749681719</v>
      </c>
      <c r="I570" s="84" t="n">
        <v>0.156644332309662</v>
      </c>
      <c r="J570" s="84" t="n">
        <v>0.713221350315662</v>
      </c>
      <c r="K570" s="84" t="n">
        <v>0.7094806524614991</v>
      </c>
      <c r="L570" s="84" t="n">
        <v>0.850381814007342</v>
      </c>
      <c r="M570" s="84" t="n">
        <v>0.227166276346604</v>
      </c>
      <c r="N570" s="84" t="n">
        <v>0.228723404255319</v>
      </c>
      <c r="O570" s="84" t="n">
        <v>0.6052631578947369</v>
      </c>
      <c r="P570" s="85">
        <f>AVERAGE(D570:I570)</f>
        <v/>
      </c>
      <c r="Q570" s="85">
        <f>AVERAGE(J570:L570)</f>
        <v/>
      </c>
      <c r="R570" s="85">
        <f>AVERAGE(M570:O570)</f>
        <v/>
      </c>
      <c r="S570" s="85">
        <f>'02_지표정의'!$C$22*P570+'02_지표정의'!$C$23*Q570+'02_지표정의'!$C$24*R570</f>
        <v/>
      </c>
      <c r="T570" s="73">
        <f>IF(OR(AND(B570="gemini",C570="gemma"),AND(B570="qwen3_6",C570="qwen"),AND(B570="mistral",C570="ministral")),1,0)</f>
        <v/>
      </c>
      <c r="U570" s="73">
        <f>IF(LEFT(A570,3)="PAT","특허","보고서")</f>
        <v/>
      </c>
      <c r="V570" s="86">
        <f>COUNTIF($S$2:$S$976,"&lt;"&amp;S570)+(COUNTIF($S$2:$S$976,"="&amp;S570)+1)/2</f>
        <v/>
      </c>
      <c r="W570" s="73">
        <f>IF(C570="qwen",0,COUNTIFS($C$2:$C$976,"&lt;&gt;qwen",$S$2:$S$976,"&lt;"&amp;S570)+1)</f>
        <v/>
      </c>
      <c r="X570" s="73">
        <f>IF(C570="ministral",0,COUNTIFS($C$2:$C$976,"&lt;&gt;ministral",$S$2:$S$976,"&lt;"&amp;S570)+1)</f>
        <v/>
      </c>
      <c r="Y570" s="73">
        <f>IF(C570="gemma",0,COUNTIFS($C$2:$C$976,"&lt;&gt;gemma",$S$2:$S$976,"&lt;"&amp;S570)+1)</f>
        <v/>
      </c>
      <c r="Z570" s="87">
        <f>COUNTIFS($B$2:$B$976,B570,$C$2:$C$976,C570,$S$2:$S$976,"&lt;"&amp;S570)+1</f>
        <v/>
      </c>
      <c r="AA570" s="88">
        <f>ABS(S570-SUMPRODUCT(('05B_가정검정'!$A$5:$A$19=B570)*('05B_가정검정'!$B$5:$B$19=C570)*'05B_가정검정'!$E$5:$E$19))</f>
        <v/>
      </c>
      <c r="AB570" s="88">
        <f>S570-AVERAGEIFS($S$2:$S$976,$B$2:$B$976,B570,$C$2:$C$976,C570)</f>
        <v/>
      </c>
    </row>
    <row r="571" ht="15" customHeight="1" s="68">
      <c r="A571" s="83" t="inlineStr">
        <is>
          <t>RPT-07</t>
        </is>
      </c>
      <c r="B571" s="83" t="inlineStr">
        <is>
          <t>qwen3_6</t>
        </is>
      </c>
      <c r="C571" s="83" t="inlineStr">
        <is>
          <t>qwen</t>
        </is>
      </c>
      <c r="D571" s="84" t="n">
        <v>0.310857142857143</v>
      </c>
      <c r="E571" s="84" t="n">
        <v>0.495575221238938</v>
      </c>
      <c r="F571" s="84" t="n">
        <v>0.29080118694362</v>
      </c>
      <c r="G571" s="84" t="n">
        <v>0.377581120943953</v>
      </c>
      <c r="H571" s="84" t="n">
        <v>0.453877685488902</v>
      </c>
      <c r="I571" s="84" t="n">
        <v>0.45861858588298</v>
      </c>
      <c r="J571" s="84" t="n">
        <v>0.7582106064656851</v>
      </c>
      <c r="K571" s="84" t="n">
        <v>0.683151217921265</v>
      </c>
      <c r="L571" s="84" t="n">
        <v>0.82482114607057</v>
      </c>
      <c r="M571" s="84" t="n">
        <v>0.906542056074766</v>
      </c>
      <c r="N571" s="84" t="n">
        <v>0.916666666666667</v>
      </c>
      <c r="O571" s="84" t="n">
        <v>1</v>
      </c>
      <c r="P571" s="85">
        <f>AVERAGE(D571:I571)</f>
        <v/>
      </c>
      <c r="Q571" s="85">
        <f>AVERAGE(J571:L571)</f>
        <v/>
      </c>
      <c r="R571" s="85">
        <f>AVERAGE(M571:O571)</f>
        <v/>
      </c>
      <c r="S571" s="85">
        <f>'02_지표정의'!$C$22*P571+'02_지표정의'!$C$23*Q571+'02_지표정의'!$C$24*R571</f>
        <v/>
      </c>
      <c r="T571" s="73">
        <f>IF(OR(AND(B571="gemini",C571="gemma"),AND(B571="qwen3_6",C571="qwen"),AND(B571="mistral",C571="ministral")),1,0)</f>
        <v/>
      </c>
      <c r="U571" s="73">
        <f>IF(LEFT(A571,3)="PAT","특허","보고서")</f>
        <v/>
      </c>
      <c r="V571" s="86">
        <f>COUNTIF($S$2:$S$976,"&lt;"&amp;S571)+(COUNTIF($S$2:$S$976,"="&amp;S571)+1)/2</f>
        <v/>
      </c>
      <c r="W571" s="73">
        <f>IF(C571="qwen",0,COUNTIFS($C$2:$C$976,"&lt;&gt;qwen",$S$2:$S$976,"&lt;"&amp;S571)+1)</f>
        <v/>
      </c>
      <c r="X571" s="73">
        <f>IF(C571="ministral",0,COUNTIFS($C$2:$C$976,"&lt;&gt;ministral",$S$2:$S$976,"&lt;"&amp;S571)+1)</f>
        <v/>
      </c>
      <c r="Y571" s="73">
        <f>IF(C571="gemma",0,COUNTIFS($C$2:$C$976,"&lt;&gt;gemma",$S$2:$S$976,"&lt;"&amp;S571)+1)</f>
        <v/>
      </c>
      <c r="Z571" s="87">
        <f>COUNTIFS($B$2:$B$976,B571,$C$2:$C$976,C571,$S$2:$S$976,"&lt;"&amp;S571)+1</f>
        <v/>
      </c>
      <c r="AA571" s="88">
        <f>ABS(S571-SUMPRODUCT(('05B_가정검정'!$A$5:$A$19=B571)*('05B_가정검정'!$B$5:$B$19=C571)*'05B_가정검정'!$E$5:$E$19))</f>
        <v/>
      </c>
      <c r="AB571" s="88">
        <f>S571-AVERAGEIFS($S$2:$S$976,$B$2:$B$976,B571,$C$2:$C$976,C571)</f>
        <v/>
      </c>
    </row>
    <row r="572" ht="15" customHeight="1" s="68">
      <c r="A572" s="83" t="inlineStr">
        <is>
          <t>RPT-08</t>
        </is>
      </c>
      <c r="B572" s="83" t="inlineStr">
        <is>
          <t>chatgpt</t>
        </is>
      </c>
      <c r="C572" s="83" t="inlineStr">
        <is>
          <t>gemma</t>
        </is>
      </c>
      <c r="D572" s="84" t="n">
        <v>0.219020172910663</v>
      </c>
      <c r="E572" s="84" t="n">
        <v>0.344444444444444</v>
      </c>
      <c r="F572" s="84" t="n">
        <v>0.134831460674157</v>
      </c>
      <c r="G572" s="84" t="n">
        <v>0.288888888888889</v>
      </c>
      <c r="H572" s="84" t="n">
        <v>0.215843574259454</v>
      </c>
      <c r="I572" s="84" t="n">
        <v>0.259525226926863</v>
      </c>
      <c r="J572" s="84" t="n">
        <v>0.674975617294629</v>
      </c>
      <c r="K572" s="84" t="n">
        <v>0.6362756530127071</v>
      </c>
      <c r="L572" s="84" t="n">
        <v>0.807343969447805</v>
      </c>
      <c r="M572" s="84" t="n">
        <v>0.515151515151515</v>
      </c>
      <c r="N572" s="84" t="n">
        <v>0.213483146067416</v>
      </c>
      <c r="O572" s="84" t="n">
        <v>1</v>
      </c>
      <c r="P572" s="85">
        <f>AVERAGE(D572:I572)</f>
        <v/>
      </c>
      <c r="Q572" s="85">
        <f>AVERAGE(J572:L572)</f>
        <v/>
      </c>
      <c r="R572" s="85">
        <f>AVERAGE(M572:O572)</f>
        <v/>
      </c>
      <c r="S572" s="85">
        <f>'02_지표정의'!$C$22*P572+'02_지표정의'!$C$23*Q572+'02_지표정의'!$C$24*R572</f>
        <v/>
      </c>
      <c r="T572" s="73">
        <f>IF(OR(AND(B572="gemini",C572="gemma"),AND(B572="qwen3_6",C572="qwen"),AND(B572="mistral",C572="ministral")),1,0)</f>
        <v/>
      </c>
      <c r="U572" s="73">
        <f>IF(LEFT(A572,3)="PAT","특허","보고서")</f>
        <v/>
      </c>
      <c r="V572" s="86">
        <f>COUNTIF($S$2:$S$976,"&lt;"&amp;S572)+(COUNTIF($S$2:$S$976,"="&amp;S572)+1)/2</f>
        <v/>
      </c>
      <c r="W572" s="73">
        <f>IF(C572="qwen",0,COUNTIFS($C$2:$C$976,"&lt;&gt;qwen",$S$2:$S$976,"&lt;"&amp;S572)+1)</f>
        <v/>
      </c>
      <c r="X572" s="73">
        <f>IF(C572="ministral",0,COUNTIFS($C$2:$C$976,"&lt;&gt;ministral",$S$2:$S$976,"&lt;"&amp;S572)+1)</f>
        <v/>
      </c>
      <c r="Y572" s="73">
        <f>IF(C572="gemma",0,COUNTIFS($C$2:$C$976,"&lt;&gt;gemma",$S$2:$S$976,"&lt;"&amp;S572)+1)</f>
        <v/>
      </c>
      <c r="Z572" s="87">
        <f>COUNTIFS($B$2:$B$976,B572,$C$2:$C$976,C572,$S$2:$S$976,"&lt;"&amp;S572)+1</f>
        <v/>
      </c>
      <c r="AA572" s="88">
        <f>ABS(S572-SUMPRODUCT(('05B_가정검정'!$A$5:$A$19=B572)*('05B_가정검정'!$B$5:$B$19=C572)*'05B_가정검정'!$E$5:$E$19))</f>
        <v/>
      </c>
      <c r="AB572" s="88">
        <f>S572-AVERAGEIFS($S$2:$S$976,$B$2:$B$976,B572,$C$2:$C$976,C572)</f>
        <v/>
      </c>
    </row>
    <row r="573" ht="15" customHeight="1" s="68">
      <c r="A573" s="83" t="inlineStr">
        <is>
          <t>RPT-08</t>
        </is>
      </c>
      <c r="B573" s="83" t="inlineStr">
        <is>
          <t>chatgpt</t>
        </is>
      </c>
      <c r="C573" s="83" t="inlineStr">
        <is>
          <t>ministral</t>
        </is>
      </c>
      <c r="D573" s="84" t="n">
        <v>0.291095890410959</v>
      </c>
      <c r="E573" s="84" t="n">
        <v>0.32258064516129</v>
      </c>
      <c r="F573" s="84" t="n">
        <v>0.170731707317073</v>
      </c>
      <c r="G573" s="84" t="n">
        <v>0.282258064516129</v>
      </c>
      <c r="H573" s="84" t="n">
        <v>0.166716418837901</v>
      </c>
      <c r="I573" s="84" t="n">
        <v>0.204593093611611</v>
      </c>
      <c r="J573" s="84" t="n">
        <v>0.676201910910316</v>
      </c>
      <c r="K573" s="84" t="n">
        <v>0.62533039016754</v>
      </c>
      <c r="L573" s="84" t="n">
        <v>0.76102121781509</v>
      </c>
      <c r="M573" s="84" t="n">
        <v>0.460674157303371</v>
      </c>
      <c r="N573" s="84" t="n">
        <v>0.0158730158730159</v>
      </c>
      <c r="O573" s="84" t="n">
        <v>1</v>
      </c>
      <c r="P573" s="85">
        <f>AVERAGE(D573:I573)</f>
        <v/>
      </c>
      <c r="Q573" s="85">
        <f>AVERAGE(J573:L573)</f>
        <v/>
      </c>
      <c r="R573" s="85">
        <f>AVERAGE(M573:O573)</f>
        <v/>
      </c>
      <c r="S573" s="85">
        <f>'02_지표정의'!$C$22*P573+'02_지표정의'!$C$23*Q573+'02_지표정의'!$C$24*R573</f>
        <v/>
      </c>
      <c r="T573" s="73">
        <f>IF(OR(AND(B573="gemini",C573="gemma"),AND(B573="qwen3_6",C573="qwen"),AND(B573="mistral",C573="ministral")),1,0)</f>
        <v/>
      </c>
      <c r="U573" s="73">
        <f>IF(LEFT(A573,3)="PAT","특허","보고서")</f>
        <v/>
      </c>
      <c r="V573" s="86">
        <f>COUNTIF($S$2:$S$976,"&lt;"&amp;S573)+(COUNTIF($S$2:$S$976,"="&amp;S573)+1)/2</f>
        <v/>
      </c>
      <c r="W573" s="73">
        <f>IF(C573="qwen",0,COUNTIFS($C$2:$C$976,"&lt;&gt;qwen",$S$2:$S$976,"&lt;"&amp;S573)+1)</f>
        <v/>
      </c>
      <c r="X573" s="73">
        <f>IF(C573="ministral",0,COUNTIFS($C$2:$C$976,"&lt;&gt;ministral",$S$2:$S$976,"&lt;"&amp;S573)+1)</f>
        <v/>
      </c>
      <c r="Y573" s="73">
        <f>IF(C573="gemma",0,COUNTIFS($C$2:$C$976,"&lt;&gt;gemma",$S$2:$S$976,"&lt;"&amp;S573)+1)</f>
        <v/>
      </c>
      <c r="Z573" s="87">
        <f>COUNTIFS($B$2:$B$976,B573,$C$2:$C$976,C573,$S$2:$S$976,"&lt;"&amp;S573)+1</f>
        <v/>
      </c>
      <c r="AA573" s="88">
        <f>ABS(S573-SUMPRODUCT(('05B_가정검정'!$A$5:$A$19=B573)*('05B_가정검정'!$B$5:$B$19=C573)*'05B_가정검정'!$E$5:$E$19))</f>
        <v/>
      </c>
      <c r="AB573" s="88">
        <f>S573-AVERAGEIFS($S$2:$S$976,$B$2:$B$976,B573,$C$2:$C$976,C573)</f>
        <v/>
      </c>
    </row>
    <row r="574" ht="15" customHeight="1" s="68">
      <c r="A574" s="83" t="inlineStr">
        <is>
          <t>RPT-08</t>
        </is>
      </c>
      <c r="B574" s="83" t="inlineStr">
        <is>
          <t>chatgpt</t>
        </is>
      </c>
      <c r="C574" s="83" t="inlineStr">
        <is>
          <t>qwen</t>
        </is>
      </c>
      <c r="D574" s="84" t="n">
        <v>0.281188118811881</v>
      </c>
      <c r="E574" s="84" t="n">
        <v>0.510344827586207</v>
      </c>
      <c r="F574" s="84" t="n">
        <v>0.265734265734266</v>
      </c>
      <c r="G574" s="84" t="n">
        <v>0.455172413793104</v>
      </c>
      <c r="H574" s="84" t="n">
        <v>0.306298746013408</v>
      </c>
      <c r="I574" s="84" t="n">
        <v>0.199833375331528</v>
      </c>
      <c r="J574" s="84" t="n">
        <v>0.694478757052258</v>
      </c>
      <c r="K574" s="84" t="n">
        <v>0.6077813024372259</v>
      </c>
      <c r="L574" s="84" t="n">
        <v>0.865596995743637</v>
      </c>
      <c r="M574" s="84" t="n">
        <v>0.515151515151515</v>
      </c>
      <c r="N574" s="84" t="n">
        <v>0.213483146067416</v>
      </c>
      <c r="O574" s="84" t="n">
        <v>1</v>
      </c>
      <c r="P574" s="85">
        <f>AVERAGE(D574:I574)</f>
        <v/>
      </c>
      <c r="Q574" s="85">
        <f>AVERAGE(J574:L574)</f>
        <v/>
      </c>
      <c r="R574" s="85">
        <f>AVERAGE(M574:O574)</f>
        <v/>
      </c>
      <c r="S574" s="85">
        <f>'02_지표정의'!$C$22*P574+'02_지표정의'!$C$23*Q574+'02_지표정의'!$C$24*R574</f>
        <v/>
      </c>
      <c r="T574" s="73">
        <f>IF(OR(AND(B574="gemini",C574="gemma"),AND(B574="qwen3_6",C574="qwen"),AND(B574="mistral",C574="ministral")),1,0)</f>
        <v/>
      </c>
      <c r="U574" s="73">
        <f>IF(LEFT(A574,3)="PAT","특허","보고서")</f>
        <v/>
      </c>
      <c r="V574" s="86">
        <f>COUNTIF($S$2:$S$976,"&lt;"&amp;S574)+(COUNTIF($S$2:$S$976,"="&amp;S574)+1)/2</f>
        <v/>
      </c>
      <c r="W574" s="73">
        <f>IF(C574="qwen",0,COUNTIFS($C$2:$C$976,"&lt;&gt;qwen",$S$2:$S$976,"&lt;"&amp;S574)+1)</f>
        <v/>
      </c>
      <c r="X574" s="73">
        <f>IF(C574="ministral",0,COUNTIFS($C$2:$C$976,"&lt;&gt;ministral",$S$2:$S$976,"&lt;"&amp;S574)+1)</f>
        <v/>
      </c>
      <c r="Y574" s="73">
        <f>IF(C574="gemma",0,COUNTIFS($C$2:$C$976,"&lt;&gt;gemma",$S$2:$S$976,"&lt;"&amp;S574)+1)</f>
        <v/>
      </c>
      <c r="Z574" s="87">
        <f>COUNTIFS($B$2:$B$976,B574,$C$2:$C$976,C574,$S$2:$S$976,"&lt;"&amp;S574)+1</f>
        <v/>
      </c>
      <c r="AA574" s="88">
        <f>ABS(S574-SUMPRODUCT(('05B_가정검정'!$A$5:$A$19=B574)*('05B_가정검정'!$B$5:$B$19=C574)*'05B_가정검정'!$E$5:$E$19))</f>
        <v/>
      </c>
      <c r="AB574" s="88">
        <f>S574-AVERAGEIFS($S$2:$S$976,$B$2:$B$976,B574,$C$2:$C$976,C574)</f>
        <v/>
      </c>
    </row>
    <row r="575" ht="15" customHeight="1" s="68">
      <c r="A575" s="83" t="inlineStr">
        <is>
          <t>RPT-08</t>
        </is>
      </c>
      <c r="B575" s="83" t="inlineStr">
        <is>
          <t>claude</t>
        </is>
      </c>
      <c r="C575" s="83" t="inlineStr">
        <is>
          <t>gemma</t>
        </is>
      </c>
      <c r="D575" s="84" t="n">
        <v>0.216335540838852</v>
      </c>
      <c r="E575" s="84" t="n">
        <v>0.4</v>
      </c>
      <c r="F575" s="84" t="n">
        <v>0.125</v>
      </c>
      <c r="G575" s="84" t="n">
        <v>0.276190476190476</v>
      </c>
      <c r="H575" s="84" t="n">
        <v>0.253830713951237</v>
      </c>
      <c r="I575" s="84" t="n">
        <v>0.175716457317176</v>
      </c>
      <c r="J575" s="84" t="n">
        <v>0.704823766984125</v>
      </c>
      <c r="K575" s="84" t="n">
        <v>0.661960480739745</v>
      </c>
      <c r="L575" s="84" t="n">
        <v>0.875155102572671</v>
      </c>
      <c r="M575" s="84" t="n">
        <v>0.869158878504673</v>
      </c>
      <c r="N575" s="84" t="n">
        <v>0.883333333333333</v>
      </c>
      <c r="O575" s="84" t="n">
        <v>1</v>
      </c>
      <c r="P575" s="85">
        <f>AVERAGE(D575:I575)</f>
        <v/>
      </c>
      <c r="Q575" s="85">
        <f>AVERAGE(J575:L575)</f>
        <v/>
      </c>
      <c r="R575" s="85">
        <f>AVERAGE(M575:O575)</f>
        <v/>
      </c>
      <c r="S575" s="85">
        <f>'02_지표정의'!$C$22*P575+'02_지표정의'!$C$23*Q575+'02_지표정의'!$C$24*R575</f>
        <v/>
      </c>
      <c r="T575" s="73">
        <f>IF(OR(AND(B575="gemini",C575="gemma"),AND(B575="qwen3_6",C575="qwen"),AND(B575="mistral",C575="ministral")),1,0)</f>
        <v/>
      </c>
      <c r="U575" s="73">
        <f>IF(LEFT(A575,3)="PAT","특허","보고서")</f>
        <v/>
      </c>
      <c r="V575" s="86">
        <f>COUNTIF($S$2:$S$976,"&lt;"&amp;S575)+(COUNTIF($S$2:$S$976,"="&amp;S575)+1)/2</f>
        <v/>
      </c>
      <c r="W575" s="73">
        <f>IF(C575="qwen",0,COUNTIFS($C$2:$C$976,"&lt;&gt;qwen",$S$2:$S$976,"&lt;"&amp;S575)+1)</f>
        <v/>
      </c>
      <c r="X575" s="73">
        <f>IF(C575="ministral",0,COUNTIFS($C$2:$C$976,"&lt;&gt;ministral",$S$2:$S$976,"&lt;"&amp;S575)+1)</f>
        <v/>
      </c>
      <c r="Y575" s="73">
        <f>IF(C575="gemma",0,COUNTIFS($C$2:$C$976,"&lt;&gt;gemma",$S$2:$S$976,"&lt;"&amp;S575)+1)</f>
        <v/>
      </c>
      <c r="Z575" s="87">
        <f>COUNTIFS($B$2:$B$976,B575,$C$2:$C$976,C575,$S$2:$S$976,"&lt;"&amp;S575)+1</f>
        <v/>
      </c>
      <c r="AA575" s="88">
        <f>ABS(S575-SUMPRODUCT(('05B_가정검정'!$A$5:$A$19=B575)*('05B_가정검정'!$B$5:$B$19=C575)*'05B_가정검정'!$E$5:$E$19))</f>
        <v/>
      </c>
      <c r="AB575" s="88">
        <f>S575-AVERAGEIFS($S$2:$S$976,$B$2:$B$976,B575,$C$2:$C$976,C575)</f>
        <v/>
      </c>
    </row>
    <row r="576" ht="15" customHeight="1" s="68">
      <c r="A576" s="83" t="inlineStr">
        <is>
          <t>RPT-08</t>
        </is>
      </c>
      <c r="B576" s="83" t="inlineStr">
        <is>
          <t>claude</t>
        </is>
      </c>
      <c r="C576" s="83" t="inlineStr">
        <is>
          <t>ministral</t>
        </is>
      </c>
      <c r="D576" s="84" t="n">
        <v>0.258793969849246</v>
      </c>
      <c r="E576" s="84" t="n">
        <v>0.37410071942446</v>
      </c>
      <c r="F576" s="84" t="n">
        <v>0.181159420289855</v>
      </c>
      <c r="G576" s="84" t="n">
        <v>0.251798561151079</v>
      </c>
      <c r="H576" s="84" t="n">
        <v>0.184259190158396</v>
      </c>
      <c r="I576" s="84" t="n">
        <v>0.159849307851427</v>
      </c>
      <c r="J576" s="84" t="n">
        <v>0.699958915265117</v>
      </c>
      <c r="K576" s="84" t="n">
        <v>0.626927548516573</v>
      </c>
      <c r="L576" s="84" t="n">
        <v>0.808912947454082</v>
      </c>
      <c r="M576" s="84" t="n">
        <v>0.363295880149813</v>
      </c>
      <c r="N576" s="84" t="n">
        <v>0.420634920634921</v>
      </c>
      <c r="O576" s="84" t="n">
        <v>1</v>
      </c>
      <c r="P576" s="85">
        <f>AVERAGE(D576:I576)</f>
        <v/>
      </c>
      <c r="Q576" s="85">
        <f>AVERAGE(J576:L576)</f>
        <v/>
      </c>
      <c r="R576" s="85">
        <f>AVERAGE(M576:O576)</f>
        <v/>
      </c>
      <c r="S576" s="85">
        <f>'02_지표정의'!$C$22*P576+'02_지표정의'!$C$23*Q576+'02_지표정의'!$C$24*R576</f>
        <v/>
      </c>
      <c r="T576" s="73">
        <f>IF(OR(AND(B576="gemini",C576="gemma"),AND(B576="qwen3_6",C576="qwen"),AND(B576="mistral",C576="ministral")),1,0)</f>
        <v/>
      </c>
      <c r="U576" s="73">
        <f>IF(LEFT(A576,3)="PAT","특허","보고서")</f>
        <v/>
      </c>
      <c r="V576" s="86">
        <f>COUNTIF($S$2:$S$976,"&lt;"&amp;S576)+(COUNTIF($S$2:$S$976,"="&amp;S576)+1)/2</f>
        <v/>
      </c>
      <c r="W576" s="73">
        <f>IF(C576="qwen",0,COUNTIFS($C$2:$C$976,"&lt;&gt;qwen",$S$2:$S$976,"&lt;"&amp;S576)+1)</f>
        <v/>
      </c>
      <c r="X576" s="73">
        <f>IF(C576="ministral",0,COUNTIFS($C$2:$C$976,"&lt;&gt;ministral",$S$2:$S$976,"&lt;"&amp;S576)+1)</f>
        <v/>
      </c>
      <c r="Y576" s="73">
        <f>IF(C576="gemma",0,COUNTIFS($C$2:$C$976,"&lt;&gt;gemma",$S$2:$S$976,"&lt;"&amp;S576)+1)</f>
        <v/>
      </c>
      <c r="Z576" s="87">
        <f>COUNTIFS($B$2:$B$976,B576,$C$2:$C$976,C576,$S$2:$S$976,"&lt;"&amp;S576)+1</f>
        <v/>
      </c>
      <c r="AA576" s="88">
        <f>ABS(S576-SUMPRODUCT(('05B_가정검정'!$A$5:$A$19=B576)*('05B_가정검정'!$B$5:$B$19=C576)*'05B_가정검정'!$E$5:$E$19))</f>
        <v/>
      </c>
      <c r="AB576" s="88">
        <f>S576-AVERAGEIFS($S$2:$S$976,$B$2:$B$976,B576,$C$2:$C$976,C576)</f>
        <v/>
      </c>
    </row>
    <row r="577" ht="15" customHeight="1" s="68">
      <c r="A577" s="83" t="inlineStr">
        <is>
          <t>RPT-08</t>
        </is>
      </c>
      <c r="B577" s="83" t="inlineStr">
        <is>
          <t>claude</t>
        </is>
      </c>
      <c r="C577" s="83" t="inlineStr">
        <is>
          <t>qwen</t>
        </is>
      </c>
      <c r="D577" s="84" t="n">
        <v>0.248256624825663</v>
      </c>
      <c r="E577" s="84" t="n">
        <v>0.514285714285714</v>
      </c>
      <c r="F577" s="84" t="n">
        <v>0.23121387283237</v>
      </c>
      <c r="G577" s="84" t="n">
        <v>0.388571428571429</v>
      </c>
      <c r="H577" s="84" t="n">
        <v>0.340645261291334</v>
      </c>
      <c r="I577" s="84" t="n">
        <v>0.188096000887941</v>
      </c>
      <c r="J577" s="84" t="n">
        <v>0.706572056169482</v>
      </c>
      <c r="K577" s="84" t="n">
        <v>0.614670922102419</v>
      </c>
      <c r="L577" s="84" t="n">
        <v>0.850969874569057</v>
      </c>
      <c r="M577" s="84" t="n">
        <v>0.869158878504673</v>
      </c>
      <c r="N577" s="84" t="n">
        <v>0.883333333333333</v>
      </c>
      <c r="O577" s="84" t="n">
        <v>1</v>
      </c>
      <c r="P577" s="85">
        <f>AVERAGE(D577:I577)</f>
        <v/>
      </c>
      <c r="Q577" s="85">
        <f>AVERAGE(J577:L577)</f>
        <v/>
      </c>
      <c r="R577" s="85">
        <f>AVERAGE(M577:O577)</f>
        <v/>
      </c>
      <c r="S577" s="85">
        <f>'02_지표정의'!$C$22*P577+'02_지표정의'!$C$23*Q577+'02_지표정의'!$C$24*R577</f>
        <v/>
      </c>
      <c r="T577" s="73">
        <f>IF(OR(AND(B577="gemini",C577="gemma"),AND(B577="qwen3_6",C577="qwen"),AND(B577="mistral",C577="ministral")),1,0)</f>
        <v/>
      </c>
      <c r="U577" s="73">
        <f>IF(LEFT(A577,3)="PAT","특허","보고서")</f>
        <v/>
      </c>
      <c r="V577" s="86">
        <f>COUNTIF($S$2:$S$976,"&lt;"&amp;S577)+(COUNTIF($S$2:$S$976,"="&amp;S577)+1)/2</f>
        <v/>
      </c>
      <c r="W577" s="73">
        <f>IF(C577="qwen",0,COUNTIFS($C$2:$C$976,"&lt;&gt;qwen",$S$2:$S$976,"&lt;"&amp;S577)+1)</f>
        <v/>
      </c>
      <c r="X577" s="73">
        <f>IF(C577="ministral",0,COUNTIFS($C$2:$C$976,"&lt;&gt;ministral",$S$2:$S$976,"&lt;"&amp;S577)+1)</f>
        <v/>
      </c>
      <c r="Y577" s="73">
        <f>IF(C577="gemma",0,COUNTIFS($C$2:$C$976,"&lt;&gt;gemma",$S$2:$S$976,"&lt;"&amp;S577)+1)</f>
        <v/>
      </c>
      <c r="Z577" s="87">
        <f>COUNTIFS($B$2:$B$976,B577,$C$2:$C$976,C577,$S$2:$S$976,"&lt;"&amp;S577)+1</f>
        <v/>
      </c>
      <c r="AA577" s="88">
        <f>ABS(S577-SUMPRODUCT(('05B_가정검정'!$A$5:$A$19=B577)*('05B_가정검정'!$B$5:$B$19=C577)*'05B_가정검정'!$E$5:$E$19))</f>
        <v/>
      </c>
      <c r="AB577" s="88">
        <f>S577-AVERAGEIFS($S$2:$S$976,$B$2:$B$976,B577,$C$2:$C$976,C577)</f>
        <v/>
      </c>
    </row>
    <row r="578" ht="15" customHeight="1" s="68">
      <c r="A578" s="83" t="inlineStr">
        <is>
          <t>RPT-08</t>
        </is>
      </c>
      <c r="B578" s="83" t="inlineStr">
        <is>
          <t>gemini</t>
        </is>
      </c>
      <c r="C578" s="83" t="inlineStr">
        <is>
          <t>gemma</t>
        </is>
      </c>
      <c r="D578" s="84" t="n">
        <v>0.202304737516005</v>
      </c>
      <c r="E578" s="84" t="n">
        <v>0.352941176470588</v>
      </c>
      <c r="F578" s="84" t="n">
        <v>0.12972972972973</v>
      </c>
      <c r="G578" s="84" t="n">
        <v>0.288770053475936</v>
      </c>
      <c r="H578" s="84" t="n">
        <v>0.268241188699574</v>
      </c>
      <c r="I578" s="84" t="n">
        <v>0.145808280875999</v>
      </c>
      <c r="J578" s="84" t="n">
        <v>0.735203408817247</v>
      </c>
      <c r="K578" s="84" t="n">
        <v>0.797464472860318</v>
      </c>
      <c r="L578" s="84" t="n">
        <v>0.907113915845346</v>
      </c>
      <c r="M578" s="84" t="n">
        <v>0.906542056074766</v>
      </c>
      <c r="N578" s="84" t="n">
        <v>0.916666666666667</v>
      </c>
      <c r="O578" s="84" t="n">
        <v>1</v>
      </c>
      <c r="P578" s="85">
        <f>AVERAGE(D578:I578)</f>
        <v/>
      </c>
      <c r="Q578" s="85">
        <f>AVERAGE(J578:L578)</f>
        <v/>
      </c>
      <c r="R578" s="85">
        <f>AVERAGE(M578:O578)</f>
        <v/>
      </c>
      <c r="S578" s="85">
        <f>'02_지표정의'!$C$22*P578+'02_지표정의'!$C$23*Q578+'02_지표정의'!$C$24*R578</f>
        <v/>
      </c>
      <c r="T578" s="73">
        <f>IF(OR(AND(B578="gemini",C578="gemma"),AND(B578="qwen3_6",C578="qwen"),AND(B578="mistral",C578="ministral")),1,0)</f>
        <v/>
      </c>
      <c r="U578" s="73">
        <f>IF(LEFT(A578,3)="PAT","특허","보고서")</f>
        <v/>
      </c>
      <c r="V578" s="86">
        <f>COUNTIF($S$2:$S$976,"&lt;"&amp;S578)+(COUNTIF($S$2:$S$976,"="&amp;S578)+1)/2</f>
        <v/>
      </c>
      <c r="W578" s="73">
        <f>IF(C578="qwen",0,COUNTIFS($C$2:$C$976,"&lt;&gt;qwen",$S$2:$S$976,"&lt;"&amp;S578)+1)</f>
        <v/>
      </c>
      <c r="X578" s="73">
        <f>IF(C578="ministral",0,COUNTIFS($C$2:$C$976,"&lt;&gt;ministral",$S$2:$S$976,"&lt;"&amp;S578)+1)</f>
        <v/>
      </c>
      <c r="Y578" s="73">
        <f>IF(C578="gemma",0,COUNTIFS($C$2:$C$976,"&lt;&gt;gemma",$S$2:$S$976,"&lt;"&amp;S578)+1)</f>
        <v/>
      </c>
      <c r="Z578" s="87">
        <f>COUNTIFS($B$2:$B$976,B578,$C$2:$C$976,C578,$S$2:$S$976,"&lt;"&amp;S578)+1</f>
        <v/>
      </c>
      <c r="AA578" s="88">
        <f>ABS(S578-SUMPRODUCT(('05B_가정검정'!$A$5:$A$19=B578)*('05B_가정검정'!$B$5:$B$19=C578)*'05B_가정검정'!$E$5:$E$19))</f>
        <v/>
      </c>
      <c r="AB578" s="88">
        <f>S578-AVERAGEIFS($S$2:$S$976,$B$2:$B$976,B578,$C$2:$C$976,C578)</f>
        <v/>
      </c>
    </row>
    <row r="579" ht="15" customHeight="1" s="68">
      <c r="A579" s="83" t="inlineStr">
        <is>
          <t>RPT-08</t>
        </is>
      </c>
      <c r="B579" s="83" t="inlineStr">
        <is>
          <t>gemini</t>
        </is>
      </c>
      <c r="C579" s="83" t="inlineStr">
        <is>
          <t>ministral</t>
        </is>
      </c>
      <c r="D579" s="84" t="n">
        <v>0.238450074515648</v>
      </c>
      <c r="E579" s="84" t="n">
        <v>0.32156862745098</v>
      </c>
      <c r="F579" s="84" t="n">
        <v>0.173913043478261</v>
      </c>
      <c r="G579" s="84" t="n">
        <v>0.266666666666667</v>
      </c>
      <c r="H579" s="84" t="n">
        <v>0.176714018834837</v>
      </c>
      <c r="I579" s="84" t="n">
        <v>0.142313834050126</v>
      </c>
      <c r="J579" s="84" t="n">
        <v>0.725176384203682</v>
      </c>
      <c r="K579" s="84" t="n">
        <v>0.75039245434422</v>
      </c>
      <c r="L579" s="84" t="n">
        <v>0.866225622526968</v>
      </c>
      <c r="M579" s="84" t="n">
        <v>0.363295880149813</v>
      </c>
      <c r="N579" s="84" t="n">
        <v>0.436507936507937</v>
      </c>
      <c r="O579" s="84" t="n">
        <v>1</v>
      </c>
      <c r="P579" s="85">
        <f>AVERAGE(D579:I579)</f>
        <v/>
      </c>
      <c r="Q579" s="85">
        <f>AVERAGE(J579:L579)</f>
        <v/>
      </c>
      <c r="R579" s="85">
        <f>AVERAGE(M579:O579)</f>
        <v/>
      </c>
      <c r="S579" s="85">
        <f>'02_지표정의'!$C$22*P579+'02_지표정의'!$C$23*Q579+'02_지표정의'!$C$24*R579</f>
        <v/>
      </c>
      <c r="T579" s="73">
        <f>IF(OR(AND(B579="gemini",C579="gemma"),AND(B579="qwen3_6",C579="qwen"),AND(B579="mistral",C579="ministral")),1,0)</f>
        <v/>
      </c>
      <c r="U579" s="73">
        <f>IF(LEFT(A579,3)="PAT","특허","보고서")</f>
        <v/>
      </c>
      <c r="V579" s="86">
        <f>COUNTIF($S$2:$S$976,"&lt;"&amp;S579)+(COUNTIF($S$2:$S$976,"="&amp;S579)+1)/2</f>
        <v/>
      </c>
      <c r="W579" s="73">
        <f>IF(C579="qwen",0,COUNTIFS($C$2:$C$976,"&lt;&gt;qwen",$S$2:$S$976,"&lt;"&amp;S579)+1)</f>
        <v/>
      </c>
      <c r="X579" s="73">
        <f>IF(C579="ministral",0,COUNTIFS($C$2:$C$976,"&lt;&gt;ministral",$S$2:$S$976,"&lt;"&amp;S579)+1)</f>
        <v/>
      </c>
      <c r="Y579" s="73">
        <f>IF(C579="gemma",0,COUNTIFS($C$2:$C$976,"&lt;&gt;gemma",$S$2:$S$976,"&lt;"&amp;S579)+1)</f>
        <v/>
      </c>
      <c r="Z579" s="87">
        <f>COUNTIFS($B$2:$B$976,B579,$C$2:$C$976,C579,$S$2:$S$976,"&lt;"&amp;S579)+1</f>
        <v/>
      </c>
      <c r="AA579" s="88">
        <f>ABS(S579-SUMPRODUCT(('05B_가정검정'!$A$5:$A$19=B579)*('05B_가정검정'!$B$5:$B$19=C579)*'05B_가정검정'!$E$5:$E$19))</f>
        <v/>
      </c>
      <c r="AB579" s="88">
        <f>S579-AVERAGEIFS($S$2:$S$976,$B$2:$B$976,B579,$C$2:$C$976,C579)</f>
        <v/>
      </c>
    </row>
    <row r="580" ht="15" customHeight="1" s="68">
      <c r="A580" s="83" t="inlineStr">
        <is>
          <t>RPT-08</t>
        </is>
      </c>
      <c r="B580" s="83" t="inlineStr">
        <is>
          <t>gemini</t>
        </is>
      </c>
      <c r="C580" s="83" t="inlineStr">
        <is>
          <t>qwen</t>
        </is>
      </c>
      <c r="D580" s="84" t="n">
        <v>0.239864864864865</v>
      </c>
      <c r="E580" s="84" t="n">
        <v>0.513157894736842</v>
      </c>
      <c r="F580" s="84" t="n">
        <v>0.253333333333333</v>
      </c>
      <c r="G580" s="84" t="n">
        <v>0.421052631578947</v>
      </c>
      <c r="H580" s="84" t="n">
        <v>0.382273666919035</v>
      </c>
      <c r="I580" s="84" t="n">
        <v>0.188518129663689</v>
      </c>
      <c r="J580" s="84" t="n">
        <v>0.770330836011477</v>
      </c>
      <c r="K580" s="84" t="n">
        <v>0.766843773171845</v>
      </c>
      <c r="L580" s="84" t="n">
        <v>0.894268813046693</v>
      </c>
      <c r="M580" s="84" t="n">
        <v>0.906542056074766</v>
      </c>
      <c r="N580" s="84" t="n">
        <v>0.916666666666667</v>
      </c>
      <c r="O580" s="84" t="n">
        <v>1</v>
      </c>
      <c r="P580" s="85">
        <f>AVERAGE(D580:I580)</f>
        <v/>
      </c>
      <c r="Q580" s="85">
        <f>AVERAGE(J580:L580)</f>
        <v/>
      </c>
      <c r="R580" s="85">
        <f>AVERAGE(M580:O580)</f>
        <v/>
      </c>
      <c r="S580" s="85">
        <f>'02_지표정의'!$C$22*P580+'02_지표정의'!$C$23*Q580+'02_지표정의'!$C$24*R580</f>
        <v/>
      </c>
      <c r="T580" s="73">
        <f>IF(OR(AND(B580="gemini",C580="gemma"),AND(B580="qwen3_6",C580="qwen"),AND(B580="mistral",C580="ministral")),1,0)</f>
        <v/>
      </c>
      <c r="U580" s="73">
        <f>IF(LEFT(A580,3)="PAT","특허","보고서")</f>
        <v/>
      </c>
      <c r="V580" s="86">
        <f>COUNTIF($S$2:$S$976,"&lt;"&amp;S580)+(COUNTIF($S$2:$S$976,"="&amp;S580)+1)/2</f>
        <v/>
      </c>
      <c r="W580" s="73">
        <f>IF(C580="qwen",0,COUNTIFS($C$2:$C$976,"&lt;&gt;qwen",$S$2:$S$976,"&lt;"&amp;S580)+1)</f>
        <v/>
      </c>
      <c r="X580" s="73">
        <f>IF(C580="ministral",0,COUNTIFS($C$2:$C$976,"&lt;&gt;ministral",$S$2:$S$976,"&lt;"&amp;S580)+1)</f>
        <v/>
      </c>
      <c r="Y580" s="73">
        <f>IF(C580="gemma",0,COUNTIFS($C$2:$C$976,"&lt;&gt;gemma",$S$2:$S$976,"&lt;"&amp;S580)+1)</f>
        <v/>
      </c>
      <c r="Z580" s="87">
        <f>COUNTIFS($B$2:$B$976,B580,$C$2:$C$976,C580,$S$2:$S$976,"&lt;"&amp;S580)+1</f>
        <v/>
      </c>
      <c r="AA580" s="88">
        <f>ABS(S580-SUMPRODUCT(('05B_가정검정'!$A$5:$A$19=B580)*('05B_가정검정'!$B$5:$B$19=C580)*'05B_가정검정'!$E$5:$E$19))</f>
        <v/>
      </c>
      <c r="AB580" s="88">
        <f>S580-AVERAGEIFS($S$2:$S$976,$B$2:$B$976,B580,$C$2:$C$976,C580)</f>
        <v/>
      </c>
    </row>
    <row r="581" ht="15" customHeight="1" s="68">
      <c r="A581" s="83" t="inlineStr">
        <is>
          <t>RPT-08</t>
        </is>
      </c>
      <c r="B581" s="83" t="inlineStr">
        <is>
          <t>mistral</t>
        </is>
      </c>
      <c r="C581" s="83" t="inlineStr">
        <is>
          <t>gemma</t>
        </is>
      </c>
      <c r="D581" s="84" t="n">
        <v>0.194148936170213</v>
      </c>
      <c r="E581" s="84" t="n">
        <v>0.33695652173913</v>
      </c>
      <c r="F581" s="84" t="n">
        <v>0.142857142857143</v>
      </c>
      <c r="G581" s="84" t="n">
        <v>0.271739130434783</v>
      </c>
      <c r="H581" s="84" t="n">
        <v>0.262177866383671</v>
      </c>
      <c r="I581" s="84" t="n">
        <v>0.130715880058088</v>
      </c>
      <c r="J581" s="84" t="n">
        <v>0.716384126693578</v>
      </c>
      <c r="K581" s="84" t="n">
        <v>0.736539452901058</v>
      </c>
      <c r="L581" s="84" t="n">
        <v>0.867521040723326</v>
      </c>
      <c r="M581" s="84" t="n">
        <v>0.659259259259259</v>
      </c>
      <c r="N581" s="84" t="n">
        <v>0.6621621621621619</v>
      </c>
      <c r="O581" s="84" t="n">
        <v>1</v>
      </c>
      <c r="P581" s="85">
        <f>AVERAGE(D581:I581)</f>
        <v/>
      </c>
      <c r="Q581" s="85">
        <f>AVERAGE(J581:L581)</f>
        <v/>
      </c>
      <c r="R581" s="85">
        <f>AVERAGE(M581:O581)</f>
        <v/>
      </c>
      <c r="S581" s="85">
        <f>'02_지표정의'!$C$22*P581+'02_지표정의'!$C$23*Q581+'02_지표정의'!$C$24*R581</f>
        <v/>
      </c>
      <c r="T581" s="73">
        <f>IF(OR(AND(B581="gemini",C581="gemma"),AND(B581="qwen3_6",C581="qwen"),AND(B581="mistral",C581="ministral")),1,0)</f>
        <v/>
      </c>
      <c r="U581" s="73">
        <f>IF(LEFT(A581,3)="PAT","특허","보고서")</f>
        <v/>
      </c>
      <c r="V581" s="86">
        <f>COUNTIF($S$2:$S$976,"&lt;"&amp;S581)+(COUNTIF($S$2:$S$976,"="&amp;S581)+1)/2</f>
        <v/>
      </c>
      <c r="W581" s="73">
        <f>IF(C581="qwen",0,COUNTIFS($C$2:$C$976,"&lt;&gt;qwen",$S$2:$S$976,"&lt;"&amp;S581)+1)</f>
        <v/>
      </c>
      <c r="X581" s="73">
        <f>IF(C581="ministral",0,COUNTIFS($C$2:$C$976,"&lt;&gt;ministral",$S$2:$S$976,"&lt;"&amp;S581)+1)</f>
        <v/>
      </c>
      <c r="Y581" s="73">
        <f>IF(C581="gemma",0,COUNTIFS($C$2:$C$976,"&lt;&gt;gemma",$S$2:$S$976,"&lt;"&amp;S581)+1)</f>
        <v/>
      </c>
      <c r="Z581" s="87">
        <f>COUNTIFS($B$2:$B$976,B581,$C$2:$C$976,C581,$S$2:$S$976,"&lt;"&amp;S581)+1</f>
        <v/>
      </c>
      <c r="AA581" s="88">
        <f>ABS(S581-SUMPRODUCT(('05B_가정검정'!$A$5:$A$19=B581)*('05B_가정검정'!$B$5:$B$19=C581)*'05B_가정검정'!$E$5:$E$19))</f>
        <v/>
      </c>
      <c r="AB581" s="88">
        <f>S581-AVERAGEIFS($S$2:$S$976,$B$2:$B$976,B581,$C$2:$C$976,C581)</f>
        <v/>
      </c>
    </row>
    <row r="582" ht="15" customHeight="1" s="68">
      <c r="A582" s="83" t="inlineStr">
        <is>
          <t>RPT-08</t>
        </is>
      </c>
      <c r="B582" s="83" t="inlineStr">
        <is>
          <t>mistral</t>
        </is>
      </c>
      <c r="C582" s="83" t="inlineStr">
        <is>
          <t>ministral</t>
        </is>
      </c>
      <c r="D582" s="84" t="n">
        <v>0.299065420560748</v>
      </c>
      <c r="E582" s="84" t="n">
        <v>0.349206349206349</v>
      </c>
      <c r="F582" s="84" t="n">
        <v>0.2</v>
      </c>
      <c r="G582" s="84" t="n">
        <v>0.301587301587302</v>
      </c>
      <c r="H582" s="84" t="n">
        <v>0.192080550602374</v>
      </c>
      <c r="I582" s="84" t="n">
        <v>0.157638386382171</v>
      </c>
      <c r="J582" s="84" t="n">
        <v>0.733689783617508</v>
      </c>
      <c r="K582" s="84" t="n">
        <v>0.66763347568868</v>
      </c>
      <c r="L582" s="84" t="n">
        <v>0.832421650818156</v>
      </c>
      <c r="M582" s="84" t="n">
        <v>0.438202247191011</v>
      </c>
      <c r="N582" s="84" t="n">
        <v>0.380952380952381</v>
      </c>
      <c r="O582" s="84" t="n">
        <v>1</v>
      </c>
      <c r="P582" s="85">
        <f>AVERAGE(D582:I582)</f>
        <v/>
      </c>
      <c r="Q582" s="85">
        <f>AVERAGE(J582:L582)</f>
        <v/>
      </c>
      <c r="R582" s="85">
        <f>AVERAGE(M582:O582)</f>
        <v/>
      </c>
      <c r="S582" s="85">
        <f>'02_지표정의'!$C$22*P582+'02_지표정의'!$C$23*Q582+'02_지표정의'!$C$24*R582</f>
        <v/>
      </c>
      <c r="T582" s="73">
        <f>IF(OR(AND(B582="gemini",C582="gemma"),AND(B582="qwen3_6",C582="qwen"),AND(B582="mistral",C582="ministral")),1,0)</f>
        <v/>
      </c>
      <c r="U582" s="73">
        <f>IF(LEFT(A582,3)="PAT","특허","보고서")</f>
        <v/>
      </c>
      <c r="V582" s="86">
        <f>COUNTIF($S$2:$S$976,"&lt;"&amp;S582)+(COUNTIF($S$2:$S$976,"="&amp;S582)+1)/2</f>
        <v/>
      </c>
      <c r="W582" s="73">
        <f>IF(C582="qwen",0,COUNTIFS($C$2:$C$976,"&lt;&gt;qwen",$S$2:$S$976,"&lt;"&amp;S582)+1)</f>
        <v/>
      </c>
      <c r="X582" s="73">
        <f>IF(C582="ministral",0,COUNTIFS($C$2:$C$976,"&lt;&gt;ministral",$S$2:$S$976,"&lt;"&amp;S582)+1)</f>
        <v/>
      </c>
      <c r="Y582" s="73">
        <f>IF(C582="gemma",0,COUNTIFS($C$2:$C$976,"&lt;&gt;gemma",$S$2:$S$976,"&lt;"&amp;S582)+1)</f>
        <v/>
      </c>
      <c r="Z582" s="87">
        <f>COUNTIFS($B$2:$B$976,B582,$C$2:$C$976,C582,$S$2:$S$976,"&lt;"&amp;S582)+1</f>
        <v/>
      </c>
      <c r="AA582" s="88">
        <f>ABS(S582-SUMPRODUCT(('05B_가정검정'!$A$5:$A$19=B582)*('05B_가정검정'!$B$5:$B$19=C582)*'05B_가정검정'!$E$5:$E$19))</f>
        <v/>
      </c>
      <c r="AB582" s="88">
        <f>S582-AVERAGEIFS($S$2:$S$976,$B$2:$B$976,B582,$C$2:$C$976,C582)</f>
        <v/>
      </c>
    </row>
    <row r="583" ht="15" customHeight="1" s="68">
      <c r="A583" s="83" t="inlineStr">
        <is>
          <t>RPT-08</t>
        </is>
      </c>
      <c r="B583" s="83" t="inlineStr">
        <is>
          <t>mistral</t>
        </is>
      </c>
      <c r="C583" s="83" t="inlineStr">
        <is>
          <t>qwen</t>
        </is>
      </c>
      <c r="D583" s="84" t="n">
        <v>0.284191829484902</v>
      </c>
      <c r="E583" s="84" t="n">
        <v>0.483221476510067</v>
      </c>
      <c r="F583" s="84" t="n">
        <v>0.244897959183673</v>
      </c>
      <c r="G583" s="84" t="n">
        <v>0.429530201342282</v>
      </c>
      <c r="H583" s="84" t="n">
        <v>0.382674377130915</v>
      </c>
      <c r="I583" s="84" t="n">
        <v>0.170285536870938</v>
      </c>
      <c r="J583" s="84" t="n">
        <v>0.770471649161899</v>
      </c>
      <c r="K583" s="84" t="n">
        <v>0.719296793778707</v>
      </c>
      <c r="L583" s="84" t="n">
        <v>0.862313711016649</v>
      </c>
      <c r="M583" s="84" t="n">
        <v>0.659259259259259</v>
      </c>
      <c r="N583" s="84" t="n">
        <v>0.6621621621621619</v>
      </c>
      <c r="O583" s="84" t="n">
        <v>1</v>
      </c>
      <c r="P583" s="85">
        <f>AVERAGE(D583:I583)</f>
        <v/>
      </c>
      <c r="Q583" s="85">
        <f>AVERAGE(J583:L583)</f>
        <v/>
      </c>
      <c r="R583" s="85">
        <f>AVERAGE(M583:O583)</f>
        <v/>
      </c>
      <c r="S583" s="85">
        <f>'02_지표정의'!$C$22*P583+'02_지표정의'!$C$23*Q583+'02_지표정의'!$C$24*R583</f>
        <v/>
      </c>
      <c r="T583" s="73">
        <f>IF(OR(AND(B583="gemini",C583="gemma"),AND(B583="qwen3_6",C583="qwen"),AND(B583="mistral",C583="ministral")),1,0)</f>
        <v/>
      </c>
      <c r="U583" s="73">
        <f>IF(LEFT(A583,3)="PAT","특허","보고서")</f>
        <v/>
      </c>
      <c r="V583" s="86">
        <f>COUNTIF($S$2:$S$976,"&lt;"&amp;S583)+(COUNTIF($S$2:$S$976,"="&amp;S583)+1)/2</f>
        <v/>
      </c>
      <c r="W583" s="73">
        <f>IF(C583="qwen",0,COUNTIFS($C$2:$C$976,"&lt;&gt;qwen",$S$2:$S$976,"&lt;"&amp;S583)+1)</f>
        <v/>
      </c>
      <c r="X583" s="73">
        <f>IF(C583="ministral",0,COUNTIFS($C$2:$C$976,"&lt;&gt;ministral",$S$2:$S$976,"&lt;"&amp;S583)+1)</f>
        <v/>
      </c>
      <c r="Y583" s="73">
        <f>IF(C583="gemma",0,COUNTIFS($C$2:$C$976,"&lt;&gt;gemma",$S$2:$S$976,"&lt;"&amp;S583)+1)</f>
        <v/>
      </c>
      <c r="Z583" s="87">
        <f>COUNTIFS($B$2:$B$976,B583,$C$2:$C$976,C583,$S$2:$S$976,"&lt;"&amp;S583)+1</f>
        <v/>
      </c>
      <c r="AA583" s="88">
        <f>ABS(S583-SUMPRODUCT(('05B_가정검정'!$A$5:$A$19=B583)*('05B_가정검정'!$B$5:$B$19=C583)*'05B_가정검정'!$E$5:$E$19))</f>
        <v/>
      </c>
      <c r="AB583" s="88">
        <f>S583-AVERAGEIFS($S$2:$S$976,$B$2:$B$976,B583,$C$2:$C$976,C583)</f>
        <v/>
      </c>
    </row>
    <row r="584" ht="15" customHeight="1" s="68">
      <c r="A584" s="83" t="inlineStr">
        <is>
          <t>RPT-08</t>
        </is>
      </c>
      <c r="B584" s="83" t="inlineStr">
        <is>
          <t>qwen3_6</t>
        </is>
      </c>
      <c r="C584" s="83" t="inlineStr">
        <is>
          <t>gemma</t>
        </is>
      </c>
      <c r="D584" s="84" t="n">
        <v>0.228320526893524</v>
      </c>
      <c r="E584" s="84" t="n">
        <v>0.344827586206897</v>
      </c>
      <c r="F584" s="84" t="n">
        <v>0.11304347826087</v>
      </c>
      <c r="G584" s="84" t="n">
        <v>0.267241379310345</v>
      </c>
      <c r="H584" s="84" t="n">
        <v>0.394691734778769</v>
      </c>
      <c r="I584" s="84" t="n">
        <v>0.180786103804375</v>
      </c>
      <c r="J584" s="84" t="n">
        <v>0.732471060831927</v>
      </c>
      <c r="K584" s="84" t="n">
        <v>0.715967334044783</v>
      </c>
      <c r="L584" s="84" t="n">
        <v>0.9039912134797961</v>
      </c>
      <c r="M584" s="84" t="n">
        <v>0.906542056074766</v>
      </c>
      <c r="N584" s="84" t="n">
        <v>0.916666666666667</v>
      </c>
      <c r="O584" s="84" t="n">
        <v>1</v>
      </c>
      <c r="P584" s="85">
        <f>AVERAGE(D584:I584)</f>
        <v/>
      </c>
      <c r="Q584" s="85">
        <f>AVERAGE(J584:L584)</f>
        <v/>
      </c>
      <c r="R584" s="85">
        <f>AVERAGE(M584:O584)</f>
        <v/>
      </c>
      <c r="S584" s="85">
        <f>'02_지표정의'!$C$22*P584+'02_지표정의'!$C$23*Q584+'02_지표정의'!$C$24*R584</f>
        <v/>
      </c>
      <c r="T584" s="73">
        <f>IF(OR(AND(B584="gemini",C584="gemma"),AND(B584="qwen3_6",C584="qwen"),AND(B584="mistral",C584="ministral")),1,0)</f>
        <v/>
      </c>
      <c r="U584" s="73">
        <f>IF(LEFT(A584,3)="PAT","특허","보고서")</f>
        <v/>
      </c>
      <c r="V584" s="86">
        <f>COUNTIF($S$2:$S$976,"&lt;"&amp;S584)+(COUNTIF($S$2:$S$976,"="&amp;S584)+1)/2</f>
        <v/>
      </c>
      <c r="W584" s="73">
        <f>IF(C584="qwen",0,COUNTIFS($C$2:$C$976,"&lt;&gt;qwen",$S$2:$S$976,"&lt;"&amp;S584)+1)</f>
        <v/>
      </c>
      <c r="X584" s="73">
        <f>IF(C584="ministral",0,COUNTIFS($C$2:$C$976,"&lt;&gt;ministral",$S$2:$S$976,"&lt;"&amp;S584)+1)</f>
        <v/>
      </c>
      <c r="Y584" s="73">
        <f>IF(C584="gemma",0,COUNTIFS($C$2:$C$976,"&lt;&gt;gemma",$S$2:$S$976,"&lt;"&amp;S584)+1)</f>
        <v/>
      </c>
      <c r="Z584" s="87">
        <f>COUNTIFS($B$2:$B$976,B584,$C$2:$C$976,C584,$S$2:$S$976,"&lt;"&amp;S584)+1</f>
        <v/>
      </c>
      <c r="AA584" s="88">
        <f>ABS(S584-SUMPRODUCT(('05B_가정검정'!$A$5:$A$19=B584)*('05B_가정검정'!$B$5:$B$19=C584)*'05B_가정검정'!$E$5:$E$19))</f>
        <v/>
      </c>
      <c r="AB584" s="88">
        <f>S584-AVERAGEIFS($S$2:$S$976,$B$2:$B$976,B584,$C$2:$C$976,C584)</f>
        <v/>
      </c>
    </row>
    <row r="585" ht="15" customHeight="1" s="68">
      <c r="A585" s="83" t="inlineStr">
        <is>
          <t>RPT-08</t>
        </is>
      </c>
      <c r="B585" s="83" t="inlineStr">
        <is>
          <t>qwen3_6</t>
        </is>
      </c>
      <c r="C585" s="83" t="inlineStr">
        <is>
          <t>ministral</t>
        </is>
      </c>
      <c r="D585" s="84" t="n">
        <v>0.219725343320849</v>
      </c>
      <c r="E585" s="84" t="n">
        <v>0.353333333333333</v>
      </c>
      <c r="F585" s="84" t="n">
        <v>0.174496644295302</v>
      </c>
      <c r="G585" s="84" t="n">
        <v>0.253333333333333</v>
      </c>
      <c r="H585" s="84" t="n">
        <v>0.231443763499201</v>
      </c>
      <c r="I585" s="84" t="n">
        <v>0.178406603538519</v>
      </c>
      <c r="J585" s="84" t="n">
        <v>0.712068550905106</v>
      </c>
      <c r="K585" s="84" t="n">
        <v>0.600108479152445</v>
      </c>
      <c r="L585" s="84" t="n">
        <v>0.809803509219433</v>
      </c>
      <c r="M585" s="84" t="n">
        <v>0.363295880149813</v>
      </c>
      <c r="N585" s="84" t="n">
        <v>0.436507936507937</v>
      </c>
      <c r="O585" s="84" t="n">
        <v>1</v>
      </c>
      <c r="P585" s="85">
        <f>AVERAGE(D585:I585)</f>
        <v/>
      </c>
      <c r="Q585" s="85">
        <f>AVERAGE(J585:L585)</f>
        <v/>
      </c>
      <c r="R585" s="85">
        <f>AVERAGE(M585:O585)</f>
        <v/>
      </c>
      <c r="S585" s="85">
        <f>'02_지표정의'!$C$22*P585+'02_지표정의'!$C$23*Q585+'02_지표정의'!$C$24*R585</f>
        <v/>
      </c>
      <c r="T585" s="73">
        <f>IF(OR(AND(B585="gemini",C585="gemma"),AND(B585="qwen3_6",C585="qwen"),AND(B585="mistral",C585="ministral")),1,0)</f>
        <v/>
      </c>
      <c r="U585" s="73">
        <f>IF(LEFT(A585,3)="PAT","특허","보고서")</f>
        <v/>
      </c>
      <c r="V585" s="86">
        <f>COUNTIF($S$2:$S$976,"&lt;"&amp;S585)+(COUNTIF($S$2:$S$976,"="&amp;S585)+1)/2</f>
        <v/>
      </c>
      <c r="W585" s="73">
        <f>IF(C585="qwen",0,COUNTIFS($C$2:$C$976,"&lt;&gt;qwen",$S$2:$S$976,"&lt;"&amp;S585)+1)</f>
        <v/>
      </c>
      <c r="X585" s="73">
        <f>IF(C585="ministral",0,COUNTIFS($C$2:$C$976,"&lt;&gt;ministral",$S$2:$S$976,"&lt;"&amp;S585)+1)</f>
        <v/>
      </c>
      <c r="Y585" s="73">
        <f>IF(C585="gemma",0,COUNTIFS($C$2:$C$976,"&lt;&gt;gemma",$S$2:$S$976,"&lt;"&amp;S585)+1)</f>
        <v/>
      </c>
      <c r="Z585" s="87">
        <f>COUNTIFS($B$2:$B$976,B585,$C$2:$C$976,C585,$S$2:$S$976,"&lt;"&amp;S585)+1</f>
        <v/>
      </c>
      <c r="AA585" s="88">
        <f>ABS(S585-SUMPRODUCT(('05B_가정검정'!$A$5:$A$19=B585)*('05B_가정검정'!$B$5:$B$19=C585)*'05B_가정검정'!$E$5:$E$19))</f>
        <v/>
      </c>
      <c r="AB585" s="88">
        <f>S585-AVERAGEIFS($S$2:$S$976,$B$2:$B$976,B585,$C$2:$C$976,C585)</f>
        <v/>
      </c>
    </row>
    <row r="586" ht="15" customHeight="1" s="68">
      <c r="A586" s="83" t="inlineStr">
        <is>
          <t>RPT-08</t>
        </is>
      </c>
      <c r="B586" s="83" t="inlineStr">
        <is>
          <t>qwen3_6</t>
        </is>
      </c>
      <c r="C586" s="83" t="inlineStr">
        <is>
          <t>qwen</t>
        </is>
      </c>
      <c r="D586" s="84" t="n">
        <v>0.260387811634349</v>
      </c>
      <c r="E586" s="84" t="n">
        <v>0.477157360406091</v>
      </c>
      <c r="F586" s="84" t="n">
        <v>0.184615384615385</v>
      </c>
      <c r="G586" s="84" t="n">
        <v>0.365482233502538</v>
      </c>
      <c r="H586" s="84" t="n">
        <v>0.363647717592751</v>
      </c>
      <c r="I586" s="84" t="n">
        <v>0.165909803478174</v>
      </c>
      <c r="J586" s="84" t="n">
        <v>0.732520856754854</v>
      </c>
      <c r="K586" s="84" t="n">
        <v>0.693721422491854</v>
      </c>
      <c r="L586" s="84" t="n">
        <v>0.898966770337893</v>
      </c>
      <c r="M586" s="84" t="n">
        <v>0.906542056074766</v>
      </c>
      <c r="N586" s="84" t="n">
        <v>0.916666666666667</v>
      </c>
      <c r="O586" s="84" t="n">
        <v>1</v>
      </c>
      <c r="P586" s="85">
        <f>AVERAGE(D586:I586)</f>
        <v/>
      </c>
      <c r="Q586" s="85">
        <f>AVERAGE(J586:L586)</f>
        <v/>
      </c>
      <c r="R586" s="85">
        <f>AVERAGE(M586:O586)</f>
        <v/>
      </c>
      <c r="S586" s="85">
        <f>'02_지표정의'!$C$22*P586+'02_지표정의'!$C$23*Q586+'02_지표정의'!$C$24*R586</f>
        <v/>
      </c>
      <c r="T586" s="73">
        <f>IF(OR(AND(B586="gemini",C586="gemma"),AND(B586="qwen3_6",C586="qwen"),AND(B586="mistral",C586="ministral")),1,0)</f>
        <v/>
      </c>
      <c r="U586" s="73">
        <f>IF(LEFT(A586,3)="PAT","특허","보고서")</f>
        <v/>
      </c>
      <c r="V586" s="86">
        <f>COUNTIF($S$2:$S$976,"&lt;"&amp;S586)+(COUNTIF($S$2:$S$976,"="&amp;S586)+1)/2</f>
        <v/>
      </c>
      <c r="W586" s="73">
        <f>IF(C586="qwen",0,COUNTIFS($C$2:$C$976,"&lt;&gt;qwen",$S$2:$S$976,"&lt;"&amp;S586)+1)</f>
        <v/>
      </c>
      <c r="X586" s="73">
        <f>IF(C586="ministral",0,COUNTIFS($C$2:$C$976,"&lt;&gt;ministral",$S$2:$S$976,"&lt;"&amp;S586)+1)</f>
        <v/>
      </c>
      <c r="Y586" s="73">
        <f>IF(C586="gemma",0,COUNTIFS($C$2:$C$976,"&lt;&gt;gemma",$S$2:$S$976,"&lt;"&amp;S586)+1)</f>
        <v/>
      </c>
      <c r="Z586" s="87">
        <f>COUNTIFS($B$2:$B$976,B586,$C$2:$C$976,C586,$S$2:$S$976,"&lt;"&amp;S586)+1</f>
        <v/>
      </c>
      <c r="AA586" s="88">
        <f>ABS(S586-SUMPRODUCT(('05B_가정검정'!$A$5:$A$19=B586)*('05B_가정검정'!$B$5:$B$19=C586)*'05B_가정검정'!$E$5:$E$19))</f>
        <v/>
      </c>
      <c r="AB586" s="88">
        <f>S586-AVERAGEIFS($S$2:$S$976,$B$2:$B$976,B586,$C$2:$C$976,C586)</f>
        <v/>
      </c>
    </row>
    <row r="587" ht="15" customHeight="1" s="68">
      <c r="A587" s="83" t="inlineStr">
        <is>
          <t>RPT-09</t>
        </is>
      </c>
      <c r="B587" s="83" t="inlineStr">
        <is>
          <t>chatgpt</t>
        </is>
      </c>
      <c r="C587" s="83" t="inlineStr">
        <is>
          <t>gemma</t>
        </is>
      </c>
      <c r="D587" s="84" t="n">
        <v>0.201101928374656</v>
      </c>
      <c r="E587" s="84" t="n">
        <v>0.294478527607362</v>
      </c>
      <c r="F587" s="84" t="n">
        <v>0.124223602484472</v>
      </c>
      <c r="G587" s="84" t="n">
        <v>0.294478527607362</v>
      </c>
      <c r="H587" s="84" t="n">
        <v>0.213406498905851</v>
      </c>
      <c r="I587" s="84" t="n">
        <v>0.177137604267751</v>
      </c>
      <c r="J587" s="84" t="n">
        <v>0.672559857162782</v>
      </c>
      <c r="K587" s="84" t="n">
        <v>0.594720611167174</v>
      </c>
      <c r="L587" s="84" t="n">
        <v>0.75016311979406</v>
      </c>
      <c r="M587" s="84" t="n">
        <v>0.515151515151515</v>
      </c>
      <c r="N587" s="84" t="n">
        <v>0.213483146067416</v>
      </c>
      <c r="O587" s="84" t="n">
        <v>1</v>
      </c>
      <c r="P587" s="85">
        <f>AVERAGE(D587:I587)</f>
        <v/>
      </c>
      <c r="Q587" s="85">
        <f>AVERAGE(J587:L587)</f>
        <v/>
      </c>
      <c r="R587" s="85">
        <f>AVERAGE(M587:O587)</f>
        <v/>
      </c>
      <c r="S587" s="85">
        <f>'02_지표정의'!$C$22*P587+'02_지표정의'!$C$23*Q587+'02_지표정의'!$C$24*R587</f>
        <v/>
      </c>
      <c r="T587" s="73">
        <f>IF(OR(AND(B587="gemini",C587="gemma"),AND(B587="qwen3_6",C587="qwen"),AND(B587="mistral",C587="ministral")),1,0)</f>
        <v/>
      </c>
      <c r="U587" s="73">
        <f>IF(LEFT(A587,3)="PAT","특허","보고서")</f>
        <v/>
      </c>
      <c r="V587" s="86">
        <f>COUNTIF($S$2:$S$976,"&lt;"&amp;S587)+(COUNTIF($S$2:$S$976,"="&amp;S587)+1)/2</f>
        <v/>
      </c>
      <c r="W587" s="73">
        <f>IF(C587="qwen",0,COUNTIFS($C$2:$C$976,"&lt;&gt;qwen",$S$2:$S$976,"&lt;"&amp;S587)+1)</f>
        <v/>
      </c>
      <c r="X587" s="73">
        <f>IF(C587="ministral",0,COUNTIFS($C$2:$C$976,"&lt;&gt;ministral",$S$2:$S$976,"&lt;"&amp;S587)+1)</f>
        <v/>
      </c>
      <c r="Y587" s="73">
        <f>IF(C587="gemma",0,COUNTIFS($C$2:$C$976,"&lt;&gt;gemma",$S$2:$S$976,"&lt;"&amp;S587)+1)</f>
        <v/>
      </c>
      <c r="Z587" s="87">
        <f>COUNTIFS($B$2:$B$976,B587,$C$2:$C$976,C587,$S$2:$S$976,"&lt;"&amp;S587)+1</f>
        <v/>
      </c>
      <c r="AA587" s="88">
        <f>ABS(S587-SUMPRODUCT(('05B_가정검정'!$A$5:$A$19=B587)*('05B_가정검정'!$B$5:$B$19=C587)*'05B_가정검정'!$E$5:$E$19))</f>
        <v/>
      </c>
      <c r="AB587" s="88">
        <f>S587-AVERAGEIFS($S$2:$S$976,$B$2:$B$976,B587,$C$2:$C$976,C587)</f>
        <v/>
      </c>
    </row>
    <row r="588" ht="15" customHeight="1" s="68">
      <c r="A588" s="83" t="inlineStr">
        <is>
          <t>RPT-09</t>
        </is>
      </c>
      <c r="B588" s="83" t="inlineStr">
        <is>
          <t>chatgpt</t>
        </is>
      </c>
      <c r="C588" s="83" t="inlineStr">
        <is>
          <t>ministral</t>
        </is>
      </c>
      <c r="D588" s="84" t="n">
        <v>0.277495769881557</v>
      </c>
      <c r="E588" s="84" t="n">
        <v>0.273858921161826</v>
      </c>
      <c r="F588" s="84" t="n">
        <v>0.108786610878661</v>
      </c>
      <c r="G588" s="84" t="n">
        <v>0.240663900414938</v>
      </c>
      <c r="H588" s="84" t="n">
        <v>0.162894968308505</v>
      </c>
      <c r="I588" s="84" t="n">
        <v>0.381464503905322</v>
      </c>
      <c r="J588" s="84" t="n">
        <v>0.640737653258405</v>
      </c>
      <c r="K588" s="84" t="n">
        <v>0.672745394017238</v>
      </c>
      <c r="L588" s="84" t="n">
        <v>0.776507337367234</v>
      </c>
      <c r="M588" s="84" t="n">
        <v>0.521186440677966</v>
      </c>
      <c r="N588" s="84" t="n">
        <v>0.0188679245283019</v>
      </c>
      <c r="O588" s="84" t="n">
        <v>1</v>
      </c>
      <c r="P588" s="85">
        <f>AVERAGE(D588:I588)</f>
        <v/>
      </c>
      <c r="Q588" s="85">
        <f>AVERAGE(J588:L588)</f>
        <v/>
      </c>
      <c r="R588" s="85">
        <f>AVERAGE(M588:O588)</f>
        <v/>
      </c>
      <c r="S588" s="85">
        <f>'02_지표정의'!$C$22*P588+'02_지표정의'!$C$23*Q588+'02_지표정의'!$C$24*R588</f>
        <v/>
      </c>
      <c r="T588" s="73">
        <f>IF(OR(AND(B588="gemini",C588="gemma"),AND(B588="qwen3_6",C588="qwen"),AND(B588="mistral",C588="ministral")),1,0)</f>
        <v/>
      </c>
      <c r="U588" s="73">
        <f>IF(LEFT(A588,3)="PAT","특허","보고서")</f>
        <v/>
      </c>
      <c r="V588" s="86">
        <f>COUNTIF($S$2:$S$976,"&lt;"&amp;S588)+(COUNTIF($S$2:$S$976,"="&amp;S588)+1)/2</f>
        <v/>
      </c>
      <c r="W588" s="73">
        <f>IF(C588="qwen",0,COUNTIFS($C$2:$C$976,"&lt;&gt;qwen",$S$2:$S$976,"&lt;"&amp;S588)+1)</f>
        <v/>
      </c>
      <c r="X588" s="73">
        <f>IF(C588="ministral",0,COUNTIFS($C$2:$C$976,"&lt;&gt;ministral",$S$2:$S$976,"&lt;"&amp;S588)+1)</f>
        <v/>
      </c>
      <c r="Y588" s="73">
        <f>IF(C588="gemma",0,COUNTIFS($C$2:$C$976,"&lt;&gt;gemma",$S$2:$S$976,"&lt;"&amp;S588)+1)</f>
        <v/>
      </c>
      <c r="Z588" s="87">
        <f>COUNTIFS($B$2:$B$976,B588,$C$2:$C$976,C588,$S$2:$S$976,"&lt;"&amp;S588)+1</f>
        <v/>
      </c>
      <c r="AA588" s="88">
        <f>ABS(S588-SUMPRODUCT(('05B_가정검정'!$A$5:$A$19=B588)*('05B_가정검정'!$B$5:$B$19=C588)*'05B_가정검정'!$E$5:$E$19))</f>
        <v/>
      </c>
      <c r="AB588" s="88">
        <f>S588-AVERAGEIFS($S$2:$S$976,$B$2:$B$976,B588,$C$2:$C$976,C588)</f>
        <v/>
      </c>
    </row>
    <row r="589" ht="15" customHeight="1" s="68">
      <c r="A589" s="83" t="inlineStr">
        <is>
          <t>RPT-09</t>
        </is>
      </c>
      <c r="B589" s="83" t="inlineStr">
        <is>
          <t>chatgpt</t>
        </is>
      </c>
      <c r="C589" s="83" t="inlineStr">
        <is>
          <t>qwen</t>
        </is>
      </c>
      <c r="D589" s="84" t="n">
        <v>0.309352517985612</v>
      </c>
      <c r="E589" s="84" t="n">
        <v>0.37125748502994</v>
      </c>
      <c r="F589" s="84" t="n">
        <v>0.16969696969697</v>
      </c>
      <c r="G589" s="84" t="n">
        <v>0.323353293413174</v>
      </c>
      <c r="H589" s="84" t="n">
        <v>0.286892360321341</v>
      </c>
      <c r="I589" s="84" t="n">
        <v>0.29688067349163</v>
      </c>
      <c r="J589" s="84" t="n">
        <v>0.680551200413849</v>
      </c>
      <c r="K589" s="84" t="n">
        <v>0.605765600559467</v>
      </c>
      <c r="L589" s="84" t="n">
        <v>0.79516747574244</v>
      </c>
      <c r="M589" s="84" t="n">
        <v>0.393939393939394</v>
      </c>
      <c r="N589" s="84" t="n">
        <v>0.325842696629214</v>
      </c>
      <c r="O589" s="84" t="n">
        <v>1</v>
      </c>
      <c r="P589" s="85">
        <f>AVERAGE(D589:I589)</f>
        <v/>
      </c>
      <c r="Q589" s="85">
        <f>AVERAGE(J589:L589)</f>
        <v/>
      </c>
      <c r="R589" s="85">
        <f>AVERAGE(M589:O589)</f>
        <v/>
      </c>
      <c r="S589" s="85">
        <f>'02_지표정의'!$C$22*P589+'02_지표정의'!$C$23*Q589+'02_지표정의'!$C$24*R589</f>
        <v/>
      </c>
      <c r="T589" s="73">
        <f>IF(OR(AND(B589="gemini",C589="gemma"),AND(B589="qwen3_6",C589="qwen"),AND(B589="mistral",C589="ministral")),1,0)</f>
        <v/>
      </c>
      <c r="U589" s="73">
        <f>IF(LEFT(A589,3)="PAT","특허","보고서")</f>
        <v/>
      </c>
      <c r="V589" s="86">
        <f>COUNTIF($S$2:$S$976,"&lt;"&amp;S589)+(COUNTIF($S$2:$S$976,"="&amp;S589)+1)/2</f>
        <v/>
      </c>
      <c r="W589" s="73">
        <f>IF(C589="qwen",0,COUNTIFS($C$2:$C$976,"&lt;&gt;qwen",$S$2:$S$976,"&lt;"&amp;S589)+1)</f>
        <v/>
      </c>
      <c r="X589" s="73">
        <f>IF(C589="ministral",0,COUNTIFS($C$2:$C$976,"&lt;&gt;ministral",$S$2:$S$976,"&lt;"&amp;S589)+1)</f>
        <v/>
      </c>
      <c r="Y589" s="73">
        <f>IF(C589="gemma",0,COUNTIFS($C$2:$C$976,"&lt;&gt;gemma",$S$2:$S$976,"&lt;"&amp;S589)+1)</f>
        <v/>
      </c>
      <c r="Z589" s="87">
        <f>COUNTIFS($B$2:$B$976,B589,$C$2:$C$976,C589,$S$2:$S$976,"&lt;"&amp;S589)+1</f>
        <v/>
      </c>
      <c r="AA589" s="88">
        <f>ABS(S589-SUMPRODUCT(('05B_가정검정'!$A$5:$A$19=B589)*('05B_가정검정'!$B$5:$B$19=C589)*'05B_가정검정'!$E$5:$E$19))</f>
        <v/>
      </c>
      <c r="AB589" s="88">
        <f>S589-AVERAGEIFS($S$2:$S$976,$B$2:$B$976,B589,$C$2:$C$976,C589)</f>
        <v/>
      </c>
    </row>
    <row r="590" ht="15" customHeight="1" s="68">
      <c r="A590" s="83" t="inlineStr">
        <is>
          <t>RPT-09</t>
        </is>
      </c>
      <c r="B590" s="83" t="inlineStr">
        <is>
          <t>claude</t>
        </is>
      </c>
      <c r="C590" s="83" t="inlineStr">
        <is>
          <t>gemma</t>
        </is>
      </c>
      <c r="D590" s="84" t="n">
        <v>0.216981132075472</v>
      </c>
      <c r="E590" s="84" t="n">
        <v>0.298387096774194</v>
      </c>
      <c r="F590" s="84" t="n">
        <v>0.0731707317073171</v>
      </c>
      <c r="G590" s="84" t="n">
        <v>0.209677419354839</v>
      </c>
      <c r="H590" s="84" t="n">
        <v>0.309851768480901</v>
      </c>
      <c r="I590" s="84" t="n">
        <v>0.119561091549076</v>
      </c>
      <c r="J590" s="84" t="n">
        <v>0.6821913577720971</v>
      </c>
      <c r="K590" s="84" t="n">
        <v>0.662715214047937</v>
      </c>
      <c r="L590" s="84" t="n">
        <v>0.85880609618329</v>
      </c>
      <c r="M590" s="84" t="n">
        <v>0.567073170731707</v>
      </c>
      <c r="N590" s="84" t="n">
        <v>0.521276595744681</v>
      </c>
      <c r="O590" s="84" t="n">
        <v>1</v>
      </c>
      <c r="P590" s="85">
        <f>AVERAGE(D590:I590)</f>
        <v/>
      </c>
      <c r="Q590" s="85">
        <f>AVERAGE(J590:L590)</f>
        <v/>
      </c>
      <c r="R590" s="85">
        <f>AVERAGE(M590:O590)</f>
        <v/>
      </c>
      <c r="S590" s="85">
        <f>'02_지표정의'!$C$22*P590+'02_지표정의'!$C$23*Q590+'02_지표정의'!$C$24*R590</f>
        <v/>
      </c>
      <c r="T590" s="73">
        <f>IF(OR(AND(B590="gemini",C590="gemma"),AND(B590="qwen3_6",C590="qwen"),AND(B590="mistral",C590="ministral")),1,0)</f>
        <v/>
      </c>
      <c r="U590" s="73">
        <f>IF(LEFT(A590,3)="PAT","특허","보고서")</f>
        <v/>
      </c>
      <c r="V590" s="86">
        <f>COUNTIF($S$2:$S$976,"&lt;"&amp;S590)+(COUNTIF($S$2:$S$976,"="&amp;S590)+1)/2</f>
        <v/>
      </c>
      <c r="W590" s="73">
        <f>IF(C590="qwen",0,COUNTIFS($C$2:$C$976,"&lt;&gt;qwen",$S$2:$S$976,"&lt;"&amp;S590)+1)</f>
        <v/>
      </c>
      <c r="X590" s="73">
        <f>IF(C590="ministral",0,COUNTIFS($C$2:$C$976,"&lt;&gt;ministral",$S$2:$S$976,"&lt;"&amp;S590)+1)</f>
        <v/>
      </c>
      <c r="Y590" s="73">
        <f>IF(C590="gemma",0,COUNTIFS($C$2:$C$976,"&lt;&gt;gemma",$S$2:$S$976,"&lt;"&amp;S590)+1)</f>
        <v/>
      </c>
      <c r="Z590" s="87">
        <f>COUNTIFS($B$2:$B$976,B590,$C$2:$C$976,C590,$S$2:$S$976,"&lt;"&amp;S590)+1</f>
        <v/>
      </c>
      <c r="AA590" s="88">
        <f>ABS(S590-SUMPRODUCT(('05B_가정검정'!$A$5:$A$19=B590)*('05B_가정검정'!$B$5:$B$19=C590)*'05B_가정검정'!$E$5:$E$19))</f>
        <v/>
      </c>
      <c r="AB590" s="88">
        <f>S590-AVERAGEIFS($S$2:$S$976,$B$2:$B$976,B590,$C$2:$C$976,C590)</f>
        <v/>
      </c>
    </row>
    <row r="591" ht="15" customHeight="1" s="68">
      <c r="A591" s="83" t="inlineStr">
        <is>
          <t>RPT-09</t>
        </is>
      </c>
      <c r="B591" s="83" t="inlineStr">
        <is>
          <t>claude</t>
        </is>
      </c>
      <c r="C591" s="83" t="inlineStr">
        <is>
          <t>ministral</t>
        </is>
      </c>
      <c r="D591" s="84" t="n">
        <v>0.24</v>
      </c>
      <c r="E591" s="84" t="n">
        <v>0.331288343558282</v>
      </c>
      <c r="F591" s="84" t="n">
        <v>0.123456790123457</v>
      </c>
      <c r="G591" s="84" t="n">
        <v>0.245398773006135</v>
      </c>
      <c r="H591" s="84" t="n">
        <v>0.275337382722748</v>
      </c>
      <c r="I591" s="84" t="n">
        <v>0.333719528495053</v>
      </c>
      <c r="J591" s="84" t="n">
        <v>0.680167515084339</v>
      </c>
      <c r="K591" s="84" t="n">
        <v>0.641193932467963</v>
      </c>
      <c r="L591" s="84" t="n">
        <v>0.828917339499981</v>
      </c>
      <c r="M591" s="84" t="n">
        <v>0.610169491525424</v>
      </c>
      <c r="N591" s="84" t="n">
        <v>0.641509433962264</v>
      </c>
      <c r="O591" s="84" t="n">
        <v>1</v>
      </c>
      <c r="P591" s="85">
        <f>AVERAGE(D591:I591)</f>
        <v/>
      </c>
      <c r="Q591" s="85">
        <f>AVERAGE(J591:L591)</f>
        <v/>
      </c>
      <c r="R591" s="85">
        <f>AVERAGE(M591:O591)</f>
        <v/>
      </c>
      <c r="S591" s="85">
        <f>'02_지표정의'!$C$22*P591+'02_지표정의'!$C$23*Q591+'02_지표정의'!$C$24*R591</f>
        <v/>
      </c>
      <c r="T591" s="73">
        <f>IF(OR(AND(B591="gemini",C591="gemma"),AND(B591="qwen3_6",C591="qwen"),AND(B591="mistral",C591="ministral")),1,0)</f>
        <v/>
      </c>
      <c r="U591" s="73">
        <f>IF(LEFT(A591,3)="PAT","특허","보고서")</f>
        <v/>
      </c>
      <c r="V591" s="86">
        <f>COUNTIF($S$2:$S$976,"&lt;"&amp;S591)+(COUNTIF($S$2:$S$976,"="&amp;S591)+1)/2</f>
        <v/>
      </c>
      <c r="W591" s="73">
        <f>IF(C591="qwen",0,COUNTIFS($C$2:$C$976,"&lt;&gt;qwen",$S$2:$S$976,"&lt;"&amp;S591)+1)</f>
        <v/>
      </c>
      <c r="X591" s="73">
        <f>IF(C591="ministral",0,COUNTIFS($C$2:$C$976,"&lt;&gt;ministral",$S$2:$S$976,"&lt;"&amp;S591)+1)</f>
        <v/>
      </c>
      <c r="Y591" s="73">
        <f>IF(C591="gemma",0,COUNTIFS($C$2:$C$976,"&lt;&gt;gemma",$S$2:$S$976,"&lt;"&amp;S591)+1)</f>
        <v/>
      </c>
      <c r="Z591" s="87">
        <f>COUNTIFS($B$2:$B$976,B591,$C$2:$C$976,C591,$S$2:$S$976,"&lt;"&amp;S591)+1</f>
        <v/>
      </c>
      <c r="AA591" s="88">
        <f>ABS(S591-SUMPRODUCT(('05B_가정검정'!$A$5:$A$19=B591)*('05B_가정검정'!$B$5:$B$19=C591)*'05B_가정검정'!$E$5:$E$19))</f>
        <v/>
      </c>
      <c r="AB591" s="88">
        <f>S591-AVERAGEIFS($S$2:$S$976,$B$2:$B$976,B591,$C$2:$C$976,C591)</f>
        <v/>
      </c>
    </row>
    <row r="592" ht="15" customHeight="1" s="68">
      <c r="A592" s="83" t="inlineStr">
        <is>
          <t>RPT-09</t>
        </is>
      </c>
      <c r="B592" s="83" t="inlineStr">
        <is>
          <t>claude</t>
        </is>
      </c>
      <c r="C592" s="83" t="inlineStr">
        <is>
          <t>qwen</t>
        </is>
      </c>
      <c r="D592" s="84" t="n">
        <v>0.251685393258427</v>
      </c>
      <c r="E592" s="84" t="n">
        <v>0.46031746031746</v>
      </c>
      <c r="F592" s="84" t="n">
        <v>0.192</v>
      </c>
      <c r="G592" s="84" t="n">
        <v>0.30952380952381</v>
      </c>
      <c r="H592" s="84" t="n">
        <v>0.278513422142558</v>
      </c>
      <c r="I592" s="84" t="n">
        <v>0.358758110850928</v>
      </c>
      <c r="J592" s="84" t="n">
        <v>0.701351392047835</v>
      </c>
      <c r="K592" s="84" t="n">
        <v>0.654955771421154</v>
      </c>
      <c r="L592" s="84" t="n">
        <v>0.862043043013531</v>
      </c>
      <c r="M592" s="84" t="n">
        <v>0.445121951219512</v>
      </c>
      <c r="N592" s="84" t="n">
        <v>0.414893617021277</v>
      </c>
      <c r="O592" s="84" t="n">
        <v>1</v>
      </c>
      <c r="P592" s="85">
        <f>AVERAGE(D592:I592)</f>
        <v/>
      </c>
      <c r="Q592" s="85">
        <f>AVERAGE(J592:L592)</f>
        <v/>
      </c>
      <c r="R592" s="85">
        <f>AVERAGE(M592:O592)</f>
        <v/>
      </c>
      <c r="S592" s="85">
        <f>'02_지표정의'!$C$22*P592+'02_지표정의'!$C$23*Q592+'02_지표정의'!$C$24*R592</f>
        <v/>
      </c>
      <c r="T592" s="73">
        <f>IF(OR(AND(B592="gemini",C592="gemma"),AND(B592="qwen3_6",C592="qwen"),AND(B592="mistral",C592="ministral")),1,0)</f>
        <v/>
      </c>
      <c r="U592" s="73">
        <f>IF(LEFT(A592,3)="PAT","특허","보고서")</f>
        <v/>
      </c>
      <c r="V592" s="86">
        <f>COUNTIF($S$2:$S$976,"&lt;"&amp;S592)+(COUNTIF($S$2:$S$976,"="&amp;S592)+1)/2</f>
        <v/>
      </c>
      <c r="W592" s="73">
        <f>IF(C592="qwen",0,COUNTIFS($C$2:$C$976,"&lt;&gt;qwen",$S$2:$S$976,"&lt;"&amp;S592)+1)</f>
        <v/>
      </c>
      <c r="X592" s="73">
        <f>IF(C592="ministral",0,COUNTIFS($C$2:$C$976,"&lt;&gt;ministral",$S$2:$S$976,"&lt;"&amp;S592)+1)</f>
        <v/>
      </c>
      <c r="Y592" s="73">
        <f>IF(C592="gemma",0,COUNTIFS($C$2:$C$976,"&lt;&gt;gemma",$S$2:$S$976,"&lt;"&amp;S592)+1)</f>
        <v/>
      </c>
      <c r="Z592" s="87">
        <f>COUNTIFS($B$2:$B$976,B592,$C$2:$C$976,C592,$S$2:$S$976,"&lt;"&amp;S592)+1</f>
        <v/>
      </c>
      <c r="AA592" s="88">
        <f>ABS(S592-SUMPRODUCT(('05B_가정검정'!$A$5:$A$19=B592)*('05B_가정검정'!$B$5:$B$19=C592)*'05B_가정검정'!$E$5:$E$19))</f>
        <v/>
      </c>
      <c r="AB592" s="88">
        <f>S592-AVERAGEIFS($S$2:$S$976,$B$2:$B$976,B592,$C$2:$C$976,C592)</f>
        <v/>
      </c>
    </row>
    <row r="593" ht="15" customHeight="1" s="68">
      <c r="A593" s="83" t="inlineStr">
        <is>
          <t>RPT-09</t>
        </is>
      </c>
      <c r="B593" s="83" t="inlineStr">
        <is>
          <t>gemini</t>
        </is>
      </c>
      <c r="C593" s="83" t="inlineStr">
        <is>
          <t>gemma</t>
        </is>
      </c>
      <c r="D593" s="84" t="n">
        <v>0.22111801242236</v>
      </c>
      <c r="E593" s="84" t="n">
        <v>0.351063829787234</v>
      </c>
      <c r="F593" s="84" t="n">
        <v>0.129032258064516</v>
      </c>
      <c r="G593" s="84" t="n">
        <v>0.276595744680851</v>
      </c>
      <c r="H593" s="84" t="n">
        <v>0.277939174825048</v>
      </c>
      <c r="I593" s="84" t="n">
        <v>0.139115885557047</v>
      </c>
      <c r="J593" s="84" t="n">
        <v>0.7389179059680659</v>
      </c>
      <c r="K593" s="84" t="n">
        <v>0.76431165526384</v>
      </c>
      <c r="L593" s="84" t="n">
        <v>0.884127346396728</v>
      </c>
      <c r="M593" s="84" t="n">
        <v>0.906542056074766</v>
      </c>
      <c r="N593" s="84" t="n">
        <v>0.916666666666667</v>
      </c>
      <c r="O593" s="84" t="n">
        <v>1</v>
      </c>
      <c r="P593" s="85">
        <f>AVERAGE(D593:I593)</f>
        <v/>
      </c>
      <c r="Q593" s="85">
        <f>AVERAGE(J593:L593)</f>
        <v/>
      </c>
      <c r="R593" s="85">
        <f>AVERAGE(M593:O593)</f>
        <v/>
      </c>
      <c r="S593" s="85">
        <f>'02_지표정의'!$C$22*P593+'02_지표정의'!$C$23*Q593+'02_지표정의'!$C$24*R593</f>
        <v/>
      </c>
      <c r="T593" s="73">
        <f>IF(OR(AND(B593="gemini",C593="gemma"),AND(B593="qwen3_6",C593="qwen"),AND(B593="mistral",C593="ministral")),1,0)</f>
        <v/>
      </c>
      <c r="U593" s="73">
        <f>IF(LEFT(A593,3)="PAT","특허","보고서")</f>
        <v/>
      </c>
      <c r="V593" s="86">
        <f>COUNTIF($S$2:$S$976,"&lt;"&amp;S593)+(COUNTIF($S$2:$S$976,"="&amp;S593)+1)/2</f>
        <v/>
      </c>
      <c r="W593" s="73">
        <f>IF(C593="qwen",0,COUNTIFS($C$2:$C$976,"&lt;&gt;qwen",$S$2:$S$976,"&lt;"&amp;S593)+1)</f>
        <v/>
      </c>
      <c r="X593" s="73">
        <f>IF(C593="ministral",0,COUNTIFS($C$2:$C$976,"&lt;&gt;ministral",$S$2:$S$976,"&lt;"&amp;S593)+1)</f>
        <v/>
      </c>
      <c r="Y593" s="73">
        <f>IF(C593="gemma",0,COUNTIFS($C$2:$C$976,"&lt;&gt;gemma",$S$2:$S$976,"&lt;"&amp;S593)+1)</f>
        <v/>
      </c>
      <c r="Z593" s="87">
        <f>COUNTIFS($B$2:$B$976,B593,$C$2:$C$976,C593,$S$2:$S$976,"&lt;"&amp;S593)+1</f>
        <v/>
      </c>
      <c r="AA593" s="88">
        <f>ABS(S593-SUMPRODUCT(('05B_가정검정'!$A$5:$A$19=B593)*('05B_가정검정'!$B$5:$B$19=C593)*'05B_가정검정'!$E$5:$E$19))</f>
        <v/>
      </c>
      <c r="AB593" s="88">
        <f>S593-AVERAGEIFS($S$2:$S$976,$B$2:$B$976,B593,$C$2:$C$976,C593)</f>
        <v/>
      </c>
    </row>
    <row r="594" ht="15" customHeight="1" s="68">
      <c r="A594" s="83" t="inlineStr">
        <is>
          <t>RPT-09</t>
        </is>
      </c>
      <c r="B594" s="83" t="inlineStr">
        <is>
          <t>gemini</t>
        </is>
      </c>
      <c r="C594" s="83" t="inlineStr">
        <is>
          <t>ministral</t>
        </is>
      </c>
      <c r="D594" s="84" t="n">
        <v>0.277611940298507</v>
      </c>
      <c r="E594" s="84" t="n">
        <v>0.285714285714286</v>
      </c>
      <c r="F594" s="84" t="n">
        <v>0.106060606060606</v>
      </c>
      <c r="G594" s="84" t="n">
        <v>0.225563909774436</v>
      </c>
      <c r="H594" s="84" t="n">
        <v>0.205649002613311</v>
      </c>
      <c r="I594" s="84" t="n">
        <v>0.290726868345249</v>
      </c>
      <c r="J594" s="84" t="n">
        <v>0.73253422557324</v>
      </c>
      <c r="K594" s="84" t="n">
        <v>0.788397759105475</v>
      </c>
      <c r="L594" s="84" t="n">
        <v>0.90573820855265</v>
      </c>
      <c r="M594" s="84" t="n">
        <v>0.411016949152542</v>
      </c>
      <c r="N594" s="84" t="n">
        <v>0.518867924528302</v>
      </c>
      <c r="O594" s="84" t="n">
        <v>1</v>
      </c>
      <c r="P594" s="85">
        <f>AVERAGE(D594:I594)</f>
        <v/>
      </c>
      <c r="Q594" s="85">
        <f>AVERAGE(J594:L594)</f>
        <v/>
      </c>
      <c r="R594" s="85">
        <f>AVERAGE(M594:O594)</f>
        <v/>
      </c>
      <c r="S594" s="85">
        <f>'02_지표정의'!$C$22*P594+'02_지표정의'!$C$23*Q594+'02_지표정의'!$C$24*R594</f>
        <v/>
      </c>
      <c r="T594" s="73">
        <f>IF(OR(AND(B594="gemini",C594="gemma"),AND(B594="qwen3_6",C594="qwen"),AND(B594="mistral",C594="ministral")),1,0)</f>
        <v/>
      </c>
      <c r="U594" s="73">
        <f>IF(LEFT(A594,3)="PAT","특허","보고서")</f>
        <v/>
      </c>
      <c r="V594" s="86">
        <f>COUNTIF($S$2:$S$976,"&lt;"&amp;S594)+(COUNTIF($S$2:$S$976,"="&amp;S594)+1)/2</f>
        <v/>
      </c>
      <c r="W594" s="73">
        <f>IF(C594="qwen",0,COUNTIFS($C$2:$C$976,"&lt;&gt;qwen",$S$2:$S$976,"&lt;"&amp;S594)+1)</f>
        <v/>
      </c>
      <c r="X594" s="73">
        <f>IF(C594="ministral",0,COUNTIFS($C$2:$C$976,"&lt;&gt;ministral",$S$2:$S$976,"&lt;"&amp;S594)+1)</f>
        <v/>
      </c>
      <c r="Y594" s="73">
        <f>IF(C594="gemma",0,COUNTIFS($C$2:$C$976,"&lt;&gt;gemma",$S$2:$S$976,"&lt;"&amp;S594)+1)</f>
        <v/>
      </c>
      <c r="Z594" s="87">
        <f>COUNTIFS($B$2:$B$976,B594,$C$2:$C$976,C594,$S$2:$S$976,"&lt;"&amp;S594)+1</f>
        <v/>
      </c>
      <c r="AA594" s="88">
        <f>ABS(S594-SUMPRODUCT(('05B_가정검정'!$A$5:$A$19=B594)*('05B_가정검정'!$B$5:$B$19=C594)*'05B_가정검정'!$E$5:$E$19))</f>
        <v/>
      </c>
      <c r="AB594" s="88">
        <f>S594-AVERAGEIFS($S$2:$S$976,$B$2:$B$976,B594,$C$2:$C$976,C594)</f>
        <v/>
      </c>
    </row>
    <row r="595" ht="15" customHeight="1" s="68">
      <c r="A595" s="83" t="inlineStr">
        <is>
          <t>RPT-09</t>
        </is>
      </c>
      <c r="B595" s="83" t="inlineStr">
        <is>
          <t>gemini</t>
        </is>
      </c>
      <c r="C595" s="83" t="inlineStr">
        <is>
          <t>qwen</t>
        </is>
      </c>
      <c r="D595" s="84" t="n">
        <v>0.308661417322835</v>
      </c>
      <c r="E595" s="84" t="n">
        <v>0.427083333333333</v>
      </c>
      <c r="F595" s="84" t="n">
        <v>0.157894736842105</v>
      </c>
      <c r="G595" s="84" t="n">
        <v>0.3125</v>
      </c>
      <c r="H595" s="84" t="n">
        <v>0.338546331928238</v>
      </c>
      <c r="I595" s="84" t="n">
        <v>0.274400120299793</v>
      </c>
      <c r="J595" s="84" t="n">
        <v>0.75098878053207</v>
      </c>
      <c r="K595" s="84" t="n">
        <v>0.74317069630997</v>
      </c>
      <c r="L595" s="84" t="n">
        <v>0.87366172015181</v>
      </c>
      <c r="M595" s="84" t="n">
        <v>0.690721649484536</v>
      </c>
      <c r="N595" s="84" t="n">
        <v>0.727272727272727</v>
      </c>
      <c r="O595" s="84" t="n">
        <v>1</v>
      </c>
      <c r="P595" s="85">
        <f>AVERAGE(D595:I595)</f>
        <v/>
      </c>
      <c r="Q595" s="85">
        <f>AVERAGE(J595:L595)</f>
        <v/>
      </c>
      <c r="R595" s="85">
        <f>AVERAGE(M595:O595)</f>
        <v/>
      </c>
      <c r="S595" s="85">
        <f>'02_지표정의'!$C$22*P595+'02_지표정의'!$C$23*Q595+'02_지표정의'!$C$24*R595</f>
        <v/>
      </c>
      <c r="T595" s="73">
        <f>IF(OR(AND(B595="gemini",C595="gemma"),AND(B595="qwen3_6",C595="qwen"),AND(B595="mistral",C595="ministral")),1,0)</f>
        <v/>
      </c>
      <c r="U595" s="73">
        <f>IF(LEFT(A595,3)="PAT","특허","보고서")</f>
        <v/>
      </c>
      <c r="V595" s="86">
        <f>COUNTIF($S$2:$S$976,"&lt;"&amp;S595)+(COUNTIF($S$2:$S$976,"="&amp;S595)+1)/2</f>
        <v/>
      </c>
      <c r="W595" s="73">
        <f>IF(C595="qwen",0,COUNTIFS($C$2:$C$976,"&lt;&gt;qwen",$S$2:$S$976,"&lt;"&amp;S595)+1)</f>
        <v/>
      </c>
      <c r="X595" s="73">
        <f>IF(C595="ministral",0,COUNTIFS($C$2:$C$976,"&lt;&gt;ministral",$S$2:$S$976,"&lt;"&amp;S595)+1)</f>
        <v/>
      </c>
      <c r="Y595" s="73">
        <f>IF(C595="gemma",0,COUNTIFS($C$2:$C$976,"&lt;&gt;gemma",$S$2:$S$976,"&lt;"&amp;S595)+1)</f>
        <v/>
      </c>
      <c r="Z595" s="87">
        <f>COUNTIFS($B$2:$B$976,B595,$C$2:$C$976,C595,$S$2:$S$976,"&lt;"&amp;S595)+1</f>
        <v/>
      </c>
      <c r="AA595" s="88">
        <f>ABS(S595-SUMPRODUCT(('05B_가정검정'!$A$5:$A$19=B595)*('05B_가정검정'!$B$5:$B$19=C595)*'05B_가정검정'!$E$5:$E$19))</f>
        <v/>
      </c>
      <c r="AB595" s="88">
        <f>S595-AVERAGEIFS($S$2:$S$976,$B$2:$B$976,B595,$C$2:$C$976,C595)</f>
        <v/>
      </c>
    </row>
    <row r="596" ht="15" customHeight="1" s="68">
      <c r="A596" s="83" t="inlineStr">
        <is>
          <t>RPT-09</t>
        </is>
      </c>
      <c r="B596" s="83" t="inlineStr">
        <is>
          <t>mistral</t>
        </is>
      </c>
      <c r="C596" s="83" t="inlineStr">
        <is>
          <t>gemma</t>
        </is>
      </c>
      <c r="D596" s="84" t="n">
        <v>0.232018561484919</v>
      </c>
      <c r="E596" s="84" t="n">
        <v>0.310077519379845</v>
      </c>
      <c r="F596" s="84" t="n">
        <v>0.0859375</v>
      </c>
      <c r="G596" s="84" t="n">
        <v>0.217054263565892</v>
      </c>
      <c r="H596" s="84" t="n">
        <v>0.286657135510656</v>
      </c>
      <c r="I596" s="84" t="n">
        <v>0.115536522199249</v>
      </c>
      <c r="J596" s="84" t="n">
        <v>0.680753919642444</v>
      </c>
      <c r="K596" s="84" t="n">
        <v>0.639347093939967</v>
      </c>
      <c r="L596" s="84" t="n">
        <v>0.828987452080683</v>
      </c>
      <c r="M596" s="84" t="n">
        <v>0.508571428571429</v>
      </c>
      <c r="N596" s="84" t="n">
        <v>0.556818181818182</v>
      </c>
      <c r="O596" s="84" t="n">
        <v>1</v>
      </c>
      <c r="P596" s="85">
        <f>AVERAGE(D596:I596)</f>
        <v/>
      </c>
      <c r="Q596" s="85">
        <f>AVERAGE(J596:L596)</f>
        <v/>
      </c>
      <c r="R596" s="85">
        <f>AVERAGE(M596:O596)</f>
        <v/>
      </c>
      <c r="S596" s="85">
        <f>'02_지표정의'!$C$22*P596+'02_지표정의'!$C$23*Q596+'02_지표정의'!$C$24*R596</f>
        <v/>
      </c>
      <c r="T596" s="73">
        <f>IF(OR(AND(B596="gemini",C596="gemma"),AND(B596="qwen3_6",C596="qwen"),AND(B596="mistral",C596="ministral")),1,0)</f>
        <v/>
      </c>
      <c r="U596" s="73">
        <f>IF(LEFT(A596,3)="PAT","특허","보고서")</f>
        <v/>
      </c>
      <c r="V596" s="86">
        <f>COUNTIF($S$2:$S$976,"&lt;"&amp;S596)+(COUNTIF($S$2:$S$976,"="&amp;S596)+1)/2</f>
        <v/>
      </c>
      <c r="W596" s="73">
        <f>IF(C596="qwen",0,COUNTIFS($C$2:$C$976,"&lt;&gt;qwen",$S$2:$S$976,"&lt;"&amp;S596)+1)</f>
        <v/>
      </c>
      <c r="X596" s="73">
        <f>IF(C596="ministral",0,COUNTIFS($C$2:$C$976,"&lt;&gt;ministral",$S$2:$S$976,"&lt;"&amp;S596)+1)</f>
        <v/>
      </c>
      <c r="Y596" s="73">
        <f>IF(C596="gemma",0,COUNTIFS($C$2:$C$976,"&lt;&gt;gemma",$S$2:$S$976,"&lt;"&amp;S596)+1)</f>
        <v/>
      </c>
      <c r="Z596" s="87">
        <f>COUNTIFS($B$2:$B$976,B596,$C$2:$C$976,C596,$S$2:$S$976,"&lt;"&amp;S596)+1</f>
        <v/>
      </c>
      <c r="AA596" s="88">
        <f>ABS(S596-SUMPRODUCT(('05B_가정검정'!$A$5:$A$19=B596)*('05B_가정검정'!$B$5:$B$19=C596)*'05B_가정검정'!$E$5:$E$19))</f>
        <v/>
      </c>
      <c r="AB596" s="88">
        <f>S596-AVERAGEIFS($S$2:$S$976,$B$2:$B$976,B596,$C$2:$C$976,C596)</f>
        <v/>
      </c>
    </row>
    <row r="597" ht="15" customHeight="1" s="68">
      <c r="A597" s="83" t="inlineStr">
        <is>
          <t>RPT-09</t>
        </is>
      </c>
      <c r="B597" s="83" t="inlineStr">
        <is>
          <t>mistral</t>
        </is>
      </c>
      <c r="C597" s="83" t="inlineStr">
        <is>
          <t>ministral</t>
        </is>
      </c>
      <c r="D597" s="84" t="n">
        <v>0.297111416781293</v>
      </c>
      <c r="E597" s="84" t="n">
        <v>0.440476190476191</v>
      </c>
      <c r="F597" s="84" t="n">
        <v>0.203592814371258</v>
      </c>
      <c r="G597" s="84" t="n">
        <v>0.303571428571429</v>
      </c>
      <c r="H597" s="84" t="n">
        <v>0.274651107561432</v>
      </c>
      <c r="I597" s="84" t="n">
        <v>0.526370999890191</v>
      </c>
      <c r="J597" s="84" t="n">
        <v>0.733394755520433</v>
      </c>
      <c r="K597" s="84" t="n">
        <v>0.712516072986925</v>
      </c>
      <c r="L597" s="84" t="n">
        <v>0.8385514396659089</v>
      </c>
      <c r="M597" s="84" t="n">
        <v>0.51271186440678</v>
      </c>
      <c r="N597" s="84" t="n">
        <v>0.547169811320755</v>
      </c>
      <c r="O597" s="84" t="n">
        <v>1</v>
      </c>
      <c r="P597" s="85">
        <f>AVERAGE(D597:I597)</f>
        <v/>
      </c>
      <c r="Q597" s="85">
        <f>AVERAGE(J597:L597)</f>
        <v/>
      </c>
      <c r="R597" s="85">
        <f>AVERAGE(M597:O597)</f>
        <v/>
      </c>
      <c r="S597" s="85">
        <f>'02_지표정의'!$C$22*P597+'02_지표정의'!$C$23*Q597+'02_지표정의'!$C$24*R597</f>
        <v/>
      </c>
      <c r="T597" s="73">
        <f>IF(OR(AND(B597="gemini",C597="gemma"),AND(B597="qwen3_6",C597="qwen"),AND(B597="mistral",C597="ministral")),1,0)</f>
        <v/>
      </c>
      <c r="U597" s="73">
        <f>IF(LEFT(A597,3)="PAT","특허","보고서")</f>
        <v/>
      </c>
      <c r="V597" s="86">
        <f>COUNTIF($S$2:$S$976,"&lt;"&amp;S597)+(COUNTIF($S$2:$S$976,"="&amp;S597)+1)/2</f>
        <v/>
      </c>
      <c r="W597" s="73">
        <f>IF(C597="qwen",0,COUNTIFS($C$2:$C$976,"&lt;&gt;qwen",$S$2:$S$976,"&lt;"&amp;S597)+1)</f>
        <v/>
      </c>
      <c r="X597" s="73">
        <f>IF(C597="ministral",0,COUNTIFS($C$2:$C$976,"&lt;&gt;ministral",$S$2:$S$976,"&lt;"&amp;S597)+1)</f>
        <v/>
      </c>
      <c r="Y597" s="73">
        <f>IF(C597="gemma",0,COUNTIFS($C$2:$C$976,"&lt;&gt;gemma",$S$2:$S$976,"&lt;"&amp;S597)+1)</f>
        <v/>
      </c>
      <c r="Z597" s="87">
        <f>COUNTIFS($B$2:$B$976,B597,$C$2:$C$976,C597,$S$2:$S$976,"&lt;"&amp;S597)+1</f>
        <v/>
      </c>
      <c r="AA597" s="88">
        <f>ABS(S597-SUMPRODUCT(('05B_가정검정'!$A$5:$A$19=B597)*('05B_가정검정'!$B$5:$B$19=C597)*'05B_가정검정'!$E$5:$E$19))</f>
        <v/>
      </c>
      <c r="AB597" s="88">
        <f>S597-AVERAGEIFS($S$2:$S$976,$B$2:$B$976,B597,$C$2:$C$976,C597)</f>
        <v/>
      </c>
    </row>
    <row r="598" ht="15" customHeight="1" s="68">
      <c r="A598" s="83" t="inlineStr">
        <is>
          <t>RPT-09</t>
        </is>
      </c>
      <c r="B598" s="83" t="inlineStr">
        <is>
          <t>mistral</t>
        </is>
      </c>
      <c r="C598" s="83" t="inlineStr">
        <is>
          <t>qwen</t>
        </is>
      </c>
      <c r="D598" s="84" t="n">
        <v>0.289017341040462</v>
      </c>
      <c r="E598" s="84" t="n">
        <v>0.435114503816794</v>
      </c>
      <c r="F598" s="84" t="n">
        <v>0.2</v>
      </c>
      <c r="G598" s="84" t="n">
        <v>0.290076335877863</v>
      </c>
      <c r="H598" s="84" t="n">
        <v>0.374254235000142</v>
      </c>
      <c r="I598" s="84" t="n">
        <v>0.419366314824196</v>
      </c>
      <c r="J598" s="84" t="n">
        <v>0.712841283756806</v>
      </c>
      <c r="K598" s="84" t="n">
        <v>0.668800238517627</v>
      </c>
      <c r="L598" s="84" t="n">
        <v>0.865176659162088</v>
      </c>
      <c r="M598" s="84" t="n">
        <v>0.394285714285714</v>
      </c>
      <c r="N598" s="84" t="n">
        <v>0.443181818181818</v>
      </c>
      <c r="O598" s="84" t="n">
        <v>1</v>
      </c>
      <c r="P598" s="85">
        <f>AVERAGE(D598:I598)</f>
        <v/>
      </c>
      <c r="Q598" s="85">
        <f>AVERAGE(J598:L598)</f>
        <v/>
      </c>
      <c r="R598" s="85">
        <f>AVERAGE(M598:O598)</f>
        <v/>
      </c>
      <c r="S598" s="85">
        <f>'02_지표정의'!$C$22*P598+'02_지표정의'!$C$23*Q598+'02_지표정의'!$C$24*R598</f>
        <v/>
      </c>
      <c r="T598" s="73">
        <f>IF(OR(AND(B598="gemini",C598="gemma"),AND(B598="qwen3_6",C598="qwen"),AND(B598="mistral",C598="ministral")),1,0)</f>
        <v/>
      </c>
      <c r="U598" s="73">
        <f>IF(LEFT(A598,3)="PAT","특허","보고서")</f>
        <v/>
      </c>
      <c r="V598" s="86">
        <f>COUNTIF($S$2:$S$976,"&lt;"&amp;S598)+(COUNTIF($S$2:$S$976,"="&amp;S598)+1)/2</f>
        <v/>
      </c>
      <c r="W598" s="73">
        <f>IF(C598="qwen",0,COUNTIFS($C$2:$C$976,"&lt;&gt;qwen",$S$2:$S$976,"&lt;"&amp;S598)+1)</f>
        <v/>
      </c>
      <c r="X598" s="73">
        <f>IF(C598="ministral",0,COUNTIFS($C$2:$C$976,"&lt;&gt;ministral",$S$2:$S$976,"&lt;"&amp;S598)+1)</f>
        <v/>
      </c>
      <c r="Y598" s="73">
        <f>IF(C598="gemma",0,COUNTIFS($C$2:$C$976,"&lt;&gt;gemma",$S$2:$S$976,"&lt;"&amp;S598)+1)</f>
        <v/>
      </c>
      <c r="Z598" s="87">
        <f>COUNTIFS($B$2:$B$976,B598,$C$2:$C$976,C598,$S$2:$S$976,"&lt;"&amp;S598)+1</f>
        <v/>
      </c>
      <c r="AA598" s="88">
        <f>ABS(S598-SUMPRODUCT(('05B_가정검정'!$A$5:$A$19=B598)*('05B_가정검정'!$B$5:$B$19=C598)*'05B_가정검정'!$E$5:$E$19))</f>
        <v/>
      </c>
      <c r="AB598" s="88">
        <f>S598-AVERAGEIFS($S$2:$S$976,$B$2:$B$976,B598,$C$2:$C$976,C598)</f>
        <v/>
      </c>
    </row>
    <row r="599" ht="15" customHeight="1" s="68">
      <c r="A599" s="83" t="inlineStr">
        <is>
          <t>RPT-09</t>
        </is>
      </c>
      <c r="B599" s="83" t="inlineStr">
        <is>
          <t>qwen3_6</t>
        </is>
      </c>
      <c r="C599" s="83" t="inlineStr">
        <is>
          <t>gemma</t>
        </is>
      </c>
      <c r="D599" s="84" t="n">
        <v>0.225263157894737</v>
      </c>
      <c r="E599" s="84" t="n">
        <v>0.30327868852459</v>
      </c>
      <c r="F599" s="84" t="n">
        <v>0.0909090909090909</v>
      </c>
      <c r="G599" s="84" t="n">
        <v>0.229508196721312</v>
      </c>
      <c r="H599" s="84" t="n">
        <v>0.380371281101513</v>
      </c>
      <c r="I599" s="84" t="n">
        <v>0.161297598991716</v>
      </c>
      <c r="J599" s="84" t="n">
        <v>0.71287893950869</v>
      </c>
      <c r="K599" s="84" t="n">
        <v>0.6707350202403271</v>
      </c>
      <c r="L599" s="84" t="n">
        <v>0.859006017511008</v>
      </c>
      <c r="M599" s="84" t="n">
        <v>0.906542056074766</v>
      </c>
      <c r="N599" s="84" t="n">
        <v>0.916666666666667</v>
      </c>
      <c r="O599" s="84" t="n">
        <v>1</v>
      </c>
      <c r="P599" s="85">
        <f>AVERAGE(D599:I599)</f>
        <v/>
      </c>
      <c r="Q599" s="85">
        <f>AVERAGE(J599:L599)</f>
        <v/>
      </c>
      <c r="R599" s="85">
        <f>AVERAGE(M599:O599)</f>
        <v/>
      </c>
      <c r="S599" s="85">
        <f>'02_지표정의'!$C$22*P599+'02_지표정의'!$C$23*Q599+'02_지표정의'!$C$24*R599</f>
        <v/>
      </c>
      <c r="T599" s="73">
        <f>IF(OR(AND(B599="gemini",C599="gemma"),AND(B599="qwen3_6",C599="qwen"),AND(B599="mistral",C599="ministral")),1,0)</f>
        <v/>
      </c>
      <c r="U599" s="73">
        <f>IF(LEFT(A599,3)="PAT","특허","보고서")</f>
        <v/>
      </c>
      <c r="V599" s="86">
        <f>COUNTIF($S$2:$S$976,"&lt;"&amp;S599)+(COUNTIF($S$2:$S$976,"="&amp;S599)+1)/2</f>
        <v/>
      </c>
      <c r="W599" s="73">
        <f>IF(C599="qwen",0,COUNTIFS($C$2:$C$976,"&lt;&gt;qwen",$S$2:$S$976,"&lt;"&amp;S599)+1)</f>
        <v/>
      </c>
      <c r="X599" s="73">
        <f>IF(C599="ministral",0,COUNTIFS($C$2:$C$976,"&lt;&gt;ministral",$S$2:$S$976,"&lt;"&amp;S599)+1)</f>
        <v/>
      </c>
      <c r="Y599" s="73">
        <f>IF(C599="gemma",0,COUNTIFS($C$2:$C$976,"&lt;&gt;gemma",$S$2:$S$976,"&lt;"&amp;S599)+1)</f>
        <v/>
      </c>
      <c r="Z599" s="87">
        <f>COUNTIFS($B$2:$B$976,B599,$C$2:$C$976,C599,$S$2:$S$976,"&lt;"&amp;S599)+1</f>
        <v/>
      </c>
      <c r="AA599" s="88">
        <f>ABS(S599-SUMPRODUCT(('05B_가정검정'!$A$5:$A$19=B599)*('05B_가정검정'!$B$5:$B$19=C599)*'05B_가정검정'!$E$5:$E$19))</f>
        <v/>
      </c>
      <c r="AB599" s="88">
        <f>S599-AVERAGEIFS($S$2:$S$976,$B$2:$B$976,B599,$C$2:$C$976,C599)</f>
        <v/>
      </c>
    </row>
    <row r="600" ht="15" customHeight="1" s="68">
      <c r="A600" s="83" t="inlineStr">
        <is>
          <t>RPT-09</t>
        </is>
      </c>
      <c r="B600" s="83" t="inlineStr">
        <is>
          <t>qwen3_6</t>
        </is>
      </c>
      <c r="C600" s="83" t="inlineStr">
        <is>
          <t>ministral</t>
        </is>
      </c>
      <c r="D600" s="84" t="n">
        <v>0.240490797546012</v>
      </c>
      <c r="E600" s="84" t="n">
        <v>0.31055900621118</v>
      </c>
      <c r="F600" s="84" t="n">
        <v>0.11875</v>
      </c>
      <c r="G600" s="84" t="n">
        <v>0.242236024844721</v>
      </c>
      <c r="H600" s="84" t="n">
        <v>0.256921957287615</v>
      </c>
      <c r="I600" s="84" t="n">
        <v>0.285573484054848</v>
      </c>
      <c r="J600" s="84" t="n">
        <v>0.724025012904055</v>
      </c>
      <c r="K600" s="84" t="n">
        <v>0.680663036220749</v>
      </c>
      <c r="L600" s="84" t="n">
        <v>0.837840704105093</v>
      </c>
      <c r="M600" s="84" t="n">
        <v>0.411016949152542</v>
      </c>
      <c r="N600" s="84" t="n">
        <v>0.518867924528302</v>
      </c>
      <c r="O600" s="84" t="n">
        <v>1</v>
      </c>
      <c r="P600" s="85">
        <f>AVERAGE(D600:I600)</f>
        <v/>
      </c>
      <c r="Q600" s="85">
        <f>AVERAGE(J600:L600)</f>
        <v/>
      </c>
      <c r="R600" s="85">
        <f>AVERAGE(M600:O600)</f>
        <v/>
      </c>
      <c r="S600" s="85">
        <f>'02_지표정의'!$C$22*P600+'02_지표정의'!$C$23*Q600+'02_지표정의'!$C$24*R600</f>
        <v/>
      </c>
      <c r="T600" s="73">
        <f>IF(OR(AND(B600="gemini",C600="gemma"),AND(B600="qwen3_6",C600="qwen"),AND(B600="mistral",C600="ministral")),1,0)</f>
        <v/>
      </c>
      <c r="U600" s="73">
        <f>IF(LEFT(A600,3)="PAT","특허","보고서")</f>
        <v/>
      </c>
      <c r="V600" s="86">
        <f>COUNTIF($S$2:$S$976,"&lt;"&amp;S600)+(COUNTIF($S$2:$S$976,"="&amp;S600)+1)/2</f>
        <v/>
      </c>
      <c r="W600" s="73">
        <f>IF(C600="qwen",0,COUNTIFS($C$2:$C$976,"&lt;&gt;qwen",$S$2:$S$976,"&lt;"&amp;S600)+1)</f>
        <v/>
      </c>
      <c r="X600" s="73">
        <f>IF(C600="ministral",0,COUNTIFS($C$2:$C$976,"&lt;&gt;ministral",$S$2:$S$976,"&lt;"&amp;S600)+1)</f>
        <v/>
      </c>
      <c r="Y600" s="73">
        <f>IF(C600="gemma",0,COUNTIFS($C$2:$C$976,"&lt;&gt;gemma",$S$2:$S$976,"&lt;"&amp;S600)+1)</f>
        <v/>
      </c>
      <c r="Z600" s="87">
        <f>COUNTIFS($B$2:$B$976,B600,$C$2:$C$976,C600,$S$2:$S$976,"&lt;"&amp;S600)+1</f>
        <v/>
      </c>
      <c r="AA600" s="88">
        <f>ABS(S600-SUMPRODUCT(('05B_가정검정'!$A$5:$A$19=B600)*('05B_가정검정'!$B$5:$B$19=C600)*'05B_가정검정'!$E$5:$E$19))</f>
        <v/>
      </c>
      <c r="AB600" s="88">
        <f>S600-AVERAGEIFS($S$2:$S$976,$B$2:$B$976,B600,$C$2:$C$976,C600)</f>
        <v/>
      </c>
    </row>
    <row r="601" ht="15" customHeight="1" s="68">
      <c r="A601" s="83" t="inlineStr">
        <is>
          <t>RPT-09</t>
        </is>
      </c>
      <c r="B601" s="83" t="inlineStr">
        <is>
          <t>qwen3_6</t>
        </is>
      </c>
      <c r="C601" s="83" t="inlineStr">
        <is>
          <t>qwen</t>
        </is>
      </c>
      <c r="D601" s="84" t="n">
        <v>0.325641025641026</v>
      </c>
      <c r="E601" s="84" t="n">
        <v>0.475806451612903</v>
      </c>
      <c r="F601" s="84" t="n">
        <v>0.203252032520325</v>
      </c>
      <c r="G601" s="84" t="n">
        <v>0.362903225806452</v>
      </c>
      <c r="H601" s="84" t="n">
        <v>0.45627195926786</v>
      </c>
      <c r="I601" s="84" t="n">
        <v>0.451390003272242</v>
      </c>
      <c r="J601" s="84" t="n">
        <v>0.742973289961497</v>
      </c>
      <c r="K601" s="84" t="n">
        <v>0.69665989047888</v>
      </c>
      <c r="L601" s="84" t="n">
        <v>0.885329245924784</v>
      </c>
      <c r="M601" s="84" t="n">
        <v>0.696969696969697</v>
      </c>
      <c r="N601" s="84" t="n">
        <v>0.732142857142857</v>
      </c>
      <c r="O601" s="84" t="n">
        <v>1</v>
      </c>
      <c r="P601" s="85">
        <f>AVERAGE(D601:I601)</f>
        <v/>
      </c>
      <c r="Q601" s="85">
        <f>AVERAGE(J601:L601)</f>
        <v/>
      </c>
      <c r="R601" s="85">
        <f>AVERAGE(M601:O601)</f>
        <v/>
      </c>
      <c r="S601" s="85">
        <f>'02_지표정의'!$C$22*P601+'02_지표정의'!$C$23*Q601+'02_지표정의'!$C$24*R601</f>
        <v/>
      </c>
      <c r="T601" s="73">
        <f>IF(OR(AND(B601="gemini",C601="gemma"),AND(B601="qwen3_6",C601="qwen"),AND(B601="mistral",C601="ministral")),1,0)</f>
        <v/>
      </c>
      <c r="U601" s="73">
        <f>IF(LEFT(A601,3)="PAT","특허","보고서")</f>
        <v/>
      </c>
      <c r="V601" s="86">
        <f>COUNTIF($S$2:$S$976,"&lt;"&amp;S601)+(COUNTIF($S$2:$S$976,"="&amp;S601)+1)/2</f>
        <v/>
      </c>
      <c r="W601" s="73">
        <f>IF(C601="qwen",0,COUNTIFS($C$2:$C$976,"&lt;&gt;qwen",$S$2:$S$976,"&lt;"&amp;S601)+1)</f>
        <v/>
      </c>
      <c r="X601" s="73">
        <f>IF(C601="ministral",0,COUNTIFS($C$2:$C$976,"&lt;&gt;ministral",$S$2:$S$976,"&lt;"&amp;S601)+1)</f>
        <v/>
      </c>
      <c r="Y601" s="73">
        <f>IF(C601="gemma",0,COUNTIFS($C$2:$C$976,"&lt;&gt;gemma",$S$2:$S$976,"&lt;"&amp;S601)+1)</f>
        <v/>
      </c>
      <c r="Z601" s="87">
        <f>COUNTIFS($B$2:$B$976,B601,$C$2:$C$976,C601,$S$2:$S$976,"&lt;"&amp;S601)+1</f>
        <v/>
      </c>
      <c r="AA601" s="88">
        <f>ABS(S601-SUMPRODUCT(('05B_가정검정'!$A$5:$A$19=B601)*('05B_가정검정'!$B$5:$B$19=C601)*'05B_가정검정'!$E$5:$E$19))</f>
        <v/>
      </c>
      <c r="AB601" s="88">
        <f>S601-AVERAGEIFS($S$2:$S$976,$B$2:$B$976,B601,$C$2:$C$976,C601)</f>
        <v/>
      </c>
    </row>
    <row r="602" ht="15" customHeight="1" s="68">
      <c r="A602" s="83" t="inlineStr">
        <is>
          <t>RPT-10</t>
        </is>
      </c>
      <c r="B602" s="83" t="inlineStr">
        <is>
          <t>chatgpt</t>
        </is>
      </c>
      <c r="C602" s="83" t="inlineStr">
        <is>
          <t>gemma</t>
        </is>
      </c>
      <c r="D602" s="84" t="n">
        <v>0.265486725663717</v>
      </c>
      <c r="E602" s="84" t="n">
        <v>0.37007874015748</v>
      </c>
      <c r="F602" s="84" t="n">
        <v>0.23015873015873</v>
      </c>
      <c r="G602" s="84" t="n">
        <v>0.299212598425197</v>
      </c>
      <c r="H602" s="84" t="n">
        <v>0.220704247097023</v>
      </c>
      <c r="I602" s="84" t="n">
        <v>0.266152455605995</v>
      </c>
      <c r="J602" s="84" t="n">
        <v>0.648827340915646</v>
      </c>
      <c r="K602" s="84" t="n">
        <v>0.6060602326328151</v>
      </c>
      <c r="L602" s="84" t="n">
        <v>0.789984640991592</v>
      </c>
      <c r="M602" s="84" t="n">
        <v>0.5575757575757579</v>
      </c>
      <c r="N602" s="84" t="n">
        <v>0.101123595505618</v>
      </c>
      <c r="O602" s="84" t="n">
        <v>1</v>
      </c>
      <c r="P602" s="85">
        <f>AVERAGE(D602:I602)</f>
        <v/>
      </c>
      <c r="Q602" s="85">
        <f>AVERAGE(J602:L602)</f>
        <v/>
      </c>
      <c r="R602" s="85">
        <f>AVERAGE(M602:O602)</f>
        <v/>
      </c>
      <c r="S602" s="85">
        <f>'02_지표정의'!$C$22*P602+'02_지표정의'!$C$23*Q602+'02_지표정의'!$C$24*R602</f>
        <v/>
      </c>
      <c r="T602" s="73">
        <f>IF(OR(AND(B602="gemini",C602="gemma"),AND(B602="qwen3_6",C602="qwen"),AND(B602="mistral",C602="ministral")),1,0)</f>
        <v/>
      </c>
      <c r="U602" s="73">
        <f>IF(LEFT(A602,3)="PAT","특허","보고서")</f>
        <v/>
      </c>
      <c r="V602" s="86">
        <f>COUNTIF($S$2:$S$976,"&lt;"&amp;S602)+(COUNTIF($S$2:$S$976,"="&amp;S602)+1)/2</f>
        <v/>
      </c>
      <c r="W602" s="73">
        <f>IF(C602="qwen",0,COUNTIFS($C$2:$C$976,"&lt;&gt;qwen",$S$2:$S$976,"&lt;"&amp;S602)+1)</f>
        <v/>
      </c>
      <c r="X602" s="73">
        <f>IF(C602="ministral",0,COUNTIFS($C$2:$C$976,"&lt;&gt;ministral",$S$2:$S$976,"&lt;"&amp;S602)+1)</f>
        <v/>
      </c>
      <c r="Y602" s="73">
        <f>IF(C602="gemma",0,COUNTIFS($C$2:$C$976,"&lt;&gt;gemma",$S$2:$S$976,"&lt;"&amp;S602)+1)</f>
        <v/>
      </c>
      <c r="Z602" s="87">
        <f>COUNTIFS($B$2:$B$976,B602,$C$2:$C$976,C602,$S$2:$S$976,"&lt;"&amp;S602)+1</f>
        <v/>
      </c>
      <c r="AA602" s="88">
        <f>ABS(S602-SUMPRODUCT(('05B_가정검정'!$A$5:$A$19=B602)*('05B_가정검정'!$B$5:$B$19=C602)*'05B_가정검정'!$E$5:$E$19))</f>
        <v/>
      </c>
      <c r="AB602" s="88">
        <f>S602-AVERAGEIFS($S$2:$S$976,$B$2:$B$976,B602,$C$2:$C$976,C602)</f>
        <v/>
      </c>
    </row>
    <row r="603" ht="15" customHeight="1" s="68">
      <c r="A603" s="83" t="inlineStr">
        <is>
          <t>RPT-10</t>
        </is>
      </c>
      <c r="B603" s="83" t="inlineStr">
        <is>
          <t>chatgpt</t>
        </is>
      </c>
      <c r="C603" s="83" t="inlineStr">
        <is>
          <t>ministral</t>
        </is>
      </c>
      <c r="D603" s="84" t="n">
        <v>0.296081277213353</v>
      </c>
      <c r="E603" s="84" t="n">
        <v>0.334426229508197</v>
      </c>
      <c r="F603" s="84" t="n">
        <v>0.171617161716172</v>
      </c>
      <c r="G603" s="84" t="n">
        <v>0.281967213114754</v>
      </c>
      <c r="H603" s="84" t="n">
        <v>0.149215628679968</v>
      </c>
      <c r="I603" s="84" t="n">
        <v>0.274168706392446</v>
      </c>
      <c r="J603" s="84" t="n">
        <v>0.681972158153949</v>
      </c>
      <c r="K603" s="84" t="n">
        <v>0.693667324122629</v>
      </c>
      <c r="L603" s="84" t="n">
        <v>0.839283639048215</v>
      </c>
      <c r="M603" s="84" t="n">
        <v>0.36144578313253</v>
      </c>
      <c r="N603" s="84" t="n">
        <v>0</v>
      </c>
      <c r="O603" s="84" t="n">
        <v>0.526315789473684</v>
      </c>
      <c r="P603" s="85">
        <f>AVERAGE(D603:I603)</f>
        <v/>
      </c>
      <c r="Q603" s="85">
        <f>AVERAGE(J603:L603)</f>
        <v/>
      </c>
      <c r="R603" s="85">
        <f>AVERAGE(M603:O603)</f>
        <v/>
      </c>
      <c r="S603" s="85">
        <f>'02_지표정의'!$C$22*P603+'02_지표정의'!$C$23*Q603+'02_지표정의'!$C$24*R603</f>
        <v/>
      </c>
      <c r="T603" s="73">
        <f>IF(OR(AND(B603="gemini",C603="gemma"),AND(B603="qwen3_6",C603="qwen"),AND(B603="mistral",C603="ministral")),1,0)</f>
        <v/>
      </c>
      <c r="U603" s="73">
        <f>IF(LEFT(A603,3)="PAT","특허","보고서")</f>
        <v/>
      </c>
      <c r="V603" s="86">
        <f>COUNTIF($S$2:$S$976,"&lt;"&amp;S603)+(COUNTIF($S$2:$S$976,"="&amp;S603)+1)/2</f>
        <v/>
      </c>
      <c r="W603" s="73">
        <f>IF(C603="qwen",0,COUNTIFS($C$2:$C$976,"&lt;&gt;qwen",$S$2:$S$976,"&lt;"&amp;S603)+1)</f>
        <v/>
      </c>
      <c r="X603" s="73">
        <f>IF(C603="ministral",0,COUNTIFS($C$2:$C$976,"&lt;&gt;ministral",$S$2:$S$976,"&lt;"&amp;S603)+1)</f>
        <v/>
      </c>
      <c r="Y603" s="73">
        <f>IF(C603="gemma",0,COUNTIFS($C$2:$C$976,"&lt;&gt;gemma",$S$2:$S$976,"&lt;"&amp;S603)+1)</f>
        <v/>
      </c>
      <c r="Z603" s="87">
        <f>COUNTIFS($B$2:$B$976,B603,$C$2:$C$976,C603,$S$2:$S$976,"&lt;"&amp;S603)+1</f>
        <v/>
      </c>
      <c r="AA603" s="88">
        <f>ABS(S603-SUMPRODUCT(('05B_가정검정'!$A$5:$A$19=B603)*('05B_가정검정'!$B$5:$B$19=C603)*'05B_가정검정'!$E$5:$E$19))</f>
        <v/>
      </c>
      <c r="AB603" s="88">
        <f>S603-AVERAGEIFS($S$2:$S$976,$B$2:$B$976,B603,$C$2:$C$976,C603)</f>
        <v/>
      </c>
    </row>
    <row r="604" ht="15" customHeight="1" s="68">
      <c r="A604" s="83" t="inlineStr">
        <is>
          <t>RPT-10</t>
        </is>
      </c>
      <c r="B604" s="83" t="inlineStr">
        <is>
          <t>chatgpt</t>
        </is>
      </c>
      <c r="C604" s="83" t="inlineStr">
        <is>
          <t>qwen</t>
        </is>
      </c>
      <c r="D604" s="84" t="n">
        <v>0.265943012211669</v>
      </c>
      <c r="E604" s="84" t="n">
        <v>0.377682403433476</v>
      </c>
      <c r="F604" s="84" t="n">
        <v>0.207792207792208</v>
      </c>
      <c r="G604" s="84" t="n">
        <v>0.257510729613734</v>
      </c>
      <c r="H604" s="84" t="n">
        <v>0.213523605036632</v>
      </c>
      <c r="I604" s="84" t="n">
        <v>0.297540314323464</v>
      </c>
      <c r="J604" s="84" t="n">
        <v>0.703291502661715</v>
      </c>
      <c r="K604" s="84" t="n">
        <v>0.619881240130815</v>
      </c>
      <c r="L604" s="84" t="n">
        <v>0.794089255942511</v>
      </c>
      <c r="M604" s="84" t="n">
        <v>0.467005076142132</v>
      </c>
      <c r="N604" s="84" t="n">
        <v>0</v>
      </c>
      <c r="O604" s="84" t="n">
        <v>1</v>
      </c>
      <c r="P604" s="85">
        <f>AVERAGE(D604:I604)</f>
        <v/>
      </c>
      <c r="Q604" s="85">
        <f>AVERAGE(J604:L604)</f>
        <v/>
      </c>
      <c r="R604" s="85">
        <f>AVERAGE(M604:O604)</f>
        <v/>
      </c>
      <c r="S604" s="85">
        <f>'02_지표정의'!$C$22*P604+'02_지표정의'!$C$23*Q604+'02_지표정의'!$C$24*R604</f>
        <v/>
      </c>
      <c r="T604" s="73">
        <f>IF(OR(AND(B604="gemini",C604="gemma"),AND(B604="qwen3_6",C604="qwen"),AND(B604="mistral",C604="ministral")),1,0)</f>
        <v/>
      </c>
      <c r="U604" s="73">
        <f>IF(LEFT(A604,3)="PAT","특허","보고서")</f>
        <v/>
      </c>
      <c r="V604" s="86">
        <f>COUNTIF($S$2:$S$976,"&lt;"&amp;S604)+(COUNTIF($S$2:$S$976,"="&amp;S604)+1)/2</f>
        <v/>
      </c>
      <c r="W604" s="73">
        <f>IF(C604="qwen",0,COUNTIFS($C$2:$C$976,"&lt;&gt;qwen",$S$2:$S$976,"&lt;"&amp;S604)+1)</f>
        <v/>
      </c>
      <c r="X604" s="73">
        <f>IF(C604="ministral",0,COUNTIFS($C$2:$C$976,"&lt;&gt;ministral",$S$2:$S$976,"&lt;"&amp;S604)+1)</f>
        <v/>
      </c>
      <c r="Y604" s="73">
        <f>IF(C604="gemma",0,COUNTIFS($C$2:$C$976,"&lt;&gt;gemma",$S$2:$S$976,"&lt;"&amp;S604)+1)</f>
        <v/>
      </c>
      <c r="Z604" s="87">
        <f>COUNTIFS($B$2:$B$976,B604,$C$2:$C$976,C604,$S$2:$S$976,"&lt;"&amp;S604)+1</f>
        <v/>
      </c>
      <c r="AA604" s="88">
        <f>ABS(S604-SUMPRODUCT(('05B_가정검정'!$A$5:$A$19=B604)*('05B_가정검정'!$B$5:$B$19=C604)*'05B_가정검정'!$E$5:$E$19))</f>
        <v/>
      </c>
      <c r="AB604" s="88">
        <f>S604-AVERAGEIFS($S$2:$S$976,$B$2:$B$976,B604,$C$2:$C$976,C604)</f>
        <v/>
      </c>
    </row>
    <row r="605" ht="15" customHeight="1" s="68">
      <c r="A605" s="83" t="inlineStr">
        <is>
          <t>RPT-10</t>
        </is>
      </c>
      <c r="B605" s="83" t="inlineStr">
        <is>
          <t>claude</t>
        </is>
      </c>
      <c r="C605" s="83" t="inlineStr">
        <is>
          <t>gemma</t>
        </is>
      </c>
      <c r="D605" s="84" t="n">
        <v>0.276870163370593</v>
      </c>
      <c r="E605" s="84" t="n">
        <v>0.34733893557423</v>
      </c>
      <c r="F605" s="84" t="n">
        <v>0.140845070422535</v>
      </c>
      <c r="G605" s="84" t="n">
        <v>0.252100840336134</v>
      </c>
      <c r="H605" s="84" t="n">
        <v>0.331205820879619</v>
      </c>
      <c r="I605" s="84" t="n">
        <v>0.221742876667584</v>
      </c>
      <c r="J605" s="84" t="n">
        <v>0.663701419899936</v>
      </c>
      <c r="K605" s="84" t="n">
        <v>0.609311258597582</v>
      </c>
      <c r="L605" s="84" t="n">
        <v>0.822034294973884</v>
      </c>
      <c r="M605" s="84" t="n">
        <v>0.530612244897959</v>
      </c>
      <c r="N605" s="84" t="n">
        <v>0.464285714285714</v>
      </c>
      <c r="O605" s="84" t="n">
        <v>1</v>
      </c>
      <c r="P605" s="85">
        <f>AVERAGE(D605:I605)</f>
        <v/>
      </c>
      <c r="Q605" s="85">
        <f>AVERAGE(J605:L605)</f>
        <v/>
      </c>
      <c r="R605" s="85">
        <f>AVERAGE(M605:O605)</f>
        <v/>
      </c>
      <c r="S605" s="85">
        <f>'02_지표정의'!$C$22*P605+'02_지표정의'!$C$23*Q605+'02_지표정의'!$C$24*R605</f>
        <v/>
      </c>
      <c r="T605" s="73">
        <f>IF(OR(AND(B605="gemini",C605="gemma"),AND(B605="qwen3_6",C605="qwen"),AND(B605="mistral",C605="ministral")),1,0)</f>
        <v/>
      </c>
      <c r="U605" s="73">
        <f>IF(LEFT(A605,3)="PAT","특허","보고서")</f>
        <v/>
      </c>
      <c r="V605" s="86">
        <f>COUNTIF($S$2:$S$976,"&lt;"&amp;S605)+(COUNTIF($S$2:$S$976,"="&amp;S605)+1)/2</f>
        <v/>
      </c>
      <c r="W605" s="73">
        <f>IF(C605="qwen",0,COUNTIFS($C$2:$C$976,"&lt;&gt;qwen",$S$2:$S$976,"&lt;"&amp;S605)+1)</f>
        <v/>
      </c>
      <c r="X605" s="73">
        <f>IF(C605="ministral",0,COUNTIFS($C$2:$C$976,"&lt;&gt;ministral",$S$2:$S$976,"&lt;"&amp;S605)+1)</f>
        <v/>
      </c>
      <c r="Y605" s="73">
        <f>IF(C605="gemma",0,COUNTIFS($C$2:$C$976,"&lt;&gt;gemma",$S$2:$S$976,"&lt;"&amp;S605)+1)</f>
        <v/>
      </c>
      <c r="Z605" s="87">
        <f>COUNTIFS($B$2:$B$976,B605,$C$2:$C$976,C605,$S$2:$S$976,"&lt;"&amp;S605)+1</f>
        <v/>
      </c>
      <c r="AA605" s="88">
        <f>ABS(S605-SUMPRODUCT(('05B_가정검정'!$A$5:$A$19=B605)*('05B_가정검정'!$B$5:$B$19=C605)*'05B_가정검정'!$E$5:$E$19))</f>
        <v/>
      </c>
      <c r="AB605" s="88">
        <f>S605-AVERAGEIFS($S$2:$S$976,$B$2:$B$976,B605,$C$2:$C$976,C605)</f>
        <v/>
      </c>
    </row>
    <row r="606" ht="15" customHeight="1" s="68">
      <c r="A606" s="83" t="inlineStr">
        <is>
          <t>RPT-10</t>
        </is>
      </c>
      <c r="B606" s="83" t="inlineStr">
        <is>
          <t>claude</t>
        </is>
      </c>
      <c r="C606" s="83" t="inlineStr">
        <is>
          <t>ministral</t>
        </is>
      </c>
      <c r="D606" s="84" t="n">
        <v>0.277097078228087</v>
      </c>
      <c r="E606" s="84" t="n">
        <v>0.299019607843137</v>
      </c>
      <c r="F606" s="84" t="n">
        <v>0.152709359605911</v>
      </c>
      <c r="G606" s="84" t="n">
        <v>0.264705882352941</v>
      </c>
      <c r="H606" s="84" t="n">
        <v>0.244022044105702</v>
      </c>
      <c r="I606" s="84" t="n">
        <v>0.236470073221355</v>
      </c>
      <c r="J606" s="84" t="n">
        <v>0.684364612336151</v>
      </c>
      <c r="K606" s="84" t="n">
        <v>0.637088150028254</v>
      </c>
      <c r="L606" s="84" t="n">
        <v>0.823456121337884</v>
      </c>
      <c r="M606" s="84" t="n">
        <v>0.346987951807229</v>
      </c>
      <c r="N606" s="84" t="n">
        <v>0.285714285714286</v>
      </c>
      <c r="O606" s="84" t="n">
        <v>0.526315789473684</v>
      </c>
      <c r="P606" s="85">
        <f>AVERAGE(D606:I606)</f>
        <v/>
      </c>
      <c r="Q606" s="85">
        <f>AVERAGE(J606:L606)</f>
        <v/>
      </c>
      <c r="R606" s="85">
        <f>AVERAGE(M606:O606)</f>
        <v/>
      </c>
      <c r="S606" s="85">
        <f>'02_지표정의'!$C$22*P606+'02_지표정의'!$C$23*Q606+'02_지표정의'!$C$24*R606</f>
        <v/>
      </c>
      <c r="T606" s="73">
        <f>IF(OR(AND(B606="gemini",C606="gemma"),AND(B606="qwen3_6",C606="qwen"),AND(B606="mistral",C606="ministral")),1,0)</f>
        <v/>
      </c>
      <c r="U606" s="73">
        <f>IF(LEFT(A606,3)="PAT","특허","보고서")</f>
        <v/>
      </c>
      <c r="V606" s="86">
        <f>COUNTIF($S$2:$S$976,"&lt;"&amp;S606)+(COUNTIF($S$2:$S$976,"="&amp;S606)+1)/2</f>
        <v/>
      </c>
      <c r="W606" s="73">
        <f>IF(C606="qwen",0,COUNTIFS($C$2:$C$976,"&lt;&gt;qwen",$S$2:$S$976,"&lt;"&amp;S606)+1)</f>
        <v/>
      </c>
      <c r="X606" s="73">
        <f>IF(C606="ministral",0,COUNTIFS($C$2:$C$976,"&lt;&gt;ministral",$S$2:$S$976,"&lt;"&amp;S606)+1)</f>
        <v/>
      </c>
      <c r="Y606" s="73">
        <f>IF(C606="gemma",0,COUNTIFS($C$2:$C$976,"&lt;&gt;gemma",$S$2:$S$976,"&lt;"&amp;S606)+1)</f>
        <v/>
      </c>
      <c r="Z606" s="87">
        <f>COUNTIFS($B$2:$B$976,B606,$C$2:$C$976,C606,$S$2:$S$976,"&lt;"&amp;S606)+1</f>
        <v/>
      </c>
      <c r="AA606" s="88">
        <f>ABS(S606-SUMPRODUCT(('05B_가정검정'!$A$5:$A$19=B606)*('05B_가정검정'!$B$5:$B$19=C606)*'05B_가정검정'!$E$5:$E$19))</f>
        <v/>
      </c>
      <c r="AB606" s="88">
        <f>S606-AVERAGEIFS($S$2:$S$976,$B$2:$B$976,B606,$C$2:$C$976,C606)</f>
        <v/>
      </c>
    </row>
    <row r="607" ht="15" customHeight="1" s="68">
      <c r="A607" s="83" t="inlineStr">
        <is>
          <t>RPT-10</t>
        </is>
      </c>
      <c r="B607" s="83" t="inlineStr">
        <is>
          <t>claude</t>
        </is>
      </c>
      <c r="C607" s="83" t="inlineStr">
        <is>
          <t>qwen</t>
        </is>
      </c>
      <c r="D607" s="84" t="n">
        <v>0.288548241659152</v>
      </c>
      <c r="E607" s="84" t="n">
        <v>0.428571428571429</v>
      </c>
      <c r="F607" s="84" t="n">
        <v>0.215568862275449</v>
      </c>
      <c r="G607" s="84" t="n">
        <v>0.30952380952381</v>
      </c>
      <c r="H607" s="84" t="n">
        <v>0.361488088170413</v>
      </c>
      <c r="I607" s="84" t="n">
        <v>0.394129253725296</v>
      </c>
      <c r="J607" s="84" t="n">
        <v>0.693754980958965</v>
      </c>
      <c r="K607" s="84" t="n">
        <v>0.66941478570027</v>
      </c>
      <c r="L607" s="84" t="n">
        <v>0.86067130199161</v>
      </c>
      <c r="M607" s="84" t="n">
        <v>0.6345177664974621</v>
      </c>
      <c r="N607" s="84" t="n">
        <v>0.585585585585586</v>
      </c>
      <c r="O607" s="84" t="n">
        <v>1</v>
      </c>
      <c r="P607" s="85">
        <f>AVERAGE(D607:I607)</f>
        <v/>
      </c>
      <c r="Q607" s="85">
        <f>AVERAGE(J607:L607)</f>
        <v/>
      </c>
      <c r="R607" s="85">
        <f>AVERAGE(M607:O607)</f>
        <v/>
      </c>
      <c r="S607" s="85">
        <f>'02_지표정의'!$C$22*P607+'02_지표정의'!$C$23*Q607+'02_지표정의'!$C$24*R607</f>
        <v/>
      </c>
      <c r="T607" s="73">
        <f>IF(OR(AND(B607="gemini",C607="gemma"),AND(B607="qwen3_6",C607="qwen"),AND(B607="mistral",C607="ministral")),1,0)</f>
        <v/>
      </c>
      <c r="U607" s="73">
        <f>IF(LEFT(A607,3)="PAT","특허","보고서")</f>
        <v/>
      </c>
      <c r="V607" s="86">
        <f>COUNTIF($S$2:$S$976,"&lt;"&amp;S607)+(COUNTIF($S$2:$S$976,"="&amp;S607)+1)/2</f>
        <v/>
      </c>
      <c r="W607" s="73">
        <f>IF(C607="qwen",0,COUNTIFS($C$2:$C$976,"&lt;&gt;qwen",$S$2:$S$976,"&lt;"&amp;S607)+1)</f>
        <v/>
      </c>
      <c r="X607" s="73">
        <f>IF(C607="ministral",0,COUNTIFS($C$2:$C$976,"&lt;&gt;ministral",$S$2:$S$976,"&lt;"&amp;S607)+1)</f>
        <v/>
      </c>
      <c r="Y607" s="73">
        <f>IF(C607="gemma",0,COUNTIFS($C$2:$C$976,"&lt;&gt;gemma",$S$2:$S$976,"&lt;"&amp;S607)+1)</f>
        <v/>
      </c>
      <c r="Z607" s="87">
        <f>COUNTIFS($B$2:$B$976,B607,$C$2:$C$976,C607,$S$2:$S$976,"&lt;"&amp;S607)+1</f>
        <v/>
      </c>
      <c r="AA607" s="88">
        <f>ABS(S607-SUMPRODUCT(('05B_가정검정'!$A$5:$A$19=B607)*('05B_가정검정'!$B$5:$B$19=C607)*'05B_가정검정'!$E$5:$E$19))</f>
        <v/>
      </c>
      <c r="AB607" s="88">
        <f>S607-AVERAGEIFS($S$2:$S$976,$B$2:$B$976,B607,$C$2:$C$976,C607)</f>
        <v/>
      </c>
    </row>
    <row r="608" ht="15" customHeight="1" s="68">
      <c r="A608" s="83" t="inlineStr">
        <is>
          <t>RPT-10</t>
        </is>
      </c>
      <c r="B608" s="83" t="inlineStr">
        <is>
          <t>gemini</t>
        </is>
      </c>
      <c r="C608" s="83" t="inlineStr">
        <is>
          <t>gemma</t>
        </is>
      </c>
      <c r="D608" s="84" t="n">
        <v>0.256227758007117</v>
      </c>
      <c r="E608" s="84" t="n">
        <v>0.357142857142857</v>
      </c>
      <c r="F608" s="84" t="n">
        <v>0.144</v>
      </c>
      <c r="G608" s="84" t="n">
        <v>0.246031746031746</v>
      </c>
      <c r="H608" s="84" t="n">
        <v>0.250469003917156</v>
      </c>
      <c r="I608" s="84" t="n">
        <v>0.22083598613476</v>
      </c>
      <c r="J608" s="84" t="n">
        <v>0.722897687160433</v>
      </c>
      <c r="K608" s="84" t="n">
        <v>0.773442606364477</v>
      </c>
      <c r="L608" s="84" t="n">
        <v>0.897630015549621</v>
      </c>
      <c r="M608" s="84" t="n">
        <v>0.659863945578231</v>
      </c>
      <c r="N608" s="84" t="n">
        <v>0.785714285714286</v>
      </c>
      <c r="O608" s="84" t="n">
        <v>1</v>
      </c>
      <c r="P608" s="85">
        <f>AVERAGE(D608:I608)</f>
        <v/>
      </c>
      <c r="Q608" s="85">
        <f>AVERAGE(J608:L608)</f>
        <v/>
      </c>
      <c r="R608" s="85">
        <f>AVERAGE(M608:O608)</f>
        <v/>
      </c>
      <c r="S608" s="85">
        <f>'02_지표정의'!$C$22*P608+'02_지표정의'!$C$23*Q608+'02_지표정의'!$C$24*R608</f>
        <v/>
      </c>
      <c r="T608" s="73">
        <f>IF(OR(AND(B608="gemini",C608="gemma"),AND(B608="qwen3_6",C608="qwen"),AND(B608="mistral",C608="ministral")),1,0)</f>
        <v/>
      </c>
      <c r="U608" s="73">
        <f>IF(LEFT(A608,3)="PAT","특허","보고서")</f>
        <v/>
      </c>
      <c r="V608" s="86">
        <f>COUNTIF($S$2:$S$976,"&lt;"&amp;S608)+(COUNTIF($S$2:$S$976,"="&amp;S608)+1)/2</f>
        <v/>
      </c>
      <c r="W608" s="73">
        <f>IF(C608="qwen",0,COUNTIFS($C$2:$C$976,"&lt;&gt;qwen",$S$2:$S$976,"&lt;"&amp;S608)+1)</f>
        <v/>
      </c>
      <c r="X608" s="73">
        <f>IF(C608="ministral",0,COUNTIFS($C$2:$C$976,"&lt;&gt;ministral",$S$2:$S$976,"&lt;"&amp;S608)+1)</f>
        <v/>
      </c>
      <c r="Y608" s="73">
        <f>IF(C608="gemma",0,COUNTIFS($C$2:$C$976,"&lt;&gt;gemma",$S$2:$S$976,"&lt;"&amp;S608)+1)</f>
        <v/>
      </c>
      <c r="Z608" s="87">
        <f>COUNTIFS($B$2:$B$976,B608,$C$2:$C$976,C608,$S$2:$S$976,"&lt;"&amp;S608)+1</f>
        <v/>
      </c>
      <c r="AA608" s="88">
        <f>ABS(S608-SUMPRODUCT(('05B_가정검정'!$A$5:$A$19=B608)*('05B_가정검정'!$B$5:$B$19=C608)*'05B_가정검정'!$E$5:$E$19))</f>
        <v/>
      </c>
      <c r="AB608" s="88">
        <f>S608-AVERAGEIFS($S$2:$S$976,$B$2:$B$976,B608,$C$2:$C$976,C608)</f>
        <v/>
      </c>
    </row>
    <row r="609" ht="15" customHeight="1" s="68">
      <c r="A609" s="83" t="inlineStr">
        <is>
          <t>RPT-10</t>
        </is>
      </c>
      <c r="B609" s="83" t="inlineStr">
        <is>
          <t>gemini</t>
        </is>
      </c>
      <c r="C609" s="83" t="inlineStr">
        <is>
          <t>ministral</t>
        </is>
      </c>
      <c r="D609" s="84" t="n">
        <v>0.269905533063428</v>
      </c>
      <c r="E609" s="84" t="n">
        <v>0.250825082508251</v>
      </c>
      <c r="F609" s="84" t="n">
        <v>0.0930232558139535</v>
      </c>
      <c r="G609" s="84" t="n">
        <v>0.191419141914191</v>
      </c>
      <c r="H609" s="84" t="n">
        <v>0.157170085167441</v>
      </c>
      <c r="I609" s="84" t="n">
        <v>0.215919692374264</v>
      </c>
      <c r="J609" s="84" t="n">
        <v>0.725993925237024</v>
      </c>
      <c r="K609" s="84" t="n">
        <v>0.759674582883152</v>
      </c>
      <c r="L609" s="84" t="n">
        <v>0.887979503128585</v>
      </c>
      <c r="M609" s="84" t="n">
        <v>0.233734939759036</v>
      </c>
      <c r="N609" s="84" t="n">
        <v>0.220238095238095</v>
      </c>
      <c r="O609" s="84" t="n">
        <v>0.526315789473684</v>
      </c>
      <c r="P609" s="85">
        <f>AVERAGE(D609:I609)</f>
        <v/>
      </c>
      <c r="Q609" s="85">
        <f>AVERAGE(J609:L609)</f>
        <v/>
      </c>
      <c r="R609" s="85">
        <f>AVERAGE(M609:O609)</f>
        <v/>
      </c>
      <c r="S609" s="85">
        <f>'02_지표정의'!$C$22*P609+'02_지표정의'!$C$23*Q609+'02_지표정의'!$C$24*R609</f>
        <v/>
      </c>
      <c r="T609" s="73">
        <f>IF(OR(AND(B609="gemini",C609="gemma"),AND(B609="qwen3_6",C609="qwen"),AND(B609="mistral",C609="ministral")),1,0)</f>
        <v/>
      </c>
      <c r="U609" s="73">
        <f>IF(LEFT(A609,3)="PAT","특허","보고서")</f>
        <v/>
      </c>
      <c r="V609" s="86">
        <f>COUNTIF($S$2:$S$976,"&lt;"&amp;S609)+(COUNTIF($S$2:$S$976,"="&amp;S609)+1)/2</f>
        <v/>
      </c>
      <c r="W609" s="73">
        <f>IF(C609="qwen",0,COUNTIFS($C$2:$C$976,"&lt;&gt;qwen",$S$2:$S$976,"&lt;"&amp;S609)+1)</f>
        <v/>
      </c>
      <c r="X609" s="73">
        <f>IF(C609="ministral",0,COUNTIFS($C$2:$C$976,"&lt;&gt;ministral",$S$2:$S$976,"&lt;"&amp;S609)+1)</f>
        <v/>
      </c>
      <c r="Y609" s="73">
        <f>IF(C609="gemma",0,COUNTIFS($C$2:$C$976,"&lt;&gt;gemma",$S$2:$S$976,"&lt;"&amp;S609)+1)</f>
        <v/>
      </c>
      <c r="Z609" s="87">
        <f>COUNTIFS($B$2:$B$976,B609,$C$2:$C$976,C609,$S$2:$S$976,"&lt;"&amp;S609)+1</f>
        <v/>
      </c>
      <c r="AA609" s="88">
        <f>ABS(S609-SUMPRODUCT(('05B_가정검정'!$A$5:$A$19=B609)*('05B_가정검정'!$B$5:$B$19=C609)*'05B_가정검정'!$E$5:$E$19))</f>
        <v/>
      </c>
      <c r="AB609" s="88">
        <f>S609-AVERAGEIFS($S$2:$S$976,$B$2:$B$976,B609,$C$2:$C$976,C609)</f>
        <v/>
      </c>
    </row>
    <row r="610" ht="15" customHeight="1" s="68">
      <c r="A610" s="83" t="inlineStr">
        <is>
          <t>RPT-10</t>
        </is>
      </c>
      <c r="B610" s="83" t="inlineStr">
        <is>
          <t>gemini</t>
        </is>
      </c>
      <c r="C610" s="83" t="inlineStr">
        <is>
          <t>qwen</t>
        </is>
      </c>
      <c r="D610" s="84" t="n">
        <v>0.288973384030418</v>
      </c>
      <c r="E610" s="84" t="n">
        <v>0.406926406926407</v>
      </c>
      <c r="F610" s="84" t="n">
        <v>0.174672489082969</v>
      </c>
      <c r="G610" s="84" t="n">
        <v>0.285714285714286</v>
      </c>
      <c r="H610" s="84" t="n">
        <v>0.257207700857781</v>
      </c>
      <c r="I610" s="84" t="n">
        <v>0.36806612012608</v>
      </c>
      <c r="J610" s="84" t="n">
        <v>0.776361966179944</v>
      </c>
      <c r="K610" s="84" t="n">
        <v>0.788377337547661</v>
      </c>
      <c r="L610" s="84" t="n">
        <v>0.903040041688668</v>
      </c>
      <c r="M610" s="84" t="n">
        <v>0.492385786802031</v>
      </c>
      <c r="N610" s="84" t="n">
        <v>0.495495495495496</v>
      </c>
      <c r="O610" s="84" t="n">
        <v>1</v>
      </c>
      <c r="P610" s="85">
        <f>AVERAGE(D610:I610)</f>
        <v/>
      </c>
      <c r="Q610" s="85">
        <f>AVERAGE(J610:L610)</f>
        <v/>
      </c>
      <c r="R610" s="85">
        <f>AVERAGE(M610:O610)</f>
        <v/>
      </c>
      <c r="S610" s="85">
        <f>'02_지표정의'!$C$22*P610+'02_지표정의'!$C$23*Q610+'02_지표정의'!$C$24*R610</f>
        <v/>
      </c>
      <c r="T610" s="73">
        <f>IF(OR(AND(B610="gemini",C610="gemma"),AND(B610="qwen3_6",C610="qwen"),AND(B610="mistral",C610="ministral")),1,0)</f>
        <v/>
      </c>
      <c r="U610" s="73">
        <f>IF(LEFT(A610,3)="PAT","특허","보고서")</f>
        <v/>
      </c>
      <c r="V610" s="86">
        <f>COUNTIF($S$2:$S$976,"&lt;"&amp;S610)+(COUNTIF($S$2:$S$976,"="&amp;S610)+1)/2</f>
        <v/>
      </c>
      <c r="W610" s="73">
        <f>IF(C610="qwen",0,COUNTIFS($C$2:$C$976,"&lt;&gt;qwen",$S$2:$S$976,"&lt;"&amp;S610)+1)</f>
        <v/>
      </c>
      <c r="X610" s="73">
        <f>IF(C610="ministral",0,COUNTIFS($C$2:$C$976,"&lt;&gt;ministral",$S$2:$S$976,"&lt;"&amp;S610)+1)</f>
        <v/>
      </c>
      <c r="Y610" s="73">
        <f>IF(C610="gemma",0,COUNTIFS($C$2:$C$976,"&lt;&gt;gemma",$S$2:$S$976,"&lt;"&amp;S610)+1)</f>
        <v/>
      </c>
      <c r="Z610" s="87">
        <f>COUNTIFS($B$2:$B$976,B610,$C$2:$C$976,C610,$S$2:$S$976,"&lt;"&amp;S610)+1</f>
        <v/>
      </c>
      <c r="AA610" s="88">
        <f>ABS(S610-SUMPRODUCT(('05B_가정검정'!$A$5:$A$19=B610)*('05B_가정검정'!$B$5:$B$19=C610)*'05B_가정검정'!$E$5:$E$19))</f>
        <v/>
      </c>
      <c r="AB610" s="88">
        <f>S610-AVERAGEIFS($S$2:$S$976,$B$2:$B$976,B610,$C$2:$C$976,C610)</f>
        <v/>
      </c>
    </row>
    <row r="611" ht="15" customHeight="1" s="68">
      <c r="A611" s="83" t="inlineStr">
        <is>
          <t>RPT-10</t>
        </is>
      </c>
      <c r="B611" s="83" t="inlineStr">
        <is>
          <t>mistral</t>
        </is>
      </c>
      <c r="C611" s="83" t="inlineStr">
        <is>
          <t>gemma</t>
        </is>
      </c>
      <c r="D611" s="84" t="n">
        <v>0.253450439146801</v>
      </c>
      <c r="E611" s="84" t="n">
        <v>0.346666666666667</v>
      </c>
      <c r="F611" s="84" t="n">
        <v>0.174496644295302</v>
      </c>
      <c r="G611" s="84" t="n">
        <v>0.233333333333333</v>
      </c>
      <c r="H611" s="84" t="n">
        <v>0.24267776772224</v>
      </c>
      <c r="I611" s="84" t="n">
        <v>0.284834840464394</v>
      </c>
      <c r="J611" s="84" t="n">
        <v>0.624782636661251</v>
      </c>
      <c r="K611" s="84" t="n">
        <v>0.56708093150117</v>
      </c>
      <c r="L611" s="84" t="n">
        <v>0.728925997212946</v>
      </c>
      <c r="M611" s="84" t="n">
        <v>0.714285714285714</v>
      </c>
      <c r="N611" s="84" t="n">
        <v>0.614285714285714</v>
      </c>
      <c r="O611" s="84" t="n">
        <v>1</v>
      </c>
      <c r="P611" s="85">
        <f>AVERAGE(D611:I611)</f>
        <v/>
      </c>
      <c r="Q611" s="85">
        <f>AVERAGE(J611:L611)</f>
        <v/>
      </c>
      <c r="R611" s="85">
        <f>AVERAGE(M611:O611)</f>
        <v/>
      </c>
      <c r="S611" s="85">
        <f>'02_지표정의'!$C$22*P611+'02_지표정의'!$C$23*Q611+'02_지표정의'!$C$24*R611</f>
        <v/>
      </c>
      <c r="T611" s="73">
        <f>IF(OR(AND(B611="gemini",C611="gemma"),AND(B611="qwen3_6",C611="qwen"),AND(B611="mistral",C611="ministral")),1,0)</f>
        <v/>
      </c>
      <c r="U611" s="73">
        <f>IF(LEFT(A611,3)="PAT","특허","보고서")</f>
        <v/>
      </c>
      <c r="V611" s="86">
        <f>COUNTIF($S$2:$S$976,"&lt;"&amp;S611)+(COUNTIF($S$2:$S$976,"="&amp;S611)+1)/2</f>
        <v/>
      </c>
      <c r="W611" s="73">
        <f>IF(C611="qwen",0,COUNTIFS($C$2:$C$976,"&lt;&gt;qwen",$S$2:$S$976,"&lt;"&amp;S611)+1)</f>
        <v/>
      </c>
      <c r="X611" s="73">
        <f>IF(C611="ministral",0,COUNTIFS($C$2:$C$976,"&lt;&gt;ministral",$S$2:$S$976,"&lt;"&amp;S611)+1)</f>
        <v/>
      </c>
      <c r="Y611" s="73">
        <f>IF(C611="gemma",0,COUNTIFS($C$2:$C$976,"&lt;&gt;gemma",$S$2:$S$976,"&lt;"&amp;S611)+1)</f>
        <v/>
      </c>
      <c r="Z611" s="87">
        <f>COUNTIFS($B$2:$B$976,B611,$C$2:$C$976,C611,$S$2:$S$976,"&lt;"&amp;S611)+1</f>
        <v/>
      </c>
      <c r="AA611" s="88">
        <f>ABS(S611-SUMPRODUCT(('05B_가정검정'!$A$5:$A$19=B611)*('05B_가정검정'!$B$5:$B$19=C611)*'05B_가정검정'!$E$5:$E$19))</f>
        <v/>
      </c>
      <c r="AB611" s="88">
        <f>S611-AVERAGEIFS($S$2:$S$976,$B$2:$B$976,B611,$C$2:$C$976,C611)</f>
        <v/>
      </c>
    </row>
    <row r="612" ht="15" customHeight="1" s="68">
      <c r="A612" s="83" t="inlineStr">
        <is>
          <t>RPT-10</t>
        </is>
      </c>
      <c r="B612" s="83" t="inlineStr">
        <is>
          <t>mistral</t>
        </is>
      </c>
      <c r="C612" s="83" t="inlineStr">
        <is>
          <t>ministral</t>
        </is>
      </c>
      <c r="D612" s="84" t="n">
        <v>0.319424460431655</v>
      </c>
      <c r="E612" s="84" t="n">
        <v>0.273504273504274</v>
      </c>
      <c r="F612" s="84" t="n">
        <v>0.171919770773639</v>
      </c>
      <c r="G612" s="84" t="n">
        <v>0.199430199430199</v>
      </c>
      <c r="H612" s="84" t="n">
        <v>0.166067887775376</v>
      </c>
      <c r="I612" s="84" t="n">
        <v>0.235349998037089</v>
      </c>
      <c r="J612" s="84" t="n">
        <v>0.62455610723104</v>
      </c>
      <c r="K612" s="84" t="n">
        <v>0.653516474399621</v>
      </c>
      <c r="L612" s="84" t="n">
        <v>0.778636475490319</v>
      </c>
      <c r="M612" s="84" t="n">
        <v>0.27710843373494</v>
      </c>
      <c r="N612" s="84" t="n">
        <v>0.178571428571429</v>
      </c>
      <c r="O612" s="84" t="n">
        <v>0.526315789473684</v>
      </c>
      <c r="P612" s="85">
        <f>AVERAGE(D612:I612)</f>
        <v/>
      </c>
      <c r="Q612" s="85">
        <f>AVERAGE(J612:L612)</f>
        <v/>
      </c>
      <c r="R612" s="85">
        <f>AVERAGE(M612:O612)</f>
        <v/>
      </c>
      <c r="S612" s="85">
        <f>'02_지표정의'!$C$22*P612+'02_지표정의'!$C$23*Q612+'02_지표정의'!$C$24*R612</f>
        <v/>
      </c>
      <c r="T612" s="73">
        <f>IF(OR(AND(B612="gemini",C612="gemma"),AND(B612="qwen3_6",C612="qwen"),AND(B612="mistral",C612="ministral")),1,0)</f>
        <v/>
      </c>
      <c r="U612" s="73">
        <f>IF(LEFT(A612,3)="PAT","특허","보고서")</f>
        <v/>
      </c>
      <c r="V612" s="86">
        <f>COUNTIF($S$2:$S$976,"&lt;"&amp;S612)+(COUNTIF($S$2:$S$976,"="&amp;S612)+1)/2</f>
        <v/>
      </c>
      <c r="W612" s="73">
        <f>IF(C612="qwen",0,COUNTIFS($C$2:$C$976,"&lt;&gt;qwen",$S$2:$S$976,"&lt;"&amp;S612)+1)</f>
        <v/>
      </c>
      <c r="X612" s="73">
        <f>IF(C612="ministral",0,COUNTIFS($C$2:$C$976,"&lt;&gt;ministral",$S$2:$S$976,"&lt;"&amp;S612)+1)</f>
        <v/>
      </c>
      <c r="Y612" s="73">
        <f>IF(C612="gemma",0,COUNTIFS($C$2:$C$976,"&lt;&gt;gemma",$S$2:$S$976,"&lt;"&amp;S612)+1)</f>
        <v/>
      </c>
      <c r="Z612" s="87">
        <f>COUNTIFS($B$2:$B$976,B612,$C$2:$C$976,C612,$S$2:$S$976,"&lt;"&amp;S612)+1</f>
        <v/>
      </c>
      <c r="AA612" s="88">
        <f>ABS(S612-SUMPRODUCT(('05B_가정검정'!$A$5:$A$19=B612)*('05B_가정검정'!$B$5:$B$19=C612)*'05B_가정검정'!$E$5:$E$19))</f>
        <v/>
      </c>
      <c r="AB612" s="88">
        <f>S612-AVERAGEIFS($S$2:$S$976,$B$2:$B$976,B612,$C$2:$C$976,C612)</f>
        <v/>
      </c>
    </row>
    <row r="613" ht="15" customHeight="1" s="68">
      <c r="A613" s="83" t="inlineStr">
        <is>
          <t>RPT-10</t>
        </is>
      </c>
      <c r="B613" s="83" t="inlineStr">
        <is>
          <t>mistral</t>
        </is>
      </c>
      <c r="C613" s="83" t="inlineStr">
        <is>
          <t>qwen</t>
        </is>
      </c>
      <c r="D613" s="84" t="n">
        <v>0.293405114401077</v>
      </c>
      <c r="E613" s="84" t="n">
        <v>0.451612903225806</v>
      </c>
      <c r="F613" s="84" t="n">
        <v>0.252707581227437</v>
      </c>
      <c r="G613" s="84" t="n">
        <v>0.301075268817204</v>
      </c>
      <c r="H613" s="84" t="n">
        <v>0.249932129260022</v>
      </c>
      <c r="I613" s="84" t="n">
        <v>0.391633890529989</v>
      </c>
      <c r="J613" s="84" t="n">
        <v>0.687028318820848</v>
      </c>
      <c r="K613" s="84" t="n">
        <v>0.616568065304663</v>
      </c>
      <c r="L613" s="84" t="n">
        <v>0.744300099495158</v>
      </c>
      <c r="M613" s="84" t="n">
        <v>0.522842639593909</v>
      </c>
      <c r="N613" s="84" t="n">
        <v>0.387387387387387</v>
      </c>
      <c r="O613" s="84" t="n">
        <v>1</v>
      </c>
      <c r="P613" s="85">
        <f>AVERAGE(D613:I613)</f>
        <v/>
      </c>
      <c r="Q613" s="85">
        <f>AVERAGE(J613:L613)</f>
        <v/>
      </c>
      <c r="R613" s="85">
        <f>AVERAGE(M613:O613)</f>
        <v/>
      </c>
      <c r="S613" s="85">
        <f>'02_지표정의'!$C$22*P613+'02_지표정의'!$C$23*Q613+'02_지표정의'!$C$24*R613</f>
        <v/>
      </c>
      <c r="T613" s="73">
        <f>IF(OR(AND(B613="gemini",C613="gemma"),AND(B613="qwen3_6",C613="qwen"),AND(B613="mistral",C613="ministral")),1,0)</f>
        <v/>
      </c>
      <c r="U613" s="73">
        <f>IF(LEFT(A613,3)="PAT","특허","보고서")</f>
        <v/>
      </c>
      <c r="V613" s="86">
        <f>COUNTIF($S$2:$S$976,"&lt;"&amp;S613)+(COUNTIF($S$2:$S$976,"="&amp;S613)+1)/2</f>
        <v/>
      </c>
      <c r="W613" s="73">
        <f>IF(C613="qwen",0,COUNTIFS($C$2:$C$976,"&lt;&gt;qwen",$S$2:$S$976,"&lt;"&amp;S613)+1)</f>
        <v/>
      </c>
      <c r="X613" s="73">
        <f>IF(C613="ministral",0,COUNTIFS($C$2:$C$976,"&lt;&gt;ministral",$S$2:$S$976,"&lt;"&amp;S613)+1)</f>
        <v/>
      </c>
      <c r="Y613" s="73">
        <f>IF(C613="gemma",0,COUNTIFS($C$2:$C$976,"&lt;&gt;gemma",$S$2:$S$976,"&lt;"&amp;S613)+1)</f>
        <v/>
      </c>
      <c r="Z613" s="87">
        <f>COUNTIFS($B$2:$B$976,B613,$C$2:$C$976,C613,$S$2:$S$976,"&lt;"&amp;S613)+1</f>
        <v/>
      </c>
      <c r="AA613" s="88">
        <f>ABS(S613-SUMPRODUCT(('05B_가정검정'!$A$5:$A$19=B613)*('05B_가정검정'!$B$5:$B$19=C613)*'05B_가정검정'!$E$5:$E$19))</f>
        <v/>
      </c>
      <c r="AB613" s="88">
        <f>S613-AVERAGEIFS($S$2:$S$976,$B$2:$B$976,B613,$C$2:$C$976,C613)</f>
        <v/>
      </c>
    </row>
    <row r="614" ht="15" customHeight="1" s="68">
      <c r="A614" s="83" t="inlineStr">
        <is>
          <t>RPT-10</t>
        </is>
      </c>
      <c r="B614" s="83" t="inlineStr">
        <is>
          <t>qwen3_6</t>
        </is>
      </c>
      <c r="C614" s="83" t="inlineStr">
        <is>
          <t>gemma</t>
        </is>
      </c>
      <c r="D614" s="84" t="n">
        <v>0.258992805755396</v>
      </c>
      <c r="E614" s="84" t="n">
        <v>0.372990353697749</v>
      </c>
      <c r="F614" s="84" t="n">
        <v>0.194174757281553</v>
      </c>
      <c r="G614" s="84" t="n">
        <v>0.237942122186495</v>
      </c>
      <c r="H614" s="84" t="n">
        <v>0.376896024199074</v>
      </c>
      <c r="I614" s="84" t="n">
        <v>0.264487105936313</v>
      </c>
      <c r="J614" s="84" t="n">
        <v>0.728120294758741</v>
      </c>
      <c r="K614" s="84" t="n">
        <v>0.653578669122856</v>
      </c>
      <c r="L614" s="84" t="n">
        <v>0.8283238146716581</v>
      </c>
      <c r="M614" s="84" t="n">
        <v>0.659863945578231</v>
      </c>
      <c r="N614" s="84" t="n">
        <v>0.785714285714286</v>
      </c>
      <c r="O614" s="84" t="n">
        <v>1</v>
      </c>
      <c r="P614" s="85">
        <f>AVERAGE(D614:I614)</f>
        <v/>
      </c>
      <c r="Q614" s="85">
        <f>AVERAGE(J614:L614)</f>
        <v/>
      </c>
      <c r="R614" s="85">
        <f>AVERAGE(M614:O614)</f>
        <v/>
      </c>
      <c r="S614" s="85">
        <f>'02_지표정의'!$C$22*P614+'02_지표정의'!$C$23*Q614+'02_지표정의'!$C$24*R614</f>
        <v/>
      </c>
      <c r="T614" s="73">
        <f>IF(OR(AND(B614="gemini",C614="gemma"),AND(B614="qwen3_6",C614="qwen"),AND(B614="mistral",C614="ministral")),1,0)</f>
        <v/>
      </c>
      <c r="U614" s="73">
        <f>IF(LEFT(A614,3)="PAT","특허","보고서")</f>
        <v/>
      </c>
      <c r="V614" s="86">
        <f>COUNTIF($S$2:$S$976,"&lt;"&amp;S614)+(COUNTIF($S$2:$S$976,"="&amp;S614)+1)/2</f>
        <v/>
      </c>
      <c r="W614" s="73">
        <f>IF(C614="qwen",0,COUNTIFS($C$2:$C$976,"&lt;&gt;qwen",$S$2:$S$976,"&lt;"&amp;S614)+1)</f>
        <v/>
      </c>
      <c r="X614" s="73">
        <f>IF(C614="ministral",0,COUNTIFS($C$2:$C$976,"&lt;&gt;ministral",$S$2:$S$976,"&lt;"&amp;S614)+1)</f>
        <v/>
      </c>
      <c r="Y614" s="73">
        <f>IF(C614="gemma",0,COUNTIFS($C$2:$C$976,"&lt;&gt;gemma",$S$2:$S$976,"&lt;"&amp;S614)+1)</f>
        <v/>
      </c>
      <c r="Z614" s="87">
        <f>COUNTIFS($B$2:$B$976,B614,$C$2:$C$976,C614,$S$2:$S$976,"&lt;"&amp;S614)+1</f>
        <v/>
      </c>
      <c r="AA614" s="88">
        <f>ABS(S614-SUMPRODUCT(('05B_가정검정'!$A$5:$A$19=B614)*('05B_가정검정'!$B$5:$B$19=C614)*'05B_가정검정'!$E$5:$E$19))</f>
        <v/>
      </c>
      <c r="AB614" s="88">
        <f>S614-AVERAGEIFS($S$2:$S$976,$B$2:$B$976,B614,$C$2:$C$976,C614)</f>
        <v/>
      </c>
    </row>
    <row r="615" ht="15" customHeight="1" s="68">
      <c r="A615" s="83" t="inlineStr">
        <is>
          <t>RPT-10</t>
        </is>
      </c>
      <c r="B615" s="83" t="inlineStr">
        <is>
          <t>qwen3_6</t>
        </is>
      </c>
      <c r="C615" s="83" t="inlineStr">
        <is>
          <t>ministral</t>
        </is>
      </c>
      <c r="D615" s="84" t="n">
        <v>0.25947187141217</v>
      </c>
      <c r="E615" s="84" t="n">
        <v>0.287292817679558</v>
      </c>
      <c r="F615" s="84" t="n">
        <v>0.155555555555556</v>
      </c>
      <c r="G615" s="84" t="n">
        <v>0.198895027624309</v>
      </c>
      <c r="H615" s="84" t="n">
        <v>0.206853468084164</v>
      </c>
      <c r="I615" s="84" t="n">
        <v>0.206858776923985</v>
      </c>
      <c r="J615" s="84" t="n">
        <v>0.7023116685562411</v>
      </c>
      <c r="K615" s="84" t="n">
        <v>0.705947730397895</v>
      </c>
      <c r="L615" s="84" t="n">
        <v>0.85496279012625</v>
      </c>
      <c r="M615" s="84" t="n">
        <v>0.233734939759036</v>
      </c>
      <c r="N615" s="84" t="n">
        <v>0.220238095238095</v>
      </c>
      <c r="O615" s="84" t="n">
        <v>0.526315789473684</v>
      </c>
      <c r="P615" s="85">
        <f>AVERAGE(D615:I615)</f>
        <v/>
      </c>
      <c r="Q615" s="85">
        <f>AVERAGE(J615:L615)</f>
        <v/>
      </c>
      <c r="R615" s="85">
        <f>AVERAGE(M615:O615)</f>
        <v/>
      </c>
      <c r="S615" s="85">
        <f>'02_지표정의'!$C$22*P615+'02_지표정의'!$C$23*Q615+'02_지표정의'!$C$24*R615</f>
        <v/>
      </c>
      <c r="T615" s="73">
        <f>IF(OR(AND(B615="gemini",C615="gemma"),AND(B615="qwen3_6",C615="qwen"),AND(B615="mistral",C615="ministral")),1,0)</f>
        <v/>
      </c>
      <c r="U615" s="73">
        <f>IF(LEFT(A615,3)="PAT","특허","보고서")</f>
        <v/>
      </c>
      <c r="V615" s="86">
        <f>COUNTIF($S$2:$S$976,"&lt;"&amp;S615)+(COUNTIF($S$2:$S$976,"="&amp;S615)+1)/2</f>
        <v/>
      </c>
      <c r="W615" s="73">
        <f>IF(C615="qwen",0,COUNTIFS($C$2:$C$976,"&lt;&gt;qwen",$S$2:$S$976,"&lt;"&amp;S615)+1)</f>
        <v/>
      </c>
      <c r="X615" s="73">
        <f>IF(C615="ministral",0,COUNTIFS($C$2:$C$976,"&lt;&gt;ministral",$S$2:$S$976,"&lt;"&amp;S615)+1)</f>
        <v/>
      </c>
      <c r="Y615" s="73">
        <f>IF(C615="gemma",0,COUNTIFS($C$2:$C$976,"&lt;&gt;gemma",$S$2:$S$976,"&lt;"&amp;S615)+1)</f>
        <v/>
      </c>
      <c r="Z615" s="87">
        <f>COUNTIFS($B$2:$B$976,B615,$C$2:$C$976,C615,$S$2:$S$976,"&lt;"&amp;S615)+1</f>
        <v/>
      </c>
      <c r="AA615" s="88">
        <f>ABS(S615-SUMPRODUCT(('05B_가정검정'!$A$5:$A$19=B615)*('05B_가정검정'!$B$5:$B$19=C615)*'05B_가정검정'!$E$5:$E$19))</f>
        <v/>
      </c>
      <c r="AB615" s="88">
        <f>S615-AVERAGEIFS($S$2:$S$976,$B$2:$B$976,B615,$C$2:$C$976,C615)</f>
        <v/>
      </c>
    </row>
    <row r="616" ht="15" customHeight="1" s="68">
      <c r="A616" s="83" t="inlineStr">
        <is>
          <t>RPT-10</t>
        </is>
      </c>
      <c r="B616" s="83" t="inlineStr">
        <is>
          <t>qwen3_6</t>
        </is>
      </c>
      <c r="C616" s="83" t="inlineStr">
        <is>
          <t>qwen</t>
        </is>
      </c>
      <c r="D616" s="84" t="n">
        <v>0.276387377584331</v>
      </c>
      <c r="E616" s="84" t="n">
        <v>0.448275862068966</v>
      </c>
      <c r="F616" s="84" t="n">
        <v>0.208333333333333</v>
      </c>
      <c r="G616" s="84" t="n">
        <v>0.282758620689655</v>
      </c>
      <c r="H616" s="84" t="n">
        <v>0.380773824468722</v>
      </c>
      <c r="I616" s="84" t="n">
        <v>0.348148649189513</v>
      </c>
      <c r="J616" s="84" t="n">
        <v>0.740822847518314</v>
      </c>
      <c r="K616" s="84" t="n">
        <v>0.725621269312158</v>
      </c>
      <c r="L616" s="84" t="n">
        <v>0.895992461771791</v>
      </c>
      <c r="M616" s="84" t="n">
        <v>0.492385786802031</v>
      </c>
      <c r="N616" s="84" t="n">
        <v>0.495495495495496</v>
      </c>
      <c r="O616" s="84" t="n">
        <v>1</v>
      </c>
      <c r="P616" s="85">
        <f>AVERAGE(D616:I616)</f>
        <v/>
      </c>
      <c r="Q616" s="85">
        <f>AVERAGE(J616:L616)</f>
        <v/>
      </c>
      <c r="R616" s="85">
        <f>AVERAGE(M616:O616)</f>
        <v/>
      </c>
      <c r="S616" s="85">
        <f>'02_지표정의'!$C$22*P616+'02_지표정의'!$C$23*Q616+'02_지표정의'!$C$24*R616</f>
        <v/>
      </c>
      <c r="T616" s="73">
        <f>IF(OR(AND(B616="gemini",C616="gemma"),AND(B616="qwen3_6",C616="qwen"),AND(B616="mistral",C616="ministral")),1,0)</f>
        <v/>
      </c>
      <c r="U616" s="73">
        <f>IF(LEFT(A616,3)="PAT","특허","보고서")</f>
        <v/>
      </c>
      <c r="V616" s="86">
        <f>COUNTIF($S$2:$S$976,"&lt;"&amp;S616)+(COUNTIF($S$2:$S$976,"="&amp;S616)+1)/2</f>
        <v/>
      </c>
      <c r="W616" s="73">
        <f>IF(C616="qwen",0,COUNTIFS($C$2:$C$976,"&lt;&gt;qwen",$S$2:$S$976,"&lt;"&amp;S616)+1)</f>
        <v/>
      </c>
      <c r="X616" s="73">
        <f>IF(C616="ministral",0,COUNTIFS($C$2:$C$976,"&lt;&gt;ministral",$S$2:$S$976,"&lt;"&amp;S616)+1)</f>
        <v/>
      </c>
      <c r="Y616" s="73">
        <f>IF(C616="gemma",0,COUNTIFS($C$2:$C$976,"&lt;&gt;gemma",$S$2:$S$976,"&lt;"&amp;S616)+1)</f>
        <v/>
      </c>
      <c r="Z616" s="87">
        <f>COUNTIFS($B$2:$B$976,B616,$C$2:$C$976,C616,$S$2:$S$976,"&lt;"&amp;S616)+1</f>
        <v/>
      </c>
      <c r="AA616" s="88">
        <f>ABS(S616-SUMPRODUCT(('05B_가정검정'!$A$5:$A$19=B616)*('05B_가정검정'!$B$5:$B$19=C616)*'05B_가정검정'!$E$5:$E$19))</f>
        <v/>
      </c>
      <c r="AB616" s="88">
        <f>S616-AVERAGEIFS($S$2:$S$976,$B$2:$B$976,B616,$C$2:$C$976,C616)</f>
        <v/>
      </c>
    </row>
    <row r="617" ht="15" customHeight="1" s="68">
      <c r="A617" s="83" t="inlineStr">
        <is>
          <t>RPT-11</t>
        </is>
      </c>
      <c r="B617" s="83" t="inlineStr">
        <is>
          <t>chatgpt</t>
        </is>
      </c>
      <c r="C617" s="83" t="inlineStr">
        <is>
          <t>gemma</t>
        </is>
      </c>
      <c r="D617" s="84" t="n">
        <v>0.273141122913505</v>
      </c>
      <c r="E617" s="84" t="n">
        <v>0.364779874213837</v>
      </c>
      <c r="F617" s="84" t="n">
        <v>0.114649681528662</v>
      </c>
      <c r="G617" s="84" t="n">
        <v>0.314465408805031</v>
      </c>
      <c r="H617" s="84" t="n">
        <v>0.247291833374698</v>
      </c>
      <c r="I617" s="84" t="n">
        <v>0.286872869325635</v>
      </c>
      <c r="J617" s="84" t="n">
        <v>0.7212865129548</v>
      </c>
      <c r="K617" s="84" t="n">
        <v>0.699597889721142</v>
      </c>
      <c r="L617" s="84" t="n">
        <v>0.859522754949391</v>
      </c>
      <c r="M617" s="84" t="n">
        <v>0.515151515151515</v>
      </c>
      <c r="N617" s="84" t="n">
        <v>0.213483146067416</v>
      </c>
      <c r="O617" s="84" t="n">
        <v>1</v>
      </c>
      <c r="P617" s="85">
        <f>AVERAGE(D617:I617)</f>
        <v/>
      </c>
      <c r="Q617" s="85">
        <f>AVERAGE(J617:L617)</f>
        <v/>
      </c>
      <c r="R617" s="85">
        <f>AVERAGE(M617:O617)</f>
        <v/>
      </c>
      <c r="S617" s="85">
        <f>'02_지표정의'!$C$22*P617+'02_지표정의'!$C$23*Q617+'02_지표정의'!$C$24*R617</f>
        <v/>
      </c>
      <c r="T617" s="73">
        <f>IF(OR(AND(B617="gemini",C617="gemma"),AND(B617="qwen3_6",C617="qwen"),AND(B617="mistral",C617="ministral")),1,0)</f>
        <v/>
      </c>
      <c r="U617" s="73">
        <f>IF(LEFT(A617,3)="PAT","특허","보고서")</f>
        <v/>
      </c>
      <c r="V617" s="86">
        <f>COUNTIF($S$2:$S$976,"&lt;"&amp;S617)+(COUNTIF($S$2:$S$976,"="&amp;S617)+1)/2</f>
        <v/>
      </c>
      <c r="W617" s="73">
        <f>IF(C617="qwen",0,COUNTIFS($C$2:$C$976,"&lt;&gt;qwen",$S$2:$S$976,"&lt;"&amp;S617)+1)</f>
        <v/>
      </c>
      <c r="X617" s="73">
        <f>IF(C617="ministral",0,COUNTIFS($C$2:$C$976,"&lt;&gt;ministral",$S$2:$S$976,"&lt;"&amp;S617)+1)</f>
        <v/>
      </c>
      <c r="Y617" s="73">
        <f>IF(C617="gemma",0,COUNTIFS($C$2:$C$976,"&lt;&gt;gemma",$S$2:$S$976,"&lt;"&amp;S617)+1)</f>
        <v/>
      </c>
      <c r="Z617" s="87">
        <f>COUNTIFS($B$2:$B$976,B617,$C$2:$C$976,C617,$S$2:$S$976,"&lt;"&amp;S617)+1</f>
        <v/>
      </c>
      <c r="AA617" s="88">
        <f>ABS(S617-SUMPRODUCT(('05B_가정검정'!$A$5:$A$19=B617)*('05B_가정검정'!$B$5:$B$19=C617)*'05B_가정검정'!$E$5:$E$19))</f>
        <v/>
      </c>
      <c r="AB617" s="88">
        <f>S617-AVERAGEIFS($S$2:$S$976,$B$2:$B$976,B617,$C$2:$C$976,C617)</f>
        <v/>
      </c>
    </row>
    <row r="618" ht="15" customHeight="1" s="68">
      <c r="A618" s="83" t="inlineStr">
        <is>
          <t>RPT-11</t>
        </is>
      </c>
      <c r="B618" s="83" t="inlineStr">
        <is>
          <t>chatgpt</t>
        </is>
      </c>
      <c r="C618" s="83" t="inlineStr">
        <is>
          <t>ministral</t>
        </is>
      </c>
      <c r="D618" s="84" t="n">
        <v>0.259818731117825</v>
      </c>
      <c r="E618" s="84" t="n">
        <v>0.301675977653631</v>
      </c>
      <c r="F618" s="84" t="n">
        <v>0.169491525423729</v>
      </c>
      <c r="G618" s="84" t="n">
        <v>0.279329608938548</v>
      </c>
      <c r="H618" s="84" t="n">
        <v>0.155529875885914</v>
      </c>
      <c r="I618" s="84" t="n">
        <v>0.366980505422137</v>
      </c>
      <c r="J618" s="84" t="n">
        <v>0.729922371425221</v>
      </c>
      <c r="K618" s="84" t="n">
        <v>0.693283870359846</v>
      </c>
      <c r="L618" s="84" t="n">
        <v>0.855594236918419</v>
      </c>
      <c r="M618" s="84" t="n">
        <v>0.433656957928803</v>
      </c>
      <c r="N618" s="84" t="n">
        <v>0</v>
      </c>
      <c r="O618" s="84" t="n">
        <v>0.6447368421052631</v>
      </c>
      <c r="P618" s="85">
        <f>AVERAGE(D618:I618)</f>
        <v/>
      </c>
      <c r="Q618" s="85">
        <f>AVERAGE(J618:L618)</f>
        <v/>
      </c>
      <c r="R618" s="85">
        <f>AVERAGE(M618:O618)</f>
        <v/>
      </c>
      <c r="S618" s="85">
        <f>'02_지표정의'!$C$22*P618+'02_지표정의'!$C$23*Q618+'02_지표정의'!$C$24*R618</f>
        <v/>
      </c>
      <c r="T618" s="73">
        <f>IF(OR(AND(B618="gemini",C618="gemma"),AND(B618="qwen3_6",C618="qwen"),AND(B618="mistral",C618="ministral")),1,0)</f>
        <v/>
      </c>
      <c r="U618" s="73">
        <f>IF(LEFT(A618,3)="PAT","특허","보고서")</f>
        <v/>
      </c>
      <c r="V618" s="86">
        <f>COUNTIF($S$2:$S$976,"&lt;"&amp;S618)+(COUNTIF($S$2:$S$976,"="&amp;S618)+1)/2</f>
        <v/>
      </c>
      <c r="W618" s="73">
        <f>IF(C618="qwen",0,COUNTIFS($C$2:$C$976,"&lt;&gt;qwen",$S$2:$S$976,"&lt;"&amp;S618)+1)</f>
        <v/>
      </c>
      <c r="X618" s="73">
        <f>IF(C618="ministral",0,COUNTIFS($C$2:$C$976,"&lt;&gt;ministral",$S$2:$S$976,"&lt;"&amp;S618)+1)</f>
        <v/>
      </c>
      <c r="Y618" s="73">
        <f>IF(C618="gemma",0,COUNTIFS($C$2:$C$976,"&lt;&gt;gemma",$S$2:$S$976,"&lt;"&amp;S618)+1)</f>
        <v/>
      </c>
      <c r="Z618" s="87">
        <f>COUNTIFS($B$2:$B$976,B618,$C$2:$C$976,C618,$S$2:$S$976,"&lt;"&amp;S618)+1</f>
        <v/>
      </c>
      <c r="AA618" s="88">
        <f>ABS(S618-SUMPRODUCT(('05B_가정검정'!$A$5:$A$19=B618)*('05B_가정검정'!$B$5:$B$19=C618)*'05B_가정검정'!$E$5:$E$19))</f>
        <v/>
      </c>
      <c r="AB618" s="88">
        <f>S618-AVERAGEIFS($S$2:$S$976,$B$2:$B$976,B618,$C$2:$C$976,C618)</f>
        <v/>
      </c>
    </row>
    <row r="619" ht="15" customHeight="1" s="68">
      <c r="A619" s="83" t="inlineStr">
        <is>
          <t>RPT-11</t>
        </is>
      </c>
      <c r="B619" s="83" t="inlineStr">
        <is>
          <t>chatgpt</t>
        </is>
      </c>
      <c r="C619" s="83" t="inlineStr">
        <is>
          <t>qwen</t>
        </is>
      </c>
      <c r="D619" s="84" t="n">
        <v>0.246268656716418</v>
      </c>
      <c r="E619" s="84" t="n">
        <v>0.421052631578947</v>
      </c>
      <c r="F619" s="84" t="n">
        <v>0.16793893129771</v>
      </c>
      <c r="G619" s="84" t="n">
        <v>0.345864661654135</v>
      </c>
      <c r="H619" s="84" t="n">
        <v>0.313097956198963</v>
      </c>
      <c r="I619" s="84" t="n">
        <v>0.337958224811233</v>
      </c>
      <c r="J619" s="84" t="n">
        <v>0.763429873584666</v>
      </c>
      <c r="K619" s="84" t="n">
        <v>0.73228410199525</v>
      </c>
      <c r="L619" s="84" t="n">
        <v>0.871419921952224</v>
      </c>
      <c r="M619" s="84" t="n">
        <v>0.515151515151515</v>
      </c>
      <c r="N619" s="84" t="n">
        <v>0.213483146067416</v>
      </c>
      <c r="O619" s="84" t="n">
        <v>1</v>
      </c>
      <c r="P619" s="85">
        <f>AVERAGE(D619:I619)</f>
        <v/>
      </c>
      <c r="Q619" s="85">
        <f>AVERAGE(J619:L619)</f>
        <v/>
      </c>
      <c r="R619" s="85">
        <f>AVERAGE(M619:O619)</f>
        <v/>
      </c>
      <c r="S619" s="85">
        <f>'02_지표정의'!$C$22*P619+'02_지표정의'!$C$23*Q619+'02_지표정의'!$C$24*R619</f>
        <v/>
      </c>
      <c r="T619" s="73">
        <f>IF(OR(AND(B619="gemini",C619="gemma"),AND(B619="qwen3_6",C619="qwen"),AND(B619="mistral",C619="ministral")),1,0)</f>
        <v/>
      </c>
      <c r="U619" s="73">
        <f>IF(LEFT(A619,3)="PAT","특허","보고서")</f>
        <v/>
      </c>
      <c r="V619" s="86">
        <f>COUNTIF($S$2:$S$976,"&lt;"&amp;S619)+(COUNTIF($S$2:$S$976,"="&amp;S619)+1)/2</f>
        <v/>
      </c>
      <c r="W619" s="73">
        <f>IF(C619="qwen",0,COUNTIFS($C$2:$C$976,"&lt;&gt;qwen",$S$2:$S$976,"&lt;"&amp;S619)+1)</f>
        <v/>
      </c>
      <c r="X619" s="73">
        <f>IF(C619="ministral",0,COUNTIFS($C$2:$C$976,"&lt;&gt;ministral",$S$2:$S$976,"&lt;"&amp;S619)+1)</f>
        <v/>
      </c>
      <c r="Y619" s="73">
        <f>IF(C619="gemma",0,COUNTIFS($C$2:$C$976,"&lt;&gt;gemma",$S$2:$S$976,"&lt;"&amp;S619)+1)</f>
        <v/>
      </c>
      <c r="Z619" s="87">
        <f>COUNTIFS($B$2:$B$976,B619,$C$2:$C$976,C619,$S$2:$S$976,"&lt;"&amp;S619)+1</f>
        <v/>
      </c>
      <c r="AA619" s="88">
        <f>ABS(S619-SUMPRODUCT(('05B_가정검정'!$A$5:$A$19=B619)*('05B_가정검정'!$B$5:$B$19=C619)*'05B_가정검정'!$E$5:$E$19))</f>
        <v/>
      </c>
      <c r="AB619" s="88">
        <f>S619-AVERAGEIFS($S$2:$S$976,$B$2:$B$976,B619,$C$2:$C$976,C619)</f>
        <v/>
      </c>
    </row>
    <row r="620" ht="15" customHeight="1" s="68">
      <c r="A620" s="83" t="inlineStr">
        <is>
          <t>RPT-11</t>
        </is>
      </c>
      <c r="B620" s="83" t="inlineStr">
        <is>
          <t>claude</t>
        </is>
      </c>
      <c r="C620" s="83" t="inlineStr">
        <is>
          <t>gemma</t>
        </is>
      </c>
      <c r="D620" s="84" t="n">
        <v>0.238928939237899</v>
      </c>
      <c r="E620" s="84" t="n">
        <v>0.334975369458128</v>
      </c>
      <c r="F620" s="84" t="n">
        <v>0.109452736318408</v>
      </c>
      <c r="G620" s="84" t="n">
        <v>0.266009852216749</v>
      </c>
      <c r="H620" s="84" t="n">
        <v>0.347931934414786</v>
      </c>
      <c r="I620" s="84" t="n">
        <v>0.219060419091621</v>
      </c>
      <c r="J620" s="84" t="n">
        <v>0.72386029088037</v>
      </c>
      <c r="K620" s="84" t="n">
        <v>0.66438718755786</v>
      </c>
      <c r="L620" s="84" t="n">
        <v>0.851313032936575</v>
      </c>
      <c r="M620" s="84" t="n">
        <v>0.765765765765766</v>
      </c>
      <c r="N620" s="84" t="n">
        <v>0.790322580645161</v>
      </c>
      <c r="O620" s="84" t="n">
        <v>1</v>
      </c>
      <c r="P620" s="85">
        <f>AVERAGE(D620:I620)</f>
        <v/>
      </c>
      <c r="Q620" s="85">
        <f>AVERAGE(J620:L620)</f>
        <v/>
      </c>
      <c r="R620" s="85">
        <f>AVERAGE(M620:O620)</f>
        <v/>
      </c>
      <c r="S620" s="85">
        <f>'02_지표정의'!$C$22*P620+'02_지표정의'!$C$23*Q620+'02_지표정의'!$C$24*R620</f>
        <v/>
      </c>
      <c r="T620" s="73">
        <f>IF(OR(AND(B620="gemini",C620="gemma"),AND(B620="qwen3_6",C620="qwen"),AND(B620="mistral",C620="ministral")),1,0)</f>
        <v/>
      </c>
      <c r="U620" s="73">
        <f>IF(LEFT(A620,3)="PAT","특허","보고서")</f>
        <v/>
      </c>
      <c r="V620" s="86">
        <f>COUNTIF($S$2:$S$976,"&lt;"&amp;S620)+(COUNTIF($S$2:$S$976,"="&amp;S620)+1)/2</f>
        <v/>
      </c>
      <c r="W620" s="73">
        <f>IF(C620="qwen",0,COUNTIFS($C$2:$C$976,"&lt;&gt;qwen",$S$2:$S$976,"&lt;"&amp;S620)+1)</f>
        <v/>
      </c>
      <c r="X620" s="73">
        <f>IF(C620="ministral",0,COUNTIFS($C$2:$C$976,"&lt;&gt;ministral",$S$2:$S$976,"&lt;"&amp;S620)+1)</f>
        <v/>
      </c>
      <c r="Y620" s="73">
        <f>IF(C620="gemma",0,COUNTIFS($C$2:$C$976,"&lt;&gt;gemma",$S$2:$S$976,"&lt;"&amp;S620)+1)</f>
        <v/>
      </c>
      <c r="Z620" s="87">
        <f>COUNTIFS($B$2:$B$976,B620,$C$2:$C$976,C620,$S$2:$S$976,"&lt;"&amp;S620)+1</f>
        <v/>
      </c>
      <c r="AA620" s="88">
        <f>ABS(S620-SUMPRODUCT(('05B_가정검정'!$A$5:$A$19=B620)*('05B_가정검정'!$B$5:$B$19=C620)*'05B_가정검정'!$E$5:$E$19))</f>
        <v/>
      </c>
      <c r="AB620" s="88">
        <f>S620-AVERAGEIFS($S$2:$S$976,$B$2:$B$976,B620,$C$2:$C$976,C620)</f>
        <v/>
      </c>
    </row>
    <row r="621" ht="15" customHeight="1" s="68">
      <c r="A621" s="83" t="inlineStr">
        <is>
          <t>RPT-11</t>
        </is>
      </c>
      <c r="B621" s="83" t="inlineStr">
        <is>
          <t>claude</t>
        </is>
      </c>
      <c r="C621" s="83" t="inlineStr">
        <is>
          <t>ministral</t>
        </is>
      </c>
      <c r="D621" s="84" t="n">
        <v>0.260780287474333</v>
      </c>
      <c r="E621" s="84" t="n">
        <v>0.260089686098655</v>
      </c>
      <c r="F621" s="84" t="n">
        <v>0.126696832579186</v>
      </c>
      <c r="G621" s="84" t="n">
        <v>0.224215246636771</v>
      </c>
      <c r="H621" s="84" t="n">
        <v>0.252251846727614</v>
      </c>
      <c r="I621" s="84" t="n">
        <v>0.332922662751081</v>
      </c>
      <c r="J621" s="84" t="n">
        <v>0.706135973309504</v>
      </c>
      <c r="K621" s="84" t="n">
        <v>0.690353492756927</v>
      </c>
      <c r="L621" s="84" t="n">
        <v>0.8230051492174461</v>
      </c>
      <c r="M621" s="84" t="n">
        <v>0.352750809061489</v>
      </c>
      <c r="N621" s="84" t="n">
        <v>0.26027397260274</v>
      </c>
      <c r="O621" s="84" t="n">
        <v>0.6447368421052631</v>
      </c>
      <c r="P621" s="85">
        <f>AVERAGE(D621:I621)</f>
        <v/>
      </c>
      <c r="Q621" s="85">
        <f>AVERAGE(J621:L621)</f>
        <v/>
      </c>
      <c r="R621" s="85">
        <f>AVERAGE(M621:O621)</f>
        <v/>
      </c>
      <c r="S621" s="85">
        <f>'02_지표정의'!$C$22*P621+'02_지표정의'!$C$23*Q621+'02_지표정의'!$C$24*R621</f>
        <v/>
      </c>
      <c r="T621" s="73">
        <f>IF(OR(AND(B621="gemini",C621="gemma"),AND(B621="qwen3_6",C621="qwen"),AND(B621="mistral",C621="ministral")),1,0)</f>
        <v/>
      </c>
      <c r="U621" s="73">
        <f>IF(LEFT(A621,3)="PAT","특허","보고서")</f>
        <v/>
      </c>
      <c r="V621" s="86">
        <f>COUNTIF($S$2:$S$976,"&lt;"&amp;S621)+(COUNTIF($S$2:$S$976,"="&amp;S621)+1)/2</f>
        <v/>
      </c>
      <c r="W621" s="73">
        <f>IF(C621="qwen",0,COUNTIFS($C$2:$C$976,"&lt;&gt;qwen",$S$2:$S$976,"&lt;"&amp;S621)+1)</f>
        <v/>
      </c>
      <c r="X621" s="73">
        <f>IF(C621="ministral",0,COUNTIFS($C$2:$C$976,"&lt;&gt;ministral",$S$2:$S$976,"&lt;"&amp;S621)+1)</f>
        <v/>
      </c>
      <c r="Y621" s="73">
        <f>IF(C621="gemma",0,COUNTIFS($C$2:$C$976,"&lt;&gt;gemma",$S$2:$S$976,"&lt;"&amp;S621)+1)</f>
        <v/>
      </c>
      <c r="Z621" s="87">
        <f>COUNTIFS($B$2:$B$976,B621,$C$2:$C$976,C621,$S$2:$S$976,"&lt;"&amp;S621)+1</f>
        <v/>
      </c>
      <c r="AA621" s="88">
        <f>ABS(S621-SUMPRODUCT(('05B_가정검정'!$A$5:$A$19=B621)*('05B_가정검정'!$B$5:$B$19=C621)*'05B_가정검정'!$E$5:$E$19))</f>
        <v/>
      </c>
      <c r="AB621" s="88">
        <f>S621-AVERAGEIFS($S$2:$S$976,$B$2:$B$976,B621,$C$2:$C$976,C621)</f>
        <v/>
      </c>
    </row>
    <row r="622" ht="15" customHeight="1" s="68">
      <c r="A622" s="83" t="inlineStr">
        <is>
          <t>RPT-11</t>
        </is>
      </c>
      <c r="B622" s="83" t="inlineStr">
        <is>
          <t>claude</t>
        </is>
      </c>
      <c r="C622" s="83" t="inlineStr">
        <is>
          <t>qwen</t>
        </is>
      </c>
      <c r="D622" s="84" t="n">
        <v>0.226415094339623</v>
      </c>
      <c r="E622" s="84" t="n">
        <v>0.395480225988701</v>
      </c>
      <c r="F622" s="84" t="n">
        <v>0.16</v>
      </c>
      <c r="G622" s="84" t="n">
        <v>0.327683615819209</v>
      </c>
      <c r="H622" s="84" t="n">
        <v>0.270022443538596</v>
      </c>
      <c r="I622" s="84" t="n">
        <v>0.30502592603517</v>
      </c>
      <c r="J622" s="84" t="n">
        <v>0.729876322672898</v>
      </c>
      <c r="K622" s="84" t="n">
        <v>0.683949162084815</v>
      </c>
      <c r="L622" s="84" t="n">
        <v>0.862132528941724</v>
      </c>
      <c r="M622" s="84" t="n">
        <v>0.765765765765766</v>
      </c>
      <c r="N622" s="84" t="n">
        <v>0.790322580645161</v>
      </c>
      <c r="O622" s="84" t="n">
        <v>1</v>
      </c>
      <c r="P622" s="85">
        <f>AVERAGE(D622:I622)</f>
        <v/>
      </c>
      <c r="Q622" s="85">
        <f>AVERAGE(J622:L622)</f>
        <v/>
      </c>
      <c r="R622" s="85">
        <f>AVERAGE(M622:O622)</f>
        <v/>
      </c>
      <c r="S622" s="85">
        <f>'02_지표정의'!$C$22*P622+'02_지표정의'!$C$23*Q622+'02_지표정의'!$C$24*R622</f>
        <v/>
      </c>
      <c r="T622" s="73">
        <f>IF(OR(AND(B622="gemini",C622="gemma"),AND(B622="qwen3_6",C622="qwen"),AND(B622="mistral",C622="ministral")),1,0)</f>
        <v/>
      </c>
      <c r="U622" s="73">
        <f>IF(LEFT(A622,3)="PAT","특허","보고서")</f>
        <v/>
      </c>
      <c r="V622" s="86">
        <f>COUNTIF($S$2:$S$976,"&lt;"&amp;S622)+(COUNTIF($S$2:$S$976,"="&amp;S622)+1)/2</f>
        <v/>
      </c>
      <c r="W622" s="73">
        <f>IF(C622="qwen",0,COUNTIFS($C$2:$C$976,"&lt;&gt;qwen",$S$2:$S$976,"&lt;"&amp;S622)+1)</f>
        <v/>
      </c>
      <c r="X622" s="73">
        <f>IF(C622="ministral",0,COUNTIFS($C$2:$C$976,"&lt;&gt;ministral",$S$2:$S$976,"&lt;"&amp;S622)+1)</f>
        <v/>
      </c>
      <c r="Y622" s="73">
        <f>IF(C622="gemma",0,COUNTIFS($C$2:$C$976,"&lt;&gt;gemma",$S$2:$S$976,"&lt;"&amp;S622)+1)</f>
        <v/>
      </c>
      <c r="Z622" s="87">
        <f>COUNTIFS($B$2:$B$976,B622,$C$2:$C$976,C622,$S$2:$S$976,"&lt;"&amp;S622)+1</f>
        <v/>
      </c>
      <c r="AA622" s="88">
        <f>ABS(S622-SUMPRODUCT(('05B_가정검정'!$A$5:$A$19=B622)*('05B_가정검정'!$B$5:$B$19=C622)*'05B_가정검정'!$E$5:$E$19))</f>
        <v/>
      </c>
      <c r="AB622" s="88">
        <f>S622-AVERAGEIFS($S$2:$S$976,$B$2:$B$976,B622,$C$2:$C$976,C622)</f>
        <v/>
      </c>
    </row>
    <row r="623" ht="15" customHeight="1" s="68">
      <c r="A623" s="83" t="inlineStr">
        <is>
          <t>RPT-11</t>
        </is>
      </c>
      <c r="B623" s="83" t="inlineStr">
        <is>
          <t>gemini</t>
        </is>
      </c>
      <c r="C623" s="83" t="inlineStr">
        <is>
          <t>gemma</t>
        </is>
      </c>
      <c r="D623" s="84" t="n">
        <v>0.2578125</v>
      </c>
      <c r="E623" s="84" t="n">
        <v>0.391061452513967</v>
      </c>
      <c r="F623" s="84" t="n">
        <v>0.135593220338983</v>
      </c>
      <c r="G623" s="84" t="n">
        <v>0.312849162011173</v>
      </c>
      <c r="H623" s="84" t="n">
        <v>0.318960719282031</v>
      </c>
      <c r="I623" s="84" t="n">
        <v>0.239850384854691</v>
      </c>
      <c r="J623" s="84" t="n">
        <v>0.764776619282508</v>
      </c>
      <c r="K623" s="84" t="n">
        <v>0.763352241075457</v>
      </c>
      <c r="L623" s="84" t="n">
        <v>0.882085275229669</v>
      </c>
      <c r="M623" s="84" t="n">
        <v>0.906542056074766</v>
      </c>
      <c r="N623" s="84" t="n">
        <v>0.916666666666667</v>
      </c>
      <c r="O623" s="84" t="n">
        <v>1</v>
      </c>
      <c r="P623" s="85">
        <f>AVERAGE(D623:I623)</f>
        <v/>
      </c>
      <c r="Q623" s="85">
        <f>AVERAGE(J623:L623)</f>
        <v/>
      </c>
      <c r="R623" s="85">
        <f>AVERAGE(M623:O623)</f>
        <v/>
      </c>
      <c r="S623" s="85">
        <f>'02_지표정의'!$C$22*P623+'02_지표정의'!$C$23*Q623+'02_지표정의'!$C$24*R623</f>
        <v/>
      </c>
      <c r="T623" s="73">
        <f>IF(OR(AND(B623="gemini",C623="gemma"),AND(B623="qwen3_6",C623="qwen"),AND(B623="mistral",C623="ministral")),1,0)</f>
        <v/>
      </c>
      <c r="U623" s="73">
        <f>IF(LEFT(A623,3)="PAT","특허","보고서")</f>
        <v/>
      </c>
      <c r="V623" s="86">
        <f>COUNTIF($S$2:$S$976,"&lt;"&amp;S623)+(COUNTIF($S$2:$S$976,"="&amp;S623)+1)/2</f>
        <v/>
      </c>
      <c r="W623" s="73">
        <f>IF(C623="qwen",0,COUNTIFS($C$2:$C$976,"&lt;&gt;qwen",$S$2:$S$976,"&lt;"&amp;S623)+1)</f>
        <v/>
      </c>
      <c r="X623" s="73">
        <f>IF(C623="ministral",0,COUNTIFS($C$2:$C$976,"&lt;&gt;ministral",$S$2:$S$976,"&lt;"&amp;S623)+1)</f>
        <v/>
      </c>
      <c r="Y623" s="73">
        <f>IF(C623="gemma",0,COUNTIFS($C$2:$C$976,"&lt;&gt;gemma",$S$2:$S$976,"&lt;"&amp;S623)+1)</f>
        <v/>
      </c>
      <c r="Z623" s="87">
        <f>COUNTIFS($B$2:$B$976,B623,$C$2:$C$976,C623,$S$2:$S$976,"&lt;"&amp;S623)+1</f>
        <v/>
      </c>
      <c r="AA623" s="88">
        <f>ABS(S623-SUMPRODUCT(('05B_가정검정'!$A$5:$A$19=B623)*('05B_가정검정'!$B$5:$B$19=C623)*'05B_가정검정'!$E$5:$E$19))</f>
        <v/>
      </c>
      <c r="AB623" s="88">
        <f>S623-AVERAGEIFS($S$2:$S$976,$B$2:$B$976,B623,$C$2:$C$976,C623)</f>
        <v/>
      </c>
    </row>
    <row r="624" ht="15" customHeight="1" s="68">
      <c r="A624" s="83" t="inlineStr">
        <is>
          <t>RPT-11</t>
        </is>
      </c>
      <c r="B624" s="83" t="inlineStr">
        <is>
          <t>gemini</t>
        </is>
      </c>
      <c r="C624" s="83" t="inlineStr">
        <is>
          <t>ministral</t>
        </is>
      </c>
      <c r="D624" s="84" t="n">
        <v>0.243839169909209</v>
      </c>
      <c r="E624" s="84" t="n">
        <v>0.301507537688442</v>
      </c>
      <c r="F624" s="84" t="n">
        <v>0.08121827411167511</v>
      </c>
      <c r="G624" s="84" t="n">
        <v>0.281407035175879</v>
      </c>
      <c r="H624" s="84" t="n">
        <v>0.202822288489069</v>
      </c>
      <c r="I624" s="84" t="n">
        <v>0.285663110901615</v>
      </c>
      <c r="J624" s="84" t="n">
        <v>0.7434222876679361</v>
      </c>
      <c r="K624" s="84" t="n">
        <v>0.802295016571243</v>
      </c>
      <c r="L624" s="84" t="n">
        <v>0.894525741898025</v>
      </c>
      <c r="M624" s="84" t="n">
        <v>0.313915857605178</v>
      </c>
      <c r="N624" s="84" t="n">
        <v>0.294520547945205</v>
      </c>
      <c r="O624" s="84" t="n">
        <v>0.6447368421052631</v>
      </c>
      <c r="P624" s="85">
        <f>AVERAGE(D624:I624)</f>
        <v/>
      </c>
      <c r="Q624" s="85">
        <f>AVERAGE(J624:L624)</f>
        <v/>
      </c>
      <c r="R624" s="85">
        <f>AVERAGE(M624:O624)</f>
        <v/>
      </c>
      <c r="S624" s="85">
        <f>'02_지표정의'!$C$22*P624+'02_지표정의'!$C$23*Q624+'02_지표정의'!$C$24*R624</f>
        <v/>
      </c>
      <c r="T624" s="73">
        <f>IF(OR(AND(B624="gemini",C624="gemma"),AND(B624="qwen3_6",C624="qwen"),AND(B624="mistral",C624="ministral")),1,0)</f>
        <v/>
      </c>
      <c r="U624" s="73">
        <f>IF(LEFT(A624,3)="PAT","특허","보고서")</f>
        <v/>
      </c>
      <c r="V624" s="86">
        <f>COUNTIF($S$2:$S$976,"&lt;"&amp;S624)+(COUNTIF($S$2:$S$976,"="&amp;S624)+1)/2</f>
        <v/>
      </c>
      <c r="W624" s="73">
        <f>IF(C624="qwen",0,COUNTIFS($C$2:$C$976,"&lt;&gt;qwen",$S$2:$S$976,"&lt;"&amp;S624)+1)</f>
        <v/>
      </c>
      <c r="X624" s="73">
        <f>IF(C624="ministral",0,COUNTIFS($C$2:$C$976,"&lt;&gt;ministral",$S$2:$S$976,"&lt;"&amp;S624)+1)</f>
        <v/>
      </c>
      <c r="Y624" s="73">
        <f>IF(C624="gemma",0,COUNTIFS($C$2:$C$976,"&lt;&gt;gemma",$S$2:$S$976,"&lt;"&amp;S624)+1)</f>
        <v/>
      </c>
      <c r="Z624" s="87">
        <f>COUNTIFS($B$2:$B$976,B624,$C$2:$C$976,C624,$S$2:$S$976,"&lt;"&amp;S624)+1</f>
        <v/>
      </c>
      <c r="AA624" s="88">
        <f>ABS(S624-SUMPRODUCT(('05B_가정검정'!$A$5:$A$19=B624)*('05B_가정검정'!$B$5:$B$19=C624)*'05B_가정검정'!$E$5:$E$19))</f>
        <v/>
      </c>
      <c r="AB624" s="88">
        <f>S624-AVERAGEIFS($S$2:$S$976,$B$2:$B$976,B624,$C$2:$C$976,C624)</f>
        <v/>
      </c>
    </row>
    <row r="625" ht="15" customHeight="1" s="68">
      <c r="A625" s="83" t="inlineStr">
        <is>
          <t>RPT-11</t>
        </is>
      </c>
      <c r="B625" s="83" t="inlineStr">
        <is>
          <t>gemini</t>
        </is>
      </c>
      <c r="C625" s="83" t="inlineStr">
        <is>
          <t>qwen</t>
        </is>
      </c>
      <c r="D625" s="84" t="n">
        <v>0.244961240310078</v>
      </c>
      <c r="E625" s="84" t="n">
        <v>0.379084967320262</v>
      </c>
      <c r="F625" s="84" t="n">
        <v>0.119205298013245</v>
      </c>
      <c r="G625" s="84" t="n">
        <v>0.339869281045752</v>
      </c>
      <c r="H625" s="84" t="n">
        <v>0.406127638033336</v>
      </c>
      <c r="I625" s="84" t="n">
        <v>0.272264020476266</v>
      </c>
      <c r="J625" s="84" t="n">
        <v>0.791826583289112</v>
      </c>
      <c r="K625" s="84" t="n">
        <v>0.763307096520446</v>
      </c>
      <c r="L625" s="84" t="n">
        <v>0.883984893384549</v>
      </c>
      <c r="M625" s="84" t="n">
        <v>0.906542056074766</v>
      </c>
      <c r="N625" s="84" t="n">
        <v>0.916666666666667</v>
      </c>
      <c r="O625" s="84" t="n">
        <v>1</v>
      </c>
      <c r="P625" s="85">
        <f>AVERAGE(D625:I625)</f>
        <v/>
      </c>
      <c r="Q625" s="85">
        <f>AVERAGE(J625:L625)</f>
        <v/>
      </c>
      <c r="R625" s="85">
        <f>AVERAGE(M625:O625)</f>
        <v/>
      </c>
      <c r="S625" s="85">
        <f>'02_지표정의'!$C$22*P625+'02_지표정의'!$C$23*Q625+'02_지표정의'!$C$24*R625</f>
        <v/>
      </c>
      <c r="T625" s="73">
        <f>IF(OR(AND(B625="gemini",C625="gemma"),AND(B625="qwen3_6",C625="qwen"),AND(B625="mistral",C625="ministral")),1,0)</f>
        <v/>
      </c>
      <c r="U625" s="73">
        <f>IF(LEFT(A625,3)="PAT","특허","보고서")</f>
        <v/>
      </c>
      <c r="V625" s="86">
        <f>COUNTIF($S$2:$S$976,"&lt;"&amp;S625)+(COUNTIF($S$2:$S$976,"="&amp;S625)+1)/2</f>
        <v/>
      </c>
      <c r="W625" s="73">
        <f>IF(C625="qwen",0,COUNTIFS($C$2:$C$976,"&lt;&gt;qwen",$S$2:$S$976,"&lt;"&amp;S625)+1)</f>
        <v/>
      </c>
      <c r="X625" s="73">
        <f>IF(C625="ministral",0,COUNTIFS($C$2:$C$976,"&lt;&gt;ministral",$S$2:$S$976,"&lt;"&amp;S625)+1)</f>
        <v/>
      </c>
      <c r="Y625" s="73">
        <f>IF(C625="gemma",0,COUNTIFS($C$2:$C$976,"&lt;&gt;gemma",$S$2:$S$976,"&lt;"&amp;S625)+1)</f>
        <v/>
      </c>
      <c r="Z625" s="87">
        <f>COUNTIFS($B$2:$B$976,B625,$C$2:$C$976,C625,$S$2:$S$976,"&lt;"&amp;S625)+1</f>
        <v/>
      </c>
      <c r="AA625" s="88">
        <f>ABS(S625-SUMPRODUCT(('05B_가정검정'!$A$5:$A$19=B625)*('05B_가정검정'!$B$5:$B$19=C625)*'05B_가정검정'!$E$5:$E$19))</f>
        <v/>
      </c>
      <c r="AB625" s="88">
        <f>S625-AVERAGEIFS($S$2:$S$976,$B$2:$B$976,B625,$C$2:$C$976,C625)</f>
        <v/>
      </c>
    </row>
    <row r="626" ht="15" customHeight="1" s="68">
      <c r="A626" s="83" t="inlineStr">
        <is>
          <t>RPT-11</t>
        </is>
      </c>
      <c r="B626" s="83" t="inlineStr">
        <is>
          <t>mistral</t>
        </is>
      </c>
      <c r="C626" s="83" t="inlineStr">
        <is>
          <t>gemma</t>
        </is>
      </c>
      <c r="D626" s="84" t="n">
        <v>0.207792207792208</v>
      </c>
      <c r="E626" s="84" t="n">
        <v>0.317073170731707</v>
      </c>
      <c r="F626" s="84" t="n">
        <v>0.123456790123457</v>
      </c>
      <c r="G626" s="84" t="n">
        <v>0.292682926829268</v>
      </c>
      <c r="H626" s="84" t="n">
        <v>0.269216476193276</v>
      </c>
      <c r="I626" s="84" t="n">
        <v>0.179078671828298</v>
      </c>
      <c r="J626" s="84" t="n">
        <v>0.728947669848737</v>
      </c>
      <c r="K626" s="84" t="n">
        <v>0.714726336742636</v>
      </c>
      <c r="L626" s="84" t="n">
        <v>0.859177340520889</v>
      </c>
      <c r="M626" s="84" t="n">
        <v>0.659259259259259</v>
      </c>
      <c r="N626" s="84" t="n">
        <v>0.6621621621621619</v>
      </c>
      <c r="O626" s="84" t="n">
        <v>1</v>
      </c>
      <c r="P626" s="85">
        <f>AVERAGE(D626:I626)</f>
        <v/>
      </c>
      <c r="Q626" s="85">
        <f>AVERAGE(J626:L626)</f>
        <v/>
      </c>
      <c r="R626" s="85">
        <f>AVERAGE(M626:O626)</f>
        <v/>
      </c>
      <c r="S626" s="85">
        <f>'02_지표정의'!$C$22*P626+'02_지표정의'!$C$23*Q626+'02_지표정의'!$C$24*R626</f>
        <v/>
      </c>
      <c r="T626" s="73">
        <f>IF(OR(AND(B626="gemini",C626="gemma"),AND(B626="qwen3_6",C626="qwen"),AND(B626="mistral",C626="ministral")),1,0)</f>
        <v/>
      </c>
      <c r="U626" s="73">
        <f>IF(LEFT(A626,3)="PAT","특허","보고서")</f>
        <v/>
      </c>
      <c r="V626" s="86">
        <f>COUNTIF($S$2:$S$976,"&lt;"&amp;S626)+(COUNTIF($S$2:$S$976,"="&amp;S626)+1)/2</f>
        <v/>
      </c>
      <c r="W626" s="73">
        <f>IF(C626="qwen",0,COUNTIFS($C$2:$C$976,"&lt;&gt;qwen",$S$2:$S$976,"&lt;"&amp;S626)+1)</f>
        <v/>
      </c>
      <c r="X626" s="73">
        <f>IF(C626="ministral",0,COUNTIFS($C$2:$C$976,"&lt;&gt;ministral",$S$2:$S$976,"&lt;"&amp;S626)+1)</f>
        <v/>
      </c>
      <c r="Y626" s="73">
        <f>IF(C626="gemma",0,COUNTIFS($C$2:$C$976,"&lt;&gt;gemma",$S$2:$S$976,"&lt;"&amp;S626)+1)</f>
        <v/>
      </c>
      <c r="Z626" s="87">
        <f>COUNTIFS($B$2:$B$976,B626,$C$2:$C$976,C626,$S$2:$S$976,"&lt;"&amp;S626)+1</f>
        <v/>
      </c>
      <c r="AA626" s="88">
        <f>ABS(S626-SUMPRODUCT(('05B_가정검정'!$A$5:$A$19=B626)*('05B_가정검정'!$B$5:$B$19=C626)*'05B_가정검정'!$E$5:$E$19))</f>
        <v/>
      </c>
      <c r="AB626" s="88">
        <f>S626-AVERAGEIFS($S$2:$S$976,$B$2:$B$976,B626,$C$2:$C$976,C626)</f>
        <v/>
      </c>
    </row>
    <row r="627" ht="15" customHeight="1" s="68">
      <c r="A627" s="83" t="inlineStr">
        <is>
          <t>RPT-11</t>
        </is>
      </c>
      <c r="B627" s="83" t="inlineStr">
        <is>
          <t>mistral</t>
        </is>
      </c>
      <c r="C627" s="83" t="inlineStr">
        <is>
          <t>ministral</t>
        </is>
      </c>
      <c r="D627" s="84" t="n">
        <v>0.28448275862069</v>
      </c>
      <c r="E627" s="84" t="n">
        <v>0.315217391304348</v>
      </c>
      <c r="F627" s="84" t="n">
        <v>0.186813186813187</v>
      </c>
      <c r="G627" s="84" t="n">
        <v>0.282608695652174</v>
      </c>
      <c r="H627" s="84" t="n">
        <v>0.197235178014673</v>
      </c>
      <c r="I627" s="84" t="n">
        <v>0.232604957029657</v>
      </c>
      <c r="J627" s="84" t="n">
        <v>0.733507671387805</v>
      </c>
      <c r="K627" s="84" t="n">
        <v>0.746845814533545</v>
      </c>
      <c r="L627" s="84" t="n">
        <v>0.86800787012931</v>
      </c>
      <c r="M627" s="84" t="n">
        <v>0.401294498381877</v>
      </c>
      <c r="N627" s="84" t="n">
        <v>0.212328767123288</v>
      </c>
      <c r="O627" s="84" t="n">
        <v>0.6447368421052631</v>
      </c>
      <c r="P627" s="85">
        <f>AVERAGE(D627:I627)</f>
        <v/>
      </c>
      <c r="Q627" s="85">
        <f>AVERAGE(J627:L627)</f>
        <v/>
      </c>
      <c r="R627" s="85">
        <f>AVERAGE(M627:O627)</f>
        <v/>
      </c>
      <c r="S627" s="85">
        <f>'02_지표정의'!$C$22*P627+'02_지표정의'!$C$23*Q627+'02_지표정의'!$C$24*R627</f>
        <v/>
      </c>
      <c r="T627" s="73">
        <f>IF(OR(AND(B627="gemini",C627="gemma"),AND(B627="qwen3_6",C627="qwen"),AND(B627="mistral",C627="ministral")),1,0)</f>
        <v/>
      </c>
      <c r="U627" s="73">
        <f>IF(LEFT(A627,3)="PAT","특허","보고서")</f>
        <v/>
      </c>
      <c r="V627" s="86">
        <f>COUNTIF($S$2:$S$976,"&lt;"&amp;S627)+(COUNTIF($S$2:$S$976,"="&amp;S627)+1)/2</f>
        <v/>
      </c>
      <c r="W627" s="73">
        <f>IF(C627="qwen",0,COUNTIFS($C$2:$C$976,"&lt;&gt;qwen",$S$2:$S$976,"&lt;"&amp;S627)+1)</f>
        <v/>
      </c>
      <c r="X627" s="73">
        <f>IF(C627="ministral",0,COUNTIFS($C$2:$C$976,"&lt;&gt;ministral",$S$2:$S$976,"&lt;"&amp;S627)+1)</f>
        <v/>
      </c>
      <c r="Y627" s="73">
        <f>IF(C627="gemma",0,COUNTIFS($C$2:$C$976,"&lt;&gt;gemma",$S$2:$S$976,"&lt;"&amp;S627)+1)</f>
        <v/>
      </c>
      <c r="Z627" s="87">
        <f>COUNTIFS($B$2:$B$976,B627,$C$2:$C$976,C627,$S$2:$S$976,"&lt;"&amp;S627)+1</f>
        <v/>
      </c>
      <c r="AA627" s="88">
        <f>ABS(S627-SUMPRODUCT(('05B_가정검정'!$A$5:$A$19=B627)*('05B_가정검정'!$B$5:$B$19=C627)*'05B_가정검정'!$E$5:$E$19))</f>
        <v/>
      </c>
      <c r="AB627" s="88">
        <f>S627-AVERAGEIFS($S$2:$S$976,$B$2:$B$976,B627,$C$2:$C$976,C627)</f>
        <v/>
      </c>
    </row>
    <row r="628" ht="15" customHeight="1" s="68">
      <c r="A628" s="83" t="inlineStr">
        <is>
          <t>RPT-11</t>
        </is>
      </c>
      <c r="B628" s="83" t="inlineStr">
        <is>
          <t>mistral</t>
        </is>
      </c>
      <c r="C628" s="83" t="inlineStr">
        <is>
          <t>qwen</t>
        </is>
      </c>
      <c r="D628" s="84" t="n">
        <v>0.224561403508772</v>
      </c>
      <c r="E628" s="84" t="n">
        <v>0.391304347826087</v>
      </c>
      <c r="F628" s="84" t="n">
        <v>0.176470588235294</v>
      </c>
      <c r="G628" s="84" t="n">
        <v>0.347826086956522</v>
      </c>
      <c r="H628" s="84" t="n">
        <v>0.337216154121517</v>
      </c>
      <c r="I628" s="84" t="n">
        <v>0.200733741683303</v>
      </c>
      <c r="J628" s="84" t="n">
        <v>0.764792747909268</v>
      </c>
      <c r="K628" s="84" t="n">
        <v>0.728159876273657</v>
      </c>
      <c r="L628" s="84" t="n">
        <v>0.862740022322206</v>
      </c>
      <c r="M628" s="84" t="n">
        <v>0.659259259259259</v>
      </c>
      <c r="N628" s="84" t="n">
        <v>0.6621621621621619</v>
      </c>
      <c r="O628" s="84" t="n">
        <v>1</v>
      </c>
      <c r="P628" s="85">
        <f>AVERAGE(D628:I628)</f>
        <v/>
      </c>
      <c r="Q628" s="85">
        <f>AVERAGE(J628:L628)</f>
        <v/>
      </c>
      <c r="R628" s="85">
        <f>AVERAGE(M628:O628)</f>
        <v/>
      </c>
      <c r="S628" s="85">
        <f>'02_지표정의'!$C$22*P628+'02_지표정의'!$C$23*Q628+'02_지표정의'!$C$24*R628</f>
        <v/>
      </c>
      <c r="T628" s="73">
        <f>IF(OR(AND(B628="gemini",C628="gemma"),AND(B628="qwen3_6",C628="qwen"),AND(B628="mistral",C628="ministral")),1,0)</f>
        <v/>
      </c>
      <c r="U628" s="73">
        <f>IF(LEFT(A628,3)="PAT","특허","보고서")</f>
        <v/>
      </c>
      <c r="V628" s="86">
        <f>COUNTIF($S$2:$S$976,"&lt;"&amp;S628)+(COUNTIF($S$2:$S$976,"="&amp;S628)+1)/2</f>
        <v/>
      </c>
      <c r="W628" s="73">
        <f>IF(C628="qwen",0,COUNTIFS($C$2:$C$976,"&lt;&gt;qwen",$S$2:$S$976,"&lt;"&amp;S628)+1)</f>
        <v/>
      </c>
      <c r="X628" s="73">
        <f>IF(C628="ministral",0,COUNTIFS($C$2:$C$976,"&lt;&gt;ministral",$S$2:$S$976,"&lt;"&amp;S628)+1)</f>
        <v/>
      </c>
      <c r="Y628" s="73">
        <f>IF(C628="gemma",0,COUNTIFS($C$2:$C$976,"&lt;&gt;gemma",$S$2:$S$976,"&lt;"&amp;S628)+1)</f>
        <v/>
      </c>
      <c r="Z628" s="87">
        <f>COUNTIFS($B$2:$B$976,B628,$C$2:$C$976,C628,$S$2:$S$976,"&lt;"&amp;S628)+1</f>
        <v/>
      </c>
      <c r="AA628" s="88">
        <f>ABS(S628-SUMPRODUCT(('05B_가정검정'!$A$5:$A$19=B628)*('05B_가정검정'!$B$5:$B$19=C628)*'05B_가정검정'!$E$5:$E$19))</f>
        <v/>
      </c>
      <c r="AB628" s="88">
        <f>S628-AVERAGEIFS($S$2:$S$976,$B$2:$B$976,B628,$C$2:$C$976,C628)</f>
        <v/>
      </c>
    </row>
    <row r="629" ht="15" customHeight="1" s="68">
      <c r="A629" s="83" t="inlineStr">
        <is>
          <t>RPT-11</t>
        </is>
      </c>
      <c r="B629" s="83" t="inlineStr">
        <is>
          <t>qwen3_6</t>
        </is>
      </c>
      <c r="C629" s="83" t="inlineStr">
        <is>
          <t>gemma</t>
        </is>
      </c>
      <c r="D629" s="84" t="n">
        <v>0.317497103128621</v>
      </c>
      <c r="E629" s="84" t="n">
        <v>0.362694300518135</v>
      </c>
      <c r="F629" s="84" t="n">
        <v>0.12565445026178</v>
      </c>
      <c r="G629" s="84" t="n">
        <v>0.290155440414508</v>
      </c>
      <c r="H629" s="84" t="n">
        <v>0.46080289720837</v>
      </c>
      <c r="I629" s="84" t="n">
        <v>0.308243578507101</v>
      </c>
      <c r="J629" s="84" t="n">
        <v>0.750055715024316</v>
      </c>
      <c r="K629" s="84" t="n">
        <v>0.6961485508445689</v>
      </c>
      <c r="L629" s="84" t="n">
        <v>0.8901310711963299</v>
      </c>
      <c r="M629" s="84" t="n">
        <v>0.906542056074766</v>
      </c>
      <c r="N629" s="84" t="n">
        <v>0.916666666666667</v>
      </c>
      <c r="O629" s="84" t="n">
        <v>1</v>
      </c>
      <c r="P629" s="85">
        <f>AVERAGE(D629:I629)</f>
        <v/>
      </c>
      <c r="Q629" s="85">
        <f>AVERAGE(J629:L629)</f>
        <v/>
      </c>
      <c r="R629" s="85">
        <f>AVERAGE(M629:O629)</f>
        <v/>
      </c>
      <c r="S629" s="85">
        <f>'02_지표정의'!$C$22*P629+'02_지표정의'!$C$23*Q629+'02_지표정의'!$C$24*R629</f>
        <v/>
      </c>
      <c r="T629" s="73">
        <f>IF(OR(AND(B629="gemini",C629="gemma"),AND(B629="qwen3_6",C629="qwen"),AND(B629="mistral",C629="ministral")),1,0)</f>
        <v/>
      </c>
      <c r="U629" s="73">
        <f>IF(LEFT(A629,3)="PAT","특허","보고서")</f>
        <v/>
      </c>
      <c r="V629" s="86">
        <f>COUNTIF($S$2:$S$976,"&lt;"&amp;S629)+(COUNTIF($S$2:$S$976,"="&amp;S629)+1)/2</f>
        <v/>
      </c>
      <c r="W629" s="73">
        <f>IF(C629="qwen",0,COUNTIFS($C$2:$C$976,"&lt;&gt;qwen",$S$2:$S$976,"&lt;"&amp;S629)+1)</f>
        <v/>
      </c>
      <c r="X629" s="73">
        <f>IF(C629="ministral",0,COUNTIFS($C$2:$C$976,"&lt;&gt;ministral",$S$2:$S$976,"&lt;"&amp;S629)+1)</f>
        <v/>
      </c>
      <c r="Y629" s="73">
        <f>IF(C629="gemma",0,COUNTIFS($C$2:$C$976,"&lt;&gt;gemma",$S$2:$S$976,"&lt;"&amp;S629)+1)</f>
        <v/>
      </c>
      <c r="Z629" s="87">
        <f>COUNTIFS($B$2:$B$976,B629,$C$2:$C$976,C629,$S$2:$S$976,"&lt;"&amp;S629)+1</f>
        <v/>
      </c>
      <c r="AA629" s="88">
        <f>ABS(S629-SUMPRODUCT(('05B_가정검정'!$A$5:$A$19=B629)*('05B_가정검정'!$B$5:$B$19=C629)*'05B_가정검정'!$E$5:$E$19))</f>
        <v/>
      </c>
      <c r="AB629" s="88">
        <f>S629-AVERAGEIFS($S$2:$S$976,$B$2:$B$976,B629,$C$2:$C$976,C629)</f>
        <v/>
      </c>
    </row>
    <row r="630" ht="15" customHeight="1" s="68">
      <c r="A630" s="83" t="inlineStr">
        <is>
          <t>RPT-11</t>
        </is>
      </c>
      <c r="B630" s="83" t="inlineStr">
        <is>
          <t>qwen3_6</t>
        </is>
      </c>
      <c r="C630" s="83" t="inlineStr">
        <is>
          <t>ministral</t>
        </is>
      </c>
      <c r="D630" s="84" t="n">
        <v>0.272517321016166</v>
      </c>
      <c r="E630" s="84" t="n">
        <v>0.28169014084507</v>
      </c>
      <c r="F630" s="84" t="n">
        <v>0.104265402843602</v>
      </c>
      <c r="G630" s="84" t="n">
        <v>0.253521126760563</v>
      </c>
      <c r="H630" s="84" t="n">
        <v>0.285775338048734</v>
      </c>
      <c r="I630" s="84" t="n">
        <v>0.297482778910943</v>
      </c>
      <c r="J630" s="84" t="n">
        <v>0.716083083377728</v>
      </c>
      <c r="K630" s="84" t="n">
        <v>0.668828602721893</v>
      </c>
      <c r="L630" s="84" t="n">
        <v>0.834786928998543</v>
      </c>
      <c r="M630" s="84" t="n">
        <v>0.313915857605178</v>
      </c>
      <c r="N630" s="84" t="n">
        <v>0.294520547945205</v>
      </c>
      <c r="O630" s="84" t="n">
        <v>0.6447368421052631</v>
      </c>
      <c r="P630" s="85">
        <f>AVERAGE(D630:I630)</f>
        <v/>
      </c>
      <c r="Q630" s="85">
        <f>AVERAGE(J630:L630)</f>
        <v/>
      </c>
      <c r="R630" s="85">
        <f>AVERAGE(M630:O630)</f>
        <v/>
      </c>
      <c r="S630" s="85">
        <f>'02_지표정의'!$C$22*P630+'02_지표정의'!$C$23*Q630+'02_지표정의'!$C$24*R630</f>
        <v/>
      </c>
      <c r="T630" s="73">
        <f>IF(OR(AND(B630="gemini",C630="gemma"),AND(B630="qwen3_6",C630="qwen"),AND(B630="mistral",C630="ministral")),1,0)</f>
        <v/>
      </c>
      <c r="U630" s="73">
        <f>IF(LEFT(A630,3)="PAT","특허","보고서")</f>
        <v/>
      </c>
      <c r="V630" s="86">
        <f>COUNTIF($S$2:$S$976,"&lt;"&amp;S630)+(COUNTIF($S$2:$S$976,"="&amp;S630)+1)/2</f>
        <v/>
      </c>
      <c r="W630" s="73">
        <f>IF(C630="qwen",0,COUNTIFS($C$2:$C$976,"&lt;&gt;qwen",$S$2:$S$976,"&lt;"&amp;S630)+1)</f>
        <v/>
      </c>
      <c r="X630" s="73">
        <f>IF(C630="ministral",0,COUNTIFS($C$2:$C$976,"&lt;&gt;ministral",$S$2:$S$976,"&lt;"&amp;S630)+1)</f>
        <v/>
      </c>
      <c r="Y630" s="73">
        <f>IF(C630="gemma",0,COUNTIFS($C$2:$C$976,"&lt;&gt;gemma",$S$2:$S$976,"&lt;"&amp;S630)+1)</f>
        <v/>
      </c>
      <c r="Z630" s="87">
        <f>COUNTIFS($B$2:$B$976,B630,$C$2:$C$976,C630,$S$2:$S$976,"&lt;"&amp;S630)+1</f>
        <v/>
      </c>
      <c r="AA630" s="88">
        <f>ABS(S630-SUMPRODUCT(('05B_가정검정'!$A$5:$A$19=B630)*('05B_가정검정'!$B$5:$B$19=C630)*'05B_가정검정'!$E$5:$E$19))</f>
        <v/>
      </c>
      <c r="AB630" s="88">
        <f>S630-AVERAGEIFS($S$2:$S$976,$B$2:$B$976,B630,$C$2:$C$976,C630)</f>
        <v/>
      </c>
    </row>
    <row r="631" ht="15" customHeight="1" s="68">
      <c r="A631" s="83" t="inlineStr">
        <is>
          <t>RPT-11</t>
        </is>
      </c>
      <c r="B631" s="83" t="inlineStr">
        <is>
          <t>qwen3_6</t>
        </is>
      </c>
      <c r="C631" s="83" t="inlineStr">
        <is>
          <t>qwen</t>
        </is>
      </c>
      <c r="D631" s="84" t="n">
        <v>0.272972972972973</v>
      </c>
      <c r="E631" s="84" t="n">
        <v>0.467065868263473</v>
      </c>
      <c r="F631" s="84" t="n">
        <v>0.181818181818182</v>
      </c>
      <c r="G631" s="84" t="n">
        <v>0.347305389221557</v>
      </c>
      <c r="H631" s="84" t="n">
        <v>0.390433286639538</v>
      </c>
      <c r="I631" s="84" t="n">
        <v>0.328114406864438</v>
      </c>
      <c r="J631" s="84" t="n">
        <v>0.746591836069421</v>
      </c>
      <c r="K631" s="84" t="n">
        <v>0.693191748325209</v>
      </c>
      <c r="L631" s="84" t="n">
        <v>0.892607990026086</v>
      </c>
      <c r="M631" s="84" t="n">
        <v>0.906542056074766</v>
      </c>
      <c r="N631" s="84" t="n">
        <v>0.916666666666667</v>
      </c>
      <c r="O631" s="84" t="n">
        <v>1</v>
      </c>
      <c r="P631" s="85">
        <f>AVERAGE(D631:I631)</f>
        <v/>
      </c>
      <c r="Q631" s="85">
        <f>AVERAGE(J631:L631)</f>
        <v/>
      </c>
      <c r="R631" s="85">
        <f>AVERAGE(M631:O631)</f>
        <v/>
      </c>
      <c r="S631" s="85">
        <f>'02_지표정의'!$C$22*P631+'02_지표정의'!$C$23*Q631+'02_지표정의'!$C$24*R631</f>
        <v/>
      </c>
      <c r="T631" s="73">
        <f>IF(OR(AND(B631="gemini",C631="gemma"),AND(B631="qwen3_6",C631="qwen"),AND(B631="mistral",C631="ministral")),1,0)</f>
        <v/>
      </c>
      <c r="U631" s="73">
        <f>IF(LEFT(A631,3)="PAT","특허","보고서")</f>
        <v/>
      </c>
      <c r="V631" s="86">
        <f>COUNTIF($S$2:$S$976,"&lt;"&amp;S631)+(COUNTIF($S$2:$S$976,"="&amp;S631)+1)/2</f>
        <v/>
      </c>
      <c r="W631" s="73">
        <f>IF(C631="qwen",0,COUNTIFS($C$2:$C$976,"&lt;&gt;qwen",$S$2:$S$976,"&lt;"&amp;S631)+1)</f>
        <v/>
      </c>
      <c r="X631" s="73">
        <f>IF(C631="ministral",0,COUNTIFS($C$2:$C$976,"&lt;&gt;ministral",$S$2:$S$976,"&lt;"&amp;S631)+1)</f>
        <v/>
      </c>
      <c r="Y631" s="73">
        <f>IF(C631="gemma",0,COUNTIFS($C$2:$C$976,"&lt;&gt;gemma",$S$2:$S$976,"&lt;"&amp;S631)+1)</f>
        <v/>
      </c>
      <c r="Z631" s="87">
        <f>COUNTIFS($B$2:$B$976,B631,$C$2:$C$976,C631,$S$2:$S$976,"&lt;"&amp;S631)+1</f>
        <v/>
      </c>
      <c r="AA631" s="88">
        <f>ABS(S631-SUMPRODUCT(('05B_가정검정'!$A$5:$A$19=B631)*('05B_가정검정'!$B$5:$B$19=C631)*'05B_가정검정'!$E$5:$E$19))</f>
        <v/>
      </c>
      <c r="AB631" s="88">
        <f>S631-AVERAGEIFS($S$2:$S$976,$B$2:$B$976,B631,$C$2:$C$976,C631)</f>
        <v/>
      </c>
    </row>
    <row r="632" ht="15" customHeight="1" s="68">
      <c r="A632" s="83" t="inlineStr">
        <is>
          <t>RPT-12</t>
        </is>
      </c>
      <c r="B632" s="83" t="inlineStr">
        <is>
          <t>chatgpt</t>
        </is>
      </c>
      <c r="C632" s="83" t="inlineStr">
        <is>
          <t>gemma</t>
        </is>
      </c>
      <c r="D632" s="84" t="n">
        <v>0.217335058214748</v>
      </c>
      <c r="E632" s="84" t="n">
        <v>0.33</v>
      </c>
      <c r="F632" s="84" t="n">
        <v>0.121212121212121</v>
      </c>
      <c r="G632" s="84" t="n">
        <v>0.29</v>
      </c>
      <c r="H632" s="84" t="n">
        <v>0.238882296484609</v>
      </c>
      <c r="I632" s="84" t="n">
        <v>0.186941668339665</v>
      </c>
      <c r="J632" s="84" t="n">
        <v>0.672328886373618</v>
      </c>
      <c r="K632" s="84" t="n">
        <v>0.655404765306562</v>
      </c>
      <c r="L632" s="84" t="n">
        <v>0.754997238609828</v>
      </c>
      <c r="M632" s="84" t="n">
        <v>0.515151515151515</v>
      </c>
      <c r="N632" s="84" t="n">
        <v>0.213483146067416</v>
      </c>
      <c r="O632" s="84" t="n">
        <v>1</v>
      </c>
      <c r="P632" s="85">
        <f>AVERAGE(D632:I632)</f>
        <v/>
      </c>
      <c r="Q632" s="85">
        <f>AVERAGE(J632:L632)</f>
        <v/>
      </c>
      <c r="R632" s="85">
        <f>AVERAGE(M632:O632)</f>
        <v/>
      </c>
      <c r="S632" s="85">
        <f>'02_지표정의'!$C$22*P632+'02_지표정의'!$C$23*Q632+'02_지표정의'!$C$24*R632</f>
        <v/>
      </c>
      <c r="T632" s="73">
        <f>IF(OR(AND(B632="gemini",C632="gemma"),AND(B632="qwen3_6",C632="qwen"),AND(B632="mistral",C632="ministral")),1,0)</f>
        <v/>
      </c>
      <c r="U632" s="73">
        <f>IF(LEFT(A632,3)="PAT","특허","보고서")</f>
        <v/>
      </c>
      <c r="V632" s="86">
        <f>COUNTIF($S$2:$S$976,"&lt;"&amp;S632)+(COUNTIF($S$2:$S$976,"="&amp;S632)+1)/2</f>
        <v/>
      </c>
      <c r="W632" s="73">
        <f>IF(C632="qwen",0,COUNTIFS($C$2:$C$976,"&lt;&gt;qwen",$S$2:$S$976,"&lt;"&amp;S632)+1)</f>
        <v/>
      </c>
      <c r="X632" s="73">
        <f>IF(C632="ministral",0,COUNTIFS($C$2:$C$976,"&lt;&gt;ministral",$S$2:$S$976,"&lt;"&amp;S632)+1)</f>
        <v/>
      </c>
      <c r="Y632" s="73">
        <f>IF(C632="gemma",0,COUNTIFS($C$2:$C$976,"&lt;&gt;gemma",$S$2:$S$976,"&lt;"&amp;S632)+1)</f>
        <v/>
      </c>
      <c r="Z632" s="87">
        <f>COUNTIFS($B$2:$B$976,B632,$C$2:$C$976,C632,$S$2:$S$976,"&lt;"&amp;S632)+1</f>
        <v/>
      </c>
      <c r="AA632" s="88">
        <f>ABS(S632-SUMPRODUCT(('05B_가정검정'!$A$5:$A$19=B632)*('05B_가정검정'!$B$5:$B$19=C632)*'05B_가정검정'!$E$5:$E$19))</f>
        <v/>
      </c>
      <c r="AB632" s="88">
        <f>S632-AVERAGEIFS($S$2:$S$976,$B$2:$B$976,B632,$C$2:$C$976,C632)</f>
        <v/>
      </c>
    </row>
    <row r="633" ht="15" customHeight="1" s="68">
      <c r="A633" s="83" t="inlineStr">
        <is>
          <t>RPT-12</t>
        </is>
      </c>
      <c r="B633" s="83" t="inlineStr">
        <is>
          <t>chatgpt</t>
        </is>
      </c>
      <c r="C633" s="83" t="inlineStr">
        <is>
          <t>ministral</t>
        </is>
      </c>
      <c r="D633" s="84" t="n">
        <v>0.329861111111111</v>
      </c>
      <c r="E633" s="84" t="n">
        <v>0.321739130434783</v>
      </c>
      <c r="F633" s="84" t="n">
        <v>0.149122807017544</v>
      </c>
      <c r="G633" s="84" t="n">
        <v>0.278260869565217</v>
      </c>
      <c r="H633" s="84" t="n">
        <v>0.18868781606409</v>
      </c>
      <c r="I633" s="84" t="n">
        <v>0.276027535003035</v>
      </c>
      <c r="J633" s="84" t="n">
        <v>0.68462215344424</v>
      </c>
      <c r="K633" s="84" t="n">
        <v>0.673260241585506</v>
      </c>
      <c r="L633" s="84" t="n">
        <v>0.774022262716394</v>
      </c>
      <c r="M633" s="84" t="n">
        <v>0.406162464985994</v>
      </c>
      <c r="N633" s="84" t="n">
        <v>0</v>
      </c>
      <c r="O633" s="84" t="n">
        <v>0.526315789473684</v>
      </c>
      <c r="P633" s="85">
        <f>AVERAGE(D633:I633)</f>
        <v/>
      </c>
      <c r="Q633" s="85">
        <f>AVERAGE(J633:L633)</f>
        <v/>
      </c>
      <c r="R633" s="85">
        <f>AVERAGE(M633:O633)</f>
        <v/>
      </c>
      <c r="S633" s="85">
        <f>'02_지표정의'!$C$22*P633+'02_지표정의'!$C$23*Q633+'02_지표정의'!$C$24*R633</f>
        <v/>
      </c>
      <c r="T633" s="73">
        <f>IF(OR(AND(B633="gemini",C633="gemma"),AND(B633="qwen3_6",C633="qwen"),AND(B633="mistral",C633="ministral")),1,0)</f>
        <v/>
      </c>
      <c r="U633" s="73">
        <f>IF(LEFT(A633,3)="PAT","특허","보고서")</f>
        <v/>
      </c>
      <c r="V633" s="86">
        <f>COUNTIF($S$2:$S$976,"&lt;"&amp;S633)+(COUNTIF($S$2:$S$976,"="&amp;S633)+1)/2</f>
        <v/>
      </c>
      <c r="W633" s="73">
        <f>IF(C633="qwen",0,COUNTIFS($C$2:$C$976,"&lt;&gt;qwen",$S$2:$S$976,"&lt;"&amp;S633)+1)</f>
        <v/>
      </c>
      <c r="X633" s="73">
        <f>IF(C633="ministral",0,COUNTIFS($C$2:$C$976,"&lt;&gt;ministral",$S$2:$S$976,"&lt;"&amp;S633)+1)</f>
        <v/>
      </c>
      <c r="Y633" s="73">
        <f>IF(C633="gemma",0,COUNTIFS($C$2:$C$976,"&lt;&gt;gemma",$S$2:$S$976,"&lt;"&amp;S633)+1)</f>
        <v/>
      </c>
      <c r="Z633" s="87">
        <f>COUNTIFS($B$2:$B$976,B633,$C$2:$C$976,C633,$S$2:$S$976,"&lt;"&amp;S633)+1</f>
        <v/>
      </c>
      <c r="AA633" s="88">
        <f>ABS(S633-SUMPRODUCT(('05B_가정검정'!$A$5:$A$19=B633)*('05B_가정검정'!$B$5:$B$19=C633)*'05B_가정검정'!$E$5:$E$19))</f>
        <v/>
      </c>
      <c r="AB633" s="88">
        <f>S633-AVERAGEIFS($S$2:$S$976,$B$2:$B$976,B633,$C$2:$C$976,C633)</f>
        <v/>
      </c>
    </row>
    <row r="634" ht="15" customHeight="1" s="68">
      <c r="A634" s="83" t="inlineStr">
        <is>
          <t>RPT-12</t>
        </is>
      </c>
      <c r="B634" s="83" t="inlineStr">
        <is>
          <t>chatgpt</t>
        </is>
      </c>
      <c r="C634" s="83" t="inlineStr">
        <is>
          <t>qwen</t>
        </is>
      </c>
      <c r="D634" s="84" t="n">
        <v>0.275204359673025</v>
      </c>
      <c r="E634" s="84" t="n">
        <v>0.41304347826087</v>
      </c>
      <c r="F634" s="84" t="n">
        <v>0.21978021978022</v>
      </c>
      <c r="G634" s="84" t="n">
        <v>0.347826086956522</v>
      </c>
      <c r="H634" s="84" t="n">
        <v>0.238055119927031</v>
      </c>
      <c r="I634" s="84" t="n">
        <v>0.309855742821607</v>
      </c>
      <c r="J634" s="84" t="n">
        <v>0.6626853617576099</v>
      </c>
      <c r="K634" s="84" t="n">
        <v>0.586695686817011</v>
      </c>
      <c r="L634" s="84" t="n">
        <v>0.73343855991448</v>
      </c>
      <c r="M634" s="84" t="n">
        <v>0.515151515151515</v>
      </c>
      <c r="N634" s="84" t="n">
        <v>0</v>
      </c>
      <c r="O634" s="84" t="n">
        <v>1</v>
      </c>
      <c r="P634" s="85">
        <f>AVERAGE(D634:I634)</f>
        <v/>
      </c>
      <c r="Q634" s="85">
        <f>AVERAGE(J634:L634)</f>
        <v/>
      </c>
      <c r="R634" s="85">
        <f>AVERAGE(M634:O634)</f>
        <v/>
      </c>
      <c r="S634" s="85">
        <f>'02_지표정의'!$C$22*P634+'02_지표정의'!$C$23*Q634+'02_지표정의'!$C$24*R634</f>
        <v/>
      </c>
      <c r="T634" s="73">
        <f>IF(OR(AND(B634="gemini",C634="gemma"),AND(B634="qwen3_6",C634="qwen"),AND(B634="mistral",C634="ministral")),1,0)</f>
        <v/>
      </c>
      <c r="U634" s="73">
        <f>IF(LEFT(A634,3)="PAT","특허","보고서")</f>
        <v/>
      </c>
      <c r="V634" s="86">
        <f>COUNTIF($S$2:$S$976,"&lt;"&amp;S634)+(COUNTIF($S$2:$S$976,"="&amp;S634)+1)/2</f>
        <v/>
      </c>
      <c r="W634" s="73">
        <f>IF(C634="qwen",0,COUNTIFS($C$2:$C$976,"&lt;&gt;qwen",$S$2:$S$976,"&lt;"&amp;S634)+1)</f>
        <v/>
      </c>
      <c r="X634" s="73">
        <f>IF(C634="ministral",0,COUNTIFS($C$2:$C$976,"&lt;&gt;ministral",$S$2:$S$976,"&lt;"&amp;S634)+1)</f>
        <v/>
      </c>
      <c r="Y634" s="73">
        <f>IF(C634="gemma",0,COUNTIFS($C$2:$C$976,"&lt;&gt;gemma",$S$2:$S$976,"&lt;"&amp;S634)+1)</f>
        <v/>
      </c>
      <c r="Z634" s="87">
        <f>COUNTIFS($B$2:$B$976,B634,$C$2:$C$976,C634,$S$2:$S$976,"&lt;"&amp;S634)+1</f>
        <v/>
      </c>
      <c r="AA634" s="88">
        <f>ABS(S634-SUMPRODUCT(('05B_가정검정'!$A$5:$A$19=B634)*('05B_가정검정'!$B$5:$B$19=C634)*'05B_가정검정'!$E$5:$E$19))</f>
        <v/>
      </c>
      <c r="AB634" s="88">
        <f>S634-AVERAGEIFS($S$2:$S$976,$B$2:$B$976,B634,$C$2:$C$976,C634)</f>
        <v/>
      </c>
    </row>
    <row r="635" ht="15" customHeight="1" s="68">
      <c r="A635" s="83" t="inlineStr">
        <is>
          <t>RPT-12</t>
        </is>
      </c>
      <c r="B635" s="83" t="inlineStr">
        <is>
          <t>claude</t>
        </is>
      </c>
      <c r="C635" s="83" t="inlineStr">
        <is>
          <t>gemma</t>
        </is>
      </c>
      <c r="D635" s="84" t="n">
        <v>0.245739910313901</v>
      </c>
      <c r="E635" s="84" t="n">
        <v>0.393939393939394</v>
      </c>
      <c r="F635" s="84" t="n">
        <v>0.137404580152672</v>
      </c>
      <c r="G635" s="84" t="n">
        <v>0.234848484848485</v>
      </c>
      <c r="H635" s="84" t="n">
        <v>0.329102532543707</v>
      </c>
      <c r="I635" s="84" t="n">
        <v>0.171970843401981</v>
      </c>
      <c r="J635" s="84" t="n">
        <v>0.698836089021408</v>
      </c>
      <c r="K635" s="84" t="n">
        <v>0.663504547053606</v>
      </c>
      <c r="L635" s="84" t="n">
        <v>0.834722872962895</v>
      </c>
      <c r="M635" s="84" t="n">
        <v>0.567073170731707</v>
      </c>
      <c r="N635" s="84" t="n">
        <v>0.521276595744681</v>
      </c>
      <c r="O635" s="84" t="n">
        <v>1</v>
      </c>
      <c r="P635" s="85">
        <f>AVERAGE(D635:I635)</f>
        <v/>
      </c>
      <c r="Q635" s="85">
        <f>AVERAGE(J635:L635)</f>
        <v/>
      </c>
      <c r="R635" s="85">
        <f>AVERAGE(M635:O635)</f>
        <v/>
      </c>
      <c r="S635" s="85">
        <f>'02_지표정의'!$C$22*P635+'02_지표정의'!$C$23*Q635+'02_지표정의'!$C$24*R635</f>
        <v/>
      </c>
      <c r="T635" s="73">
        <f>IF(OR(AND(B635="gemini",C635="gemma"),AND(B635="qwen3_6",C635="qwen"),AND(B635="mistral",C635="ministral")),1,0)</f>
        <v/>
      </c>
      <c r="U635" s="73">
        <f>IF(LEFT(A635,3)="PAT","특허","보고서")</f>
        <v/>
      </c>
      <c r="V635" s="86">
        <f>COUNTIF($S$2:$S$976,"&lt;"&amp;S635)+(COUNTIF($S$2:$S$976,"="&amp;S635)+1)/2</f>
        <v/>
      </c>
      <c r="W635" s="73">
        <f>IF(C635="qwen",0,COUNTIFS($C$2:$C$976,"&lt;&gt;qwen",$S$2:$S$976,"&lt;"&amp;S635)+1)</f>
        <v/>
      </c>
      <c r="X635" s="73">
        <f>IF(C635="ministral",0,COUNTIFS($C$2:$C$976,"&lt;&gt;ministral",$S$2:$S$976,"&lt;"&amp;S635)+1)</f>
        <v/>
      </c>
      <c r="Y635" s="73">
        <f>IF(C635="gemma",0,COUNTIFS($C$2:$C$976,"&lt;&gt;gemma",$S$2:$S$976,"&lt;"&amp;S635)+1)</f>
        <v/>
      </c>
      <c r="Z635" s="87">
        <f>COUNTIFS($B$2:$B$976,B635,$C$2:$C$976,C635,$S$2:$S$976,"&lt;"&amp;S635)+1</f>
        <v/>
      </c>
      <c r="AA635" s="88">
        <f>ABS(S635-SUMPRODUCT(('05B_가정검정'!$A$5:$A$19=B635)*('05B_가정검정'!$B$5:$B$19=C635)*'05B_가정검정'!$E$5:$E$19))</f>
        <v/>
      </c>
      <c r="AB635" s="88">
        <f>S635-AVERAGEIFS($S$2:$S$976,$B$2:$B$976,B635,$C$2:$C$976,C635)</f>
        <v/>
      </c>
    </row>
    <row r="636" ht="15" customHeight="1" s="68">
      <c r="A636" s="83" t="inlineStr">
        <is>
          <t>RPT-12</t>
        </is>
      </c>
      <c r="B636" s="83" t="inlineStr">
        <is>
          <t>claude</t>
        </is>
      </c>
      <c r="C636" s="83" t="inlineStr">
        <is>
          <t>ministral</t>
        </is>
      </c>
      <c r="D636" s="84" t="n">
        <v>0.270152505446623</v>
      </c>
      <c r="E636" s="84" t="n">
        <v>0.326530612244898</v>
      </c>
      <c r="F636" s="84" t="n">
        <v>0.116438356164384</v>
      </c>
      <c r="G636" s="84" t="n">
        <v>0.27891156462585</v>
      </c>
      <c r="H636" s="84" t="n">
        <v>0.279582513362929</v>
      </c>
      <c r="I636" s="84" t="n">
        <v>0.208584104048355</v>
      </c>
      <c r="J636" s="84" t="n">
        <v>0.713064846242226</v>
      </c>
      <c r="K636" s="84" t="n">
        <v>0.636638715693438</v>
      </c>
      <c r="L636" s="84" t="n">
        <v>0.81935577430097</v>
      </c>
      <c r="M636" s="84" t="n">
        <v>0.431372549019608</v>
      </c>
      <c r="N636" s="84" t="n">
        <v>0.201342281879195</v>
      </c>
      <c r="O636" s="84" t="n">
        <v>0.526315789473684</v>
      </c>
      <c r="P636" s="85">
        <f>AVERAGE(D636:I636)</f>
        <v/>
      </c>
      <c r="Q636" s="85">
        <f>AVERAGE(J636:L636)</f>
        <v/>
      </c>
      <c r="R636" s="85">
        <f>AVERAGE(M636:O636)</f>
        <v/>
      </c>
      <c r="S636" s="85">
        <f>'02_지표정의'!$C$22*P636+'02_지표정의'!$C$23*Q636+'02_지표정의'!$C$24*R636</f>
        <v/>
      </c>
      <c r="T636" s="73">
        <f>IF(OR(AND(B636="gemini",C636="gemma"),AND(B636="qwen3_6",C636="qwen"),AND(B636="mistral",C636="ministral")),1,0)</f>
        <v/>
      </c>
      <c r="U636" s="73">
        <f>IF(LEFT(A636,3)="PAT","특허","보고서")</f>
        <v/>
      </c>
      <c r="V636" s="86">
        <f>COUNTIF($S$2:$S$976,"&lt;"&amp;S636)+(COUNTIF($S$2:$S$976,"="&amp;S636)+1)/2</f>
        <v/>
      </c>
      <c r="W636" s="73">
        <f>IF(C636="qwen",0,COUNTIFS($C$2:$C$976,"&lt;&gt;qwen",$S$2:$S$976,"&lt;"&amp;S636)+1)</f>
        <v/>
      </c>
      <c r="X636" s="73">
        <f>IF(C636="ministral",0,COUNTIFS($C$2:$C$976,"&lt;&gt;ministral",$S$2:$S$976,"&lt;"&amp;S636)+1)</f>
        <v/>
      </c>
      <c r="Y636" s="73">
        <f>IF(C636="gemma",0,COUNTIFS($C$2:$C$976,"&lt;&gt;gemma",$S$2:$S$976,"&lt;"&amp;S636)+1)</f>
        <v/>
      </c>
      <c r="Z636" s="87">
        <f>COUNTIFS($B$2:$B$976,B636,$C$2:$C$976,C636,$S$2:$S$976,"&lt;"&amp;S636)+1</f>
        <v/>
      </c>
      <c r="AA636" s="88">
        <f>ABS(S636-SUMPRODUCT(('05B_가정검정'!$A$5:$A$19=B636)*('05B_가정검정'!$B$5:$B$19=C636)*'05B_가정검정'!$E$5:$E$19))</f>
        <v/>
      </c>
      <c r="AB636" s="88">
        <f>S636-AVERAGEIFS($S$2:$S$976,$B$2:$B$976,B636,$C$2:$C$976,C636)</f>
        <v/>
      </c>
    </row>
    <row r="637" ht="15" customHeight="1" s="68">
      <c r="A637" s="83" t="inlineStr">
        <is>
          <t>RPT-12</t>
        </is>
      </c>
      <c r="B637" s="83" t="inlineStr">
        <is>
          <t>claude</t>
        </is>
      </c>
      <c r="C637" s="83" t="inlineStr">
        <is>
          <t>qwen</t>
        </is>
      </c>
      <c r="D637" s="84" t="n">
        <v>0.263940520446097</v>
      </c>
      <c r="E637" s="84" t="n">
        <v>0.443548387096774</v>
      </c>
      <c r="F637" s="84" t="n">
        <v>0.186991869918699</v>
      </c>
      <c r="G637" s="84" t="n">
        <v>0.330645161290323</v>
      </c>
      <c r="H637" s="84" t="n">
        <v>0.395540480667085</v>
      </c>
      <c r="I637" s="84" t="n">
        <v>0.252379137582659</v>
      </c>
      <c r="J637" s="84" t="n">
        <v>0.716842855225724</v>
      </c>
      <c r="K637" s="84" t="n">
        <v>0.643141292424138</v>
      </c>
      <c r="L637" s="84" t="n">
        <v>0.843589056987658</v>
      </c>
      <c r="M637" s="84" t="n">
        <v>0.695121951219512</v>
      </c>
      <c r="N637" s="84" t="n">
        <v>0.734042553191489</v>
      </c>
      <c r="O637" s="84" t="n">
        <v>1</v>
      </c>
      <c r="P637" s="85">
        <f>AVERAGE(D637:I637)</f>
        <v/>
      </c>
      <c r="Q637" s="85">
        <f>AVERAGE(J637:L637)</f>
        <v/>
      </c>
      <c r="R637" s="85">
        <f>AVERAGE(M637:O637)</f>
        <v/>
      </c>
      <c r="S637" s="85">
        <f>'02_지표정의'!$C$22*P637+'02_지표정의'!$C$23*Q637+'02_지표정의'!$C$24*R637</f>
        <v/>
      </c>
      <c r="T637" s="73">
        <f>IF(OR(AND(B637="gemini",C637="gemma"),AND(B637="qwen3_6",C637="qwen"),AND(B637="mistral",C637="ministral")),1,0)</f>
        <v/>
      </c>
      <c r="U637" s="73">
        <f>IF(LEFT(A637,3)="PAT","특허","보고서")</f>
        <v/>
      </c>
      <c r="V637" s="86">
        <f>COUNTIF($S$2:$S$976,"&lt;"&amp;S637)+(COUNTIF($S$2:$S$976,"="&amp;S637)+1)/2</f>
        <v/>
      </c>
      <c r="W637" s="73">
        <f>IF(C637="qwen",0,COUNTIFS($C$2:$C$976,"&lt;&gt;qwen",$S$2:$S$976,"&lt;"&amp;S637)+1)</f>
        <v/>
      </c>
      <c r="X637" s="73">
        <f>IF(C637="ministral",0,COUNTIFS($C$2:$C$976,"&lt;&gt;ministral",$S$2:$S$976,"&lt;"&amp;S637)+1)</f>
        <v/>
      </c>
      <c r="Y637" s="73">
        <f>IF(C637="gemma",0,COUNTIFS($C$2:$C$976,"&lt;&gt;gemma",$S$2:$S$976,"&lt;"&amp;S637)+1)</f>
        <v/>
      </c>
      <c r="Z637" s="87">
        <f>COUNTIFS($B$2:$B$976,B637,$C$2:$C$976,C637,$S$2:$S$976,"&lt;"&amp;S637)+1</f>
        <v/>
      </c>
      <c r="AA637" s="88">
        <f>ABS(S637-SUMPRODUCT(('05B_가정검정'!$A$5:$A$19=B637)*('05B_가정검정'!$B$5:$B$19=C637)*'05B_가정검정'!$E$5:$E$19))</f>
        <v/>
      </c>
      <c r="AB637" s="88">
        <f>S637-AVERAGEIFS($S$2:$S$976,$B$2:$B$976,B637,$C$2:$C$976,C637)</f>
        <v/>
      </c>
    </row>
    <row r="638" ht="15" customHeight="1" s="68">
      <c r="A638" s="83" t="inlineStr">
        <is>
          <t>RPT-12</t>
        </is>
      </c>
      <c r="B638" s="83" t="inlineStr">
        <is>
          <t>gemini</t>
        </is>
      </c>
      <c r="C638" s="83" t="inlineStr">
        <is>
          <t>gemma</t>
        </is>
      </c>
      <c r="D638" s="84" t="n">
        <v>0.266195524146054</v>
      </c>
      <c r="E638" s="84" t="n">
        <v>0.413461538461539</v>
      </c>
      <c r="F638" s="84" t="n">
        <v>0.16504854368932</v>
      </c>
      <c r="G638" s="84" t="n">
        <v>0.298076923076923</v>
      </c>
      <c r="H638" s="84" t="n">
        <v>0.30939802147794</v>
      </c>
      <c r="I638" s="84" t="n">
        <v>0.188294540266507</v>
      </c>
      <c r="J638" s="84" t="n">
        <v>0.748468101380706</v>
      </c>
      <c r="K638" s="84" t="n">
        <v>0.754413808370456</v>
      </c>
      <c r="L638" s="84" t="n">
        <v>0.878263203416024</v>
      </c>
      <c r="M638" s="84" t="n">
        <v>0.906542056074766</v>
      </c>
      <c r="N638" s="84" t="n">
        <v>0.916666666666667</v>
      </c>
      <c r="O638" s="84" t="n">
        <v>1</v>
      </c>
      <c r="P638" s="85">
        <f>AVERAGE(D638:I638)</f>
        <v/>
      </c>
      <c r="Q638" s="85">
        <f>AVERAGE(J638:L638)</f>
        <v/>
      </c>
      <c r="R638" s="85">
        <f>AVERAGE(M638:O638)</f>
        <v/>
      </c>
      <c r="S638" s="85">
        <f>'02_지표정의'!$C$22*P638+'02_지표정의'!$C$23*Q638+'02_지표정의'!$C$24*R638</f>
        <v/>
      </c>
      <c r="T638" s="73">
        <f>IF(OR(AND(B638="gemini",C638="gemma"),AND(B638="qwen3_6",C638="qwen"),AND(B638="mistral",C638="ministral")),1,0)</f>
        <v/>
      </c>
      <c r="U638" s="73">
        <f>IF(LEFT(A638,3)="PAT","특허","보고서")</f>
        <v/>
      </c>
      <c r="V638" s="86">
        <f>COUNTIF($S$2:$S$976,"&lt;"&amp;S638)+(COUNTIF($S$2:$S$976,"="&amp;S638)+1)/2</f>
        <v/>
      </c>
      <c r="W638" s="73">
        <f>IF(C638="qwen",0,COUNTIFS($C$2:$C$976,"&lt;&gt;qwen",$S$2:$S$976,"&lt;"&amp;S638)+1)</f>
        <v/>
      </c>
      <c r="X638" s="73">
        <f>IF(C638="ministral",0,COUNTIFS($C$2:$C$976,"&lt;&gt;ministral",$S$2:$S$976,"&lt;"&amp;S638)+1)</f>
        <v/>
      </c>
      <c r="Y638" s="73">
        <f>IF(C638="gemma",0,COUNTIFS($C$2:$C$976,"&lt;&gt;gemma",$S$2:$S$976,"&lt;"&amp;S638)+1)</f>
        <v/>
      </c>
      <c r="Z638" s="87">
        <f>COUNTIFS($B$2:$B$976,B638,$C$2:$C$976,C638,$S$2:$S$976,"&lt;"&amp;S638)+1</f>
        <v/>
      </c>
      <c r="AA638" s="88">
        <f>ABS(S638-SUMPRODUCT(('05B_가정검정'!$A$5:$A$19=B638)*('05B_가정검정'!$B$5:$B$19=C638)*'05B_가정검정'!$E$5:$E$19))</f>
        <v/>
      </c>
      <c r="AB638" s="88">
        <f>S638-AVERAGEIFS($S$2:$S$976,$B$2:$B$976,B638,$C$2:$C$976,C638)</f>
        <v/>
      </c>
    </row>
    <row r="639" ht="15" customHeight="1" s="68">
      <c r="A639" s="83" t="inlineStr">
        <is>
          <t>RPT-12</t>
        </is>
      </c>
      <c r="B639" s="83" t="inlineStr">
        <is>
          <t>gemini</t>
        </is>
      </c>
      <c r="C639" s="83" t="inlineStr">
        <is>
          <t>ministral</t>
        </is>
      </c>
      <c r="D639" s="84" t="n">
        <v>0.285276073619632</v>
      </c>
      <c r="E639" s="84" t="n">
        <v>0.319327731092437</v>
      </c>
      <c r="F639" s="84" t="n">
        <v>0.127118644067797</v>
      </c>
      <c r="G639" s="84" t="n">
        <v>0.260504201680672</v>
      </c>
      <c r="H639" s="84" t="n">
        <v>0.216924978468353</v>
      </c>
      <c r="I639" s="84" t="n">
        <v>0.188277146817166</v>
      </c>
      <c r="J639" s="84" t="n">
        <v>0.7546400899090669</v>
      </c>
      <c r="K639" s="84" t="n">
        <v>0.756282682754188</v>
      </c>
      <c r="L639" s="84" t="n">
        <v>0.88234320822527</v>
      </c>
      <c r="M639" s="84" t="n">
        <v>0.271708683473389</v>
      </c>
      <c r="N639" s="84" t="n">
        <v>0.248322147651007</v>
      </c>
      <c r="O639" s="84" t="n">
        <v>0.526315789473684</v>
      </c>
      <c r="P639" s="85">
        <f>AVERAGE(D639:I639)</f>
        <v/>
      </c>
      <c r="Q639" s="85">
        <f>AVERAGE(J639:L639)</f>
        <v/>
      </c>
      <c r="R639" s="85">
        <f>AVERAGE(M639:O639)</f>
        <v/>
      </c>
      <c r="S639" s="85">
        <f>'02_지표정의'!$C$22*P639+'02_지표정의'!$C$23*Q639+'02_지표정의'!$C$24*R639</f>
        <v/>
      </c>
      <c r="T639" s="73">
        <f>IF(OR(AND(B639="gemini",C639="gemma"),AND(B639="qwen3_6",C639="qwen"),AND(B639="mistral",C639="ministral")),1,0)</f>
        <v/>
      </c>
      <c r="U639" s="73">
        <f>IF(LEFT(A639,3)="PAT","특허","보고서")</f>
        <v/>
      </c>
      <c r="V639" s="86">
        <f>COUNTIF($S$2:$S$976,"&lt;"&amp;S639)+(COUNTIF($S$2:$S$976,"="&amp;S639)+1)/2</f>
        <v/>
      </c>
      <c r="W639" s="73">
        <f>IF(C639="qwen",0,COUNTIFS($C$2:$C$976,"&lt;&gt;qwen",$S$2:$S$976,"&lt;"&amp;S639)+1)</f>
        <v/>
      </c>
      <c r="X639" s="73">
        <f>IF(C639="ministral",0,COUNTIFS($C$2:$C$976,"&lt;&gt;ministral",$S$2:$S$976,"&lt;"&amp;S639)+1)</f>
        <v/>
      </c>
      <c r="Y639" s="73">
        <f>IF(C639="gemma",0,COUNTIFS($C$2:$C$976,"&lt;&gt;gemma",$S$2:$S$976,"&lt;"&amp;S639)+1)</f>
        <v/>
      </c>
      <c r="Z639" s="87">
        <f>COUNTIFS($B$2:$B$976,B639,$C$2:$C$976,C639,$S$2:$S$976,"&lt;"&amp;S639)+1</f>
        <v/>
      </c>
      <c r="AA639" s="88">
        <f>ABS(S639-SUMPRODUCT(('05B_가정검정'!$A$5:$A$19=B639)*('05B_가정검정'!$B$5:$B$19=C639)*'05B_가정검정'!$E$5:$E$19))</f>
        <v/>
      </c>
      <c r="AB639" s="88">
        <f>S639-AVERAGEIFS($S$2:$S$976,$B$2:$B$976,B639,$C$2:$C$976,C639)</f>
        <v/>
      </c>
    </row>
    <row r="640" ht="15" customHeight="1" s="68">
      <c r="A640" s="83" t="inlineStr">
        <is>
          <t>RPT-12</t>
        </is>
      </c>
      <c r="B640" s="83" t="inlineStr">
        <is>
          <t>gemini</t>
        </is>
      </c>
      <c r="C640" s="83" t="inlineStr">
        <is>
          <t>qwen</t>
        </is>
      </c>
      <c r="D640" s="84" t="n">
        <v>0.281481481481482</v>
      </c>
      <c r="E640" s="84" t="n">
        <v>0.416666666666667</v>
      </c>
      <c r="F640" s="84" t="n">
        <v>0.189473684210526</v>
      </c>
      <c r="G640" s="84" t="n">
        <v>0.302083333333333</v>
      </c>
      <c r="H640" s="84" t="n">
        <v>0.284130103852276</v>
      </c>
      <c r="I640" s="84" t="n">
        <v>0.2623272697008</v>
      </c>
      <c r="J640" s="84" t="n">
        <v>0.7608885969489489</v>
      </c>
      <c r="K640" s="84" t="n">
        <v>0.733908593026867</v>
      </c>
      <c r="L640" s="84" t="n">
        <v>0.882257167183685</v>
      </c>
      <c r="M640" s="84" t="n">
        <v>0.702898550724638</v>
      </c>
      <c r="N640" s="84" t="n">
        <v>0.679012345679012</v>
      </c>
      <c r="O640" s="84" t="n">
        <v>1</v>
      </c>
      <c r="P640" s="85">
        <f>AVERAGE(D640:I640)</f>
        <v/>
      </c>
      <c r="Q640" s="85">
        <f>AVERAGE(J640:L640)</f>
        <v/>
      </c>
      <c r="R640" s="85">
        <f>AVERAGE(M640:O640)</f>
        <v/>
      </c>
      <c r="S640" s="85">
        <f>'02_지표정의'!$C$22*P640+'02_지표정의'!$C$23*Q640+'02_지표정의'!$C$24*R640</f>
        <v/>
      </c>
      <c r="T640" s="73">
        <f>IF(OR(AND(B640="gemini",C640="gemma"),AND(B640="qwen3_6",C640="qwen"),AND(B640="mistral",C640="ministral")),1,0)</f>
        <v/>
      </c>
      <c r="U640" s="73">
        <f>IF(LEFT(A640,3)="PAT","특허","보고서")</f>
        <v/>
      </c>
      <c r="V640" s="86">
        <f>COUNTIF($S$2:$S$976,"&lt;"&amp;S640)+(COUNTIF($S$2:$S$976,"="&amp;S640)+1)/2</f>
        <v/>
      </c>
      <c r="W640" s="73">
        <f>IF(C640="qwen",0,COUNTIFS($C$2:$C$976,"&lt;&gt;qwen",$S$2:$S$976,"&lt;"&amp;S640)+1)</f>
        <v/>
      </c>
      <c r="X640" s="73">
        <f>IF(C640="ministral",0,COUNTIFS($C$2:$C$976,"&lt;&gt;ministral",$S$2:$S$976,"&lt;"&amp;S640)+1)</f>
        <v/>
      </c>
      <c r="Y640" s="73">
        <f>IF(C640="gemma",0,COUNTIFS($C$2:$C$976,"&lt;&gt;gemma",$S$2:$S$976,"&lt;"&amp;S640)+1)</f>
        <v/>
      </c>
      <c r="Z640" s="87">
        <f>COUNTIFS($B$2:$B$976,B640,$C$2:$C$976,C640,$S$2:$S$976,"&lt;"&amp;S640)+1</f>
        <v/>
      </c>
      <c r="AA640" s="88">
        <f>ABS(S640-SUMPRODUCT(('05B_가정검정'!$A$5:$A$19=B640)*('05B_가정검정'!$B$5:$B$19=C640)*'05B_가정검정'!$E$5:$E$19))</f>
        <v/>
      </c>
      <c r="AB640" s="88">
        <f>S640-AVERAGEIFS($S$2:$S$976,$B$2:$B$976,B640,$C$2:$C$976,C640)</f>
        <v/>
      </c>
    </row>
    <row r="641" ht="15" customHeight="1" s="68">
      <c r="A641" s="83" t="inlineStr">
        <is>
          <t>RPT-12</t>
        </is>
      </c>
      <c r="B641" s="83" t="inlineStr">
        <is>
          <t>mistral</t>
        </is>
      </c>
      <c r="C641" s="83" t="inlineStr">
        <is>
          <t>gemma</t>
        </is>
      </c>
      <c r="D641" s="84" t="n">
        <v>0.223255813953488</v>
      </c>
      <c r="E641" s="84" t="n">
        <v>0.29535864978903</v>
      </c>
      <c r="F641" s="84" t="n">
        <v>0.119148936170213</v>
      </c>
      <c r="G641" s="84" t="n">
        <v>0.227848101265823</v>
      </c>
      <c r="H641" s="84" t="n">
        <v>0.314644001852863</v>
      </c>
      <c r="I641" s="84" t="n">
        <v>0.170859207490695</v>
      </c>
      <c r="J641" s="84" t="n">
        <v>0.707458950124026</v>
      </c>
      <c r="K641" s="84" t="n">
        <v>0.635114659097233</v>
      </c>
      <c r="L641" s="84" t="n">
        <v>0.793624598260857</v>
      </c>
      <c r="M641" s="84" t="n">
        <v>0.505434782608696</v>
      </c>
      <c r="N641" s="84" t="n">
        <v>0.471153846153846</v>
      </c>
      <c r="O641" s="84" t="n">
        <v>1</v>
      </c>
      <c r="P641" s="85">
        <f>AVERAGE(D641:I641)</f>
        <v/>
      </c>
      <c r="Q641" s="85">
        <f>AVERAGE(J641:L641)</f>
        <v/>
      </c>
      <c r="R641" s="85">
        <f>AVERAGE(M641:O641)</f>
        <v/>
      </c>
      <c r="S641" s="85">
        <f>'02_지표정의'!$C$22*P641+'02_지표정의'!$C$23*Q641+'02_지표정의'!$C$24*R641</f>
        <v/>
      </c>
      <c r="T641" s="73">
        <f>IF(OR(AND(B641="gemini",C641="gemma"),AND(B641="qwen3_6",C641="qwen"),AND(B641="mistral",C641="ministral")),1,0)</f>
        <v/>
      </c>
      <c r="U641" s="73">
        <f>IF(LEFT(A641,3)="PAT","특허","보고서")</f>
        <v/>
      </c>
      <c r="V641" s="86">
        <f>COUNTIF($S$2:$S$976,"&lt;"&amp;S641)+(COUNTIF($S$2:$S$976,"="&amp;S641)+1)/2</f>
        <v/>
      </c>
      <c r="W641" s="73">
        <f>IF(C641="qwen",0,COUNTIFS($C$2:$C$976,"&lt;&gt;qwen",$S$2:$S$976,"&lt;"&amp;S641)+1)</f>
        <v/>
      </c>
      <c r="X641" s="73">
        <f>IF(C641="ministral",0,COUNTIFS($C$2:$C$976,"&lt;&gt;ministral",$S$2:$S$976,"&lt;"&amp;S641)+1)</f>
        <v/>
      </c>
      <c r="Y641" s="73">
        <f>IF(C641="gemma",0,COUNTIFS($C$2:$C$976,"&lt;&gt;gemma",$S$2:$S$976,"&lt;"&amp;S641)+1)</f>
        <v/>
      </c>
      <c r="Z641" s="87">
        <f>COUNTIFS($B$2:$B$976,B641,$C$2:$C$976,C641,$S$2:$S$976,"&lt;"&amp;S641)+1</f>
        <v/>
      </c>
      <c r="AA641" s="88">
        <f>ABS(S641-SUMPRODUCT(('05B_가정검정'!$A$5:$A$19=B641)*('05B_가정검정'!$B$5:$B$19=C641)*'05B_가정검정'!$E$5:$E$19))</f>
        <v/>
      </c>
      <c r="AB641" s="88">
        <f>S641-AVERAGEIFS($S$2:$S$976,$B$2:$B$976,B641,$C$2:$C$976,C641)</f>
        <v/>
      </c>
    </row>
    <row r="642" ht="15" customHeight="1" s="68">
      <c r="A642" s="83" t="inlineStr">
        <is>
          <t>RPT-12</t>
        </is>
      </c>
      <c r="B642" s="83" t="inlineStr">
        <is>
          <t>mistral</t>
        </is>
      </c>
      <c r="C642" s="83" t="inlineStr">
        <is>
          <t>ministral</t>
        </is>
      </c>
      <c r="D642" s="84" t="n">
        <v>0.358974358974359</v>
      </c>
      <c r="E642" s="84" t="n">
        <v>0.367041198501873</v>
      </c>
      <c r="F642" s="84" t="n">
        <v>0.173584905660377</v>
      </c>
      <c r="G642" s="84" t="n">
        <v>0.292134831460674</v>
      </c>
      <c r="H642" s="84" t="n">
        <v>0.306878568200058</v>
      </c>
      <c r="I642" s="84" t="n">
        <v>0.32035189113548</v>
      </c>
      <c r="J642" s="84" t="n">
        <v>0.767601431218339</v>
      </c>
      <c r="K642" s="84" t="n">
        <v>0.6763837880110291</v>
      </c>
      <c r="L642" s="84" t="n">
        <v>0.812598081318578</v>
      </c>
      <c r="M642" s="84" t="n">
        <v>0.456582633053221</v>
      </c>
      <c r="N642" s="84" t="n">
        <v>0.140939597315436</v>
      </c>
      <c r="O642" s="84" t="n">
        <v>0.526315789473684</v>
      </c>
      <c r="P642" s="85">
        <f>AVERAGE(D642:I642)</f>
        <v/>
      </c>
      <c r="Q642" s="85">
        <f>AVERAGE(J642:L642)</f>
        <v/>
      </c>
      <c r="R642" s="85">
        <f>AVERAGE(M642:O642)</f>
        <v/>
      </c>
      <c r="S642" s="85">
        <f>'02_지표정의'!$C$22*P642+'02_지표정의'!$C$23*Q642+'02_지표정의'!$C$24*R642</f>
        <v/>
      </c>
      <c r="T642" s="73">
        <f>IF(OR(AND(B642="gemini",C642="gemma"),AND(B642="qwen3_6",C642="qwen"),AND(B642="mistral",C642="ministral")),1,0)</f>
        <v/>
      </c>
      <c r="U642" s="73">
        <f>IF(LEFT(A642,3)="PAT","특허","보고서")</f>
        <v/>
      </c>
      <c r="V642" s="86">
        <f>COUNTIF($S$2:$S$976,"&lt;"&amp;S642)+(COUNTIF($S$2:$S$976,"="&amp;S642)+1)/2</f>
        <v/>
      </c>
      <c r="W642" s="73">
        <f>IF(C642="qwen",0,COUNTIFS($C$2:$C$976,"&lt;&gt;qwen",$S$2:$S$976,"&lt;"&amp;S642)+1)</f>
        <v/>
      </c>
      <c r="X642" s="73">
        <f>IF(C642="ministral",0,COUNTIFS($C$2:$C$976,"&lt;&gt;ministral",$S$2:$S$976,"&lt;"&amp;S642)+1)</f>
        <v/>
      </c>
      <c r="Y642" s="73">
        <f>IF(C642="gemma",0,COUNTIFS($C$2:$C$976,"&lt;&gt;gemma",$S$2:$S$976,"&lt;"&amp;S642)+1)</f>
        <v/>
      </c>
      <c r="Z642" s="87">
        <f>COUNTIFS($B$2:$B$976,B642,$C$2:$C$976,C642,$S$2:$S$976,"&lt;"&amp;S642)+1</f>
        <v/>
      </c>
      <c r="AA642" s="88">
        <f>ABS(S642-SUMPRODUCT(('05B_가정검정'!$A$5:$A$19=B642)*('05B_가정검정'!$B$5:$B$19=C642)*'05B_가정검정'!$E$5:$E$19))</f>
        <v/>
      </c>
      <c r="AB642" s="88">
        <f>S642-AVERAGEIFS($S$2:$S$976,$B$2:$B$976,B642,$C$2:$C$976,C642)</f>
        <v/>
      </c>
    </row>
    <row r="643" ht="15" customHeight="1" s="68">
      <c r="A643" s="83" t="inlineStr">
        <is>
          <t>RPT-12</t>
        </is>
      </c>
      <c r="B643" s="83" t="inlineStr">
        <is>
          <t>mistral</t>
        </is>
      </c>
      <c r="C643" s="83" t="inlineStr">
        <is>
          <t>qwen</t>
        </is>
      </c>
      <c r="D643" s="84" t="n">
        <v>0.246041412911084</v>
      </c>
      <c r="E643" s="84" t="n">
        <v>0.470588235294118</v>
      </c>
      <c r="F643" s="84" t="n">
        <v>0.246575342465753</v>
      </c>
      <c r="G643" s="84" t="n">
        <v>0.380090497737557</v>
      </c>
      <c r="H643" s="84" t="n">
        <v>0.323904608192716</v>
      </c>
      <c r="I643" s="84" t="n">
        <v>0.224824999534118</v>
      </c>
      <c r="J643" s="84" t="n">
        <v>0.71836204313004</v>
      </c>
      <c r="K643" s="84" t="n">
        <v>0.616202635964867</v>
      </c>
      <c r="L643" s="84" t="n">
        <v>0.78555819845889</v>
      </c>
      <c r="M643" s="84" t="n">
        <v>0.641304347826087</v>
      </c>
      <c r="N643" s="84" t="n">
        <v>0.663461538461538</v>
      </c>
      <c r="O643" s="84" t="n">
        <v>1</v>
      </c>
      <c r="P643" s="85">
        <f>AVERAGE(D643:I643)</f>
        <v/>
      </c>
      <c r="Q643" s="85">
        <f>AVERAGE(J643:L643)</f>
        <v/>
      </c>
      <c r="R643" s="85">
        <f>AVERAGE(M643:O643)</f>
        <v/>
      </c>
      <c r="S643" s="85">
        <f>'02_지표정의'!$C$22*P643+'02_지표정의'!$C$23*Q643+'02_지표정의'!$C$24*R643</f>
        <v/>
      </c>
      <c r="T643" s="73">
        <f>IF(OR(AND(B643="gemini",C643="gemma"),AND(B643="qwen3_6",C643="qwen"),AND(B643="mistral",C643="ministral")),1,0)</f>
        <v/>
      </c>
      <c r="U643" s="73">
        <f>IF(LEFT(A643,3)="PAT","특허","보고서")</f>
        <v/>
      </c>
      <c r="V643" s="86">
        <f>COUNTIF($S$2:$S$976,"&lt;"&amp;S643)+(COUNTIF($S$2:$S$976,"="&amp;S643)+1)/2</f>
        <v/>
      </c>
      <c r="W643" s="73">
        <f>IF(C643="qwen",0,COUNTIFS($C$2:$C$976,"&lt;&gt;qwen",$S$2:$S$976,"&lt;"&amp;S643)+1)</f>
        <v/>
      </c>
      <c r="X643" s="73">
        <f>IF(C643="ministral",0,COUNTIFS($C$2:$C$976,"&lt;&gt;ministral",$S$2:$S$976,"&lt;"&amp;S643)+1)</f>
        <v/>
      </c>
      <c r="Y643" s="73">
        <f>IF(C643="gemma",0,COUNTIFS($C$2:$C$976,"&lt;&gt;gemma",$S$2:$S$976,"&lt;"&amp;S643)+1)</f>
        <v/>
      </c>
      <c r="Z643" s="87">
        <f>COUNTIFS($B$2:$B$976,B643,$C$2:$C$976,C643,$S$2:$S$976,"&lt;"&amp;S643)+1</f>
        <v/>
      </c>
      <c r="AA643" s="88">
        <f>ABS(S643-SUMPRODUCT(('05B_가정검정'!$A$5:$A$19=B643)*('05B_가정검정'!$B$5:$B$19=C643)*'05B_가정검정'!$E$5:$E$19))</f>
        <v/>
      </c>
      <c r="AB643" s="88">
        <f>S643-AVERAGEIFS($S$2:$S$976,$B$2:$B$976,B643,$C$2:$C$976,C643)</f>
        <v/>
      </c>
    </row>
    <row r="644" ht="15" customHeight="1" s="68">
      <c r="A644" s="83" t="inlineStr">
        <is>
          <t>RPT-12</t>
        </is>
      </c>
      <c r="B644" s="83" t="inlineStr">
        <is>
          <t>qwen3_6</t>
        </is>
      </c>
      <c r="C644" s="83" t="inlineStr">
        <is>
          <t>gemma</t>
        </is>
      </c>
      <c r="D644" s="84" t="n">
        <v>0.290010741138561</v>
      </c>
      <c r="E644" s="84" t="n">
        <v>0.394618834080718</v>
      </c>
      <c r="F644" s="84" t="n">
        <v>0.144796380090498</v>
      </c>
      <c r="G644" s="84" t="n">
        <v>0.278026905829596</v>
      </c>
      <c r="H644" s="84" t="n">
        <v>0.416919829531636</v>
      </c>
      <c r="I644" s="84" t="n">
        <v>0.207344531382578</v>
      </c>
      <c r="J644" s="84" t="n">
        <v>0.7237499115338339</v>
      </c>
      <c r="K644" s="84" t="n">
        <v>0.664639790752736</v>
      </c>
      <c r="L644" s="84" t="n">
        <v>0.860916261385122</v>
      </c>
      <c r="M644" s="84" t="n">
        <v>0.906542056074766</v>
      </c>
      <c r="N644" s="84" t="n">
        <v>0.916666666666667</v>
      </c>
      <c r="O644" s="84" t="n">
        <v>1</v>
      </c>
      <c r="P644" s="85">
        <f>AVERAGE(D644:I644)</f>
        <v/>
      </c>
      <c r="Q644" s="85">
        <f>AVERAGE(J644:L644)</f>
        <v/>
      </c>
      <c r="R644" s="85">
        <f>AVERAGE(M644:O644)</f>
        <v/>
      </c>
      <c r="S644" s="85">
        <f>'02_지표정의'!$C$22*P644+'02_지표정의'!$C$23*Q644+'02_지표정의'!$C$24*R644</f>
        <v/>
      </c>
      <c r="T644" s="73">
        <f>IF(OR(AND(B644="gemini",C644="gemma"),AND(B644="qwen3_6",C644="qwen"),AND(B644="mistral",C644="ministral")),1,0)</f>
        <v/>
      </c>
      <c r="U644" s="73">
        <f>IF(LEFT(A644,3)="PAT","특허","보고서")</f>
        <v/>
      </c>
      <c r="V644" s="86">
        <f>COUNTIF($S$2:$S$976,"&lt;"&amp;S644)+(COUNTIF($S$2:$S$976,"="&amp;S644)+1)/2</f>
        <v/>
      </c>
      <c r="W644" s="73">
        <f>IF(C644="qwen",0,COUNTIFS($C$2:$C$976,"&lt;&gt;qwen",$S$2:$S$976,"&lt;"&amp;S644)+1)</f>
        <v/>
      </c>
      <c r="X644" s="73">
        <f>IF(C644="ministral",0,COUNTIFS($C$2:$C$976,"&lt;&gt;ministral",$S$2:$S$976,"&lt;"&amp;S644)+1)</f>
        <v/>
      </c>
      <c r="Y644" s="73">
        <f>IF(C644="gemma",0,COUNTIFS($C$2:$C$976,"&lt;&gt;gemma",$S$2:$S$976,"&lt;"&amp;S644)+1)</f>
        <v/>
      </c>
      <c r="Z644" s="87">
        <f>COUNTIFS($B$2:$B$976,B644,$C$2:$C$976,C644,$S$2:$S$976,"&lt;"&amp;S644)+1</f>
        <v/>
      </c>
      <c r="AA644" s="88">
        <f>ABS(S644-SUMPRODUCT(('05B_가정검정'!$A$5:$A$19=B644)*('05B_가정검정'!$B$5:$B$19=C644)*'05B_가정검정'!$E$5:$E$19))</f>
        <v/>
      </c>
      <c r="AB644" s="88">
        <f>S644-AVERAGEIFS($S$2:$S$976,$B$2:$B$976,B644,$C$2:$C$976,C644)</f>
        <v/>
      </c>
    </row>
    <row r="645" ht="15" customHeight="1" s="68">
      <c r="A645" s="83" t="inlineStr">
        <is>
          <t>RPT-12</t>
        </is>
      </c>
      <c r="B645" s="83" t="inlineStr">
        <is>
          <t>qwen3_6</t>
        </is>
      </c>
      <c r="C645" s="83" t="inlineStr">
        <is>
          <t>ministral</t>
        </is>
      </c>
      <c r="D645" s="84" t="n">
        <v>0.264305177111717</v>
      </c>
      <c r="E645" s="84" t="n">
        <v>0.355731225296443</v>
      </c>
      <c r="F645" s="84" t="n">
        <v>0.159362549800797</v>
      </c>
      <c r="G645" s="84" t="n">
        <v>0.284584980237154</v>
      </c>
      <c r="H645" s="84" t="n">
        <v>0.270772632088841</v>
      </c>
      <c r="I645" s="84" t="n">
        <v>0.155507812672454</v>
      </c>
      <c r="J645" s="84" t="n">
        <v>0.725949950003162</v>
      </c>
      <c r="K645" s="84" t="n">
        <v>0.669471344656376</v>
      </c>
      <c r="L645" s="84" t="n">
        <v>0.857076561279038</v>
      </c>
      <c r="M645" s="84" t="n">
        <v>0.271708683473389</v>
      </c>
      <c r="N645" s="84" t="n">
        <v>0.248322147651007</v>
      </c>
      <c r="O645" s="84" t="n">
        <v>0.526315789473684</v>
      </c>
      <c r="P645" s="85">
        <f>AVERAGE(D645:I645)</f>
        <v/>
      </c>
      <c r="Q645" s="85">
        <f>AVERAGE(J645:L645)</f>
        <v/>
      </c>
      <c r="R645" s="85">
        <f>AVERAGE(M645:O645)</f>
        <v/>
      </c>
      <c r="S645" s="85">
        <f>'02_지표정의'!$C$22*P645+'02_지표정의'!$C$23*Q645+'02_지표정의'!$C$24*R645</f>
        <v/>
      </c>
      <c r="T645" s="73">
        <f>IF(OR(AND(B645="gemini",C645="gemma"),AND(B645="qwen3_6",C645="qwen"),AND(B645="mistral",C645="ministral")),1,0)</f>
        <v/>
      </c>
      <c r="U645" s="73">
        <f>IF(LEFT(A645,3)="PAT","특허","보고서")</f>
        <v/>
      </c>
      <c r="V645" s="86">
        <f>COUNTIF($S$2:$S$976,"&lt;"&amp;S645)+(COUNTIF($S$2:$S$976,"="&amp;S645)+1)/2</f>
        <v/>
      </c>
      <c r="W645" s="73">
        <f>IF(C645="qwen",0,COUNTIFS($C$2:$C$976,"&lt;&gt;qwen",$S$2:$S$976,"&lt;"&amp;S645)+1)</f>
        <v/>
      </c>
      <c r="X645" s="73">
        <f>IF(C645="ministral",0,COUNTIFS($C$2:$C$976,"&lt;&gt;ministral",$S$2:$S$976,"&lt;"&amp;S645)+1)</f>
        <v/>
      </c>
      <c r="Y645" s="73">
        <f>IF(C645="gemma",0,COUNTIFS($C$2:$C$976,"&lt;&gt;gemma",$S$2:$S$976,"&lt;"&amp;S645)+1)</f>
        <v/>
      </c>
      <c r="Z645" s="87">
        <f>COUNTIFS($B$2:$B$976,B645,$C$2:$C$976,C645,$S$2:$S$976,"&lt;"&amp;S645)+1</f>
        <v/>
      </c>
      <c r="AA645" s="88">
        <f>ABS(S645-SUMPRODUCT(('05B_가정검정'!$A$5:$A$19=B645)*('05B_가정검정'!$B$5:$B$19=C645)*'05B_가정검정'!$E$5:$E$19))</f>
        <v/>
      </c>
      <c r="AB645" s="88">
        <f>S645-AVERAGEIFS($S$2:$S$976,$B$2:$B$976,B645,$C$2:$C$976,C645)</f>
        <v/>
      </c>
    </row>
    <row r="646" ht="15" customHeight="1" s="68">
      <c r="A646" s="83" t="inlineStr">
        <is>
          <t>RPT-12</t>
        </is>
      </c>
      <c r="B646" s="83" t="inlineStr">
        <is>
          <t>qwen3_6</t>
        </is>
      </c>
      <c r="C646" s="83" t="inlineStr">
        <is>
          <t>qwen</t>
        </is>
      </c>
      <c r="D646" s="84" t="n">
        <v>0.289237668161435</v>
      </c>
      <c r="E646" s="84" t="n">
        <v>0.5120772946859899</v>
      </c>
      <c r="F646" s="84" t="n">
        <v>0.234146341463415</v>
      </c>
      <c r="G646" s="84" t="n">
        <v>0.357487922705314</v>
      </c>
      <c r="H646" s="84" t="n">
        <v>0.38801126597003</v>
      </c>
      <c r="I646" s="84" t="n">
        <v>0.325056909378231</v>
      </c>
      <c r="J646" s="84" t="n">
        <v>0.742203602362056</v>
      </c>
      <c r="K646" s="84" t="n">
        <v>0.663106965747286</v>
      </c>
      <c r="L646" s="84" t="n">
        <v>0.850696924340075</v>
      </c>
      <c r="M646" s="84" t="n">
        <v>0.702898550724638</v>
      </c>
      <c r="N646" s="84" t="n">
        <v>0.679012345679012</v>
      </c>
      <c r="O646" s="84" t="n">
        <v>1</v>
      </c>
      <c r="P646" s="85">
        <f>AVERAGE(D646:I646)</f>
        <v/>
      </c>
      <c r="Q646" s="85">
        <f>AVERAGE(J646:L646)</f>
        <v/>
      </c>
      <c r="R646" s="85">
        <f>AVERAGE(M646:O646)</f>
        <v/>
      </c>
      <c r="S646" s="85">
        <f>'02_지표정의'!$C$22*P646+'02_지표정의'!$C$23*Q646+'02_지표정의'!$C$24*R646</f>
        <v/>
      </c>
      <c r="T646" s="73">
        <f>IF(OR(AND(B646="gemini",C646="gemma"),AND(B646="qwen3_6",C646="qwen"),AND(B646="mistral",C646="ministral")),1,0)</f>
        <v/>
      </c>
      <c r="U646" s="73">
        <f>IF(LEFT(A646,3)="PAT","특허","보고서")</f>
        <v/>
      </c>
      <c r="V646" s="86">
        <f>COUNTIF($S$2:$S$976,"&lt;"&amp;S646)+(COUNTIF($S$2:$S$976,"="&amp;S646)+1)/2</f>
        <v/>
      </c>
      <c r="W646" s="73">
        <f>IF(C646="qwen",0,COUNTIFS($C$2:$C$976,"&lt;&gt;qwen",$S$2:$S$976,"&lt;"&amp;S646)+1)</f>
        <v/>
      </c>
      <c r="X646" s="73">
        <f>IF(C646="ministral",0,COUNTIFS($C$2:$C$976,"&lt;&gt;ministral",$S$2:$S$976,"&lt;"&amp;S646)+1)</f>
        <v/>
      </c>
      <c r="Y646" s="73">
        <f>IF(C646="gemma",0,COUNTIFS($C$2:$C$976,"&lt;&gt;gemma",$S$2:$S$976,"&lt;"&amp;S646)+1)</f>
        <v/>
      </c>
      <c r="Z646" s="87">
        <f>COUNTIFS($B$2:$B$976,B646,$C$2:$C$976,C646,$S$2:$S$976,"&lt;"&amp;S646)+1</f>
        <v/>
      </c>
      <c r="AA646" s="88">
        <f>ABS(S646-SUMPRODUCT(('05B_가정검정'!$A$5:$A$19=B646)*('05B_가정검정'!$B$5:$B$19=C646)*'05B_가정검정'!$E$5:$E$19))</f>
        <v/>
      </c>
      <c r="AB646" s="88">
        <f>S646-AVERAGEIFS($S$2:$S$976,$B$2:$B$976,B646,$C$2:$C$976,C646)</f>
        <v/>
      </c>
    </row>
    <row r="647" ht="15" customHeight="1" s="68">
      <c r="A647" s="83" t="inlineStr">
        <is>
          <t>RPT-13</t>
        </is>
      </c>
      <c r="B647" s="83" t="inlineStr">
        <is>
          <t>chatgpt</t>
        </is>
      </c>
      <c r="C647" s="83" t="inlineStr">
        <is>
          <t>gemma</t>
        </is>
      </c>
      <c r="D647" s="84" t="n">
        <v>0.257975034674064</v>
      </c>
      <c r="E647" s="84" t="n">
        <v>0.377880184331797</v>
      </c>
      <c r="F647" s="84" t="n">
        <v>0.158139534883721</v>
      </c>
      <c r="G647" s="84" t="n">
        <v>0.276497695852535</v>
      </c>
      <c r="H647" s="84" t="n">
        <v>0.243235188994881</v>
      </c>
      <c r="I647" s="84" t="n">
        <v>0.240478839856301</v>
      </c>
      <c r="J647" s="84" t="n">
        <v>0.7098399372220791</v>
      </c>
      <c r="K647" s="84" t="n">
        <v>0.680005774364195</v>
      </c>
      <c r="L647" s="84" t="n">
        <v>0.821866595438807</v>
      </c>
      <c r="M647" s="84" t="n">
        <v>0.515151515151515</v>
      </c>
      <c r="N647" s="84" t="n">
        <v>0.213483146067416</v>
      </c>
      <c r="O647" s="84" t="n">
        <v>1</v>
      </c>
      <c r="P647" s="85">
        <f>AVERAGE(D647:I647)</f>
        <v/>
      </c>
      <c r="Q647" s="85">
        <f>AVERAGE(J647:L647)</f>
        <v/>
      </c>
      <c r="R647" s="85">
        <f>AVERAGE(M647:O647)</f>
        <v/>
      </c>
      <c r="S647" s="85">
        <f>'02_지표정의'!$C$22*P647+'02_지표정의'!$C$23*Q647+'02_지표정의'!$C$24*R647</f>
        <v/>
      </c>
      <c r="T647" s="73">
        <f>IF(OR(AND(B647="gemini",C647="gemma"),AND(B647="qwen3_6",C647="qwen"),AND(B647="mistral",C647="ministral")),1,0)</f>
        <v/>
      </c>
      <c r="U647" s="73">
        <f>IF(LEFT(A647,3)="PAT","특허","보고서")</f>
        <v/>
      </c>
      <c r="V647" s="86">
        <f>COUNTIF($S$2:$S$976,"&lt;"&amp;S647)+(COUNTIF($S$2:$S$976,"="&amp;S647)+1)/2</f>
        <v/>
      </c>
      <c r="W647" s="73">
        <f>IF(C647="qwen",0,COUNTIFS($C$2:$C$976,"&lt;&gt;qwen",$S$2:$S$976,"&lt;"&amp;S647)+1)</f>
        <v/>
      </c>
      <c r="X647" s="73">
        <f>IF(C647="ministral",0,COUNTIFS($C$2:$C$976,"&lt;&gt;ministral",$S$2:$S$976,"&lt;"&amp;S647)+1)</f>
        <v/>
      </c>
      <c r="Y647" s="73">
        <f>IF(C647="gemma",0,COUNTIFS($C$2:$C$976,"&lt;&gt;gemma",$S$2:$S$976,"&lt;"&amp;S647)+1)</f>
        <v/>
      </c>
      <c r="Z647" s="87">
        <f>COUNTIFS($B$2:$B$976,B647,$C$2:$C$976,C647,$S$2:$S$976,"&lt;"&amp;S647)+1</f>
        <v/>
      </c>
      <c r="AA647" s="88">
        <f>ABS(S647-SUMPRODUCT(('05B_가정검정'!$A$5:$A$19=B647)*('05B_가정검정'!$B$5:$B$19=C647)*'05B_가정검정'!$E$5:$E$19))</f>
        <v/>
      </c>
      <c r="AB647" s="88">
        <f>S647-AVERAGEIFS($S$2:$S$976,$B$2:$B$976,B647,$C$2:$C$976,C647)</f>
        <v/>
      </c>
    </row>
    <row r="648" ht="15" customHeight="1" s="68">
      <c r="A648" s="83" t="inlineStr">
        <is>
          <t>RPT-13</t>
        </is>
      </c>
      <c r="B648" s="83" t="inlineStr">
        <is>
          <t>chatgpt</t>
        </is>
      </c>
      <c r="C648" s="83" t="inlineStr">
        <is>
          <t>ministral</t>
        </is>
      </c>
      <c r="D648" s="84" t="n">
        <v>0.293478260869565</v>
      </c>
      <c r="E648" s="84" t="n">
        <v>0.346774193548387</v>
      </c>
      <c r="F648" s="84" t="n">
        <v>0.170731707317073</v>
      </c>
      <c r="G648" s="84" t="n">
        <v>0.290322580645161</v>
      </c>
      <c r="H648" s="84" t="n">
        <v>0.184270157717706</v>
      </c>
      <c r="I648" s="84" t="n">
        <v>0.455077878744106</v>
      </c>
      <c r="J648" s="84" t="n">
        <v>0.6946258198463811</v>
      </c>
      <c r="K648" s="84" t="n">
        <v>0.694747429426823</v>
      </c>
      <c r="L648" s="84" t="n">
        <v>0.838210939118996</v>
      </c>
      <c r="M648" s="84" t="n">
        <v>0.487903225806452</v>
      </c>
      <c r="N648" s="84" t="n">
        <v>0</v>
      </c>
      <c r="O648" s="84" t="n">
        <v>0.526315789473684</v>
      </c>
      <c r="P648" s="85">
        <f>AVERAGE(D648:I648)</f>
        <v/>
      </c>
      <c r="Q648" s="85">
        <f>AVERAGE(J648:L648)</f>
        <v/>
      </c>
      <c r="R648" s="85">
        <f>AVERAGE(M648:O648)</f>
        <v/>
      </c>
      <c r="S648" s="85">
        <f>'02_지표정의'!$C$22*P648+'02_지표정의'!$C$23*Q648+'02_지표정의'!$C$24*R648</f>
        <v/>
      </c>
      <c r="T648" s="73">
        <f>IF(OR(AND(B648="gemini",C648="gemma"),AND(B648="qwen3_6",C648="qwen"),AND(B648="mistral",C648="ministral")),1,0)</f>
        <v/>
      </c>
      <c r="U648" s="73">
        <f>IF(LEFT(A648,3)="PAT","특허","보고서")</f>
        <v/>
      </c>
      <c r="V648" s="86">
        <f>COUNTIF($S$2:$S$976,"&lt;"&amp;S648)+(COUNTIF($S$2:$S$976,"="&amp;S648)+1)/2</f>
        <v/>
      </c>
      <c r="W648" s="73">
        <f>IF(C648="qwen",0,COUNTIFS($C$2:$C$976,"&lt;&gt;qwen",$S$2:$S$976,"&lt;"&amp;S648)+1)</f>
        <v/>
      </c>
      <c r="X648" s="73">
        <f>IF(C648="ministral",0,COUNTIFS($C$2:$C$976,"&lt;&gt;ministral",$S$2:$S$976,"&lt;"&amp;S648)+1)</f>
        <v/>
      </c>
      <c r="Y648" s="73">
        <f>IF(C648="gemma",0,COUNTIFS($C$2:$C$976,"&lt;&gt;gemma",$S$2:$S$976,"&lt;"&amp;S648)+1)</f>
        <v/>
      </c>
      <c r="Z648" s="87">
        <f>COUNTIFS($B$2:$B$976,B648,$C$2:$C$976,C648,$S$2:$S$976,"&lt;"&amp;S648)+1</f>
        <v/>
      </c>
      <c r="AA648" s="88">
        <f>ABS(S648-SUMPRODUCT(('05B_가정검정'!$A$5:$A$19=B648)*('05B_가정검정'!$B$5:$B$19=C648)*'05B_가정검정'!$E$5:$E$19))</f>
        <v/>
      </c>
      <c r="AB648" s="88">
        <f>S648-AVERAGEIFS($S$2:$S$976,$B$2:$B$976,B648,$C$2:$C$976,C648)</f>
        <v/>
      </c>
    </row>
    <row r="649" ht="15" customHeight="1" s="68">
      <c r="A649" s="83" t="inlineStr">
        <is>
          <t>RPT-13</t>
        </is>
      </c>
      <c r="B649" s="83" t="inlineStr">
        <is>
          <t>chatgpt</t>
        </is>
      </c>
      <c r="C649" s="83" t="inlineStr">
        <is>
          <t>qwen</t>
        </is>
      </c>
      <c r="D649" s="84" t="n">
        <v>0.297335203366059</v>
      </c>
      <c r="E649" s="84" t="n">
        <v>0.30625</v>
      </c>
      <c r="F649" s="84" t="n">
        <v>0.157232704402516</v>
      </c>
      <c r="G649" s="84" t="n">
        <v>0.23125</v>
      </c>
      <c r="H649" s="84" t="n">
        <v>0.227644198748681</v>
      </c>
      <c r="I649" s="84" t="n">
        <v>0.380651690788694</v>
      </c>
      <c r="J649" s="84" t="n">
        <v>0.713294593929513</v>
      </c>
      <c r="K649" s="84" t="n">
        <v>0.604222503832331</v>
      </c>
      <c r="L649" s="84" t="n">
        <v>0.7889457523323909</v>
      </c>
      <c r="M649" s="84" t="n">
        <v>0.438144329896907</v>
      </c>
      <c r="N649" s="84" t="n">
        <v>0.0505050505050505</v>
      </c>
      <c r="O649" s="84" t="n">
        <v>1</v>
      </c>
      <c r="P649" s="85">
        <f>AVERAGE(D649:I649)</f>
        <v/>
      </c>
      <c r="Q649" s="85">
        <f>AVERAGE(J649:L649)</f>
        <v/>
      </c>
      <c r="R649" s="85">
        <f>AVERAGE(M649:O649)</f>
        <v/>
      </c>
      <c r="S649" s="85">
        <f>'02_지표정의'!$C$22*P649+'02_지표정의'!$C$23*Q649+'02_지표정의'!$C$24*R649</f>
        <v/>
      </c>
      <c r="T649" s="73">
        <f>IF(OR(AND(B649="gemini",C649="gemma"),AND(B649="qwen3_6",C649="qwen"),AND(B649="mistral",C649="ministral")),1,0)</f>
        <v/>
      </c>
      <c r="U649" s="73">
        <f>IF(LEFT(A649,3)="PAT","특허","보고서")</f>
        <v/>
      </c>
      <c r="V649" s="86">
        <f>COUNTIF($S$2:$S$976,"&lt;"&amp;S649)+(COUNTIF($S$2:$S$976,"="&amp;S649)+1)/2</f>
        <v/>
      </c>
      <c r="W649" s="73">
        <f>IF(C649="qwen",0,COUNTIFS($C$2:$C$976,"&lt;&gt;qwen",$S$2:$S$976,"&lt;"&amp;S649)+1)</f>
        <v/>
      </c>
      <c r="X649" s="73">
        <f>IF(C649="ministral",0,COUNTIFS($C$2:$C$976,"&lt;&gt;ministral",$S$2:$S$976,"&lt;"&amp;S649)+1)</f>
        <v/>
      </c>
      <c r="Y649" s="73">
        <f>IF(C649="gemma",0,COUNTIFS($C$2:$C$976,"&lt;&gt;gemma",$S$2:$S$976,"&lt;"&amp;S649)+1)</f>
        <v/>
      </c>
      <c r="Z649" s="87">
        <f>COUNTIFS($B$2:$B$976,B649,$C$2:$C$976,C649,$S$2:$S$976,"&lt;"&amp;S649)+1</f>
        <v/>
      </c>
      <c r="AA649" s="88">
        <f>ABS(S649-SUMPRODUCT(('05B_가정검정'!$A$5:$A$19=B649)*('05B_가정검정'!$B$5:$B$19=C649)*'05B_가정검정'!$E$5:$E$19))</f>
        <v/>
      </c>
      <c r="AB649" s="88">
        <f>S649-AVERAGEIFS($S$2:$S$976,$B$2:$B$976,B649,$C$2:$C$976,C649)</f>
        <v/>
      </c>
    </row>
    <row r="650" ht="15" customHeight="1" s="68">
      <c r="A650" s="83" t="inlineStr">
        <is>
          <t>RPT-13</t>
        </is>
      </c>
      <c r="B650" s="83" t="inlineStr">
        <is>
          <t>claude</t>
        </is>
      </c>
      <c r="C650" s="83" t="inlineStr">
        <is>
          <t>gemma</t>
        </is>
      </c>
      <c r="D650" s="84" t="n">
        <v>0.268271711092003</v>
      </c>
      <c r="E650" s="84" t="n">
        <v>0.345971563981043</v>
      </c>
      <c r="F650" s="84" t="n">
        <v>0.114285714285714</v>
      </c>
      <c r="G650" s="84" t="n">
        <v>0.18957345971564</v>
      </c>
      <c r="H650" s="84" t="n">
        <v>0.287282692301558</v>
      </c>
      <c r="I650" s="84" t="n">
        <v>0.242636015945397</v>
      </c>
      <c r="J650" s="84" t="n">
        <v>0.690928205081174</v>
      </c>
      <c r="K650" s="84" t="n">
        <v>0.683349449364888</v>
      </c>
      <c r="L650" s="84" t="n">
        <v>0.8570938755363779</v>
      </c>
      <c r="M650" s="84" t="n">
        <v>0.645833333333333</v>
      </c>
      <c r="N650" s="84" t="n">
        <v>0.583333333333333</v>
      </c>
      <c r="O650" s="84" t="n">
        <v>1</v>
      </c>
      <c r="P650" s="85">
        <f>AVERAGE(D650:I650)</f>
        <v/>
      </c>
      <c r="Q650" s="85">
        <f>AVERAGE(J650:L650)</f>
        <v/>
      </c>
      <c r="R650" s="85">
        <f>AVERAGE(M650:O650)</f>
        <v/>
      </c>
      <c r="S650" s="85">
        <f>'02_지표정의'!$C$22*P650+'02_지표정의'!$C$23*Q650+'02_지표정의'!$C$24*R650</f>
        <v/>
      </c>
      <c r="T650" s="73">
        <f>IF(OR(AND(B650="gemini",C650="gemma"),AND(B650="qwen3_6",C650="qwen"),AND(B650="mistral",C650="ministral")),1,0)</f>
        <v/>
      </c>
      <c r="U650" s="73">
        <f>IF(LEFT(A650,3)="PAT","특허","보고서")</f>
        <v/>
      </c>
      <c r="V650" s="86">
        <f>COUNTIF($S$2:$S$976,"&lt;"&amp;S650)+(COUNTIF($S$2:$S$976,"="&amp;S650)+1)/2</f>
        <v/>
      </c>
      <c r="W650" s="73">
        <f>IF(C650="qwen",0,COUNTIFS($C$2:$C$976,"&lt;&gt;qwen",$S$2:$S$976,"&lt;"&amp;S650)+1)</f>
        <v/>
      </c>
      <c r="X650" s="73">
        <f>IF(C650="ministral",0,COUNTIFS($C$2:$C$976,"&lt;&gt;ministral",$S$2:$S$976,"&lt;"&amp;S650)+1)</f>
        <v/>
      </c>
      <c r="Y650" s="73">
        <f>IF(C650="gemma",0,COUNTIFS($C$2:$C$976,"&lt;&gt;gemma",$S$2:$S$976,"&lt;"&amp;S650)+1)</f>
        <v/>
      </c>
      <c r="Z650" s="87">
        <f>COUNTIFS($B$2:$B$976,B650,$C$2:$C$976,C650,$S$2:$S$976,"&lt;"&amp;S650)+1</f>
        <v/>
      </c>
      <c r="AA650" s="88">
        <f>ABS(S650-SUMPRODUCT(('05B_가정검정'!$A$5:$A$19=B650)*('05B_가정검정'!$B$5:$B$19=C650)*'05B_가정검정'!$E$5:$E$19))</f>
        <v/>
      </c>
      <c r="AB650" s="88">
        <f>S650-AVERAGEIFS($S$2:$S$976,$B$2:$B$976,B650,$C$2:$C$976,C650)</f>
        <v/>
      </c>
    </row>
    <row r="651" ht="15" customHeight="1" s="68">
      <c r="A651" s="83" t="inlineStr">
        <is>
          <t>RPT-13</t>
        </is>
      </c>
      <c r="B651" s="83" t="inlineStr">
        <is>
          <t>claude</t>
        </is>
      </c>
      <c r="C651" s="83" t="inlineStr">
        <is>
          <t>ministral</t>
        </is>
      </c>
      <c r="D651" s="84" t="n">
        <v>0.286926994906621</v>
      </c>
      <c r="E651" s="84" t="n">
        <v>0.362030905077263</v>
      </c>
      <c r="F651" s="84" t="n">
        <v>0.164079822616408</v>
      </c>
      <c r="G651" s="84" t="n">
        <v>0.264900662251656</v>
      </c>
      <c r="H651" s="84" t="n">
        <v>0.31957869470367</v>
      </c>
      <c r="I651" s="84" t="n">
        <v>0.440036226619398</v>
      </c>
      <c r="J651" s="84" t="n">
        <v>0.6983006091484379</v>
      </c>
      <c r="K651" s="84" t="n">
        <v>0.685982057041488</v>
      </c>
      <c r="L651" s="84" t="n">
        <v>0.859454007015712</v>
      </c>
      <c r="M651" s="84" t="n">
        <v>0.564516129032258</v>
      </c>
      <c r="N651" s="84" t="n">
        <v>0.31858407079646</v>
      </c>
      <c r="O651" s="84" t="n">
        <v>0.526315789473684</v>
      </c>
      <c r="P651" s="85">
        <f>AVERAGE(D651:I651)</f>
        <v/>
      </c>
      <c r="Q651" s="85">
        <f>AVERAGE(J651:L651)</f>
        <v/>
      </c>
      <c r="R651" s="85">
        <f>AVERAGE(M651:O651)</f>
        <v/>
      </c>
      <c r="S651" s="85">
        <f>'02_지표정의'!$C$22*P651+'02_지표정의'!$C$23*Q651+'02_지표정의'!$C$24*R651</f>
        <v/>
      </c>
      <c r="T651" s="73">
        <f>IF(OR(AND(B651="gemini",C651="gemma"),AND(B651="qwen3_6",C651="qwen"),AND(B651="mistral",C651="ministral")),1,0)</f>
        <v/>
      </c>
      <c r="U651" s="73">
        <f>IF(LEFT(A651,3)="PAT","특허","보고서")</f>
        <v/>
      </c>
      <c r="V651" s="86">
        <f>COUNTIF($S$2:$S$976,"&lt;"&amp;S651)+(COUNTIF($S$2:$S$976,"="&amp;S651)+1)/2</f>
        <v/>
      </c>
      <c r="W651" s="73">
        <f>IF(C651="qwen",0,COUNTIFS($C$2:$C$976,"&lt;&gt;qwen",$S$2:$S$976,"&lt;"&amp;S651)+1)</f>
        <v/>
      </c>
      <c r="X651" s="73">
        <f>IF(C651="ministral",0,COUNTIFS($C$2:$C$976,"&lt;&gt;ministral",$S$2:$S$976,"&lt;"&amp;S651)+1)</f>
        <v/>
      </c>
      <c r="Y651" s="73">
        <f>IF(C651="gemma",0,COUNTIFS($C$2:$C$976,"&lt;&gt;gemma",$S$2:$S$976,"&lt;"&amp;S651)+1)</f>
        <v/>
      </c>
      <c r="Z651" s="87">
        <f>COUNTIFS($B$2:$B$976,B651,$C$2:$C$976,C651,$S$2:$S$976,"&lt;"&amp;S651)+1</f>
        <v/>
      </c>
      <c r="AA651" s="88">
        <f>ABS(S651-SUMPRODUCT(('05B_가정검정'!$A$5:$A$19=B651)*('05B_가정검정'!$B$5:$B$19=C651)*'05B_가정검정'!$E$5:$E$19))</f>
        <v/>
      </c>
      <c r="AB651" s="88">
        <f>S651-AVERAGEIFS($S$2:$S$976,$B$2:$B$976,B651,$C$2:$C$976,C651)</f>
        <v/>
      </c>
    </row>
    <row r="652" ht="15" customHeight="1" s="68">
      <c r="A652" s="83" t="inlineStr">
        <is>
          <t>RPT-13</t>
        </is>
      </c>
      <c r="B652" s="83" t="inlineStr">
        <is>
          <t>claude</t>
        </is>
      </c>
      <c r="C652" s="83" t="inlineStr">
        <is>
          <t>qwen</t>
        </is>
      </c>
      <c r="D652" s="84" t="n">
        <v>0.301298701298701</v>
      </c>
      <c r="E652" s="84" t="n">
        <v>0.460952380952381</v>
      </c>
      <c r="F652" s="84" t="n">
        <v>0.21414913957935</v>
      </c>
      <c r="G652" s="84" t="n">
        <v>0.266666666666667</v>
      </c>
      <c r="H652" s="84" t="n">
        <v>0.360641881417291</v>
      </c>
      <c r="I652" s="84" t="n">
        <v>0.46109695387131</v>
      </c>
      <c r="J652" s="84" t="n">
        <v>0.708985214659457</v>
      </c>
      <c r="K652" s="84" t="n">
        <v>0.631651768932862</v>
      </c>
      <c r="L652" s="84" t="n">
        <v>0.85229606723982</v>
      </c>
      <c r="M652" s="84" t="n">
        <v>0.639175257731959</v>
      </c>
      <c r="N652" s="84" t="n">
        <v>0.666666666666667</v>
      </c>
      <c r="O652" s="84" t="n">
        <v>1</v>
      </c>
      <c r="P652" s="85">
        <f>AVERAGE(D652:I652)</f>
        <v/>
      </c>
      <c r="Q652" s="85">
        <f>AVERAGE(J652:L652)</f>
        <v/>
      </c>
      <c r="R652" s="85">
        <f>AVERAGE(M652:O652)</f>
        <v/>
      </c>
      <c r="S652" s="85">
        <f>'02_지표정의'!$C$22*P652+'02_지표정의'!$C$23*Q652+'02_지표정의'!$C$24*R652</f>
        <v/>
      </c>
      <c r="T652" s="73">
        <f>IF(OR(AND(B652="gemini",C652="gemma"),AND(B652="qwen3_6",C652="qwen"),AND(B652="mistral",C652="ministral")),1,0)</f>
        <v/>
      </c>
      <c r="U652" s="73">
        <f>IF(LEFT(A652,3)="PAT","특허","보고서")</f>
        <v/>
      </c>
      <c r="V652" s="86">
        <f>COUNTIF($S$2:$S$976,"&lt;"&amp;S652)+(COUNTIF($S$2:$S$976,"="&amp;S652)+1)/2</f>
        <v/>
      </c>
      <c r="W652" s="73">
        <f>IF(C652="qwen",0,COUNTIFS($C$2:$C$976,"&lt;&gt;qwen",$S$2:$S$976,"&lt;"&amp;S652)+1)</f>
        <v/>
      </c>
      <c r="X652" s="73">
        <f>IF(C652="ministral",0,COUNTIFS($C$2:$C$976,"&lt;&gt;ministral",$S$2:$S$976,"&lt;"&amp;S652)+1)</f>
        <v/>
      </c>
      <c r="Y652" s="73">
        <f>IF(C652="gemma",0,COUNTIFS($C$2:$C$976,"&lt;&gt;gemma",$S$2:$S$976,"&lt;"&amp;S652)+1)</f>
        <v/>
      </c>
      <c r="Z652" s="87">
        <f>COUNTIFS($B$2:$B$976,B652,$C$2:$C$976,C652,$S$2:$S$976,"&lt;"&amp;S652)+1</f>
        <v/>
      </c>
      <c r="AA652" s="88">
        <f>ABS(S652-SUMPRODUCT(('05B_가정검정'!$A$5:$A$19=B652)*('05B_가정검정'!$B$5:$B$19=C652)*'05B_가정검정'!$E$5:$E$19))</f>
        <v/>
      </c>
      <c r="AB652" s="88">
        <f>S652-AVERAGEIFS($S$2:$S$976,$B$2:$B$976,B652,$C$2:$C$976,C652)</f>
        <v/>
      </c>
    </row>
    <row r="653" ht="15" customHeight="1" s="68">
      <c r="A653" s="83" t="inlineStr">
        <is>
          <t>RPT-13</t>
        </is>
      </c>
      <c r="B653" s="83" t="inlineStr">
        <is>
          <t>gemini</t>
        </is>
      </c>
      <c r="C653" s="83" t="inlineStr">
        <is>
          <t>gemma</t>
        </is>
      </c>
      <c r="D653" s="84" t="n">
        <v>0.293827160493827</v>
      </c>
      <c r="E653" s="84" t="n">
        <v>0.5</v>
      </c>
      <c r="F653" s="84" t="n">
        <v>0.16</v>
      </c>
      <c r="G653" s="84" t="n">
        <v>0.301587301587302</v>
      </c>
      <c r="H653" s="84" t="n">
        <v>0.323072566535425</v>
      </c>
      <c r="I653" s="84" t="n">
        <v>0.222898112562859</v>
      </c>
      <c r="J653" s="84" t="n">
        <v>0.747104922530292</v>
      </c>
      <c r="K653" s="84" t="n">
        <v>0.755852873092712</v>
      </c>
      <c r="L653" s="84" t="n">
        <v>0.878250808240519</v>
      </c>
      <c r="M653" s="84" t="n">
        <v>0.906542056074766</v>
      </c>
      <c r="N653" s="84" t="n">
        <v>0.916666666666667</v>
      </c>
      <c r="O653" s="84" t="n">
        <v>1</v>
      </c>
      <c r="P653" s="85">
        <f>AVERAGE(D653:I653)</f>
        <v/>
      </c>
      <c r="Q653" s="85">
        <f>AVERAGE(J653:L653)</f>
        <v/>
      </c>
      <c r="R653" s="85">
        <f>AVERAGE(M653:O653)</f>
        <v/>
      </c>
      <c r="S653" s="85">
        <f>'02_지표정의'!$C$22*P653+'02_지표정의'!$C$23*Q653+'02_지표정의'!$C$24*R653</f>
        <v/>
      </c>
      <c r="T653" s="73">
        <f>IF(OR(AND(B653="gemini",C653="gemma"),AND(B653="qwen3_6",C653="qwen"),AND(B653="mistral",C653="ministral")),1,0)</f>
        <v/>
      </c>
      <c r="U653" s="73">
        <f>IF(LEFT(A653,3)="PAT","특허","보고서")</f>
        <v/>
      </c>
      <c r="V653" s="86">
        <f>COUNTIF($S$2:$S$976,"&lt;"&amp;S653)+(COUNTIF($S$2:$S$976,"="&amp;S653)+1)/2</f>
        <v/>
      </c>
      <c r="W653" s="73">
        <f>IF(C653="qwen",0,COUNTIFS($C$2:$C$976,"&lt;&gt;qwen",$S$2:$S$976,"&lt;"&amp;S653)+1)</f>
        <v/>
      </c>
      <c r="X653" s="73">
        <f>IF(C653="ministral",0,COUNTIFS($C$2:$C$976,"&lt;&gt;ministral",$S$2:$S$976,"&lt;"&amp;S653)+1)</f>
        <v/>
      </c>
      <c r="Y653" s="73">
        <f>IF(C653="gemma",0,COUNTIFS($C$2:$C$976,"&lt;&gt;gemma",$S$2:$S$976,"&lt;"&amp;S653)+1)</f>
        <v/>
      </c>
      <c r="Z653" s="87">
        <f>COUNTIFS($B$2:$B$976,B653,$C$2:$C$976,C653,$S$2:$S$976,"&lt;"&amp;S653)+1</f>
        <v/>
      </c>
      <c r="AA653" s="88">
        <f>ABS(S653-SUMPRODUCT(('05B_가정검정'!$A$5:$A$19=B653)*('05B_가정검정'!$B$5:$B$19=C653)*'05B_가정검정'!$E$5:$E$19))</f>
        <v/>
      </c>
      <c r="AB653" s="88">
        <f>S653-AVERAGEIFS($S$2:$S$976,$B$2:$B$976,B653,$C$2:$C$976,C653)</f>
        <v/>
      </c>
    </row>
    <row r="654" ht="15" customHeight="1" s="68">
      <c r="A654" s="83" t="inlineStr">
        <is>
          <t>RPT-13</t>
        </is>
      </c>
      <c r="B654" s="83" t="inlineStr">
        <is>
          <t>gemini</t>
        </is>
      </c>
      <c r="C654" s="83" t="inlineStr">
        <is>
          <t>ministral</t>
        </is>
      </c>
      <c r="D654" s="84" t="n">
        <v>0.281212121212121</v>
      </c>
      <c r="E654" s="84" t="n">
        <v>0.367491166077739</v>
      </c>
      <c r="F654" s="84" t="n">
        <v>0.149466192170819</v>
      </c>
      <c r="G654" s="84" t="n">
        <v>0.240282685512368</v>
      </c>
      <c r="H654" s="84" t="n">
        <v>0.218193265982139</v>
      </c>
      <c r="I654" s="84" t="n">
        <v>0.30929213098725</v>
      </c>
      <c r="J654" s="84" t="n">
        <v>0.742515274353209</v>
      </c>
      <c r="K654" s="84" t="n">
        <v>0.733099375022317</v>
      </c>
      <c r="L654" s="84" t="n">
        <v>0.864924673201149</v>
      </c>
      <c r="M654" s="84" t="n">
        <v>0.391129032258065</v>
      </c>
      <c r="N654" s="84" t="n">
        <v>0.327433628318584</v>
      </c>
      <c r="O654" s="84" t="n">
        <v>0.526315789473684</v>
      </c>
      <c r="P654" s="85">
        <f>AVERAGE(D654:I654)</f>
        <v/>
      </c>
      <c r="Q654" s="85">
        <f>AVERAGE(J654:L654)</f>
        <v/>
      </c>
      <c r="R654" s="85">
        <f>AVERAGE(M654:O654)</f>
        <v/>
      </c>
      <c r="S654" s="85">
        <f>'02_지표정의'!$C$22*P654+'02_지표정의'!$C$23*Q654+'02_지표정의'!$C$24*R654</f>
        <v/>
      </c>
      <c r="T654" s="73">
        <f>IF(OR(AND(B654="gemini",C654="gemma"),AND(B654="qwen3_6",C654="qwen"),AND(B654="mistral",C654="ministral")),1,0)</f>
        <v/>
      </c>
      <c r="U654" s="73">
        <f>IF(LEFT(A654,3)="PAT","특허","보고서")</f>
        <v/>
      </c>
      <c r="V654" s="86">
        <f>COUNTIF($S$2:$S$976,"&lt;"&amp;S654)+(COUNTIF($S$2:$S$976,"="&amp;S654)+1)/2</f>
        <v/>
      </c>
      <c r="W654" s="73">
        <f>IF(C654="qwen",0,COUNTIFS($C$2:$C$976,"&lt;&gt;qwen",$S$2:$S$976,"&lt;"&amp;S654)+1)</f>
        <v/>
      </c>
      <c r="X654" s="73">
        <f>IF(C654="ministral",0,COUNTIFS($C$2:$C$976,"&lt;&gt;ministral",$S$2:$S$976,"&lt;"&amp;S654)+1)</f>
        <v/>
      </c>
      <c r="Y654" s="73">
        <f>IF(C654="gemma",0,COUNTIFS($C$2:$C$976,"&lt;&gt;gemma",$S$2:$S$976,"&lt;"&amp;S654)+1)</f>
        <v/>
      </c>
      <c r="Z654" s="87">
        <f>COUNTIFS($B$2:$B$976,B654,$C$2:$C$976,C654,$S$2:$S$976,"&lt;"&amp;S654)+1</f>
        <v/>
      </c>
      <c r="AA654" s="88">
        <f>ABS(S654-SUMPRODUCT(('05B_가정검정'!$A$5:$A$19=B654)*('05B_가정검정'!$B$5:$B$19=C654)*'05B_가정검정'!$E$5:$E$19))</f>
        <v/>
      </c>
      <c r="AB654" s="88">
        <f>S654-AVERAGEIFS($S$2:$S$976,$B$2:$B$976,B654,$C$2:$C$976,C654)</f>
        <v/>
      </c>
    </row>
    <row r="655" ht="15" customHeight="1" s="68">
      <c r="A655" s="83" t="inlineStr">
        <is>
          <t>RPT-13</t>
        </is>
      </c>
      <c r="B655" s="83" t="inlineStr">
        <is>
          <t>gemini</t>
        </is>
      </c>
      <c r="C655" s="83" t="inlineStr">
        <is>
          <t>qwen</t>
        </is>
      </c>
      <c r="D655" s="84" t="n">
        <v>0.324189526184539</v>
      </c>
      <c r="E655" s="84" t="n">
        <v>0.433802816901409</v>
      </c>
      <c r="F655" s="84" t="n">
        <v>0.198300283286119</v>
      </c>
      <c r="G655" s="84" t="n">
        <v>0.276056338028169</v>
      </c>
      <c r="H655" s="84" t="n">
        <v>0.286432504002272</v>
      </c>
      <c r="I655" s="84" t="n">
        <v>0.375613912351083</v>
      </c>
      <c r="J655" s="84" t="n">
        <v>0.775228427554383</v>
      </c>
      <c r="K655" s="84" t="n">
        <v>0.736838374945426</v>
      </c>
      <c r="L655" s="84" t="n">
        <v>0.873064030288077</v>
      </c>
      <c r="M655" s="84" t="n">
        <v>0.5</v>
      </c>
      <c r="N655" s="84" t="n">
        <v>0.555555555555556</v>
      </c>
      <c r="O655" s="84" t="n">
        <v>1</v>
      </c>
      <c r="P655" s="85">
        <f>AVERAGE(D655:I655)</f>
        <v/>
      </c>
      <c r="Q655" s="85">
        <f>AVERAGE(J655:L655)</f>
        <v/>
      </c>
      <c r="R655" s="85">
        <f>AVERAGE(M655:O655)</f>
        <v/>
      </c>
      <c r="S655" s="85">
        <f>'02_지표정의'!$C$22*P655+'02_지표정의'!$C$23*Q655+'02_지표정의'!$C$24*R655</f>
        <v/>
      </c>
      <c r="T655" s="73">
        <f>IF(OR(AND(B655="gemini",C655="gemma"),AND(B655="qwen3_6",C655="qwen"),AND(B655="mistral",C655="ministral")),1,0)</f>
        <v/>
      </c>
      <c r="U655" s="73">
        <f>IF(LEFT(A655,3)="PAT","특허","보고서")</f>
        <v/>
      </c>
      <c r="V655" s="86">
        <f>COUNTIF($S$2:$S$976,"&lt;"&amp;S655)+(COUNTIF($S$2:$S$976,"="&amp;S655)+1)/2</f>
        <v/>
      </c>
      <c r="W655" s="73">
        <f>IF(C655="qwen",0,COUNTIFS($C$2:$C$976,"&lt;&gt;qwen",$S$2:$S$976,"&lt;"&amp;S655)+1)</f>
        <v/>
      </c>
      <c r="X655" s="73">
        <f>IF(C655="ministral",0,COUNTIFS($C$2:$C$976,"&lt;&gt;ministral",$S$2:$S$976,"&lt;"&amp;S655)+1)</f>
        <v/>
      </c>
      <c r="Y655" s="73">
        <f>IF(C655="gemma",0,COUNTIFS($C$2:$C$976,"&lt;&gt;gemma",$S$2:$S$976,"&lt;"&amp;S655)+1)</f>
        <v/>
      </c>
      <c r="Z655" s="87">
        <f>COUNTIFS($B$2:$B$976,B655,$C$2:$C$976,C655,$S$2:$S$976,"&lt;"&amp;S655)+1</f>
        <v/>
      </c>
      <c r="AA655" s="88">
        <f>ABS(S655-SUMPRODUCT(('05B_가정검정'!$A$5:$A$19=B655)*('05B_가정검정'!$B$5:$B$19=C655)*'05B_가정검정'!$E$5:$E$19))</f>
        <v/>
      </c>
      <c r="AB655" s="88">
        <f>S655-AVERAGEIFS($S$2:$S$976,$B$2:$B$976,B655,$C$2:$C$976,C655)</f>
        <v/>
      </c>
    </row>
    <row r="656" ht="15" customHeight="1" s="68">
      <c r="A656" s="83" t="inlineStr">
        <is>
          <t>RPT-13</t>
        </is>
      </c>
      <c r="B656" s="83" t="inlineStr">
        <is>
          <t>mistral</t>
        </is>
      </c>
      <c r="C656" s="83" t="inlineStr">
        <is>
          <t>gemma</t>
        </is>
      </c>
      <c r="D656" s="84" t="n">
        <v>0.296703296703297</v>
      </c>
      <c r="E656" s="84" t="n">
        <v>0.430278884462151</v>
      </c>
      <c r="F656" s="84" t="n">
        <v>0.176706827309237</v>
      </c>
      <c r="G656" s="84" t="n">
        <v>0.310756972111554</v>
      </c>
      <c r="H656" s="84" t="n">
        <v>0.286089495220249</v>
      </c>
      <c r="I656" s="84" t="n">
        <v>0.275855449778026</v>
      </c>
      <c r="J656" s="84" t="n">
        <v>0.727639081531846</v>
      </c>
      <c r="K656" s="84" t="n">
        <v>0.72618779363141</v>
      </c>
      <c r="L656" s="84" t="n">
        <v>0.839644351886206</v>
      </c>
      <c r="M656" s="84" t="n">
        <v>0.747899159663866</v>
      </c>
      <c r="N656" s="84" t="n">
        <v>0.742424242424242</v>
      </c>
      <c r="O656" s="84" t="n">
        <v>1</v>
      </c>
      <c r="P656" s="85">
        <f>AVERAGE(D656:I656)</f>
        <v/>
      </c>
      <c r="Q656" s="85">
        <f>AVERAGE(J656:L656)</f>
        <v/>
      </c>
      <c r="R656" s="85">
        <f>AVERAGE(M656:O656)</f>
        <v/>
      </c>
      <c r="S656" s="85">
        <f>'02_지표정의'!$C$22*P656+'02_지표정의'!$C$23*Q656+'02_지표정의'!$C$24*R656</f>
        <v/>
      </c>
      <c r="T656" s="73">
        <f>IF(OR(AND(B656="gemini",C656="gemma"),AND(B656="qwen3_6",C656="qwen"),AND(B656="mistral",C656="ministral")),1,0)</f>
        <v/>
      </c>
      <c r="U656" s="73">
        <f>IF(LEFT(A656,3)="PAT","특허","보고서")</f>
        <v/>
      </c>
      <c r="V656" s="86">
        <f>COUNTIF($S$2:$S$976,"&lt;"&amp;S656)+(COUNTIF($S$2:$S$976,"="&amp;S656)+1)/2</f>
        <v/>
      </c>
      <c r="W656" s="73">
        <f>IF(C656="qwen",0,COUNTIFS($C$2:$C$976,"&lt;&gt;qwen",$S$2:$S$976,"&lt;"&amp;S656)+1)</f>
        <v/>
      </c>
      <c r="X656" s="73">
        <f>IF(C656="ministral",0,COUNTIFS($C$2:$C$976,"&lt;&gt;ministral",$S$2:$S$976,"&lt;"&amp;S656)+1)</f>
        <v/>
      </c>
      <c r="Y656" s="73">
        <f>IF(C656="gemma",0,COUNTIFS($C$2:$C$976,"&lt;&gt;gemma",$S$2:$S$976,"&lt;"&amp;S656)+1)</f>
        <v/>
      </c>
      <c r="Z656" s="87">
        <f>COUNTIFS($B$2:$B$976,B656,$C$2:$C$976,C656,$S$2:$S$976,"&lt;"&amp;S656)+1</f>
        <v/>
      </c>
      <c r="AA656" s="88">
        <f>ABS(S656-SUMPRODUCT(('05B_가정검정'!$A$5:$A$19=B656)*('05B_가정검정'!$B$5:$B$19=C656)*'05B_가정검정'!$E$5:$E$19))</f>
        <v/>
      </c>
      <c r="AB656" s="88">
        <f>S656-AVERAGEIFS($S$2:$S$976,$B$2:$B$976,B656,$C$2:$C$976,C656)</f>
        <v/>
      </c>
    </row>
    <row r="657" ht="15" customHeight="1" s="68">
      <c r="A657" s="83" t="inlineStr">
        <is>
          <t>RPT-13</t>
        </is>
      </c>
      <c r="B657" s="83" t="inlineStr">
        <is>
          <t>mistral</t>
        </is>
      </c>
      <c r="C657" s="83" t="inlineStr">
        <is>
          <t>ministral</t>
        </is>
      </c>
      <c r="D657" s="84" t="n">
        <v>0.323014804845222</v>
      </c>
      <c r="E657" s="84" t="n">
        <v>0.375886524822695</v>
      </c>
      <c r="F657" s="84" t="n">
        <v>0.164285714285714</v>
      </c>
      <c r="G657" s="84" t="n">
        <v>0.262411347517731</v>
      </c>
      <c r="H657" s="84" t="n">
        <v>0.220798841644258</v>
      </c>
      <c r="I657" s="84" t="n">
        <v>0.546726410492705</v>
      </c>
      <c r="J657" s="84" t="n">
        <v>0.7063054270488121</v>
      </c>
      <c r="K657" s="84" t="n">
        <v>0.737553543790916</v>
      </c>
      <c r="L657" s="84" t="n">
        <v>0.852668257763323</v>
      </c>
      <c r="M657" s="84" t="n">
        <v>0.439516129032258</v>
      </c>
      <c r="N657" s="84" t="n">
        <v>0.256637168141593</v>
      </c>
      <c r="O657" s="84" t="n">
        <v>0.526315789473684</v>
      </c>
      <c r="P657" s="85">
        <f>AVERAGE(D657:I657)</f>
        <v/>
      </c>
      <c r="Q657" s="85">
        <f>AVERAGE(J657:L657)</f>
        <v/>
      </c>
      <c r="R657" s="85">
        <f>AVERAGE(M657:O657)</f>
        <v/>
      </c>
      <c r="S657" s="85">
        <f>'02_지표정의'!$C$22*P657+'02_지표정의'!$C$23*Q657+'02_지표정의'!$C$24*R657</f>
        <v/>
      </c>
      <c r="T657" s="73">
        <f>IF(OR(AND(B657="gemini",C657="gemma"),AND(B657="qwen3_6",C657="qwen"),AND(B657="mistral",C657="ministral")),1,0)</f>
        <v/>
      </c>
      <c r="U657" s="73">
        <f>IF(LEFT(A657,3)="PAT","특허","보고서")</f>
        <v/>
      </c>
      <c r="V657" s="86">
        <f>COUNTIF($S$2:$S$976,"&lt;"&amp;S657)+(COUNTIF($S$2:$S$976,"="&amp;S657)+1)/2</f>
        <v/>
      </c>
      <c r="W657" s="73">
        <f>IF(C657="qwen",0,COUNTIFS($C$2:$C$976,"&lt;&gt;qwen",$S$2:$S$976,"&lt;"&amp;S657)+1)</f>
        <v/>
      </c>
      <c r="X657" s="73">
        <f>IF(C657="ministral",0,COUNTIFS($C$2:$C$976,"&lt;&gt;ministral",$S$2:$S$976,"&lt;"&amp;S657)+1)</f>
        <v/>
      </c>
      <c r="Y657" s="73">
        <f>IF(C657="gemma",0,COUNTIFS($C$2:$C$976,"&lt;&gt;gemma",$S$2:$S$976,"&lt;"&amp;S657)+1)</f>
        <v/>
      </c>
      <c r="Z657" s="87">
        <f>COUNTIFS($B$2:$B$976,B657,$C$2:$C$976,C657,$S$2:$S$976,"&lt;"&amp;S657)+1</f>
        <v/>
      </c>
      <c r="AA657" s="88">
        <f>ABS(S657-SUMPRODUCT(('05B_가정검정'!$A$5:$A$19=B657)*('05B_가정검정'!$B$5:$B$19=C657)*'05B_가정검정'!$E$5:$E$19))</f>
        <v/>
      </c>
      <c r="AB657" s="88">
        <f>S657-AVERAGEIFS($S$2:$S$976,$B$2:$B$976,B657,$C$2:$C$976,C657)</f>
        <v/>
      </c>
    </row>
    <row r="658" ht="15" customHeight="1" s="68">
      <c r="A658" s="83" t="inlineStr">
        <is>
          <t>RPT-13</t>
        </is>
      </c>
      <c r="B658" s="83" t="inlineStr">
        <is>
          <t>mistral</t>
        </is>
      </c>
      <c r="C658" s="83" t="inlineStr">
        <is>
          <t>qwen</t>
        </is>
      </c>
      <c r="D658" s="84" t="n">
        <v>0.361111111111111</v>
      </c>
      <c r="E658" s="84" t="n">
        <v>0.435028248587571</v>
      </c>
      <c r="F658" s="84" t="n">
        <v>0.238636363636364</v>
      </c>
      <c r="G658" s="84" t="n">
        <v>0.344632768361582</v>
      </c>
      <c r="H658" s="84" t="n">
        <v>0.268768008191703</v>
      </c>
      <c r="I658" s="84" t="n">
        <v>0.552748241054518</v>
      </c>
      <c r="J658" s="84" t="n">
        <v>0.721468592158818</v>
      </c>
      <c r="K658" s="84" t="n">
        <v>0.662336654632257</v>
      </c>
      <c r="L658" s="84" t="n">
        <v>0.807569295033741</v>
      </c>
      <c r="M658" s="84" t="n">
        <v>0.5309278350515459</v>
      </c>
      <c r="N658" s="84" t="n">
        <v>0.555555555555556</v>
      </c>
      <c r="O658" s="84" t="n">
        <v>1</v>
      </c>
      <c r="P658" s="85">
        <f>AVERAGE(D658:I658)</f>
        <v/>
      </c>
      <c r="Q658" s="85">
        <f>AVERAGE(J658:L658)</f>
        <v/>
      </c>
      <c r="R658" s="85">
        <f>AVERAGE(M658:O658)</f>
        <v/>
      </c>
      <c r="S658" s="85">
        <f>'02_지표정의'!$C$22*P658+'02_지표정의'!$C$23*Q658+'02_지표정의'!$C$24*R658</f>
        <v/>
      </c>
      <c r="T658" s="73">
        <f>IF(OR(AND(B658="gemini",C658="gemma"),AND(B658="qwen3_6",C658="qwen"),AND(B658="mistral",C658="ministral")),1,0)</f>
        <v/>
      </c>
      <c r="U658" s="73">
        <f>IF(LEFT(A658,3)="PAT","특허","보고서")</f>
        <v/>
      </c>
      <c r="V658" s="86">
        <f>COUNTIF($S$2:$S$976,"&lt;"&amp;S658)+(COUNTIF($S$2:$S$976,"="&amp;S658)+1)/2</f>
        <v/>
      </c>
      <c r="W658" s="73">
        <f>IF(C658="qwen",0,COUNTIFS($C$2:$C$976,"&lt;&gt;qwen",$S$2:$S$976,"&lt;"&amp;S658)+1)</f>
        <v/>
      </c>
      <c r="X658" s="73">
        <f>IF(C658="ministral",0,COUNTIFS($C$2:$C$976,"&lt;&gt;ministral",$S$2:$S$976,"&lt;"&amp;S658)+1)</f>
        <v/>
      </c>
      <c r="Y658" s="73">
        <f>IF(C658="gemma",0,COUNTIFS($C$2:$C$976,"&lt;&gt;gemma",$S$2:$S$976,"&lt;"&amp;S658)+1)</f>
        <v/>
      </c>
      <c r="Z658" s="87">
        <f>COUNTIFS($B$2:$B$976,B658,$C$2:$C$976,C658,$S$2:$S$976,"&lt;"&amp;S658)+1</f>
        <v/>
      </c>
      <c r="AA658" s="88">
        <f>ABS(S658-SUMPRODUCT(('05B_가정검정'!$A$5:$A$19=B658)*('05B_가정검정'!$B$5:$B$19=C658)*'05B_가정검정'!$E$5:$E$19))</f>
        <v/>
      </c>
      <c r="AB658" s="88">
        <f>S658-AVERAGEIFS($S$2:$S$976,$B$2:$B$976,B658,$C$2:$C$976,C658)</f>
        <v/>
      </c>
    </row>
    <row r="659" ht="15" customHeight="1" s="68">
      <c r="A659" s="83" t="inlineStr">
        <is>
          <t>RPT-13</t>
        </is>
      </c>
      <c r="B659" s="83" t="inlineStr">
        <is>
          <t>qwen3_6</t>
        </is>
      </c>
      <c r="C659" s="83" t="inlineStr">
        <is>
          <t>gemma</t>
        </is>
      </c>
      <c r="D659" s="84" t="n">
        <v>0.327974276527331</v>
      </c>
      <c r="E659" s="84" t="n">
        <v>0.445121951219512</v>
      </c>
      <c r="F659" s="84" t="n">
        <v>0.165644171779141</v>
      </c>
      <c r="G659" s="84" t="n">
        <v>0.304878048780488</v>
      </c>
      <c r="H659" s="84" t="n">
        <v>0.477482970206926</v>
      </c>
      <c r="I659" s="84" t="n">
        <v>0.313190487326873</v>
      </c>
      <c r="J659" s="84" t="n">
        <v>0.735143482245481</v>
      </c>
      <c r="K659" s="84" t="n">
        <v>0.7418451374437121</v>
      </c>
      <c r="L659" s="84" t="n">
        <v>0.876761179368474</v>
      </c>
      <c r="M659" s="84" t="n">
        <v>0.906542056074766</v>
      </c>
      <c r="N659" s="84" t="n">
        <v>0.916666666666667</v>
      </c>
      <c r="O659" s="84" t="n">
        <v>1</v>
      </c>
      <c r="P659" s="85">
        <f>AVERAGE(D659:I659)</f>
        <v/>
      </c>
      <c r="Q659" s="85">
        <f>AVERAGE(J659:L659)</f>
        <v/>
      </c>
      <c r="R659" s="85">
        <f>AVERAGE(M659:O659)</f>
        <v/>
      </c>
      <c r="S659" s="85">
        <f>'02_지표정의'!$C$22*P659+'02_지표정의'!$C$23*Q659+'02_지표정의'!$C$24*R659</f>
        <v/>
      </c>
      <c r="T659" s="73">
        <f>IF(OR(AND(B659="gemini",C659="gemma"),AND(B659="qwen3_6",C659="qwen"),AND(B659="mistral",C659="ministral")),1,0)</f>
        <v/>
      </c>
      <c r="U659" s="73">
        <f>IF(LEFT(A659,3)="PAT","특허","보고서")</f>
        <v/>
      </c>
      <c r="V659" s="86">
        <f>COUNTIF($S$2:$S$976,"&lt;"&amp;S659)+(COUNTIF($S$2:$S$976,"="&amp;S659)+1)/2</f>
        <v/>
      </c>
      <c r="W659" s="73">
        <f>IF(C659="qwen",0,COUNTIFS($C$2:$C$976,"&lt;&gt;qwen",$S$2:$S$976,"&lt;"&amp;S659)+1)</f>
        <v/>
      </c>
      <c r="X659" s="73">
        <f>IF(C659="ministral",0,COUNTIFS($C$2:$C$976,"&lt;&gt;ministral",$S$2:$S$976,"&lt;"&amp;S659)+1)</f>
        <v/>
      </c>
      <c r="Y659" s="73">
        <f>IF(C659="gemma",0,COUNTIFS($C$2:$C$976,"&lt;&gt;gemma",$S$2:$S$976,"&lt;"&amp;S659)+1)</f>
        <v/>
      </c>
      <c r="Z659" s="87">
        <f>COUNTIFS($B$2:$B$976,B659,$C$2:$C$976,C659,$S$2:$S$976,"&lt;"&amp;S659)+1</f>
        <v/>
      </c>
      <c r="AA659" s="88">
        <f>ABS(S659-SUMPRODUCT(('05B_가정검정'!$A$5:$A$19=B659)*('05B_가정검정'!$B$5:$B$19=C659)*'05B_가정검정'!$E$5:$E$19))</f>
        <v/>
      </c>
      <c r="AB659" s="88">
        <f>S659-AVERAGEIFS($S$2:$S$976,$B$2:$B$976,B659,$C$2:$C$976,C659)</f>
        <v/>
      </c>
    </row>
    <row r="660" ht="15" customHeight="1" s="68">
      <c r="A660" s="83" t="inlineStr">
        <is>
          <t>RPT-13</t>
        </is>
      </c>
      <c r="B660" s="83" t="inlineStr">
        <is>
          <t>qwen3_6</t>
        </is>
      </c>
      <c r="C660" s="83" t="inlineStr">
        <is>
          <t>ministral</t>
        </is>
      </c>
      <c r="D660" s="84" t="n">
        <v>0.293248945147679</v>
      </c>
      <c r="E660" s="84" t="n">
        <v>0.334261838440111</v>
      </c>
      <c r="F660" s="84" t="n">
        <v>0.140056022408964</v>
      </c>
      <c r="G660" s="84" t="n">
        <v>0.250696378830084</v>
      </c>
      <c r="H660" s="84" t="n">
        <v>0.302683407913418</v>
      </c>
      <c r="I660" s="84" t="n">
        <v>0.455531456937653</v>
      </c>
      <c r="J660" s="84" t="n">
        <v>0.7400958974385889</v>
      </c>
      <c r="K660" s="84" t="n">
        <v>0.734209806032302</v>
      </c>
      <c r="L660" s="84" t="n">
        <v>0.85447560085055</v>
      </c>
      <c r="M660" s="84" t="n">
        <v>0.391129032258065</v>
      </c>
      <c r="N660" s="84" t="n">
        <v>0.327433628318584</v>
      </c>
      <c r="O660" s="84" t="n">
        <v>0.526315789473684</v>
      </c>
      <c r="P660" s="85">
        <f>AVERAGE(D660:I660)</f>
        <v/>
      </c>
      <c r="Q660" s="85">
        <f>AVERAGE(J660:L660)</f>
        <v/>
      </c>
      <c r="R660" s="85">
        <f>AVERAGE(M660:O660)</f>
        <v/>
      </c>
      <c r="S660" s="85">
        <f>'02_지표정의'!$C$22*P660+'02_지표정의'!$C$23*Q660+'02_지표정의'!$C$24*R660</f>
        <v/>
      </c>
      <c r="T660" s="73">
        <f>IF(OR(AND(B660="gemini",C660="gemma"),AND(B660="qwen3_6",C660="qwen"),AND(B660="mistral",C660="ministral")),1,0)</f>
        <v/>
      </c>
      <c r="U660" s="73">
        <f>IF(LEFT(A660,3)="PAT","특허","보고서")</f>
        <v/>
      </c>
      <c r="V660" s="86">
        <f>COUNTIF($S$2:$S$976,"&lt;"&amp;S660)+(COUNTIF($S$2:$S$976,"="&amp;S660)+1)/2</f>
        <v/>
      </c>
      <c r="W660" s="73">
        <f>IF(C660="qwen",0,COUNTIFS($C$2:$C$976,"&lt;&gt;qwen",$S$2:$S$976,"&lt;"&amp;S660)+1)</f>
        <v/>
      </c>
      <c r="X660" s="73">
        <f>IF(C660="ministral",0,COUNTIFS($C$2:$C$976,"&lt;&gt;ministral",$S$2:$S$976,"&lt;"&amp;S660)+1)</f>
        <v/>
      </c>
      <c r="Y660" s="73">
        <f>IF(C660="gemma",0,COUNTIFS($C$2:$C$976,"&lt;&gt;gemma",$S$2:$S$976,"&lt;"&amp;S660)+1)</f>
        <v/>
      </c>
      <c r="Z660" s="87">
        <f>COUNTIFS($B$2:$B$976,B660,$C$2:$C$976,C660,$S$2:$S$976,"&lt;"&amp;S660)+1</f>
        <v/>
      </c>
      <c r="AA660" s="88">
        <f>ABS(S660-SUMPRODUCT(('05B_가정검정'!$A$5:$A$19=B660)*('05B_가정검정'!$B$5:$B$19=C660)*'05B_가정검정'!$E$5:$E$19))</f>
        <v/>
      </c>
      <c r="AB660" s="88">
        <f>S660-AVERAGEIFS($S$2:$S$976,$B$2:$B$976,B660,$C$2:$C$976,C660)</f>
        <v/>
      </c>
    </row>
    <row r="661" ht="15" customHeight="1" s="68">
      <c r="A661" s="83" t="inlineStr">
        <is>
          <t>RPT-13</t>
        </is>
      </c>
      <c r="B661" s="83" t="inlineStr">
        <is>
          <t>qwen3_6</t>
        </is>
      </c>
      <c r="C661" s="83" t="inlineStr">
        <is>
          <t>qwen</t>
        </is>
      </c>
      <c r="D661" s="84" t="n">
        <v>0.367567567567568</v>
      </c>
      <c r="E661" s="84" t="n">
        <v>0.580046403712297</v>
      </c>
      <c r="F661" s="84" t="n">
        <v>0.312354312354312</v>
      </c>
      <c r="G661" s="84" t="n">
        <v>0.334106728538283</v>
      </c>
      <c r="H661" s="84" t="n">
        <v>0.452977130432975</v>
      </c>
      <c r="I661" s="84" t="n">
        <v>0.5943103269143361</v>
      </c>
      <c r="J661" s="84" t="n">
        <v>0.752589433618131</v>
      </c>
      <c r="K661" s="84" t="n">
        <v>0.748403497892306</v>
      </c>
      <c r="L661" s="84" t="n">
        <v>0.897837150897682</v>
      </c>
      <c r="M661" s="84" t="n">
        <v>0.5</v>
      </c>
      <c r="N661" s="84" t="n">
        <v>0.555555555555556</v>
      </c>
      <c r="O661" s="84" t="n">
        <v>1</v>
      </c>
      <c r="P661" s="85">
        <f>AVERAGE(D661:I661)</f>
        <v/>
      </c>
      <c r="Q661" s="85">
        <f>AVERAGE(J661:L661)</f>
        <v/>
      </c>
      <c r="R661" s="85">
        <f>AVERAGE(M661:O661)</f>
        <v/>
      </c>
      <c r="S661" s="85">
        <f>'02_지표정의'!$C$22*P661+'02_지표정의'!$C$23*Q661+'02_지표정의'!$C$24*R661</f>
        <v/>
      </c>
      <c r="T661" s="73">
        <f>IF(OR(AND(B661="gemini",C661="gemma"),AND(B661="qwen3_6",C661="qwen"),AND(B661="mistral",C661="ministral")),1,0)</f>
        <v/>
      </c>
      <c r="U661" s="73">
        <f>IF(LEFT(A661,3)="PAT","특허","보고서")</f>
        <v/>
      </c>
      <c r="V661" s="86">
        <f>COUNTIF($S$2:$S$976,"&lt;"&amp;S661)+(COUNTIF($S$2:$S$976,"="&amp;S661)+1)/2</f>
        <v/>
      </c>
      <c r="W661" s="73">
        <f>IF(C661="qwen",0,COUNTIFS($C$2:$C$976,"&lt;&gt;qwen",$S$2:$S$976,"&lt;"&amp;S661)+1)</f>
        <v/>
      </c>
      <c r="X661" s="73">
        <f>IF(C661="ministral",0,COUNTIFS($C$2:$C$976,"&lt;&gt;ministral",$S$2:$S$976,"&lt;"&amp;S661)+1)</f>
        <v/>
      </c>
      <c r="Y661" s="73">
        <f>IF(C661="gemma",0,COUNTIFS($C$2:$C$976,"&lt;&gt;gemma",$S$2:$S$976,"&lt;"&amp;S661)+1)</f>
        <v/>
      </c>
      <c r="Z661" s="87">
        <f>COUNTIFS($B$2:$B$976,B661,$C$2:$C$976,C661,$S$2:$S$976,"&lt;"&amp;S661)+1</f>
        <v/>
      </c>
      <c r="AA661" s="88">
        <f>ABS(S661-SUMPRODUCT(('05B_가정검정'!$A$5:$A$19=B661)*('05B_가정검정'!$B$5:$B$19=C661)*'05B_가정검정'!$E$5:$E$19))</f>
        <v/>
      </c>
      <c r="AB661" s="88">
        <f>S661-AVERAGEIFS($S$2:$S$976,$B$2:$B$976,B661,$C$2:$C$976,C661)</f>
        <v/>
      </c>
    </row>
    <row r="662" ht="15" customHeight="1" s="68">
      <c r="A662" s="83" t="inlineStr">
        <is>
          <t>RPT-14</t>
        </is>
      </c>
      <c r="B662" s="83" t="inlineStr">
        <is>
          <t>chatgpt</t>
        </is>
      </c>
      <c r="C662" s="83" t="inlineStr">
        <is>
          <t>gemma</t>
        </is>
      </c>
      <c r="D662" s="84" t="n">
        <v>0.252873563218391</v>
      </c>
      <c r="E662" s="84" t="n">
        <v>0.340425531914894</v>
      </c>
      <c r="F662" s="84" t="n">
        <v>0.111587982832618</v>
      </c>
      <c r="G662" s="84" t="n">
        <v>0.246808510638298</v>
      </c>
      <c r="H662" s="84" t="n">
        <v>0.261214090284457</v>
      </c>
      <c r="I662" s="84" t="n">
        <v>0.209659298072015</v>
      </c>
      <c r="J662" s="84" t="n">
        <v>0.678415546190033</v>
      </c>
      <c r="K662" s="84" t="n">
        <v>0.607078093677814</v>
      </c>
      <c r="L662" s="84" t="n">
        <v>0.733499435269494</v>
      </c>
      <c r="M662" s="84" t="n">
        <v>0.515151515151515</v>
      </c>
      <c r="N662" s="84" t="n">
        <v>0.213483146067416</v>
      </c>
      <c r="O662" s="84" t="n">
        <v>1</v>
      </c>
      <c r="P662" s="85">
        <f>AVERAGE(D662:I662)</f>
        <v/>
      </c>
      <c r="Q662" s="85">
        <f>AVERAGE(J662:L662)</f>
        <v/>
      </c>
      <c r="R662" s="85">
        <f>AVERAGE(M662:O662)</f>
        <v/>
      </c>
      <c r="S662" s="85">
        <f>'02_지표정의'!$C$22*P662+'02_지표정의'!$C$23*Q662+'02_지표정의'!$C$24*R662</f>
        <v/>
      </c>
      <c r="T662" s="73">
        <f>IF(OR(AND(B662="gemini",C662="gemma"),AND(B662="qwen3_6",C662="qwen"),AND(B662="mistral",C662="ministral")),1,0)</f>
        <v/>
      </c>
      <c r="U662" s="73">
        <f>IF(LEFT(A662,3)="PAT","특허","보고서")</f>
        <v/>
      </c>
      <c r="V662" s="86">
        <f>COUNTIF($S$2:$S$976,"&lt;"&amp;S662)+(COUNTIF($S$2:$S$976,"="&amp;S662)+1)/2</f>
        <v/>
      </c>
      <c r="W662" s="73">
        <f>IF(C662="qwen",0,COUNTIFS($C$2:$C$976,"&lt;&gt;qwen",$S$2:$S$976,"&lt;"&amp;S662)+1)</f>
        <v/>
      </c>
      <c r="X662" s="73">
        <f>IF(C662="ministral",0,COUNTIFS($C$2:$C$976,"&lt;&gt;ministral",$S$2:$S$976,"&lt;"&amp;S662)+1)</f>
        <v/>
      </c>
      <c r="Y662" s="73">
        <f>IF(C662="gemma",0,COUNTIFS($C$2:$C$976,"&lt;&gt;gemma",$S$2:$S$976,"&lt;"&amp;S662)+1)</f>
        <v/>
      </c>
      <c r="Z662" s="87">
        <f>COUNTIFS($B$2:$B$976,B662,$C$2:$C$976,C662,$S$2:$S$976,"&lt;"&amp;S662)+1</f>
        <v/>
      </c>
      <c r="AA662" s="88">
        <f>ABS(S662-SUMPRODUCT(('05B_가정검정'!$A$5:$A$19=B662)*('05B_가정검정'!$B$5:$B$19=C662)*'05B_가정검정'!$E$5:$E$19))</f>
        <v/>
      </c>
      <c r="AB662" s="88">
        <f>S662-AVERAGEIFS($S$2:$S$976,$B$2:$B$976,B662,$C$2:$C$976,C662)</f>
        <v/>
      </c>
    </row>
    <row r="663" ht="15" customHeight="1" s="68">
      <c r="A663" s="83" t="inlineStr">
        <is>
          <t>RPT-14</t>
        </is>
      </c>
      <c r="B663" s="83" t="inlineStr">
        <is>
          <t>chatgpt</t>
        </is>
      </c>
      <c r="C663" s="83" t="inlineStr">
        <is>
          <t>ministral</t>
        </is>
      </c>
      <c r="D663" s="84" t="n">
        <v>0.332810047095761</v>
      </c>
      <c r="E663" s="84" t="n">
        <v>0.303370786516854</v>
      </c>
      <c r="F663" s="84" t="n">
        <v>0.124293785310735</v>
      </c>
      <c r="G663" s="84" t="n">
        <v>0.230337078651685</v>
      </c>
      <c r="H663" s="84" t="n">
        <v>0.165794302044469</v>
      </c>
      <c r="I663" s="84" t="n">
        <v>0.278138906044588</v>
      </c>
      <c r="J663" s="84" t="n">
        <v>0.617854797974591</v>
      </c>
      <c r="K663" s="84" t="n">
        <v>0.6275102155040529</v>
      </c>
      <c r="L663" s="84" t="n">
        <v>0.766063804181119</v>
      </c>
      <c r="M663" s="84" t="n">
        <v>0.385012919896641</v>
      </c>
      <c r="N663" s="84" t="n">
        <v>0</v>
      </c>
      <c r="O663" s="84" t="n">
        <v>0.526315789473684</v>
      </c>
      <c r="P663" s="85">
        <f>AVERAGE(D663:I663)</f>
        <v/>
      </c>
      <c r="Q663" s="85">
        <f>AVERAGE(J663:L663)</f>
        <v/>
      </c>
      <c r="R663" s="85">
        <f>AVERAGE(M663:O663)</f>
        <v/>
      </c>
      <c r="S663" s="85">
        <f>'02_지표정의'!$C$22*P663+'02_지표정의'!$C$23*Q663+'02_지표정의'!$C$24*R663</f>
        <v/>
      </c>
      <c r="T663" s="73">
        <f>IF(OR(AND(B663="gemini",C663="gemma"),AND(B663="qwen3_6",C663="qwen"),AND(B663="mistral",C663="ministral")),1,0)</f>
        <v/>
      </c>
      <c r="U663" s="73">
        <f>IF(LEFT(A663,3)="PAT","특허","보고서")</f>
        <v/>
      </c>
      <c r="V663" s="86">
        <f>COUNTIF($S$2:$S$976,"&lt;"&amp;S663)+(COUNTIF($S$2:$S$976,"="&amp;S663)+1)/2</f>
        <v/>
      </c>
      <c r="W663" s="73">
        <f>IF(C663="qwen",0,COUNTIFS($C$2:$C$976,"&lt;&gt;qwen",$S$2:$S$976,"&lt;"&amp;S663)+1)</f>
        <v/>
      </c>
      <c r="X663" s="73">
        <f>IF(C663="ministral",0,COUNTIFS($C$2:$C$976,"&lt;&gt;ministral",$S$2:$S$976,"&lt;"&amp;S663)+1)</f>
        <v/>
      </c>
      <c r="Y663" s="73">
        <f>IF(C663="gemma",0,COUNTIFS($C$2:$C$976,"&lt;&gt;gemma",$S$2:$S$976,"&lt;"&amp;S663)+1)</f>
        <v/>
      </c>
      <c r="Z663" s="87">
        <f>COUNTIFS($B$2:$B$976,B663,$C$2:$C$976,C663,$S$2:$S$976,"&lt;"&amp;S663)+1</f>
        <v/>
      </c>
      <c r="AA663" s="88">
        <f>ABS(S663-SUMPRODUCT(('05B_가정검정'!$A$5:$A$19=B663)*('05B_가정검정'!$B$5:$B$19=C663)*'05B_가정검정'!$E$5:$E$19))</f>
        <v/>
      </c>
      <c r="AB663" s="88">
        <f>S663-AVERAGEIFS($S$2:$S$976,$B$2:$B$976,B663,$C$2:$C$976,C663)</f>
        <v/>
      </c>
    </row>
    <row r="664" ht="15" customHeight="1" s="68">
      <c r="A664" s="83" t="inlineStr">
        <is>
          <t>RPT-14</t>
        </is>
      </c>
      <c r="B664" s="83" t="inlineStr">
        <is>
          <t>chatgpt</t>
        </is>
      </c>
      <c r="C664" s="83" t="inlineStr">
        <is>
          <t>qwen</t>
        </is>
      </c>
      <c r="D664" s="84" t="n">
        <v>0.304347826086957</v>
      </c>
      <c r="E664" s="84" t="n">
        <v>0.417777777777778</v>
      </c>
      <c r="F664" s="84" t="n">
        <v>0.170403587443946</v>
      </c>
      <c r="G664" s="84" t="n">
        <v>0.32</v>
      </c>
      <c r="H664" s="84" t="n">
        <v>0.251974154905427</v>
      </c>
      <c r="I664" s="84" t="n">
        <v>0.281556969062912</v>
      </c>
      <c r="J664" s="84" t="n">
        <v>0.684660655551703</v>
      </c>
      <c r="K664" s="84" t="n">
        <v>0.625538520076931</v>
      </c>
      <c r="L664" s="84" t="n">
        <v>0.7467668028637851</v>
      </c>
      <c r="M664" s="84" t="n">
        <v>0.478787878787879</v>
      </c>
      <c r="N664" s="84" t="n">
        <v>0.213483146067416</v>
      </c>
      <c r="O664" s="84" t="n">
        <v>1</v>
      </c>
      <c r="P664" s="85">
        <f>AVERAGE(D664:I664)</f>
        <v/>
      </c>
      <c r="Q664" s="85">
        <f>AVERAGE(J664:L664)</f>
        <v/>
      </c>
      <c r="R664" s="85">
        <f>AVERAGE(M664:O664)</f>
        <v/>
      </c>
      <c r="S664" s="85">
        <f>'02_지표정의'!$C$22*P664+'02_지표정의'!$C$23*Q664+'02_지표정의'!$C$24*R664</f>
        <v/>
      </c>
      <c r="T664" s="73">
        <f>IF(OR(AND(B664="gemini",C664="gemma"),AND(B664="qwen3_6",C664="qwen"),AND(B664="mistral",C664="ministral")),1,0)</f>
        <v/>
      </c>
      <c r="U664" s="73">
        <f>IF(LEFT(A664,3)="PAT","특허","보고서")</f>
        <v/>
      </c>
      <c r="V664" s="86">
        <f>COUNTIF($S$2:$S$976,"&lt;"&amp;S664)+(COUNTIF($S$2:$S$976,"="&amp;S664)+1)/2</f>
        <v/>
      </c>
      <c r="W664" s="73">
        <f>IF(C664="qwen",0,COUNTIFS($C$2:$C$976,"&lt;&gt;qwen",$S$2:$S$976,"&lt;"&amp;S664)+1)</f>
        <v/>
      </c>
      <c r="X664" s="73">
        <f>IF(C664="ministral",0,COUNTIFS($C$2:$C$976,"&lt;&gt;ministral",$S$2:$S$976,"&lt;"&amp;S664)+1)</f>
        <v/>
      </c>
      <c r="Y664" s="73">
        <f>IF(C664="gemma",0,COUNTIFS($C$2:$C$976,"&lt;&gt;gemma",$S$2:$S$976,"&lt;"&amp;S664)+1)</f>
        <v/>
      </c>
      <c r="Z664" s="87">
        <f>COUNTIFS($B$2:$B$976,B664,$C$2:$C$976,C664,$S$2:$S$976,"&lt;"&amp;S664)+1</f>
        <v/>
      </c>
      <c r="AA664" s="88">
        <f>ABS(S664-SUMPRODUCT(('05B_가정검정'!$A$5:$A$19=B664)*('05B_가정검정'!$B$5:$B$19=C664)*'05B_가정검정'!$E$5:$E$19))</f>
        <v/>
      </c>
      <c r="AB664" s="88">
        <f>S664-AVERAGEIFS($S$2:$S$976,$B$2:$B$976,B664,$C$2:$C$976,C664)</f>
        <v/>
      </c>
    </row>
    <row r="665" ht="15" customHeight="1" s="68">
      <c r="A665" s="83" t="inlineStr">
        <is>
          <t>RPT-14</t>
        </is>
      </c>
      <c r="B665" s="83" t="inlineStr">
        <is>
          <t>claude</t>
        </is>
      </c>
      <c r="C665" s="83" t="inlineStr">
        <is>
          <t>gemma</t>
        </is>
      </c>
      <c r="D665" s="84" t="n">
        <v>0.259842519685039</v>
      </c>
      <c r="E665" s="84" t="n">
        <v>0.38953488372093</v>
      </c>
      <c r="F665" s="84" t="n">
        <v>0.105263157894737</v>
      </c>
      <c r="G665" s="84" t="n">
        <v>0.209302325581395</v>
      </c>
      <c r="H665" s="84" t="n">
        <v>0.289341971171213</v>
      </c>
      <c r="I665" s="84" t="n">
        <v>0.245750261384804</v>
      </c>
      <c r="J665" s="84" t="n">
        <v>0.688909107358419</v>
      </c>
      <c r="K665" s="84" t="n">
        <v>0.663408468144551</v>
      </c>
      <c r="L665" s="84" t="n">
        <v>0.84360181834159</v>
      </c>
      <c r="M665" s="84" t="n">
        <v>0.645833333333333</v>
      </c>
      <c r="N665" s="84" t="n">
        <v>0.583333333333333</v>
      </c>
      <c r="O665" s="84" t="n">
        <v>1</v>
      </c>
      <c r="P665" s="85">
        <f>AVERAGE(D665:I665)</f>
        <v/>
      </c>
      <c r="Q665" s="85">
        <f>AVERAGE(J665:L665)</f>
        <v/>
      </c>
      <c r="R665" s="85">
        <f>AVERAGE(M665:O665)</f>
        <v/>
      </c>
      <c r="S665" s="85">
        <f>'02_지표정의'!$C$22*P665+'02_지표정의'!$C$23*Q665+'02_지표정의'!$C$24*R665</f>
        <v/>
      </c>
      <c r="T665" s="73">
        <f>IF(OR(AND(B665="gemini",C665="gemma"),AND(B665="qwen3_6",C665="qwen"),AND(B665="mistral",C665="ministral")),1,0)</f>
        <v/>
      </c>
      <c r="U665" s="73">
        <f>IF(LEFT(A665,3)="PAT","특허","보고서")</f>
        <v/>
      </c>
      <c r="V665" s="86">
        <f>COUNTIF($S$2:$S$976,"&lt;"&amp;S665)+(COUNTIF($S$2:$S$976,"="&amp;S665)+1)/2</f>
        <v/>
      </c>
      <c r="W665" s="73">
        <f>IF(C665="qwen",0,COUNTIFS($C$2:$C$976,"&lt;&gt;qwen",$S$2:$S$976,"&lt;"&amp;S665)+1)</f>
        <v/>
      </c>
      <c r="X665" s="73">
        <f>IF(C665="ministral",0,COUNTIFS($C$2:$C$976,"&lt;&gt;ministral",$S$2:$S$976,"&lt;"&amp;S665)+1)</f>
        <v/>
      </c>
      <c r="Y665" s="73">
        <f>IF(C665="gemma",0,COUNTIFS($C$2:$C$976,"&lt;&gt;gemma",$S$2:$S$976,"&lt;"&amp;S665)+1)</f>
        <v/>
      </c>
      <c r="Z665" s="87">
        <f>COUNTIFS($B$2:$B$976,B665,$C$2:$C$976,C665,$S$2:$S$976,"&lt;"&amp;S665)+1</f>
        <v/>
      </c>
      <c r="AA665" s="88">
        <f>ABS(S665-SUMPRODUCT(('05B_가정검정'!$A$5:$A$19=B665)*('05B_가정검정'!$B$5:$B$19=C665)*'05B_가정검정'!$E$5:$E$19))</f>
        <v/>
      </c>
      <c r="AB665" s="88">
        <f>S665-AVERAGEIFS($S$2:$S$976,$B$2:$B$976,B665,$C$2:$C$976,C665)</f>
        <v/>
      </c>
    </row>
    <row r="666" ht="15" customHeight="1" s="68">
      <c r="A666" s="83" t="inlineStr">
        <is>
          <t>RPT-14</t>
        </is>
      </c>
      <c r="B666" s="83" t="inlineStr">
        <is>
          <t>claude</t>
        </is>
      </c>
      <c r="C666" s="83" t="inlineStr">
        <is>
          <t>ministral</t>
        </is>
      </c>
      <c r="D666" s="84" t="n">
        <v>0.296760710553814</v>
      </c>
      <c r="E666" s="84" t="n">
        <v>0.4</v>
      </c>
      <c r="F666" s="84" t="n">
        <v>0.120950323974082</v>
      </c>
      <c r="G666" s="84" t="n">
        <v>0.219354838709677</v>
      </c>
      <c r="H666" s="84" t="n">
        <v>0.280582978398962</v>
      </c>
      <c r="I666" s="84" t="n">
        <v>0.397893322267263</v>
      </c>
      <c r="J666" s="84" t="n">
        <v>0.716278867273671</v>
      </c>
      <c r="K666" s="84" t="n">
        <v>0.630100927938266</v>
      </c>
      <c r="L666" s="84" t="n">
        <v>0.808761381385547</v>
      </c>
      <c r="M666" s="84" t="n">
        <v>0.372093023255814</v>
      </c>
      <c r="N666" s="84" t="n">
        <v>0.307692307692308</v>
      </c>
      <c r="O666" s="84" t="n">
        <v>0.526315789473684</v>
      </c>
      <c r="P666" s="85">
        <f>AVERAGE(D666:I666)</f>
        <v/>
      </c>
      <c r="Q666" s="85">
        <f>AVERAGE(J666:L666)</f>
        <v/>
      </c>
      <c r="R666" s="85">
        <f>AVERAGE(M666:O666)</f>
        <v/>
      </c>
      <c r="S666" s="85">
        <f>'02_지표정의'!$C$22*P666+'02_지표정의'!$C$23*Q666+'02_지표정의'!$C$24*R666</f>
        <v/>
      </c>
      <c r="T666" s="73">
        <f>IF(OR(AND(B666="gemini",C666="gemma"),AND(B666="qwen3_6",C666="qwen"),AND(B666="mistral",C666="ministral")),1,0)</f>
        <v/>
      </c>
      <c r="U666" s="73">
        <f>IF(LEFT(A666,3)="PAT","특허","보고서")</f>
        <v/>
      </c>
      <c r="V666" s="86">
        <f>COUNTIF($S$2:$S$976,"&lt;"&amp;S666)+(COUNTIF($S$2:$S$976,"="&amp;S666)+1)/2</f>
        <v/>
      </c>
      <c r="W666" s="73">
        <f>IF(C666="qwen",0,COUNTIFS($C$2:$C$976,"&lt;&gt;qwen",$S$2:$S$976,"&lt;"&amp;S666)+1)</f>
        <v/>
      </c>
      <c r="X666" s="73">
        <f>IF(C666="ministral",0,COUNTIFS($C$2:$C$976,"&lt;&gt;ministral",$S$2:$S$976,"&lt;"&amp;S666)+1)</f>
        <v/>
      </c>
      <c r="Y666" s="73">
        <f>IF(C666="gemma",0,COUNTIFS($C$2:$C$976,"&lt;&gt;gemma",$S$2:$S$976,"&lt;"&amp;S666)+1)</f>
        <v/>
      </c>
      <c r="Z666" s="87">
        <f>COUNTIFS($B$2:$B$976,B666,$C$2:$C$976,C666,$S$2:$S$976,"&lt;"&amp;S666)+1</f>
        <v/>
      </c>
      <c r="AA666" s="88">
        <f>ABS(S666-SUMPRODUCT(('05B_가정검정'!$A$5:$A$19=B666)*('05B_가정검정'!$B$5:$B$19=C666)*'05B_가정검정'!$E$5:$E$19))</f>
        <v/>
      </c>
      <c r="AB666" s="88">
        <f>S666-AVERAGEIFS($S$2:$S$976,$B$2:$B$976,B666,$C$2:$C$976,C666)</f>
        <v/>
      </c>
    </row>
    <row r="667" ht="15" customHeight="1" s="68">
      <c r="A667" s="83" t="inlineStr">
        <is>
          <t>RPT-14</t>
        </is>
      </c>
      <c r="B667" s="83" t="inlineStr">
        <is>
          <t>claude</t>
        </is>
      </c>
      <c r="C667" s="83" t="inlineStr">
        <is>
          <t>qwen</t>
        </is>
      </c>
      <c r="D667" s="84" t="n">
        <v>0.283168316831683</v>
      </c>
      <c r="E667" s="84" t="n">
        <v>0.455089820359282</v>
      </c>
      <c r="F667" s="84" t="n">
        <v>0.120481927710843</v>
      </c>
      <c r="G667" s="84" t="n">
        <v>0.263473053892216</v>
      </c>
      <c r="H667" s="84" t="n">
        <v>0.309436024841612</v>
      </c>
      <c r="I667" s="84" t="n">
        <v>0.20441391185889</v>
      </c>
      <c r="J667" s="84" t="n">
        <v>0.699192366808863</v>
      </c>
      <c r="K667" s="84" t="n">
        <v>0.644873343078425</v>
      </c>
      <c r="L667" s="84" t="n">
        <v>0.845910694768839</v>
      </c>
      <c r="M667" s="84" t="n">
        <v>0.496815286624204</v>
      </c>
      <c r="N667" s="84" t="n">
        <v>0.404761904761905</v>
      </c>
      <c r="O667" s="84" t="n">
        <v>1</v>
      </c>
      <c r="P667" s="85">
        <f>AVERAGE(D667:I667)</f>
        <v/>
      </c>
      <c r="Q667" s="85">
        <f>AVERAGE(J667:L667)</f>
        <v/>
      </c>
      <c r="R667" s="85">
        <f>AVERAGE(M667:O667)</f>
        <v/>
      </c>
      <c r="S667" s="85">
        <f>'02_지표정의'!$C$22*P667+'02_지표정의'!$C$23*Q667+'02_지표정의'!$C$24*R667</f>
        <v/>
      </c>
      <c r="T667" s="73">
        <f>IF(OR(AND(B667="gemini",C667="gemma"),AND(B667="qwen3_6",C667="qwen"),AND(B667="mistral",C667="ministral")),1,0)</f>
        <v/>
      </c>
      <c r="U667" s="73">
        <f>IF(LEFT(A667,3)="PAT","특허","보고서")</f>
        <v/>
      </c>
      <c r="V667" s="86">
        <f>COUNTIF($S$2:$S$976,"&lt;"&amp;S667)+(COUNTIF($S$2:$S$976,"="&amp;S667)+1)/2</f>
        <v/>
      </c>
      <c r="W667" s="73">
        <f>IF(C667="qwen",0,COUNTIFS($C$2:$C$976,"&lt;&gt;qwen",$S$2:$S$976,"&lt;"&amp;S667)+1)</f>
        <v/>
      </c>
      <c r="X667" s="73">
        <f>IF(C667="ministral",0,COUNTIFS($C$2:$C$976,"&lt;&gt;ministral",$S$2:$S$976,"&lt;"&amp;S667)+1)</f>
        <v/>
      </c>
      <c r="Y667" s="73">
        <f>IF(C667="gemma",0,COUNTIFS($C$2:$C$976,"&lt;&gt;gemma",$S$2:$S$976,"&lt;"&amp;S667)+1)</f>
        <v/>
      </c>
      <c r="Z667" s="87">
        <f>COUNTIFS($B$2:$B$976,B667,$C$2:$C$976,C667,$S$2:$S$976,"&lt;"&amp;S667)+1</f>
        <v/>
      </c>
      <c r="AA667" s="88">
        <f>ABS(S667-SUMPRODUCT(('05B_가정검정'!$A$5:$A$19=B667)*('05B_가정검정'!$B$5:$B$19=C667)*'05B_가정검정'!$E$5:$E$19))</f>
        <v/>
      </c>
      <c r="AB667" s="88">
        <f>S667-AVERAGEIFS($S$2:$S$976,$B$2:$B$976,B667,$C$2:$C$976,C667)</f>
        <v/>
      </c>
    </row>
    <row r="668" ht="15" customHeight="1" s="68">
      <c r="A668" s="83" t="inlineStr">
        <is>
          <t>RPT-14</t>
        </is>
      </c>
      <c r="B668" s="83" t="inlineStr">
        <is>
          <t>gemini</t>
        </is>
      </c>
      <c r="C668" s="83" t="inlineStr">
        <is>
          <t>gemma</t>
        </is>
      </c>
      <c r="D668" s="84" t="n">
        <v>0.248331108144192</v>
      </c>
      <c r="E668" s="84" t="n">
        <v>0.349206349206349</v>
      </c>
      <c r="F668" s="84" t="n">
        <v>0.096</v>
      </c>
      <c r="G668" s="84" t="n">
        <v>0.222222222222222</v>
      </c>
      <c r="H668" s="84" t="n">
        <v>0.319363715453017</v>
      </c>
      <c r="I668" s="84" t="n">
        <v>0.212502043272606</v>
      </c>
      <c r="J668" s="84" t="n">
        <v>0.75079928106159</v>
      </c>
      <c r="K668" s="84" t="n">
        <v>0.791867881684636</v>
      </c>
      <c r="L668" s="84" t="n">
        <v>0.89971203320728</v>
      </c>
      <c r="M668" s="84" t="n">
        <v>0.906542056074766</v>
      </c>
      <c r="N668" s="84" t="n">
        <v>0.916666666666667</v>
      </c>
      <c r="O668" s="84" t="n">
        <v>1</v>
      </c>
      <c r="P668" s="85">
        <f>AVERAGE(D668:I668)</f>
        <v/>
      </c>
      <c r="Q668" s="85">
        <f>AVERAGE(J668:L668)</f>
        <v/>
      </c>
      <c r="R668" s="85">
        <f>AVERAGE(M668:O668)</f>
        <v/>
      </c>
      <c r="S668" s="85">
        <f>'02_지표정의'!$C$22*P668+'02_지표정의'!$C$23*Q668+'02_지표정의'!$C$24*R668</f>
        <v/>
      </c>
      <c r="T668" s="73">
        <f>IF(OR(AND(B668="gemini",C668="gemma"),AND(B668="qwen3_6",C668="qwen"),AND(B668="mistral",C668="ministral")),1,0)</f>
        <v/>
      </c>
      <c r="U668" s="73">
        <f>IF(LEFT(A668,3)="PAT","특허","보고서")</f>
        <v/>
      </c>
      <c r="V668" s="86">
        <f>COUNTIF($S$2:$S$976,"&lt;"&amp;S668)+(COUNTIF($S$2:$S$976,"="&amp;S668)+1)/2</f>
        <v/>
      </c>
      <c r="W668" s="73">
        <f>IF(C668="qwen",0,COUNTIFS($C$2:$C$976,"&lt;&gt;qwen",$S$2:$S$976,"&lt;"&amp;S668)+1)</f>
        <v/>
      </c>
      <c r="X668" s="73">
        <f>IF(C668="ministral",0,COUNTIFS($C$2:$C$976,"&lt;&gt;ministral",$S$2:$S$976,"&lt;"&amp;S668)+1)</f>
        <v/>
      </c>
      <c r="Y668" s="73">
        <f>IF(C668="gemma",0,COUNTIFS($C$2:$C$976,"&lt;&gt;gemma",$S$2:$S$976,"&lt;"&amp;S668)+1)</f>
        <v/>
      </c>
      <c r="Z668" s="87">
        <f>COUNTIFS($B$2:$B$976,B668,$C$2:$C$976,C668,$S$2:$S$976,"&lt;"&amp;S668)+1</f>
        <v/>
      </c>
      <c r="AA668" s="88">
        <f>ABS(S668-SUMPRODUCT(('05B_가정검정'!$A$5:$A$19=B668)*('05B_가정검정'!$B$5:$B$19=C668)*'05B_가정검정'!$E$5:$E$19))</f>
        <v/>
      </c>
      <c r="AB668" s="88">
        <f>S668-AVERAGEIFS($S$2:$S$976,$B$2:$B$976,B668,$C$2:$C$976,C668)</f>
        <v/>
      </c>
    </row>
    <row r="669" ht="15" customHeight="1" s="68">
      <c r="A669" s="83" t="inlineStr">
        <is>
          <t>RPT-14</t>
        </is>
      </c>
      <c r="B669" s="83" t="inlineStr">
        <is>
          <t>gemini</t>
        </is>
      </c>
      <c r="C669" s="83" t="inlineStr">
        <is>
          <t>ministral</t>
        </is>
      </c>
      <c r="D669" s="84" t="n">
        <v>0.295652173913044</v>
      </c>
      <c r="E669" s="84" t="n">
        <v>0.284182305630027</v>
      </c>
      <c r="F669" s="84" t="n">
        <v>0.102425876010782</v>
      </c>
      <c r="G669" s="84" t="n">
        <v>0.187667560321716</v>
      </c>
      <c r="H669" s="84" t="n">
        <v>0.197265449057181</v>
      </c>
      <c r="I669" s="84" t="n">
        <v>0.371675215124211</v>
      </c>
      <c r="J669" s="84" t="n">
        <v>0.737606941455522</v>
      </c>
      <c r="K669" s="84" t="n">
        <v>0.798267588840233</v>
      </c>
      <c r="L669" s="84" t="n">
        <v>0.901734478409485</v>
      </c>
      <c r="M669" s="84" t="n">
        <v>0.250645994832041</v>
      </c>
      <c r="N669" s="84" t="n">
        <v>0.237179487179487</v>
      </c>
      <c r="O669" s="84" t="n">
        <v>0.526315789473684</v>
      </c>
      <c r="P669" s="85">
        <f>AVERAGE(D669:I669)</f>
        <v/>
      </c>
      <c r="Q669" s="85">
        <f>AVERAGE(J669:L669)</f>
        <v/>
      </c>
      <c r="R669" s="85">
        <f>AVERAGE(M669:O669)</f>
        <v/>
      </c>
      <c r="S669" s="85">
        <f>'02_지표정의'!$C$22*P669+'02_지표정의'!$C$23*Q669+'02_지표정의'!$C$24*R669</f>
        <v/>
      </c>
      <c r="T669" s="73">
        <f>IF(OR(AND(B669="gemini",C669="gemma"),AND(B669="qwen3_6",C669="qwen"),AND(B669="mistral",C669="ministral")),1,0)</f>
        <v/>
      </c>
      <c r="U669" s="73">
        <f>IF(LEFT(A669,3)="PAT","특허","보고서")</f>
        <v/>
      </c>
      <c r="V669" s="86">
        <f>COUNTIF($S$2:$S$976,"&lt;"&amp;S669)+(COUNTIF($S$2:$S$976,"="&amp;S669)+1)/2</f>
        <v/>
      </c>
      <c r="W669" s="73">
        <f>IF(C669="qwen",0,COUNTIFS($C$2:$C$976,"&lt;&gt;qwen",$S$2:$S$976,"&lt;"&amp;S669)+1)</f>
        <v/>
      </c>
      <c r="X669" s="73">
        <f>IF(C669="ministral",0,COUNTIFS($C$2:$C$976,"&lt;&gt;ministral",$S$2:$S$976,"&lt;"&amp;S669)+1)</f>
        <v/>
      </c>
      <c r="Y669" s="73">
        <f>IF(C669="gemma",0,COUNTIFS($C$2:$C$976,"&lt;&gt;gemma",$S$2:$S$976,"&lt;"&amp;S669)+1)</f>
        <v/>
      </c>
      <c r="Z669" s="87">
        <f>COUNTIFS($B$2:$B$976,B669,$C$2:$C$976,C669,$S$2:$S$976,"&lt;"&amp;S669)+1</f>
        <v/>
      </c>
      <c r="AA669" s="88">
        <f>ABS(S669-SUMPRODUCT(('05B_가정검정'!$A$5:$A$19=B669)*('05B_가정검정'!$B$5:$B$19=C669)*'05B_가정검정'!$E$5:$E$19))</f>
        <v/>
      </c>
      <c r="AB669" s="88">
        <f>S669-AVERAGEIFS($S$2:$S$976,$B$2:$B$976,B669,$C$2:$C$976,C669)</f>
        <v/>
      </c>
    </row>
    <row r="670" ht="15" customHeight="1" s="68">
      <c r="A670" s="83" t="inlineStr">
        <is>
          <t>RPT-14</t>
        </is>
      </c>
      <c r="B670" s="83" t="inlineStr">
        <is>
          <t>gemini</t>
        </is>
      </c>
      <c r="C670" s="83" t="inlineStr">
        <is>
          <t>qwen</t>
        </is>
      </c>
      <c r="D670" s="84" t="n">
        <v>0.29878869448183</v>
      </c>
      <c r="E670" s="84" t="n">
        <v>0.462809917355372</v>
      </c>
      <c r="F670" s="84" t="n">
        <v>0.15</v>
      </c>
      <c r="G670" s="84" t="n">
        <v>0.31404958677686</v>
      </c>
      <c r="H670" s="84" t="n">
        <v>0.30729557101065</v>
      </c>
      <c r="I670" s="84" t="n">
        <v>0.271320424261341</v>
      </c>
      <c r="J670" s="84" t="n">
        <v>0.755845743155236</v>
      </c>
      <c r="K670" s="84" t="n">
        <v>0.756114126862298</v>
      </c>
      <c r="L670" s="84" t="n">
        <v>0.886744272376994</v>
      </c>
      <c r="M670" s="84" t="n">
        <v>0.617834394904459</v>
      </c>
      <c r="N670" s="84" t="n">
        <v>0.7333333333333329</v>
      </c>
      <c r="O670" s="84" t="n">
        <v>1</v>
      </c>
      <c r="P670" s="85">
        <f>AVERAGE(D670:I670)</f>
        <v/>
      </c>
      <c r="Q670" s="85">
        <f>AVERAGE(J670:L670)</f>
        <v/>
      </c>
      <c r="R670" s="85">
        <f>AVERAGE(M670:O670)</f>
        <v/>
      </c>
      <c r="S670" s="85">
        <f>'02_지표정의'!$C$22*P670+'02_지표정의'!$C$23*Q670+'02_지표정의'!$C$24*R670</f>
        <v/>
      </c>
      <c r="T670" s="73">
        <f>IF(OR(AND(B670="gemini",C670="gemma"),AND(B670="qwen3_6",C670="qwen"),AND(B670="mistral",C670="ministral")),1,0)</f>
        <v/>
      </c>
      <c r="U670" s="73">
        <f>IF(LEFT(A670,3)="PAT","특허","보고서")</f>
        <v/>
      </c>
      <c r="V670" s="86">
        <f>COUNTIF($S$2:$S$976,"&lt;"&amp;S670)+(COUNTIF($S$2:$S$976,"="&amp;S670)+1)/2</f>
        <v/>
      </c>
      <c r="W670" s="73">
        <f>IF(C670="qwen",0,COUNTIFS($C$2:$C$976,"&lt;&gt;qwen",$S$2:$S$976,"&lt;"&amp;S670)+1)</f>
        <v/>
      </c>
      <c r="X670" s="73">
        <f>IF(C670="ministral",0,COUNTIFS($C$2:$C$976,"&lt;&gt;ministral",$S$2:$S$976,"&lt;"&amp;S670)+1)</f>
        <v/>
      </c>
      <c r="Y670" s="73">
        <f>IF(C670="gemma",0,COUNTIFS($C$2:$C$976,"&lt;&gt;gemma",$S$2:$S$976,"&lt;"&amp;S670)+1)</f>
        <v/>
      </c>
      <c r="Z670" s="87">
        <f>COUNTIFS($B$2:$B$976,B670,$C$2:$C$976,C670,$S$2:$S$976,"&lt;"&amp;S670)+1</f>
        <v/>
      </c>
      <c r="AA670" s="88">
        <f>ABS(S670-SUMPRODUCT(('05B_가정검정'!$A$5:$A$19=B670)*('05B_가정검정'!$B$5:$B$19=C670)*'05B_가정검정'!$E$5:$E$19))</f>
        <v/>
      </c>
      <c r="AB670" s="88">
        <f>S670-AVERAGEIFS($S$2:$S$976,$B$2:$B$976,B670,$C$2:$C$976,C670)</f>
        <v/>
      </c>
    </row>
    <row r="671" ht="15" customHeight="1" s="68">
      <c r="A671" s="83" t="inlineStr">
        <is>
          <t>RPT-14</t>
        </is>
      </c>
      <c r="B671" s="83" t="inlineStr">
        <is>
          <t>mistral</t>
        </is>
      </c>
      <c r="C671" s="83" t="inlineStr">
        <is>
          <t>gemma</t>
        </is>
      </c>
      <c r="D671" s="84" t="n">
        <v>0.291005291005291</v>
      </c>
      <c r="E671" s="84" t="n">
        <v>0.425196850393701</v>
      </c>
      <c r="F671" s="84" t="n">
        <v>0.182539682539683</v>
      </c>
      <c r="G671" s="84" t="n">
        <v>0.299212598425197</v>
      </c>
      <c r="H671" s="84" t="n">
        <v>0.309876219330465</v>
      </c>
      <c r="I671" s="84" t="n">
        <v>0.235352511584055</v>
      </c>
      <c r="J671" s="84" t="n">
        <v>0.71556544182916</v>
      </c>
      <c r="K671" s="84" t="n">
        <v>0.667623274407268</v>
      </c>
      <c r="L671" s="84" t="n">
        <v>0.808573167471064</v>
      </c>
      <c r="M671" s="84" t="n">
        <v>0.648854961832061</v>
      </c>
      <c r="N671" s="84" t="n">
        <v>0.680555555555556</v>
      </c>
      <c r="O671" s="84" t="n">
        <v>1</v>
      </c>
      <c r="P671" s="85">
        <f>AVERAGE(D671:I671)</f>
        <v/>
      </c>
      <c r="Q671" s="85">
        <f>AVERAGE(J671:L671)</f>
        <v/>
      </c>
      <c r="R671" s="85">
        <f>AVERAGE(M671:O671)</f>
        <v/>
      </c>
      <c r="S671" s="85">
        <f>'02_지표정의'!$C$22*P671+'02_지표정의'!$C$23*Q671+'02_지표정의'!$C$24*R671</f>
        <v/>
      </c>
      <c r="T671" s="73">
        <f>IF(OR(AND(B671="gemini",C671="gemma"),AND(B671="qwen3_6",C671="qwen"),AND(B671="mistral",C671="ministral")),1,0)</f>
        <v/>
      </c>
      <c r="U671" s="73">
        <f>IF(LEFT(A671,3)="PAT","특허","보고서")</f>
        <v/>
      </c>
      <c r="V671" s="86">
        <f>COUNTIF($S$2:$S$976,"&lt;"&amp;S671)+(COUNTIF($S$2:$S$976,"="&amp;S671)+1)/2</f>
        <v/>
      </c>
      <c r="W671" s="73">
        <f>IF(C671="qwen",0,COUNTIFS($C$2:$C$976,"&lt;&gt;qwen",$S$2:$S$976,"&lt;"&amp;S671)+1)</f>
        <v/>
      </c>
      <c r="X671" s="73">
        <f>IF(C671="ministral",0,COUNTIFS($C$2:$C$976,"&lt;&gt;ministral",$S$2:$S$976,"&lt;"&amp;S671)+1)</f>
        <v/>
      </c>
      <c r="Y671" s="73">
        <f>IF(C671="gemma",0,COUNTIFS($C$2:$C$976,"&lt;&gt;gemma",$S$2:$S$976,"&lt;"&amp;S671)+1)</f>
        <v/>
      </c>
      <c r="Z671" s="87">
        <f>COUNTIFS($B$2:$B$976,B671,$C$2:$C$976,C671,$S$2:$S$976,"&lt;"&amp;S671)+1</f>
        <v/>
      </c>
      <c r="AA671" s="88">
        <f>ABS(S671-SUMPRODUCT(('05B_가정검정'!$A$5:$A$19=B671)*('05B_가정검정'!$B$5:$B$19=C671)*'05B_가정검정'!$E$5:$E$19))</f>
        <v/>
      </c>
      <c r="AB671" s="88">
        <f>S671-AVERAGEIFS($S$2:$S$976,$B$2:$B$976,B671,$C$2:$C$976,C671)</f>
        <v/>
      </c>
    </row>
    <row r="672" ht="15" customHeight="1" s="68">
      <c r="A672" s="83" t="inlineStr">
        <is>
          <t>RPT-14</t>
        </is>
      </c>
      <c r="B672" s="83" t="inlineStr">
        <is>
          <t>mistral</t>
        </is>
      </c>
      <c r="C672" s="83" t="inlineStr">
        <is>
          <t>ministral</t>
        </is>
      </c>
      <c r="D672" s="84" t="n">
        <v>0.352941176470588</v>
      </c>
      <c r="E672" s="84" t="n">
        <v>0.368</v>
      </c>
      <c r="F672" s="84" t="n">
        <v>0.107238605898123</v>
      </c>
      <c r="G672" s="84" t="n">
        <v>0.224</v>
      </c>
      <c r="H672" s="84" t="n">
        <v>0.202835698797555</v>
      </c>
      <c r="I672" s="84" t="n">
        <v>0.30666190269144</v>
      </c>
      <c r="J672" s="84" t="n">
        <v>0.6895437348097611</v>
      </c>
      <c r="K672" s="84" t="n">
        <v>0.670341134098509</v>
      </c>
      <c r="L672" s="84" t="n">
        <v>0.829919096139867</v>
      </c>
      <c r="M672" s="84" t="n">
        <v>0.330749354005168</v>
      </c>
      <c r="N672" s="84" t="n">
        <v>0.217948717948718</v>
      </c>
      <c r="O672" s="84" t="n">
        <v>0.526315789473684</v>
      </c>
      <c r="P672" s="85">
        <f>AVERAGE(D672:I672)</f>
        <v/>
      </c>
      <c r="Q672" s="85">
        <f>AVERAGE(J672:L672)</f>
        <v/>
      </c>
      <c r="R672" s="85">
        <f>AVERAGE(M672:O672)</f>
        <v/>
      </c>
      <c r="S672" s="85">
        <f>'02_지표정의'!$C$22*P672+'02_지표정의'!$C$23*Q672+'02_지표정의'!$C$24*R672</f>
        <v/>
      </c>
      <c r="T672" s="73">
        <f>IF(OR(AND(B672="gemini",C672="gemma"),AND(B672="qwen3_6",C672="qwen"),AND(B672="mistral",C672="ministral")),1,0)</f>
        <v/>
      </c>
      <c r="U672" s="73">
        <f>IF(LEFT(A672,3)="PAT","특허","보고서")</f>
        <v/>
      </c>
      <c r="V672" s="86">
        <f>COUNTIF($S$2:$S$976,"&lt;"&amp;S672)+(COUNTIF($S$2:$S$976,"="&amp;S672)+1)/2</f>
        <v/>
      </c>
      <c r="W672" s="73">
        <f>IF(C672="qwen",0,COUNTIFS($C$2:$C$976,"&lt;&gt;qwen",$S$2:$S$976,"&lt;"&amp;S672)+1)</f>
        <v/>
      </c>
      <c r="X672" s="73">
        <f>IF(C672="ministral",0,COUNTIFS($C$2:$C$976,"&lt;&gt;ministral",$S$2:$S$976,"&lt;"&amp;S672)+1)</f>
        <v/>
      </c>
      <c r="Y672" s="73">
        <f>IF(C672="gemma",0,COUNTIFS($C$2:$C$976,"&lt;&gt;gemma",$S$2:$S$976,"&lt;"&amp;S672)+1)</f>
        <v/>
      </c>
      <c r="Z672" s="87">
        <f>COUNTIFS($B$2:$B$976,B672,$C$2:$C$976,C672,$S$2:$S$976,"&lt;"&amp;S672)+1</f>
        <v/>
      </c>
      <c r="AA672" s="88">
        <f>ABS(S672-SUMPRODUCT(('05B_가정검정'!$A$5:$A$19=B672)*('05B_가정검정'!$B$5:$B$19=C672)*'05B_가정검정'!$E$5:$E$19))</f>
        <v/>
      </c>
      <c r="AB672" s="88">
        <f>S672-AVERAGEIFS($S$2:$S$976,$B$2:$B$976,B672,$C$2:$C$976,C672)</f>
        <v/>
      </c>
    </row>
    <row r="673" ht="15" customHeight="1" s="68">
      <c r="A673" s="83" t="inlineStr">
        <is>
          <t>RPT-14</t>
        </is>
      </c>
      <c r="B673" s="83" t="inlineStr">
        <is>
          <t>mistral</t>
        </is>
      </c>
      <c r="C673" s="83" t="inlineStr">
        <is>
          <t>qwen</t>
        </is>
      </c>
      <c r="D673" s="84" t="n">
        <v>0.293333333333333</v>
      </c>
      <c r="E673" s="84" t="n">
        <v>0.491803278688525</v>
      </c>
      <c r="F673" s="84" t="n">
        <v>0.15702479338843</v>
      </c>
      <c r="G673" s="84" t="n">
        <v>0.30327868852459</v>
      </c>
      <c r="H673" s="84" t="n">
        <v>0.271827321918186</v>
      </c>
      <c r="I673" s="84" t="n">
        <v>0.198501906501262</v>
      </c>
      <c r="J673" s="84" t="n">
        <v>0.713967209647262</v>
      </c>
      <c r="K673" s="84" t="n">
        <v>0.6316983438650829</v>
      </c>
      <c r="L673" s="84" t="n">
        <v>0.78694103190409</v>
      </c>
      <c r="M673" s="84" t="n">
        <v>0.624203821656051</v>
      </c>
      <c r="N673" s="84" t="n">
        <v>0.693333333333333</v>
      </c>
      <c r="O673" s="84" t="n">
        <v>1</v>
      </c>
      <c r="P673" s="85">
        <f>AVERAGE(D673:I673)</f>
        <v/>
      </c>
      <c r="Q673" s="85">
        <f>AVERAGE(J673:L673)</f>
        <v/>
      </c>
      <c r="R673" s="85">
        <f>AVERAGE(M673:O673)</f>
        <v/>
      </c>
      <c r="S673" s="85">
        <f>'02_지표정의'!$C$22*P673+'02_지표정의'!$C$23*Q673+'02_지표정의'!$C$24*R673</f>
        <v/>
      </c>
      <c r="T673" s="73">
        <f>IF(OR(AND(B673="gemini",C673="gemma"),AND(B673="qwen3_6",C673="qwen"),AND(B673="mistral",C673="ministral")),1,0)</f>
        <v/>
      </c>
      <c r="U673" s="73">
        <f>IF(LEFT(A673,3)="PAT","특허","보고서")</f>
        <v/>
      </c>
      <c r="V673" s="86">
        <f>COUNTIF($S$2:$S$976,"&lt;"&amp;S673)+(COUNTIF($S$2:$S$976,"="&amp;S673)+1)/2</f>
        <v/>
      </c>
      <c r="W673" s="73">
        <f>IF(C673="qwen",0,COUNTIFS($C$2:$C$976,"&lt;&gt;qwen",$S$2:$S$976,"&lt;"&amp;S673)+1)</f>
        <v/>
      </c>
      <c r="X673" s="73">
        <f>IF(C673="ministral",0,COUNTIFS($C$2:$C$976,"&lt;&gt;ministral",$S$2:$S$976,"&lt;"&amp;S673)+1)</f>
        <v/>
      </c>
      <c r="Y673" s="73">
        <f>IF(C673="gemma",0,COUNTIFS($C$2:$C$976,"&lt;&gt;gemma",$S$2:$S$976,"&lt;"&amp;S673)+1)</f>
        <v/>
      </c>
      <c r="Z673" s="87">
        <f>COUNTIFS($B$2:$B$976,B673,$C$2:$C$976,C673,$S$2:$S$976,"&lt;"&amp;S673)+1</f>
        <v/>
      </c>
      <c r="AA673" s="88">
        <f>ABS(S673-SUMPRODUCT(('05B_가정검정'!$A$5:$A$19=B673)*('05B_가정검정'!$B$5:$B$19=C673)*'05B_가정검정'!$E$5:$E$19))</f>
        <v/>
      </c>
      <c r="AB673" s="88">
        <f>S673-AVERAGEIFS($S$2:$S$976,$B$2:$B$976,B673,$C$2:$C$976,C673)</f>
        <v/>
      </c>
    </row>
    <row r="674" ht="15" customHeight="1" s="68">
      <c r="A674" s="83" t="inlineStr">
        <is>
          <t>RPT-14</t>
        </is>
      </c>
      <c r="B674" s="83" t="inlineStr">
        <is>
          <t>qwen3_6</t>
        </is>
      </c>
      <c r="C674" s="83" t="inlineStr">
        <is>
          <t>gemma</t>
        </is>
      </c>
      <c r="D674" s="84" t="n">
        <v>0.273755656108597</v>
      </c>
      <c r="E674" s="84" t="n">
        <v>0.396103896103896</v>
      </c>
      <c r="F674" s="84" t="n">
        <v>0.143790849673203</v>
      </c>
      <c r="G674" s="84" t="n">
        <v>0.253246753246753</v>
      </c>
      <c r="H674" s="84" t="n">
        <v>0.456782179593417</v>
      </c>
      <c r="I674" s="84" t="n">
        <v>0.264455931880727</v>
      </c>
      <c r="J674" s="84" t="n">
        <v>0.71823398484595</v>
      </c>
      <c r="K674" s="84" t="n">
        <v>0.7105213047853151</v>
      </c>
      <c r="L674" s="84" t="n">
        <v>0.886891461279969</v>
      </c>
      <c r="M674" s="84" t="n">
        <v>0.906542056074766</v>
      </c>
      <c r="N674" s="84" t="n">
        <v>0.916666666666667</v>
      </c>
      <c r="O674" s="84" t="n">
        <v>1</v>
      </c>
      <c r="P674" s="85">
        <f>AVERAGE(D674:I674)</f>
        <v/>
      </c>
      <c r="Q674" s="85">
        <f>AVERAGE(J674:L674)</f>
        <v/>
      </c>
      <c r="R674" s="85">
        <f>AVERAGE(M674:O674)</f>
        <v/>
      </c>
      <c r="S674" s="85">
        <f>'02_지표정의'!$C$22*P674+'02_지표정의'!$C$23*Q674+'02_지표정의'!$C$24*R674</f>
        <v/>
      </c>
      <c r="T674" s="73">
        <f>IF(OR(AND(B674="gemini",C674="gemma"),AND(B674="qwen3_6",C674="qwen"),AND(B674="mistral",C674="ministral")),1,0)</f>
        <v/>
      </c>
      <c r="U674" s="73">
        <f>IF(LEFT(A674,3)="PAT","특허","보고서")</f>
        <v/>
      </c>
      <c r="V674" s="86">
        <f>COUNTIF($S$2:$S$976,"&lt;"&amp;S674)+(COUNTIF($S$2:$S$976,"="&amp;S674)+1)/2</f>
        <v/>
      </c>
      <c r="W674" s="73">
        <f>IF(C674="qwen",0,COUNTIFS($C$2:$C$976,"&lt;&gt;qwen",$S$2:$S$976,"&lt;"&amp;S674)+1)</f>
        <v/>
      </c>
      <c r="X674" s="73">
        <f>IF(C674="ministral",0,COUNTIFS($C$2:$C$976,"&lt;&gt;ministral",$S$2:$S$976,"&lt;"&amp;S674)+1)</f>
        <v/>
      </c>
      <c r="Y674" s="73">
        <f>IF(C674="gemma",0,COUNTIFS($C$2:$C$976,"&lt;&gt;gemma",$S$2:$S$976,"&lt;"&amp;S674)+1)</f>
        <v/>
      </c>
      <c r="Z674" s="87">
        <f>COUNTIFS($B$2:$B$976,B674,$C$2:$C$976,C674,$S$2:$S$976,"&lt;"&amp;S674)+1</f>
        <v/>
      </c>
      <c r="AA674" s="88">
        <f>ABS(S674-SUMPRODUCT(('05B_가정검정'!$A$5:$A$19=B674)*('05B_가정검정'!$B$5:$B$19=C674)*'05B_가정검정'!$E$5:$E$19))</f>
        <v/>
      </c>
      <c r="AB674" s="88">
        <f>S674-AVERAGEIFS($S$2:$S$976,$B$2:$B$976,B674,$C$2:$C$976,C674)</f>
        <v/>
      </c>
    </row>
    <row r="675" ht="15" customHeight="1" s="68">
      <c r="A675" s="83" t="inlineStr">
        <is>
          <t>RPT-14</t>
        </is>
      </c>
      <c r="B675" s="83" t="inlineStr">
        <is>
          <t>qwen3_6</t>
        </is>
      </c>
      <c r="C675" s="83" t="inlineStr">
        <is>
          <t>ministral</t>
        </is>
      </c>
      <c r="D675" s="84" t="n">
        <v>0.24969696969697</v>
      </c>
      <c r="E675" s="84" t="n">
        <v>0.261072261072261</v>
      </c>
      <c r="F675" s="84" t="n">
        <v>0.0749414519906323</v>
      </c>
      <c r="G675" s="84" t="n">
        <v>0.172494172494173</v>
      </c>
      <c r="H675" s="84" t="n">
        <v>0.243441827215156</v>
      </c>
      <c r="I675" s="84" t="n">
        <v>0.251478478245912</v>
      </c>
      <c r="J675" s="84" t="n">
        <v>0.708370768740291</v>
      </c>
      <c r="K675" s="84" t="n">
        <v>0.687005784003775</v>
      </c>
      <c r="L675" s="84" t="n">
        <v>0.847675374856817</v>
      </c>
      <c r="M675" s="84" t="n">
        <v>0.250645994832041</v>
      </c>
      <c r="N675" s="84" t="n">
        <v>0.237179487179487</v>
      </c>
      <c r="O675" s="84" t="n">
        <v>0.526315789473684</v>
      </c>
      <c r="P675" s="85">
        <f>AVERAGE(D675:I675)</f>
        <v/>
      </c>
      <c r="Q675" s="85">
        <f>AVERAGE(J675:L675)</f>
        <v/>
      </c>
      <c r="R675" s="85">
        <f>AVERAGE(M675:O675)</f>
        <v/>
      </c>
      <c r="S675" s="85">
        <f>'02_지표정의'!$C$22*P675+'02_지표정의'!$C$23*Q675+'02_지표정의'!$C$24*R675</f>
        <v/>
      </c>
      <c r="T675" s="73">
        <f>IF(OR(AND(B675="gemini",C675="gemma"),AND(B675="qwen3_6",C675="qwen"),AND(B675="mistral",C675="ministral")),1,0)</f>
        <v/>
      </c>
      <c r="U675" s="73">
        <f>IF(LEFT(A675,3)="PAT","특허","보고서")</f>
        <v/>
      </c>
      <c r="V675" s="86">
        <f>COUNTIF($S$2:$S$976,"&lt;"&amp;S675)+(COUNTIF($S$2:$S$976,"="&amp;S675)+1)/2</f>
        <v/>
      </c>
      <c r="W675" s="73">
        <f>IF(C675="qwen",0,COUNTIFS($C$2:$C$976,"&lt;&gt;qwen",$S$2:$S$976,"&lt;"&amp;S675)+1)</f>
        <v/>
      </c>
      <c r="X675" s="73">
        <f>IF(C675="ministral",0,COUNTIFS($C$2:$C$976,"&lt;&gt;ministral",$S$2:$S$976,"&lt;"&amp;S675)+1)</f>
        <v/>
      </c>
      <c r="Y675" s="73">
        <f>IF(C675="gemma",0,COUNTIFS($C$2:$C$976,"&lt;&gt;gemma",$S$2:$S$976,"&lt;"&amp;S675)+1)</f>
        <v/>
      </c>
      <c r="Z675" s="87">
        <f>COUNTIFS($B$2:$B$976,B675,$C$2:$C$976,C675,$S$2:$S$976,"&lt;"&amp;S675)+1</f>
        <v/>
      </c>
      <c r="AA675" s="88">
        <f>ABS(S675-SUMPRODUCT(('05B_가정검정'!$A$5:$A$19=B675)*('05B_가정검정'!$B$5:$B$19=C675)*'05B_가정검정'!$E$5:$E$19))</f>
        <v/>
      </c>
      <c r="AB675" s="88">
        <f>S675-AVERAGEIFS($S$2:$S$976,$B$2:$B$976,B675,$C$2:$C$976,C675)</f>
        <v/>
      </c>
    </row>
    <row r="676" ht="15" customHeight="1" s="68">
      <c r="A676" s="83" t="inlineStr">
        <is>
          <t>RPT-14</t>
        </is>
      </c>
      <c r="B676" s="83" t="inlineStr">
        <is>
          <t>qwen3_6</t>
        </is>
      </c>
      <c r="C676" s="83" t="inlineStr">
        <is>
          <t>qwen</t>
        </is>
      </c>
      <c r="D676" s="84" t="n">
        <v>0.293849658314351</v>
      </c>
      <c r="E676" s="84" t="n">
        <v>0.449664429530201</v>
      </c>
      <c r="F676" s="84" t="n">
        <v>0.175675675675676</v>
      </c>
      <c r="G676" s="84" t="n">
        <v>0.308724832214765</v>
      </c>
      <c r="H676" s="84" t="n">
        <v>0.432023979878879</v>
      </c>
      <c r="I676" s="84" t="n">
        <v>0.271386476722801</v>
      </c>
      <c r="J676" s="84" t="n">
        <v>0.71528315786689</v>
      </c>
      <c r="K676" s="84" t="n">
        <v>0.725840925402148</v>
      </c>
      <c r="L676" s="84" t="n">
        <v>0.898223649308037</v>
      </c>
      <c r="M676" s="84" t="n">
        <v>0.617834394904459</v>
      </c>
      <c r="N676" s="84" t="n">
        <v>0.7333333333333329</v>
      </c>
      <c r="O676" s="84" t="n">
        <v>1</v>
      </c>
      <c r="P676" s="85">
        <f>AVERAGE(D676:I676)</f>
        <v/>
      </c>
      <c r="Q676" s="85">
        <f>AVERAGE(J676:L676)</f>
        <v/>
      </c>
      <c r="R676" s="85">
        <f>AVERAGE(M676:O676)</f>
        <v/>
      </c>
      <c r="S676" s="85">
        <f>'02_지표정의'!$C$22*P676+'02_지표정의'!$C$23*Q676+'02_지표정의'!$C$24*R676</f>
        <v/>
      </c>
      <c r="T676" s="73">
        <f>IF(OR(AND(B676="gemini",C676="gemma"),AND(B676="qwen3_6",C676="qwen"),AND(B676="mistral",C676="ministral")),1,0)</f>
        <v/>
      </c>
      <c r="U676" s="73">
        <f>IF(LEFT(A676,3)="PAT","특허","보고서")</f>
        <v/>
      </c>
      <c r="V676" s="86">
        <f>COUNTIF($S$2:$S$976,"&lt;"&amp;S676)+(COUNTIF($S$2:$S$976,"="&amp;S676)+1)/2</f>
        <v/>
      </c>
      <c r="W676" s="73">
        <f>IF(C676="qwen",0,COUNTIFS($C$2:$C$976,"&lt;&gt;qwen",$S$2:$S$976,"&lt;"&amp;S676)+1)</f>
        <v/>
      </c>
      <c r="X676" s="73">
        <f>IF(C676="ministral",0,COUNTIFS($C$2:$C$976,"&lt;&gt;ministral",$S$2:$S$976,"&lt;"&amp;S676)+1)</f>
        <v/>
      </c>
      <c r="Y676" s="73">
        <f>IF(C676="gemma",0,COUNTIFS($C$2:$C$976,"&lt;&gt;gemma",$S$2:$S$976,"&lt;"&amp;S676)+1)</f>
        <v/>
      </c>
      <c r="Z676" s="87">
        <f>COUNTIFS($B$2:$B$976,B676,$C$2:$C$976,C676,$S$2:$S$976,"&lt;"&amp;S676)+1</f>
        <v/>
      </c>
      <c r="AA676" s="88">
        <f>ABS(S676-SUMPRODUCT(('05B_가정검정'!$A$5:$A$19=B676)*('05B_가정검정'!$B$5:$B$19=C676)*'05B_가정검정'!$E$5:$E$19))</f>
        <v/>
      </c>
      <c r="AB676" s="88">
        <f>S676-AVERAGEIFS($S$2:$S$976,$B$2:$B$976,B676,$C$2:$C$976,C676)</f>
        <v/>
      </c>
    </row>
    <row r="677" ht="15" customHeight="1" s="68">
      <c r="A677" s="83" t="inlineStr">
        <is>
          <t>RPT-15</t>
        </is>
      </c>
      <c r="B677" s="83" t="inlineStr">
        <is>
          <t>chatgpt</t>
        </is>
      </c>
      <c r="C677" s="83" t="inlineStr">
        <is>
          <t>gemma</t>
        </is>
      </c>
      <c r="D677" s="84" t="n">
        <v>0.208247422680412</v>
      </c>
      <c r="E677" s="84" t="n">
        <v>0.298850574712644</v>
      </c>
      <c r="F677" s="84" t="n">
        <v>0.1003861003861</v>
      </c>
      <c r="G677" s="84" t="n">
        <v>0.222222222222222</v>
      </c>
      <c r="H677" s="84" t="n">
        <v>0.28721522464325</v>
      </c>
      <c r="I677" s="84" t="n">
        <v>0.111073759854028</v>
      </c>
      <c r="J677" s="84" t="n">
        <v>0.683156595752842</v>
      </c>
      <c r="K677" s="84" t="n">
        <v>0.563059588423914</v>
      </c>
      <c r="L677" s="84" t="n">
        <v>0.814045453214454</v>
      </c>
      <c r="M677" s="84" t="n">
        <v>0.329787234042553</v>
      </c>
      <c r="N677" s="84" t="n">
        <v>0.115853658536585</v>
      </c>
      <c r="O677" s="84" t="n">
        <v>1</v>
      </c>
      <c r="P677" s="85">
        <f>AVERAGE(D677:I677)</f>
        <v/>
      </c>
      <c r="Q677" s="85">
        <f>AVERAGE(J677:L677)</f>
        <v/>
      </c>
      <c r="R677" s="85">
        <f>AVERAGE(M677:O677)</f>
        <v/>
      </c>
      <c r="S677" s="85">
        <f>'02_지표정의'!$C$22*P677+'02_지표정의'!$C$23*Q677+'02_지표정의'!$C$24*R677</f>
        <v/>
      </c>
      <c r="T677" s="73">
        <f>IF(OR(AND(B677="gemini",C677="gemma"),AND(B677="qwen3_6",C677="qwen"),AND(B677="mistral",C677="ministral")),1,0)</f>
        <v/>
      </c>
      <c r="U677" s="73">
        <f>IF(LEFT(A677,3)="PAT","특허","보고서")</f>
        <v/>
      </c>
      <c r="V677" s="86">
        <f>COUNTIF($S$2:$S$976,"&lt;"&amp;S677)+(COUNTIF($S$2:$S$976,"="&amp;S677)+1)/2</f>
        <v/>
      </c>
      <c r="W677" s="73">
        <f>IF(C677="qwen",0,COUNTIFS($C$2:$C$976,"&lt;&gt;qwen",$S$2:$S$976,"&lt;"&amp;S677)+1)</f>
        <v/>
      </c>
      <c r="X677" s="73">
        <f>IF(C677="ministral",0,COUNTIFS($C$2:$C$976,"&lt;&gt;ministral",$S$2:$S$976,"&lt;"&amp;S677)+1)</f>
        <v/>
      </c>
      <c r="Y677" s="73">
        <f>IF(C677="gemma",0,COUNTIFS($C$2:$C$976,"&lt;&gt;gemma",$S$2:$S$976,"&lt;"&amp;S677)+1)</f>
        <v/>
      </c>
      <c r="Z677" s="87">
        <f>COUNTIFS($B$2:$B$976,B677,$C$2:$C$976,C677,$S$2:$S$976,"&lt;"&amp;S677)+1</f>
        <v/>
      </c>
      <c r="AA677" s="88">
        <f>ABS(S677-SUMPRODUCT(('05B_가정검정'!$A$5:$A$19=B677)*('05B_가정검정'!$B$5:$B$19=C677)*'05B_가정검정'!$E$5:$E$19))</f>
        <v/>
      </c>
      <c r="AB677" s="88">
        <f>S677-AVERAGEIFS($S$2:$S$976,$B$2:$B$976,B677,$C$2:$C$976,C677)</f>
        <v/>
      </c>
    </row>
    <row r="678" ht="15" customHeight="1" s="68">
      <c r="A678" s="83" t="inlineStr">
        <is>
          <t>RPT-15</t>
        </is>
      </c>
      <c r="B678" s="83" t="inlineStr">
        <is>
          <t>chatgpt</t>
        </is>
      </c>
      <c r="C678" s="83" t="inlineStr">
        <is>
          <t>ministral</t>
        </is>
      </c>
      <c r="D678" s="84" t="n">
        <v>0.244716351501669</v>
      </c>
      <c r="E678" s="84" t="n">
        <v>0.281081081081081</v>
      </c>
      <c r="F678" s="84" t="n">
        <v>0.09239130434782609</v>
      </c>
      <c r="G678" s="84" t="n">
        <v>0.210810810810811</v>
      </c>
      <c r="H678" s="84" t="n">
        <v>0.268453643022859</v>
      </c>
      <c r="I678" s="84" t="n">
        <v>0.127193309285965</v>
      </c>
      <c r="J678" s="84" t="n">
        <v>0.7083007970283181</v>
      </c>
      <c r="K678" s="84" t="n">
        <v>0.60726070888693</v>
      </c>
      <c r="L678" s="84" t="n">
        <v>0.826918137475502</v>
      </c>
      <c r="M678" s="84" t="n">
        <v>0.50354609929078</v>
      </c>
      <c r="N678" s="84" t="n">
        <v>0.170731707317073</v>
      </c>
      <c r="O678" s="84" t="n">
        <v>1</v>
      </c>
      <c r="P678" s="85">
        <f>AVERAGE(D678:I678)</f>
        <v/>
      </c>
      <c r="Q678" s="85">
        <f>AVERAGE(J678:L678)</f>
        <v/>
      </c>
      <c r="R678" s="85">
        <f>AVERAGE(M678:O678)</f>
        <v/>
      </c>
      <c r="S678" s="85">
        <f>'02_지표정의'!$C$22*P678+'02_지표정의'!$C$23*Q678+'02_지표정의'!$C$24*R678</f>
        <v/>
      </c>
      <c r="T678" s="73">
        <f>IF(OR(AND(B678="gemini",C678="gemma"),AND(B678="qwen3_6",C678="qwen"),AND(B678="mistral",C678="ministral")),1,0)</f>
        <v/>
      </c>
      <c r="U678" s="73">
        <f>IF(LEFT(A678,3)="PAT","특허","보고서")</f>
        <v/>
      </c>
      <c r="V678" s="86">
        <f>COUNTIF($S$2:$S$976,"&lt;"&amp;S678)+(COUNTIF($S$2:$S$976,"="&amp;S678)+1)/2</f>
        <v/>
      </c>
      <c r="W678" s="73">
        <f>IF(C678="qwen",0,COUNTIFS($C$2:$C$976,"&lt;&gt;qwen",$S$2:$S$976,"&lt;"&amp;S678)+1)</f>
        <v/>
      </c>
      <c r="X678" s="73">
        <f>IF(C678="ministral",0,COUNTIFS($C$2:$C$976,"&lt;&gt;ministral",$S$2:$S$976,"&lt;"&amp;S678)+1)</f>
        <v/>
      </c>
      <c r="Y678" s="73">
        <f>IF(C678="gemma",0,COUNTIFS($C$2:$C$976,"&lt;&gt;gemma",$S$2:$S$976,"&lt;"&amp;S678)+1)</f>
        <v/>
      </c>
      <c r="Z678" s="87">
        <f>COUNTIFS($B$2:$B$976,B678,$C$2:$C$976,C678,$S$2:$S$976,"&lt;"&amp;S678)+1</f>
        <v/>
      </c>
      <c r="AA678" s="88">
        <f>ABS(S678-SUMPRODUCT(('05B_가정검정'!$A$5:$A$19=B678)*('05B_가정검정'!$B$5:$B$19=C678)*'05B_가정검정'!$E$5:$E$19))</f>
        <v/>
      </c>
      <c r="AB678" s="88">
        <f>S678-AVERAGEIFS($S$2:$S$976,$B$2:$B$976,B678,$C$2:$C$976,C678)</f>
        <v/>
      </c>
    </row>
    <row r="679" ht="15" customHeight="1" s="68">
      <c r="A679" s="83" t="inlineStr">
        <is>
          <t>RPT-15</t>
        </is>
      </c>
      <c r="B679" s="83" t="inlineStr">
        <is>
          <t>chatgpt</t>
        </is>
      </c>
      <c r="C679" s="83" t="inlineStr">
        <is>
          <t>qwen</t>
        </is>
      </c>
      <c r="D679" s="84" t="n">
        <v>0.248421052631579</v>
      </c>
      <c r="E679" s="84" t="n">
        <v>0.484615384615385</v>
      </c>
      <c r="F679" s="84" t="n">
        <v>0.224806201550388</v>
      </c>
      <c r="G679" s="84" t="n">
        <v>0.376923076923077</v>
      </c>
      <c r="H679" s="84" t="n">
        <v>0.383046538820861</v>
      </c>
      <c r="I679" s="84" t="n">
        <v>0.267648722823582</v>
      </c>
      <c r="J679" s="84" t="n">
        <v>0.703443376349983</v>
      </c>
      <c r="K679" s="84" t="n">
        <v>0.621534413487676</v>
      </c>
      <c r="L679" s="84" t="n">
        <v>0.82534155633735</v>
      </c>
      <c r="M679" s="84" t="n">
        <v>0.535460992907801</v>
      </c>
      <c r="N679" s="84" t="n">
        <v>0.359756097560976</v>
      </c>
      <c r="O679" s="84" t="n">
        <v>1</v>
      </c>
      <c r="P679" s="85">
        <f>AVERAGE(D679:I679)</f>
        <v/>
      </c>
      <c r="Q679" s="85">
        <f>AVERAGE(J679:L679)</f>
        <v/>
      </c>
      <c r="R679" s="85">
        <f>AVERAGE(M679:O679)</f>
        <v/>
      </c>
      <c r="S679" s="85">
        <f>'02_지표정의'!$C$22*P679+'02_지표정의'!$C$23*Q679+'02_지표정의'!$C$24*R679</f>
        <v/>
      </c>
      <c r="T679" s="73">
        <f>IF(OR(AND(B679="gemini",C679="gemma"),AND(B679="qwen3_6",C679="qwen"),AND(B679="mistral",C679="ministral")),1,0)</f>
        <v/>
      </c>
      <c r="U679" s="73">
        <f>IF(LEFT(A679,3)="PAT","특허","보고서")</f>
        <v/>
      </c>
      <c r="V679" s="86">
        <f>COUNTIF($S$2:$S$976,"&lt;"&amp;S679)+(COUNTIF($S$2:$S$976,"="&amp;S679)+1)/2</f>
        <v/>
      </c>
      <c r="W679" s="73">
        <f>IF(C679="qwen",0,COUNTIFS($C$2:$C$976,"&lt;&gt;qwen",$S$2:$S$976,"&lt;"&amp;S679)+1)</f>
        <v/>
      </c>
      <c r="X679" s="73">
        <f>IF(C679="ministral",0,COUNTIFS($C$2:$C$976,"&lt;&gt;ministral",$S$2:$S$976,"&lt;"&amp;S679)+1)</f>
        <v/>
      </c>
      <c r="Y679" s="73">
        <f>IF(C679="gemma",0,COUNTIFS($C$2:$C$976,"&lt;&gt;gemma",$S$2:$S$976,"&lt;"&amp;S679)+1)</f>
        <v/>
      </c>
      <c r="Z679" s="87">
        <f>COUNTIFS($B$2:$B$976,B679,$C$2:$C$976,C679,$S$2:$S$976,"&lt;"&amp;S679)+1</f>
        <v/>
      </c>
      <c r="AA679" s="88">
        <f>ABS(S679-SUMPRODUCT(('05B_가정검정'!$A$5:$A$19=B679)*('05B_가정검정'!$B$5:$B$19=C679)*'05B_가정검정'!$E$5:$E$19))</f>
        <v/>
      </c>
      <c r="AB679" s="88">
        <f>S679-AVERAGEIFS($S$2:$S$976,$B$2:$B$976,B679,$C$2:$C$976,C679)</f>
        <v/>
      </c>
    </row>
    <row r="680" ht="15" customHeight="1" s="68">
      <c r="A680" s="83" t="inlineStr">
        <is>
          <t>RPT-15</t>
        </is>
      </c>
      <c r="B680" s="83" t="inlineStr">
        <is>
          <t>claude</t>
        </is>
      </c>
      <c r="C680" s="83" t="inlineStr">
        <is>
          <t>gemma</t>
        </is>
      </c>
      <c r="D680" s="84" t="n">
        <v>0.189111747851003</v>
      </c>
      <c r="E680" s="84" t="n">
        <v>0.291044776119403</v>
      </c>
      <c r="F680" s="84" t="n">
        <v>0.105263157894737</v>
      </c>
      <c r="G680" s="84" t="n">
        <v>0.208955223880597</v>
      </c>
      <c r="H680" s="84" t="n">
        <v>0.286992581425284</v>
      </c>
      <c r="I680" s="84" t="n">
        <v>0.105863790576363</v>
      </c>
      <c r="J680" s="84" t="n">
        <v>0.692128675595868</v>
      </c>
      <c r="K680" s="84" t="n">
        <v>0.602912977748662</v>
      </c>
      <c r="L680" s="84" t="n">
        <v>0.821157439198397</v>
      </c>
      <c r="M680" s="84" t="n">
        <v>0.645833333333333</v>
      </c>
      <c r="N680" s="84" t="n">
        <v>0.583333333333333</v>
      </c>
      <c r="O680" s="84" t="n">
        <v>1</v>
      </c>
      <c r="P680" s="85">
        <f>AVERAGE(D680:I680)</f>
        <v/>
      </c>
      <c r="Q680" s="85">
        <f>AVERAGE(J680:L680)</f>
        <v/>
      </c>
      <c r="R680" s="85">
        <f>AVERAGE(M680:O680)</f>
        <v/>
      </c>
      <c r="S680" s="85">
        <f>'02_지표정의'!$C$22*P680+'02_지표정의'!$C$23*Q680+'02_지표정의'!$C$24*R680</f>
        <v/>
      </c>
      <c r="T680" s="73">
        <f>IF(OR(AND(B680="gemini",C680="gemma"),AND(B680="qwen3_6",C680="qwen"),AND(B680="mistral",C680="ministral")),1,0)</f>
        <v/>
      </c>
      <c r="U680" s="73">
        <f>IF(LEFT(A680,3)="PAT","특허","보고서")</f>
        <v/>
      </c>
      <c r="V680" s="86">
        <f>COUNTIF($S$2:$S$976,"&lt;"&amp;S680)+(COUNTIF($S$2:$S$976,"="&amp;S680)+1)/2</f>
        <v/>
      </c>
      <c r="W680" s="73">
        <f>IF(C680="qwen",0,COUNTIFS($C$2:$C$976,"&lt;&gt;qwen",$S$2:$S$976,"&lt;"&amp;S680)+1)</f>
        <v/>
      </c>
      <c r="X680" s="73">
        <f>IF(C680="ministral",0,COUNTIFS($C$2:$C$976,"&lt;&gt;ministral",$S$2:$S$976,"&lt;"&amp;S680)+1)</f>
        <v/>
      </c>
      <c r="Y680" s="73">
        <f>IF(C680="gemma",0,COUNTIFS($C$2:$C$976,"&lt;&gt;gemma",$S$2:$S$976,"&lt;"&amp;S680)+1)</f>
        <v/>
      </c>
      <c r="Z680" s="87">
        <f>COUNTIFS($B$2:$B$976,B680,$C$2:$C$976,C680,$S$2:$S$976,"&lt;"&amp;S680)+1</f>
        <v/>
      </c>
      <c r="AA680" s="88">
        <f>ABS(S680-SUMPRODUCT(('05B_가정검정'!$A$5:$A$19=B680)*('05B_가정검정'!$B$5:$B$19=C680)*'05B_가정검정'!$E$5:$E$19))</f>
        <v/>
      </c>
      <c r="AB680" s="88">
        <f>S680-AVERAGEIFS($S$2:$S$976,$B$2:$B$976,B680,$C$2:$C$976,C680)</f>
        <v/>
      </c>
    </row>
    <row r="681" ht="15" customHeight="1" s="68">
      <c r="A681" s="83" t="inlineStr">
        <is>
          <t>RPT-15</t>
        </is>
      </c>
      <c r="B681" s="83" t="inlineStr">
        <is>
          <t>claude</t>
        </is>
      </c>
      <c r="C681" s="83" t="inlineStr">
        <is>
          <t>ministral</t>
        </is>
      </c>
      <c r="D681" s="84" t="n">
        <v>0.221311475409836</v>
      </c>
      <c r="E681" s="84" t="n">
        <v>0.286472148541114</v>
      </c>
      <c r="F681" s="84" t="n">
        <v>0.096</v>
      </c>
      <c r="G681" s="84" t="n">
        <v>0.217506631299735</v>
      </c>
      <c r="H681" s="84" t="n">
        <v>0.225423274701272</v>
      </c>
      <c r="I681" s="84" t="n">
        <v>0.0936043091478192</v>
      </c>
      <c r="J681" s="84" t="n">
        <v>0.685686862836399</v>
      </c>
      <c r="K681" s="84" t="n">
        <v>0.64982890209847</v>
      </c>
      <c r="L681" s="84" t="n">
        <v>0.839410025565856</v>
      </c>
      <c r="M681" s="84" t="n">
        <v>0.608490566037736</v>
      </c>
      <c r="N681" s="84" t="n">
        <v>0.673469387755102</v>
      </c>
      <c r="O681" s="84" t="n">
        <v>1</v>
      </c>
      <c r="P681" s="85">
        <f>AVERAGE(D681:I681)</f>
        <v/>
      </c>
      <c r="Q681" s="85">
        <f>AVERAGE(J681:L681)</f>
        <v/>
      </c>
      <c r="R681" s="85">
        <f>AVERAGE(M681:O681)</f>
        <v/>
      </c>
      <c r="S681" s="85">
        <f>'02_지표정의'!$C$22*P681+'02_지표정의'!$C$23*Q681+'02_지표정의'!$C$24*R681</f>
        <v/>
      </c>
      <c r="T681" s="73">
        <f>IF(OR(AND(B681="gemini",C681="gemma"),AND(B681="qwen3_6",C681="qwen"),AND(B681="mistral",C681="ministral")),1,0)</f>
        <v/>
      </c>
      <c r="U681" s="73">
        <f>IF(LEFT(A681,3)="PAT","특허","보고서")</f>
        <v/>
      </c>
      <c r="V681" s="86">
        <f>COUNTIF($S$2:$S$976,"&lt;"&amp;S681)+(COUNTIF($S$2:$S$976,"="&amp;S681)+1)/2</f>
        <v/>
      </c>
      <c r="W681" s="73">
        <f>IF(C681="qwen",0,COUNTIFS($C$2:$C$976,"&lt;&gt;qwen",$S$2:$S$976,"&lt;"&amp;S681)+1)</f>
        <v/>
      </c>
      <c r="X681" s="73">
        <f>IF(C681="ministral",0,COUNTIFS($C$2:$C$976,"&lt;&gt;ministral",$S$2:$S$976,"&lt;"&amp;S681)+1)</f>
        <v/>
      </c>
      <c r="Y681" s="73">
        <f>IF(C681="gemma",0,COUNTIFS($C$2:$C$976,"&lt;&gt;gemma",$S$2:$S$976,"&lt;"&amp;S681)+1)</f>
        <v/>
      </c>
      <c r="Z681" s="87">
        <f>COUNTIFS($B$2:$B$976,B681,$C$2:$C$976,C681,$S$2:$S$976,"&lt;"&amp;S681)+1</f>
        <v/>
      </c>
      <c r="AA681" s="88">
        <f>ABS(S681-SUMPRODUCT(('05B_가정검정'!$A$5:$A$19=B681)*('05B_가정검정'!$B$5:$B$19=C681)*'05B_가정검정'!$E$5:$E$19))</f>
        <v/>
      </c>
      <c r="AB681" s="88">
        <f>S681-AVERAGEIFS($S$2:$S$976,$B$2:$B$976,B681,$C$2:$C$976,C681)</f>
        <v/>
      </c>
    </row>
    <row r="682" ht="15" customHeight="1" s="68">
      <c r="A682" s="83" t="inlineStr">
        <is>
          <t>RPT-15</t>
        </is>
      </c>
      <c r="B682" s="83" t="inlineStr">
        <is>
          <t>claude</t>
        </is>
      </c>
      <c r="C682" s="83" t="inlineStr">
        <is>
          <t>qwen</t>
        </is>
      </c>
      <c r="D682" s="84" t="n">
        <v>0.222005842259007</v>
      </c>
      <c r="E682" s="84" t="n">
        <v>0.419475655430712</v>
      </c>
      <c r="F682" s="84" t="n">
        <v>0.19622641509434</v>
      </c>
      <c r="G682" s="84" t="n">
        <v>0.314606741573034</v>
      </c>
      <c r="H682" s="84" t="n">
        <v>0.338481657042982</v>
      </c>
      <c r="I682" s="84" t="n">
        <v>0.262303964012762</v>
      </c>
      <c r="J682" s="84" t="n">
        <v>0.717930953660838</v>
      </c>
      <c r="K682" s="84" t="n">
        <v>0.678134060259808</v>
      </c>
      <c r="L682" s="84" t="n">
        <v>0.855523702676221</v>
      </c>
      <c r="M682" s="84" t="n">
        <v>0.710059171597633</v>
      </c>
      <c r="N682" s="84" t="n">
        <v>0.647058823529412</v>
      </c>
      <c r="O682" s="84" t="n">
        <v>1</v>
      </c>
      <c r="P682" s="85">
        <f>AVERAGE(D682:I682)</f>
        <v/>
      </c>
      <c r="Q682" s="85">
        <f>AVERAGE(J682:L682)</f>
        <v/>
      </c>
      <c r="R682" s="85">
        <f>AVERAGE(M682:O682)</f>
        <v/>
      </c>
      <c r="S682" s="85">
        <f>'02_지표정의'!$C$22*P682+'02_지표정의'!$C$23*Q682+'02_지표정의'!$C$24*R682</f>
        <v/>
      </c>
      <c r="T682" s="73">
        <f>IF(OR(AND(B682="gemini",C682="gemma"),AND(B682="qwen3_6",C682="qwen"),AND(B682="mistral",C682="ministral")),1,0)</f>
        <v/>
      </c>
      <c r="U682" s="73">
        <f>IF(LEFT(A682,3)="PAT","특허","보고서")</f>
        <v/>
      </c>
      <c r="V682" s="86">
        <f>COUNTIF($S$2:$S$976,"&lt;"&amp;S682)+(COUNTIF($S$2:$S$976,"="&amp;S682)+1)/2</f>
        <v/>
      </c>
      <c r="W682" s="73">
        <f>IF(C682="qwen",0,COUNTIFS($C$2:$C$976,"&lt;&gt;qwen",$S$2:$S$976,"&lt;"&amp;S682)+1)</f>
        <v/>
      </c>
      <c r="X682" s="73">
        <f>IF(C682="ministral",0,COUNTIFS($C$2:$C$976,"&lt;&gt;ministral",$S$2:$S$976,"&lt;"&amp;S682)+1)</f>
        <v/>
      </c>
      <c r="Y682" s="73">
        <f>IF(C682="gemma",0,COUNTIFS($C$2:$C$976,"&lt;&gt;gemma",$S$2:$S$976,"&lt;"&amp;S682)+1)</f>
        <v/>
      </c>
      <c r="Z682" s="87">
        <f>COUNTIFS($B$2:$B$976,B682,$C$2:$C$976,C682,$S$2:$S$976,"&lt;"&amp;S682)+1</f>
        <v/>
      </c>
      <c r="AA682" s="88">
        <f>ABS(S682-SUMPRODUCT(('05B_가정검정'!$A$5:$A$19=B682)*('05B_가정검정'!$B$5:$B$19=C682)*'05B_가정검정'!$E$5:$E$19))</f>
        <v/>
      </c>
      <c r="AB682" s="88">
        <f>S682-AVERAGEIFS($S$2:$S$976,$B$2:$B$976,B682,$C$2:$C$976,C682)</f>
        <v/>
      </c>
    </row>
    <row r="683" ht="15" customHeight="1" s="68">
      <c r="A683" s="83" t="inlineStr">
        <is>
          <t>RPT-15</t>
        </is>
      </c>
      <c r="B683" s="83" t="inlineStr">
        <is>
          <t>gemini</t>
        </is>
      </c>
      <c r="C683" s="83" t="inlineStr">
        <is>
          <t>gemma</t>
        </is>
      </c>
      <c r="D683" s="84" t="n">
        <v>0.177831912302071</v>
      </c>
      <c r="E683" s="84" t="n">
        <v>0.334975369458128</v>
      </c>
      <c r="F683" s="84" t="n">
        <v>0.109452736318408</v>
      </c>
      <c r="G683" s="84" t="n">
        <v>0.266009852216749</v>
      </c>
      <c r="H683" s="84" t="n">
        <v>0.275700801468049</v>
      </c>
      <c r="I683" s="84" t="n">
        <v>0.08431092336193891</v>
      </c>
      <c r="J683" s="84" t="n">
        <v>0.735018383813435</v>
      </c>
      <c r="K683" s="84" t="n">
        <v>0.6644986496177669</v>
      </c>
      <c r="L683" s="84" t="n">
        <v>0.848238288221832</v>
      </c>
      <c r="M683" s="84" t="n">
        <v>0.906542056074766</v>
      </c>
      <c r="N683" s="84" t="n">
        <v>0.916666666666667</v>
      </c>
      <c r="O683" s="84" t="n">
        <v>1</v>
      </c>
      <c r="P683" s="85">
        <f>AVERAGE(D683:I683)</f>
        <v/>
      </c>
      <c r="Q683" s="85">
        <f>AVERAGE(J683:L683)</f>
        <v/>
      </c>
      <c r="R683" s="85">
        <f>AVERAGE(M683:O683)</f>
        <v/>
      </c>
      <c r="S683" s="85">
        <f>'02_지표정의'!$C$22*P683+'02_지표정의'!$C$23*Q683+'02_지표정의'!$C$24*R683</f>
        <v/>
      </c>
      <c r="T683" s="73">
        <f>IF(OR(AND(B683="gemini",C683="gemma"),AND(B683="qwen3_6",C683="qwen"),AND(B683="mistral",C683="ministral")),1,0)</f>
        <v/>
      </c>
      <c r="U683" s="73">
        <f>IF(LEFT(A683,3)="PAT","특허","보고서")</f>
        <v/>
      </c>
      <c r="V683" s="86">
        <f>COUNTIF($S$2:$S$976,"&lt;"&amp;S683)+(COUNTIF($S$2:$S$976,"="&amp;S683)+1)/2</f>
        <v/>
      </c>
      <c r="W683" s="73">
        <f>IF(C683="qwen",0,COUNTIFS($C$2:$C$976,"&lt;&gt;qwen",$S$2:$S$976,"&lt;"&amp;S683)+1)</f>
        <v/>
      </c>
      <c r="X683" s="73">
        <f>IF(C683="ministral",0,COUNTIFS($C$2:$C$976,"&lt;&gt;ministral",$S$2:$S$976,"&lt;"&amp;S683)+1)</f>
        <v/>
      </c>
      <c r="Y683" s="73">
        <f>IF(C683="gemma",0,COUNTIFS($C$2:$C$976,"&lt;&gt;gemma",$S$2:$S$976,"&lt;"&amp;S683)+1)</f>
        <v/>
      </c>
      <c r="Z683" s="87">
        <f>COUNTIFS($B$2:$B$976,B683,$C$2:$C$976,C683,$S$2:$S$976,"&lt;"&amp;S683)+1</f>
        <v/>
      </c>
      <c r="AA683" s="88">
        <f>ABS(S683-SUMPRODUCT(('05B_가정검정'!$A$5:$A$19=B683)*('05B_가정검정'!$B$5:$B$19=C683)*'05B_가정검정'!$E$5:$E$19))</f>
        <v/>
      </c>
      <c r="AB683" s="88">
        <f>S683-AVERAGEIFS($S$2:$S$976,$B$2:$B$976,B683,$C$2:$C$976,C683)</f>
        <v/>
      </c>
    </row>
    <row r="684" ht="15" customHeight="1" s="68">
      <c r="A684" s="83" t="inlineStr">
        <is>
          <t>RPT-15</t>
        </is>
      </c>
      <c r="B684" s="83" t="inlineStr">
        <is>
          <t>gemini</t>
        </is>
      </c>
      <c r="C684" s="83" t="inlineStr">
        <is>
          <t>ministral</t>
        </is>
      </c>
      <c r="D684" s="84" t="n">
        <v>0.189333333333333</v>
      </c>
      <c r="E684" s="84" t="n">
        <v>0.230769230769231</v>
      </c>
      <c r="F684" s="84" t="n">
        <v>0.0838709677419355</v>
      </c>
      <c r="G684" s="84" t="n">
        <v>0.198717948717949</v>
      </c>
      <c r="H684" s="84" t="n">
        <v>0.200683755653682</v>
      </c>
      <c r="I684" s="84" t="n">
        <v>0.085410746366369</v>
      </c>
      <c r="J684" s="84" t="n">
        <v>0.714131626068101</v>
      </c>
      <c r="K684" s="84" t="n">
        <v>0.718322696985687</v>
      </c>
      <c r="L684" s="84" t="n">
        <v>0.865871126896505</v>
      </c>
      <c r="M684" s="84" t="n">
        <v>0.457547169811321</v>
      </c>
      <c r="N684" s="84" t="n">
        <v>0.561224489795918</v>
      </c>
      <c r="O684" s="84" t="n">
        <v>1</v>
      </c>
      <c r="P684" s="85">
        <f>AVERAGE(D684:I684)</f>
        <v/>
      </c>
      <c r="Q684" s="85">
        <f>AVERAGE(J684:L684)</f>
        <v/>
      </c>
      <c r="R684" s="85">
        <f>AVERAGE(M684:O684)</f>
        <v/>
      </c>
      <c r="S684" s="85">
        <f>'02_지표정의'!$C$22*P684+'02_지표정의'!$C$23*Q684+'02_지표정의'!$C$24*R684</f>
        <v/>
      </c>
      <c r="T684" s="73">
        <f>IF(OR(AND(B684="gemini",C684="gemma"),AND(B684="qwen3_6",C684="qwen"),AND(B684="mistral",C684="ministral")),1,0)</f>
        <v/>
      </c>
      <c r="U684" s="73">
        <f>IF(LEFT(A684,3)="PAT","특허","보고서")</f>
        <v/>
      </c>
      <c r="V684" s="86">
        <f>COUNTIF($S$2:$S$976,"&lt;"&amp;S684)+(COUNTIF($S$2:$S$976,"="&amp;S684)+1)/2</f>
        <v/>
      </c>
      <c r="W684" s="73">
        <f>IF(C684="qwen",0,COUNTIFS($C$2:$C$976,"&lt;&gt;qwen",$S$2:$S$976,"&lt;"&amp;S684)+1)</f>
        <v/>
      </c>
      <c r="X684" s="73">
        <f>IF(C684="ministral",0,COUNTIFS($C$2:$C$976,"&lt;&gt;ministral",$S$2:$S$976,"&lt;"&amp;S684)+1)</f>
        <v/>
      </c>
      <c r="Y684" s="73">
        <f>IF(C684="gemma",0,COUNTIFS($C$2:$C$976,"&lt;&gt;gemma",$S$2:$S$976,"&lt;"&amp;S684)+1)</f>
        <v/>
      </c>
      <c r="Z684" s="87">
        <f>COUNTIFS($B$2:$B$976,B684,$C$2:$C$976,C684,$S$2:$S$976,"&lt;"&amp;S684)+1</f>
        <v/>
      </c>
      <c r="AA684" s="88">
        <f>ABS(S684-SUMPRODUCT(('05B_가정검정'!$A$5:$A$19=B684)*('05B_가정검정'!$B$5:$B$19=C684)*'05B_가정검정'!$E$5:$E$19))</f>
        <v/>
      </c>
      <c r="AB684" s="88">
        <f>S684-AVERAGEIFS($S$2:$S$976,$B$2:$B$976,B684,$C$2:$C$976,C684)</f>
        <v/>
      </c>
    </row>
    <row r="685" ht="15" customHeight="1" s="68">
      <c r="A685" s="83" t="inlineStr">
        <is>
          <t>RPT-15</t>
        </is>
      </c>
      <c r="B685" s="83" t="inlineStr">
        <is>
          <t>gemini</t>
        </is>
      </c>
      <c r="C685" s="83" t="inlineStr">
        <is>
          <t>qwen</t>
        </is>
      </c>
      <c r="D685" s="84" t="n">
        <v>0.229712858926342</v>
      </c>
      <c r="E685" s="84" t="n">
        <v>0.366336633663366</v>
      </c>
      <c r="F685" s="84" t="n">
        <v>0.15</v>
      </c>
      <c r="G685" s="84" t="n">
        <v>0.297029702970297</v>
      </c>
      <c r="H685" s="84" t="n">
        <v>0.276167023351919</v>
      </c>
      <c r="I685" s="84" t="n">
        <v>0.251022609873284</v>
      </c>
      <c r="J685" s="84" t="n">
        <v>0.760910167909846</v>
      </c>
      <c r="K685" s="84" t="n">
        <v>0.737041305441082</v>
      </c>
      <c r="L685" s="84" t="n">
        <v>0.874418488904759</v>
      </c>
      <c r="M685" s="84" t="n">
        <v>0.5739644970414201</v>
      </c>
      <c r="N685" s="84" t="n">
        <v>0.53921568627451</v>
      </c>
      <c r="O685" s="84" t="n">
        <v>1</v>
      </c>
      <c r="P685" s="85">
        <f>AVERAGE(D685:I685)</f>
        <v/>
      </c>
      <c r="Q685" s="85">
        <f>AVERAGE(J685:L685)</f>
        <v/>
      </c>
      <c r="R685" s="85">
        <f>AVERAGE(M685:O685)</f>
        <v/>
      </c>
      <c r="S685" s="85">
        <f>'02_지표정의'!$C$22*P685+'02_지표정의'!$C$23*Q685+'02_지표정의'!$C$24*R685</f>
        <v/>
      </c>
      <c r="T685" s="73">
        <f>IF(OR(AND(B685="gemini",C685="gemma"),AND(B685="qwen3_6",C685="qwen"),AND(B685="mistral",C685="ministral")),1,0)</f>
        <v/>
      </c>
      <c r="U685" s="73">
        <f>IF(LEFT(A685,3)="PAT","특허","보고서")</f>
        <v/>
      </c>
      <c r="V685" s="86">
        <f>COUNTIF($S$2:$S$976,"&lt;"&amp;S685)+(COUNTIF($S$2:$S$976,"="&amp;S685)+1)/2</f>
        <v/>
      </c>
      <c r="W685" s="73">
        <f>IF(C685="qwen",0,COUNTIFS($C$2:$C$976,"&lt;&gt;qwen",$S$2:$S$976,"&lt;"&amp;S685)+1)</f>
        <v/>
      </c>
      <c r="X685" s="73">
        <f>IF(C685="ministral",0,COUNTIFS($C$2:$C$976,"&lt;&gt;ministral",$S$2:$S$976,"&lt;"&amp;S685)+1)</f>
        <v/>
      </c>
      <c r="Y685" s="73">
        <f>IF(C685="gemma",0,COUNTIFS($C$2:$C$976,"&lt;&gt;gemma",$S$2:$S$976,"&lt;"&amp;S685)+1)</f>
        <v/>
      </c>
      <c r="Z685" s="87">
        <f>COUNTIFS($B$2:$B$976,B685,$C$2:$C$976,C685,$S$2:$S$976,"&lt;"&amp;S685)+1</f>
        <v/>
      </c>
      <c r="AA685" s="88">
        <f>ABS(S685-SUMPRODUCT(('05B_가정검정'!$A$5:$A$19=B685)*('05B_가정검정'!$B$5:$B$19=C685)*'05B_가정검정'!$E$5:$E$19))</f>
        <v/>
      </c>
      <c r="AB685" s="88">
        <f>S685-AVERAGEIFS($S$2:$S$976,$B$2:$B$976,B685,$C$2:$C$976,C685)</f>
        <v/>
      </c>
    </row>
    <row r="686" ht="15" customHeight="1" s="68">
      <c r="A686" s="83" t="inlineStr">
        <is>
          <t>RPT-15</t>
        </is>
      </c>
      <c r="B686" s="83" t="inlineStr">
        <is>
          <t>mistral</t>
        </is>
      </c>
      <c r="C686" s="83" t="inlineStr">
        <is>
          <t>gemma</t>
        </is>
      </c>
      <c r="D686" s="84" t="n">
        <v>0.230872483221477</v>
      </c>
      <c r="E686" s="84" t="n">
        <v>0.376811594202899</v>
      </c>
      <c r="F686" s="84" t="n">
        <v>0.0975609756097561</v>
      </c>
      <c r="G686" s="84" t="n">
        <v>0.251207729468599</v>
      </c>
      <c r="H686" s="84" t="n">
        <v>0.258214517292806</v>
      </c>
      <c r="I686" s="84" t="n">
        <v>0.174886177611542</v>
      </c>
      <c r="J686" s="84" t="n">
        <v>0.719268299607825</v>
      </c>
      <c r="K686" s="84" t="n">
        <v>0.621336039886192</v>
      </c>
      <c r="L686" s="84" t="n">
        <v>0.799084546075999</v>
      </c>
      <c r="M686" s="84" t="n">
        <v>0.747899159663866</v>
      </c>
      <c r="N686" s="84" t="n">
        <v>0.742424242424242</v>
      </c>
      <c r="O686" s="84" t="n">
        <v>1</v>
      </c>
      <c r="P686" s="85">
        <f>AVERAGE(D686:I686)</f>
        <v/>
      </c>
      <c r="Q686" s="85">
        <f>AVERAGE(J686:L686)</f>
        <v/>
      </c>
      <c r="R686" s="85">
        <f>AVERAGE(M686:O686)</f>
        <v/>
      </c>
      <c r="S686" s="85">
        <f>'02_지표정의'!$C$22*P686+'02_지표정의'!$C$23*Q686+'02_지표정의'!$C$24*R686</f>
        <v/>
      </c>
      <c r="T686" s="73">
        <f>IF(OR(AND(B686="gemini",C686="gemma"),AND(B686="qwen3_6",C686="qwen"),AND(B686="mistral",C686="ministral")),1,0)</f>
        <v/>
      </c>
      <c r="U686" s="73">
        <f>IF(LEFT(A686,3)="PAT","특허","보고서")</f>
        <v/>
      </c>
      <c r="V686" s="86">
        <f>COUNTIF($S$2:$S$976,"&lt;"&amp;S686)+(COUNTIF($S$2:$S$976,"="&amp;S686)+1)/2</f>
        <v/>
      </c>
      <c r="W686" s="73">
        <f>IF(C686="qwen",0,COUNTIFS($C$2:$C$976,"&lt;&gt;qwen",$S$2:$S$976,"&lt;"&amp;S686)+1)</f>
        <v/>
      </c>
      <c r="X686" s="73">
        <f>IF(C686="ministral",0,COUNTIFS($C$2:$C$976,"&lt;&gt;ministral",$S$2:$S$976,"&lt;"&amp;S686)+1)</f>
        <v/>
      </c>
      <c r="Y686" s="73">
        <f>IF(C686="gemma",0,COUNTIFS($C$2:$C$976,"&lt;&gt;gemma",$S$2:$S$976,"&lt;"&amp;S686)+1)</f>
        <v/>
      </c>
      <c r="Z686" s="87">
        <f>COUNTIFS($B$2:$B$976,B686,$C$2:$C$976,C686,$S$2:$S$976,"&lt;"&amp;S686)+1</f>
        <v/>
      </c>
      <c r="AA686" s="88">
        <f>ABS(S686-SUMPRODUCT(('05B_가정검정'!$A$5:$A$19=B686)*('05B_가정검정'!$B$5:$B$19=C686)*'05B_가정검정'!$E$5:$E$19))</f>
        <v/>
      </c>
      <c r="AB686" s="88">
        <f>S686-AVERAGEIFS($S$2:$S$976,$B$2:$B$976,B686,$C$2:$C$976,C686)</f>
        <v/>
      </c>
    </row>
    <row r="687" ht="15" customHeight="1" s="68">
      <c r="A687" s="83" t="inlineStr">
        <is>
          <t>RPT-15</t>
        </is>
      </c>
      <c r="B687" s="83" t="inlineStr">
        <is>
          <t>mistral</t>
        </is>
      </c>
      <c r="C687" s="83" t="inlineStr">
        <is>
          <t>ministral</t>
        </is>
      </c>
      <c r="D687" s="84" t="n">
        <v>0.264094955489614</v>
      </c>
      <c r="E687" s="84" t="n">
        <v>0.253164556962025</v>
      </c>
      <c r="F687" s="84" t="n">
        <v>0.07006369426751589</v>
      </c>
      <c r="G687" s="84" t="n">
        <v>0.19620253164557</v>
      </c>
      <c r="H687" s="84" t="n">
        <v>0.208711386139085</v>
      </c>
      <c r="I687" s="84" t="n">
        <v>0.162817450025666</v>
      </c>
      <c r="J687" s="84" t="n">
        <v>0.727718992122325</v>
      </c>
      <c r="K687" s="84" t="n">
        <v>0.670034358062917</v>
      </c>
      <c r="L687" s="84" t="n">
        <v>0.811342338379212</v>
      </c>
      <c r="M687" s="84" t="n">
        <v>0.485849056603774</v>
      </c>
      <c r="N687" s="84" t="n">
        <v>0.448979591836735</v>
      </c>
      <c r="O687" s="84" t="n">
        <v>1</v>
      </c>
      <c r="P687" s="85">
        <f>AVERAGE(D687:I687)</f>
        <v/>
      </c>
      <c r="Q687" s="85">
        <f>AVERAGE(J687:L687)</f>
        <v/>
      </c>
      <c r="R687" s="85">
        <f>AVERAGE(M687:O687)</f>
        <v/>
      </c>
      <c r="S687" s="85">
        <f>'02_지표정의'!$C$22*P687+'02_지표정의'!$C$23*Q687+'02_지표정의'!$C$24*R687</f>
        <v/>
      </c>
      <c r="T687" s="73">
        <f>IF(OR(AND(B687="gemini",C687="gemma"),AND(B687="qwen3_6",C687="qwen"),AND(B687="mistral",C687="ministral")),1,0)</f>
        <v/>
      </c>
      <c r="U687" s="73">
        <f>IF(LEFT(A687,3)="PAT","특허","보고서")</f>
        <v/>
      </c>
      <c r="V687" s="86">
        <f>COUNTIF($S$2:$S$976,"&lt;"&amp;S687)+(COUNTIF($S$2:$S$976,"="&amp;S687)+1)/2</f>
        <v/>
      </c>
      <c r="W687" s="73">
        <f>IF(C687="qwen",0,COUNTIFS($C$2:$C$976,"&lt;&gt;qwen",$S$2:$S$976,"&lt;"&amp;S687)+1)</f>
        <v/>
      </c>
      <c r="X687" s="73">
        <f>IF(C687="ministral",0,COUNTIFS($C$2:$C$976,"&lt;&gt;ministral",$S$2:$S$976,"&lt;"&amp;S687)+1)</f>
        <v/>
      </c>
      <c r="Y687" s="73">
        <f>IF(C687="gemma",0,COUNTIFS($C$2:$C$976,"&lt;&gt;gemma",$S$2:$S$976,"&lt;"&amp;S687)+1)</f>
        <v/>
      </c>
      <c r="Z687" s="87">
        <f>COUNTIFS($B$2:$B$976,B687,$C$2:$C$976,C687,$S$2:$S$976,"&lt;"&amp;S687)+1</f>
        <v/>
      </c>
      <c r="AA687" s="88">
        <f>ABS(S687-SUMPRODUCT(('05B_가정검정'!$A$5:$A$19=B687)*('05B_가정검정'!$B$5:$B$19=C687)*'05B_가정검정'!$E$5:$E$19))</f>
        <v/>
      </c>
      <c r="AB687" s="88">
        <f>S687-AVERAGEIFS($S$2:$S$976,$B$2:$B$976,B687,$C$2:$C$976,C687)</f>
        <v/>
      </c>
    </row>
    <row r="688" ht="15" customHeight="1" s="68">
      <c r="A688" s="83" t="inlineStr">
        <is>
          <t>RPT-15</t>
        </is>
      </c>
      <c r="B688" s="83" t="inlineStr">
        <is>
          <t>mistral</t>
        </is>
      </c>
      <c r="C688" s="83" t="inlineStr">
        <is>
          <t>qwen</t>
        </is>
      </c>
      <c r="D688" s="84" t="n">
        <v>0.270344827586207</v>
      </c>
      <c r="E688" s="84" t="n">
        <v>0.427184466019418</v>
      </c>
      <c r="F688" s="84" t="n">
        <v>0.196078431372549</v>
      </c>
      <c r="G688" s="84" t="n">
        <v>0.339805825242719</v>
      </c>
      <c r="H688" s="84" t="n">
        <v>0.256368606229033</v>
      </c>
      <c r="I688" s="84" t="n">
        <v>0.310732142498687</v>
      </c>
      <c r="J688" s="84" t="n">
        <v>0.703572102966062</v>
      </c>
      <c r="K688" s="84" t="n">
        <v>0.642356712409727</v>
      </c>
      <c r="L688" s="84" t="n">
        <v>0.807986483821155</v>
      </c>
      <c r="M688" s="84" t="n">
        <v>0.467455621301775</v>
      </c>
      <c r="N688" s="84" t="n">
        <v>0.42156862745098</v>
      </c>
      <c r="O688" s="84" t="n">
        <v>1</v>
      </c>
      <c r="P688" s="85">
        <f>AVERAGE(D688:I688)</f>
        <v/>
      </c>
      <c r="Q688" s="85">
        <f>AVERAGE(J688:L688)</f>
        <v/>
      </c>
      <c r="R688" s="85">
        <f>AVERAGE(M688:O688)</f>
        <v/>
      </c>
      <c r="S688" s="85">
        <f>'02_지표정의'!$C$22*P688+'02_지표정의'!$C$23*Q688+'02_지표정의'!$C$24*R688</f>
        <v/>
      </c>
      <c r="T688" s="73">
        <f>IF(OR(AND(B688="gemini",C688="gemma"),AND(B688="qwen3_6",C688="qwen"),AND(B688="mistral",C688="ministral")),1,0)</f>
        <v/>
      </c>
      <c r="U688" s="73">
        <f>IF(LEFT(A688,3)="PAT","특허","보고서")</f>
        <v/>
      </c>
      <c r="V688" s="86">
        <f>COUNTIF($S$2:$S$976,"&lt;"&amp;S688)+(COUNTIF($S$2:$S$976,"="&amp;S688)+1)/2</f>
        <v/>
      </c>
      <c r="W688" s="73">
        <f>IF(C688="qwen",0,COUNTIFS($C$2:$C$976,"&lt;&gt;qwen",$S$2:$S$976,"&lt;"&amp;S688)+1)</f>
        <v/>
      </c>
      <c r="X688" s="73">
        <f>IF(C688="ministral",0,COUNTIFS($C$2:$C$976,"&lt;&gt;ministral",$S$2:$S$976,"&lt;"&amp;S688)+1)</f>
        <v/>
      </c>
      <c r="Y688" s="73">
        <f>IF(C688="gemma",0,COUNTIFS($C$2:$C$976,"&lt;&gt;gemma",$S$2:$S$976,"&lt;"&amp;S688)+1)</f>
        <v/>
      </c>
      <c r="Z688" s="87">
        <f>COUNTIFS($B$2:$B$976,B688,$C$2:$C$976,C688,$S$2:$S$976,"&lt;"&amp;S688)+1</f>
        <v/>
      </c>
      <c r="AA688" s="88">
        <f>ABS(S688-SUMPRODUCT(('05B_가정검정'!$A$5:$A$19=B688)*('05B_가정검정'!$B$5:$B$19=C688)*'05B_가정검정'!$E$5:$E$19))</f>
        <v/>
      </c>
      <c r="AB688" s="88">
        <f>S688-AVERAGEIFS($S$2:$S$976,$B$2:$B$976,B688,$C$2:$C$976,C688)</f>
        <v/>
      </c>
    </row>
    <row r="689" ht="15" customHeight="1" s="68">
      <c r="A689" s="83" t="inlineStr">
        <is>
          <t>RPT-15</t>
        </is>
      </c>
      <c r="B689" s="83" t="inlineStr">
        <is>
          <t>qwen3_6</t>
        </is>
      </c>
      <c r="C689" s="83" t="inlineStr">
        <is>
          <t>gemma</t>
        </is>
      </c>
      <c r="D689" s="84" t="n">
        <v>0.201834862385321</v>
      </c>
      <c r="E689" s="84" t="n">
        <v>0.337777777777778</v>
      </c>
      <c r="F689" s="84" t="n">
        <v>0.10762331838565</v>
      </c>
      <c r="G689" s="84" t="n">
        <v>0.248888888888889</v>
      </c>
      <c r="H689" s="84" t="n">
        <v>0.365631465272459</v>
      </c>
      <c r="I689" s="84" t="n">
        <v>0.114919952816863</v>
      </c>
      <c r="J689" s="84" t="n">
        <v>0.7042898574102811</v>
      </c>
      <c r="K689" s="84" t="n">
        <v>0.6024179264321819</v>
      </c>
      <c r="L689" s="84" t="n">
        <v>0.832754950447849</v>
      </c>
      <c r="M689" s="84" t="n">
        <v>0.906542056074766</v>
      </c>
      <c r="N689" s="84" t="n">
        <v>0.916666666666667</v>
      </c>
      <c r="O689" s="84" t="n">
        <v>1</v>
      </c>
      <c r="P689" s="85">
        <f>AVERAGE(D689:I689)</f>
        <v/>
      </c>
      <c r="Q689" s="85">
        <f>AVERAGE(J689:L689)</f>
        <v/>
      </c>
      <c r="R689" s="85">
        <f>AVERAGE(M689:O689)</f>
        <v/>
      </c>
      <c r="S689" s="85">
        <f>'02_지표정의'!$C$22*P689+'02_지표정의'!$C$23*Q689+'02_지표정의'!$C$24*R689</f>
        <v/>
      </c>
      <c r="T689" s="73">
        <f>IF(OR(AND(B689="gemini",C689="gemma"),AND(B689="qwen3_6",C689="qwen"),AND(B689="mistral",C689="ministral")),1,0)</f>
        <v/>
      </c>
      <c r="U689" s="73">
        <f>IF(LEFT(A689,3)="PAT","특허","보고서")</f>
        <v/>
      </c>
      <c r="V689" s="86">
        <f>COUNTIF($S$2:$S$976,"&lt;"&amp;S689)+(COUNTIF($S$2:$S$976,"="&amp;S689)+1)/2</f>
        <v/>
      </c>
      <c r="W689" s="73">
        <f>IF(C689="qwen",0,COUNTIFS($C$2:$C$976,"&lt;&gt;qwen",$S$2:$S$976,"&lt;"&amp;S689)+1)</f>
        <v/>
      </c>
      <c r="X689" s="73">
        <f>IF(C689="ministral",0,COUNTIFS($C$2:$C$976,"&lt;&gt;ministral",$S$2:$S$976,"&lt;"&amp;S689)+1)</f>
        <v/>
      </c>
      <c r="Y689" s="73">
        <f>IF(C689="gemma",0,COUNTIFS($C$2:$C$976,"&lt;&gt;gemma",$S$2:$S$976,"&lt;"&amp;S689)+1)</f>
        <v/>
      </c>
      <c r="Z689" s="87">
        <f>COUNTIFS($B$2:$B$976,B689,$C$2:$C$976,C689,$S$2:$S$976,"&lt;"&amp;S689)+1</f>
        <v/>
      </c>
      <c r="AA689" s="88">
        <f>ABS(S689-SUMPRODUCT(('05B_가정검정'!$A$5:$A$19=B689)*('05B_가정검정'!$B$5:$B$19=C689)*'05B_가정검정'!$E$5:$E$19))</f>
        <v/>
      </c>
      <c r="AB689" s="88">
        <f>S689-AVERAGEIFS($S$2:$S$976,$B$2:$B$976,B689,$C$2:$C$976,C689)</f>
        <v/>
      </c>
    </row>
    <row r="690" ht="15" customHeight="1" s="68">
      <c r="A690" s="83" t="inlineStr">
        <is>
          <t>RPT-15</t>
        </is>
      </c>
      <c r="B690" s="83" t="inlineStr">
        <is>
          <t>qwen3_6</t>
        </is>
      </c>
      <c r="C690" s="83" t="inlineStr">
        <is>
          <t>ministral</t>
        </is>
      </c>
      <c r="D690" s="84" t="n">
        <v>0.184769038701623</v>
      </c>
      <c r="E690" s="84" t="n">
        <v>0.287425149700599</v>
      </c>
      <c r="F690" s="84" t="n">
        <v>0.102409638554217</v>
      </c>
      <c r="G690" s="84" t="n">
        <v>0.197604790419162</v>
      </c>
      <c r="H690" s="84" t="n">
        <v>0.237188342196633</v>
      </c>
      <c r="I690" s="84" t="n">
        <v>0.120725289229891</v>
      </c>
      <c r="J690" s="84" t="n">
        <v>0.6738250931011019</v>
      </c>
      <c r="K690" s="84" t="n">
        <v>0.625558310658097</v>
      </c>
      <c r="L690" s="84" t="n">
        <v>0.840344661636414</v>
      </c>
      <c r="M690" s="84" t="n">
        <v>0.457547169811321</v>
      </c>
      <c r="N690" s="84" t="n">
        <v>0.561224489795918</v>
      </c>
      <c r="O690" s="84" t="n">
        <v>1</v>
      </c>
      <c r="P690" s="85">
        <f>AVERAGE(D690:I690)</f>
        <v/>
      </c>
      <c r="Q690" s="85">
        <f>AVERAGE(J690:L690)</f>
        <v/>
      </c>
      <c r="R690" s="85">
        <f>AVERAGE(M690:O690)</f>
        <v/>
      </c>
      <c r="S690" s="85">
        <f>'02_지표정의'!$C$22*P690+'02_지표정의'!$C$23*Q690+'02_지표정의'!$C$24*R690</f>
        <v/>
      </c>
      <c r="T690" s="73">
        <f>IF(OR(AND(B690="gemini",C690="gemma"),AND(B690="qwen3_6",C690="qwen"),AND(B690="mistral",C690="ministral")),1,0)</f>
        <v/>
      </c>
      <c r="U690" s="73">
        <f>IF(LEFT(A690,3)="PAT","특허","보고서")</f>
        <v/>
      </c>
      <c r="V690" s="86">
        <f>COUNTIF($S$2:$S$976,"&lt;"&amp;S690)+(COUNTIF($S$2:$S$976,"="&amp;S690)+1)/2</f>
        <v/>
      </c>
      <c r="W690" s="73">
        <f>IF(C690="qwen",0,COUNTIFS($C$2:$C$976,"&lt;&gt;qwen",$S$2:$S$976,"&lt;"&amp;S690)+1)</f>
        <v/>
      </c>
      <c r="X690" s="73">
        <f>IF(C690="ministral",0,COUNTIFS($C$2:$C$976,"&lt;&gt;ministral",$S$2:$S$976,"&lt;"&amp;S690)+1)</f>
        <v/>
      </c>
      <c r="Y690" s="73">
        <f>IF(C690="gemma",0,COUNTIFS($C$2:$C$976,"&lt;&gt;gemma",$S$2:$S$976,"&lt;"&amp;S690)+1)</f>
        <v/>
      </c>
      <c r="Z690" s="87">
        <f>COUNTIFS($B$2:$B$976,B690,$C$2:$C$976,C690,$S$2:$S$976,"&lt;"&amp;S690)+1</f>
        <v/>
      </c>
      <c r="AA690" s="88">
        <f>ABS(S690-SUMPRODUCT(('05B_가정검정'!$A$5:$A$19=B690)*('05B_가정검정'!$B$5:$B$19=C690)*'05B_가정검정'!$E$5:$E$19))</f>
        <v/>
      </c>
      <c r="AB690" s="88">
        <f>S690-AVERAGEIFS($S$2:$S$976,$B$2:$B$976,B690,$C$2:$C$976,C690)</f>
        <v/>
      </c>
    </row>
    <row r="691" ht="15" customHeight="1" s="68">
      <c r="A691" s="83" t="inlineStr">
        <is>
          <t>RPT-15</t>
        </is>
      </c>
      <c r="B691" s="83" t="inlineStr">
        <is>
          <t>qwen3_6</t>
        </is>
      </c>
      <c r="C691" s="83" t="inlineStr">
        <is>
          <t>qwen</t>
        </is>
      </c>
      <c r="D691" s="84" t="n">
        <v>0.262910798122066</v>
      </c>
      <c r="E691" s="84" t="n">
        <v>0.455357142857143</v>
      </c>
      <c r="F691" s="84" t="n">
        <v>0.234234234234234</v>
      </c>
      <c r="G691" s="84" t="n">
        <v>0.3125</v>
      </c>
      <c r="H691" s="84" t="n">
        <v>0.394726699377456</v>
      </c>
      <c r="I691" s="84" t="n">
        <v>0.349387905514658</v>
      </c>
      <c r="J691" s="84" t="n">
        <v>0.744643394978877</v>
      </c>
      <c r="K691" s="84" t="n">
        <v>0.691787950045722</v>
      </c>
      <c r="L691" s="84" t="n">
        <v>0.85715482305751</v>
      </c>
      <c r="M691" s="84" t="n">
        <v>0.5739644970414201</v>
      </c>
      <c r="N691" s="84" t="n">
        <v>0.53921568627451</v>
      </c>
      <c r="O691" s="84" t="n">
        <v>1</v>
      </c>
      <c r="P691" s="85">
        <f>AVERAGE(D691:I691)</f>
        <v/>
      </c>
      <c r="Q691" s="85">
        <f>AVERAGE(J691:L691)</f>
        <v/>
      </c>
      <c r="R691" s="85">
        <f>AVERAGE(M691:O691)</f>
        <v/>
      </c>
      <c r="S691" s="85">
        <f>'02_지표정의'!$C$22*P691+'02_지표정의'!$C$23*Q691+'02_지표정의'!$C$24*R691</f>
        <v/>
      </c>
      <c r="T691" s="73">
        <f>IF(OR(AND(B691="gemini",C691="gemma"),AND(B691="qwen3_6",C691="qwen"),AND(B691="mistral",C691="ministral")),1,0)</f>
        <v/>
      </c>
      <c r="U691" s="73">
        <f>IF(LEFT(A691,3)="PAT","특허","보고서")</f>
        <v/>
      </c>
      <c r="V691" s="86">
        <f>COUNTIF($S$2:$S$976,"&lt;"&amp;S691)+(COUNTIF($S$2:$S$976,"="&amp;S691)+1)/2</f>
        <v/>
      </c>
      <c r="W691" s="73">
        <f>IF(C691="qwen",0,COUNTIFS($C$2:$C$976,"&lt;&gt;qwen",$S$2:$S$976,"&lt;"&amp;S691)+1)</f>
        <v/>
      </c>
      <c r="X691" s="73">
        <f>IF(C691="ministral",0,COUNTIFS($C$2:$C$976,"&lt;&gt;ministral",$S$2:$S$976,"&lt;"&amp;S691)+1)</f>
        <v/>
      </c>
      <c r="Y691" s="73">
        <f>IF(C691="gemma",0,COUNTIFS($C$2:$C$976,"&lt;&gt;gemma",$S$2:$S$976,"&lt;"&amp;S691)+1)</f>
        <v/>
      </c>
      <c r="Z691" s="87">
        <f>COUNTIFS($B$2:$B$976,B691,$C$2:$C$976,C691,$S$2:$S$976,"&lt;"&amp;S691)+1</f>
        <v/>
      </c>
      <c r="AA691" s="88">
        <f>ABS(S691-SUMPRODUCT(('05B_가정검정'!$A$5:$A$19=B691)*('05B_가정검정'!$B$5:$B$19=C691)*'05B_가정검정'!$E$5:$E$19))</f>
        <v/>
      </c>
      <c r="AB691" s="88">
        <f>S691-AVERAGEIFS($S$2:$S$976,$B$2:$B$976,B691,$C$2:$C$976,C691)</f>
        <v/>
      </c>
    </row>
    <row r="692" ht="15" customHeight="1" s="68">
      <c r="A692" s="83" t="inlineStr">
        <is>
          <t>RPT-16</t>
        </is>
      </c>
      <c r="B692" s="83" t="inlineStr">
        <is>
          <t>chatgpt</t>
        </is>
      </c>
      <c r="C692" s="83" t="inlineStr">
        <is>
          <t>gemma</t>
        </is>
      </c>
      <c r="D692" s="84" t="n">
        <v>0.273936170212766</v>
      </c>
      <c r="E692" s="84" t="n">
        <v>0.328502415458937</v>
      </c>
      <c r="F692" s="84" t="n">
        <v>0.146341463414634</v>
      </c>
      <c r="G692" s="84" t="n">
        <v>0.251207729468599</v>
      </c>
      <c r="H692" s="84" t="n">
        <v>0.258604795381176</v>
      </c>
      <c r="I692" s="84" t="n">
        <v>0.31167951102159</v>
      </c>
      <c r="J692" s="84" t="n">
        <v>0.695472354070925</v>
      </c>
      <c r="K692" s="84" t="n">
        <v>0.676917873861932</v>
      </c>
      <c r="L692" s="84" t="n">
        <v>0.810958689404627</v>
      </c>
      <c r="M692" s="84" t="n">
        <v>0.515151515151515</v>
      </c>
      <c r="N692" s="84" t="n">
        <v>0.213483146067416</v>
      </c>
      <c r="O692" s="84" t="n">
        <v>1</v>
      </c>
      <c r="P692" s="85">
        <f>AVERAGE(D692:I692)</f>
        <v/>
      </c>
      <c r="Q692" s="85">
        <f>AVERAGE(J692:L692)</f>
        <v/>
      </c>
      <c r="R692" s="85">
        <f>AVERAGE(M692:O692)</f>
        <v/>
      </c>
      <c r="S692" s="85">
        <f>'02_지표정의'!$C$22*P692+'02_지표정의'!$C$23*Q692+'02_지표정의'!$C$24*R692</f>
        <v/>
      </c>
      <c r="T692" s="73">
        <f>IF(OR(AND(B692="gemini",C692="gemma"),AND(B692="qwen3_6",C692="qwen"),AND(B692="mistral",C692="ministral")),1,0)</f>
        <v/>
      </c>
      <c r="U692" s="73">
        <f>IF(LEFT(A692,3)="PAT","특허","보고서")</f>
        <v/>
      </c>
      <c r="V692" s="86">
        <f>COUNTIF($S$2:$S$976,"&lt;"&amp;S692)+(COUNTIF($S$2:$S$976,"="&amp;S692)+1)/2</f>
        <v/>
      </c>
      <c r="W692" s="73">
        <f>IF(C692="qwen",0,COUNTIFS($C$2:$C$976,"&lt;&gt;qwen",$S$2:$S$976,"&lt;"&amp;S692)+1)</f>
        <v/>
      </c>
      <c r="X692" s="73">
        <f>IF(C692="ministral",0,COUNTIFS($C$2:$C$976,"&lt;&gt;ministral",$S$2:$S$976,"&lt;"&amp;S692)+1)</f>
        <v/>
      </c>
      <c r="Y692" s="73">
        <f>IF(C692="gemma",0,COUNTIFS($C$2:$C$976,"&lt;&gt;gemma",$S$2:$S$976,"&lt;"&amp;S692)+1)</f>
        <v/>
      </c>
      <c r="Z692" s="87">
        <f>COUNTIFS($B$2:$B$976,B692,$C$2:$C$976,C692,$S$2:$S$976,"&lt;"&amp;S692)+1</f>
        <v/>
      </c>
      <c r="AA692" s="88">
        <f>ABS(S692-SUMPRODUCT(('05B_가정검정'!$A$5:$A$19=B692)*('05B_가정검정'!$B$5:$B$19=C692)*'05B_가정검정'!$E$5:$E$19))</f>
        <v/>
      </c>
      <c r="AB692" s="88">
        <f>S692-AVERAGEIFS($S$2:$S$976,$B$2:$B$976,B692,$C$2:$C$976,C692)</f>
        <v/>
      </c>
    </row>
    <row r="693" ht="15" customHeight="1" s="68">
      <c r="A693" s="83" t="inlineStr">
        <is>
          <t>RPT-16</t>
        </is>
      </c>
      <c r="B693" s="83" t="inlineStr">
        <is>
          <t>chatgpt</t>
        </is>
      </c>
      <c r="C693" s="83" t="inlineStr">
        <is>
          <t>ministral</t>
        </is>
      </c>
      <c r="D693" s="84" t="n">
        <v>0.290625</v>
      </c>
      <c r="E693" s="84" t="n">
        <v>0.254385964912281</v>
      </c>
      <c r="F693" s="84" t="n">
        <v>0.132743362831858</v>
      </c>
      <c r="G693" s="84" t="n">
        <v>0.228070175438597</v>
      </c>
      <c r="H693" s="84" t="n">
        <v>0.198009344200449</v>
      </c>
      <c r="I693" s="84" t="n">
        <v>0.272161080923926</v>
      </c>
      <c r="J693" s="84" t="n">
        <v>0.715090815062276</v>
      </c>
      <c r="K693" s="84" t="n">
        <v>0.618075939257831</v>
      </c>
      <c r="L693" s="84" t="n">
        <v>0.806123778292636</v>
      </c>
      <c r="M693" s="84" t="n">
        <v>0.430034129692833</v>
      </c>
      <c r="N693" s="84" t="n">
        <v>0</v>
      </c>
      <c r="O693" s="84" t="n">
        <v>0.526315789473684</v>
      </c>
      <c r="P693" s="85">
        <f>AVERAGE(D693:I693)</f>
        <v/>
      </c>
      <c r="Q693" s="85">
        <f>AVERAGE(J693:L693)</f>
        <v/>
      </c>
      <c r="R693" s="85">
        <f>AVERAGE(M693:O693)</f>
        <v/>
      </c>
      <c r="S693" s="85">
        <f>'02_지표정의'!$C$22*P693+'02_지표정의'!$C$23*Q693+'02_지표정의'!$C$24*R693</f>
        <v/>
      </c>
      <c r="T693" s="73">
        <f>IF(OR(AND(B693="gemini",C693="gemma"),AND(B693="qwen3_6",C693="qwen"),AND(B693="mistral",C693="ministral")),1,0)</f>
        <v/>
      </c>
      <c r="U693" s="73">
        <f>IF(LEFT(A693,3)="PAT","특허","보고서")</f>
        <v/>
      </c>
      <c r="V693" s="86">
        <f>COUNTIF($S$2:$S$976,"&lt;"&amp;S693)+(COUNTIF($S$2:$S$976,"="&amp;S693)+1)/2</f>
        <v/>
      </c>
      <c r="W693" s="73">
        <f>IF(C693="qwen",0,COUNTIFS($C$2:$C$976,"&lt;&gt;qwen",$S$2:$S$976,"&lt;"&amp;S693)+1)</f>
        <v/>
      </c>
      <c r="X693" s="73">
        <f>IF(C693="ministral",0,COUNTIFS($C$2:$C$976,"&lt;&gt;ministral",$S$2:$S$976,"&lt;"&amp;S693)+1)</f>
        <v/>
      </c>
      <c r="Y693" s="73">
        <f>IF(C693="gemma",0,COUNTIFS($C$2:$C$976,"&lt;&gt;gemma",$S$2:$S$976,"&lt;"&amp;S693)+1)</f>
        <v/>
      </c>
      <c r="Z693" s="87">
        <f>COUNTIFS($B$2:$B$976,B693,$C$2:$C$976,C693,$S$2:$S$976,"&lt;"&amp;S693)+1</f>
        <v/>
      </c>
      <c r="AA693" s="88">
        <f>ABS(S693-SUMPRODUCT(('05B_가정검정'!$A$5:$A$19=B693)*('05B_가정검정'!$B$5:$B$19=C693)*'05B_가정검정'!$E$5:$E$19))</f>
        <v/>
      </c>
      <c r="AB693" s="88">
        <f>S693-AVERAGEIFS($S$2:$S$976,$B$2:$B$976,B693,$C$2:$C$976,C693)</f>
        <v/>
      </c>
    </row>
    <row r="694" ht="15" customHeight="1" s="68">
      <c r="A694" s="83" t="inlineStr">
        <is>
          <t>RPT-16</t>
        </is>
      </c>
      <c r="B694" s="83" t="inlineStr">
        <is>
          <t>chatgpt</t>
        </is>
      </c>
      <c r="C694" s="83" t="inlineStr">
        <is>
          <t>qwen</t>
        </is>
      </c>
      <c r="D694" s="84" t="n">
        <v>0.289017341040462</v>
      </c>
      <c r="E694" s="84" t="n">
        <v>0.378698224852071</v>
      </c>
      <c r="F694" s="84" t="n">
        <v>0.191616766467066</v>
      </c>
      <c r="G694" s="84" t="n">
        <v>0.331360946745562</v>
      </c>
      <c r="H694" s="84" t="n">
        <v>0.248230321299187</v>
      </c>
      <c r="I694" s="84" t="n">
        <v>0.374559598100368</v>
      </c>
      <c r="J694" s="84" t="n">
        <v>0.679812040012449</v>
      </c>
      <c r="K694" s="84" t="n">
        <v>0.667995541843502</v>
      </c>
      <c r="L694" s="84" t="n">
        <v>0.828418896531348</v>
      </c>
      <c r="M694" s="84" t="n">
        <v>0.384615384615385</v>
      </c>
      <c r="N694" s="84" t="n">
        <v>0</v>
      </c>
      <c r="O694" s="84" t="n">
        <v>1</v>
      </c>
      <c r="P694" s="85">
        <f>AVERAGE(D694:I694)</f>
        <v/>
      </c>
      <c r="Q694" s="85">
        <f>AVERAGE(J694:L694)</f>
        <v/>
      </c>
      <c r="R694" s="85">
        <f>AVERAGE(M694:O694)</f>
        <v/>
      </c>
      <c r="S694" s="85">
        <f>'02_지표정의'!$C$22*P694+'02_지표정의'!$C$23*Q694+'02_지표정의'!$C$24*R694</f>
        <v/>
      </c>
      <c r="T694" s="73">
        <f>IF(OR(AND(B694="gemini",C694="gemma"),AND(B694="qwen3_6",C694="qwen"),AND(B694="mistral",C694="ministral")),1,0)</f>
        <v/>
      </c>
      <c r="U694" s="73">
        <f>IF(LEFT(A694,3)="PAT","특허","보고서")</f>
        <v/>
      </c>
      <c r="V694" s="86">
        <f>COUNTIF($S$2:$S$976,"&lt;"&amp;S694)+(COUNTIF($S$2:$S$976,"="&amp;S694)+1)/2</f>
        <v/>
      </c>
      <c r="W694" s="73">
        <f>IF(C694="qwen",0,COUNTIFS($C$2:$C$976,"&lt;&gt;qwen",$S$2:$S$976,"&lt;"&amp;S694)+1)</f>
        <v/>
      </c>
      <c r="X694" s="73">
        <f>IF(C694="ministral",0,COUNTIFS($C$2:$C$976,"&lt;&gt;ministral",$S$2:$S$976,"&lt;"&amp;S694)+1)</f>
        <v/>
      </c>
      <c r="Y694" s="73">
        <f>IF(C694="gemma",0,COUNTIFS($C$2:$C$976,"&lt;&gt;gemma",$S$2:$S$976,"&lt;"&amp;S694)+1)</f>
        <v/>
      </c>
      <c r="Z694" s="87">
        <f>COUNTIFS($B$2:$B$976,B694,$C$2:$C$976,C694,$S$2:$S$976,"&lt;"&amp;S694)+1</f>
        <v/>
      </c>
      <c r="AA694" s="88">
        <f>ABS(S694-SUMPRODUCT(('05B_가정검정'!$A$5:$A$19=B694)*('05B_가정검정'!$B$5:$B$19=C694)*'05B_가정검정'!$E$5:$E$19))</f>
        <v/>
      </c>
      <c r="AB694" s="88">
        <f>S694-AVERAGEIFS($S$2:$S$976,$B$2:$B$976,B694,$C$2:$C$976,C694)</f>
        <v/>
      </c>
    </row>
    <row r="695" ht="15" customHeight="1" s="68">
      <c r="A695" s="83" t="inlineStr">
        <is>
          <t>RPT-16</t>
        </is>
      </c>
      <c r="B695" s="83" t="inlineStr">
        <is>
          <t>claude</t>
        </is>
      </c>
      <c r="C695" s="83" t="inlineStr">
        <is>
          <t>gemma</t>
        </is>
      </c>
      <c r="D695" s="84" t="n">
        <v>0.214350590372389</v>
      </c>
      <c r="E695" s="84" t="n">
        <v>0.305295950155763</v>
      </c>
      <c r="F695" s="84" t="n">
        <v>0.0689655172413793</v>
      </c>
      <c r="G695" s="84" t="n">
        <v>0.186915887850467</v>
      </c>
      <c r="H695" s="84" t="n">
        <v>0.286451653319799</v>
      </c>
      <c r="I695" s="84" t="n">
        <v>0.191927011048086</v>
      </c>
      <c r="J695" s="84" t="n">
        <v>0.684474079941256</v>
      </c>
      <c r="K695" s="84" t="n">
        <v>0.665541273208609</v>
      </c>
      <c r="L695" s="84" t="n">
        <v>0.82746329709893</v>
      </c>
      <c r="M695" s="84" t="n">
        <v>0.567073170731707</v>
      </c>
      <c r="N695" s="84" t="n">
        <v>0.521276595744681</v>
      </c>
      <c r="O695" s="84" t="n">
        <v>1</v>
      </c>
      <c r="P695" s="85">
        <f>AVERAGE(D695:I695)</f>
        <v/>
      </c>
      <c r="Q695" s="85">
        <f>AVERAGE(J695:L695)</f>
        <v/>
      </c>
      <c r="R695" s="85">
        <f>AVERAGE(M695:O695)</f>
        <v/>
      </c>
      <c r="S695" s="85">
        <f>'02_지표정의'!$C$22*P695+'02_지표정의'!$C$23*Q695+'02_지표정의'!$C$24*R695</f>
        <v/>
      </c>
      <c r="T695" s="73">
        <f>IF(OR(AND(B695="gemini",C695="gemma"),AND(B695="qwen3_6",C695="qwen"),AND(B695="mistral",C695="ministral")),1,0)</f>
        <v/>
      </c>
      <c r="U695" s="73">
        <f>IF(LEFT(A695,3)="PAT","특허","보고서")</f>
        <v/>
      </c>
      <c r="V695" s="86">
        <f>COUNTIF($S$2:$S$976,"&lt;"&amp;S695)+(COUNTIF($S$2:$S$976,"="&amp;S695)+1)/2</f>
        <v/>
      </c>
      <c r="W695" s="73">
        <f>IF(C695="qwen",0,COUNTIFS($C$2:$C$976,"&lt;&gt;qwen",$S$2:$S$976,"&lt;"&amp;S695)+1)</f>
        <v/>
      </c>
      <c r="X695" s="73">
        <f>IF(C695="ministral",0,COUNTIFS($C$2:$C$976,"&lt;&gt;ministral",$S$2:$S$976,"&lt;"&amp;S695)+1)</f>
        <v/>
      </c>
      <c r="Y695" s="73">
        <f>IF(C695="gemma",0,COUNTIFS($C$2:$C$976,"&lt;&gt;gemma",$S$2:$S$976,"&lt;"&amp;S695)+1)</f>
        <v/>
      </c>
      <c r="Z695" s="87">
        <f>COUNTIFS($B$2:$B$976,B695,$C$2:$C$976,C695,$S$2:$S$976,"&lt;"&amp;S695)+1</f>
        <v/>
      </c>
      <c r="AA695" s="88">
        <f>ABS(S695-SUMPRODUCT(('05B_가정검정'!$A$5:$A$19=B695)*('05B_가정검정'!$B$5:$B$19=C695)*'05B_가정검정'!$E$5:$E$19))</f>
        <v/>
      </c>
      <c r="AB695" s="88">
        <f>S695-AVERAGEIFS($S$2:$S$976,$B$2:$B$976,B695,$C$2:$C$976,C695)</f>
        <v/>
      </c>
    </row>
    <row r="696" ht="15" customHeight="1" s="68">
      <c r="A696" s="83" t="inlineStr">
        <is>
          <t>RPT-16</t>
        </is>
      </c>
      <c r="B696" s="83" t="inlineStr">
        <is>
          <t>claude</t>
        </is>
      </c>
      <c r="C696" s="83" t="inlineStr">
        <is>
          <t>ministral</t>
        </is>
      </c>
      <c r="D696" s="84" t="n">
        <v>0.240647118301315</v>
      </c>
      <c r="E696" s="84" t="n">
        <v>0.339181286549708</v>
      </c>
      <c r="F696" s="84" t="n">
        <v>0.158823529411765</v>
      </c>
      <c r="G696" s="84" t="n">
        <v>0.245614035087719</v>
      </c>
      <c r="H696" s="84" t="n">
        <v>0.250485646638942</v>
      </c>
      <c r="I696" s="84" t="n">
        <v>0.202131958525626</v>
      </c>
      <c r="J696" s="84" t="n">
        <v>0.699676317125446</v>
      </c>
      <c r="K696" s="84" t="n">
        <v>0.620590590225705</v>
      </c>
      <c r="L696" s="84" t="n">
        <v>0.818338244954909</v>
      </c>
      <c r="M696" s="84" t="n">
        <v>0.522184300341297</v>
      </c>
      <c r="N696" s="84" t="n">
        <v>0.227272727272727</v>
      </c>
      <c r="O696" s="84" t="n">
        <v>0.526315789473684</v>
      </c>
      <c r="P696" s="85">
        <f>AVERAGE(D696:I696)</f>
        <v/>
      </c>
      <c r="Q696" s="85">
        <f>AVERAGE(J696:L696)</f>
        <v/>
      </c>
      <c r="R696" s="85">
        <f>AVERAGE(M696:O696)</f>
        <v/>
      </c>
      <c r="S696" s="85">
        <f>'02_지표정의'!$C$22*P696+'02_지표정의'!$C$23*Q696+'02_지표정의'!$C$24*R696</f>
        <v/>
      </c>
      <c r="T696" s="73">
        <f>IF(OR(AND(B696="gemini",C696="gemma"),AND(B696="qwen3_6",C696="qwen"),AND(B696="mistral",C696="ministral")),1,0)</f>
        <v/>
      </c>
      <c r="U696" s="73">
        <f>IF(LEFT(A696,3)="PAT","특허","보고서")</f>
        <v/>
      </c>
      <c r="V696" s="86">
        <f>COUNTIF($S$2:$S$976,"&lt;"&amp;S696)+(COUNTIF($S$2:$S$976,"="&amp;S696)+1)/2</f>
        <v/>
      </c>
      <c r="W696" s="73">
        <f>IF(C696="qwen",0,COUNTIFS($C$2:$C$976,"&lt;&gt;qwen",$S$2:$S$976,"&lt;"&amp;S696)+1)</f>
        <v/>
      </c>
      <c r="X696" s="73">
        <f>IF(C696="ministral",0,COUNTIFS($C$2:$C$976,"&lt;&gt;ministral",$S$2:$S$976,"&lt;"&amp;S696)+1)</f>
        <v/>
      </c>
      <c r="Y696" s="73">
        <f>IF(C696="gemma",0,COUNTIFS($C$2:$C$976,"&lt;&gt;gemma",$S$2:$S$976,"&lt;"&amp;S696)+1)</f>
        <v/>
      </c>
      <c r="Z696" s="87">
        <f>COUNTIFS($B$2:$B$976,B696,$C$2:$C$976,C696,$S$2:$S$976,"&lt;"&amp;S696)+1</f>
        <v/>
      </c>
      <c r="AA696" s="88">
        <f>ABS(S696-SUMPRODUCT(('05B_가정검정'!$A$5:$A$19=B696)*('05B_가정검정'!$B$5:$B$19=C696)*'05B_가정검정'!$E$5:$E$19))</f>
        <v/>
      </c>
      <c r="AB696" s="88">
        <f>S696-AVERAGEIFS($S$2:$S$976,$B$2:$B$976,B696,$C$2:$C$976,C696)</f>
        <v/>
      </c>
    </row>
    <row r="697" ht="15" customHeight="1" s="68">
      <c r="A697" s="83" t="inlineStr">
        <is>
          <t>RPT-16</t>
        </is>
      </c>
      <c r="B697" s="83" t="inlineStr">
        <is>
          <t>claude</t>
        </is>
      </c>
      <c r="C697" s="83" t="inlineStr">
        <is>
          <t>qwen</t>
        </is>
      </c>
      <c r="D697" s="84" t="n">
        <v>0.259365994236311</v>
      </c>
      <c r="E697" s="84" t="n">
        <v>0.5088339222614841</v>
      </c>
      <c r="F697" s="84" t="n">
        <v>0.249110320284698</v>
      </c>
      <c r="G697" s="84" t="n">
        <v>0.325088339222615</v>
      </c>
      <c r="H697" s="84" t="n">
        <v>0.33078855813957</v>
      </c>
      <c r="I697" s="84" t="n">
        <v>0.331615777316154</v>
      </c>
      <c r="J697" s="84" t="n">
        <v>0.709543056890055</v>
      </c>
      <c r="K697" s="84" t="n">
        <v>0.688421066818069</v>
      </c>
      <c r="L697" s="84" t="n">
        <v>0.853633032587068</v>
      </c>
      <c r="M697" s="84" t="n">
        <v>0.615384615384615</v>
      </c>
      <c r="N697" s="84" t="n">
        <v>0.549019607843137</v>
      </c>
      <c r="O697" s="84" t="n">
        <v>1</v>
      </c>
      <c r="P697" s="85">
        <f>AVERAGE(D697:I697)</f>
        <v/>
      </c>
      <c r="Q697" s="85">
        <f>AVERAGE(J697:L697)</f>
        <v/>
      </c>
      <c r="R697" s="85">
        <f>AVERAGE(M697:O697)</f>
        <v/>
      </c>
      <c r="S697" s="85">
        <f>'02_지표정의'!$C$22*P697+'02_지표정의'!$C$23*Q697+'02_지표정의'!$C$24*R697</f>
        <v/>
      </c>
      <c r="T697" s="73">
        <f>IF(OR(AND(B697="gemini",C697="gemma"),AND(B697="qwen3_6",C697="qwen"),AND(B697="mistral",C697="ministral")),1,0)</f>
        <v/>
      </c>
      <c r="U697" s="73">
        <f>IF(LEFT(A697,3)="PAT","특허","보고서")</f>
        <v/>
      </c>
      <c r="V697" s="86">
        <f>COUNTIF($S$2:$S$976,"&lt;"&amp;S697)+(COUNTIF($S$2:$S$976,"="&amp;S697)+1)/2</f>
        <v/>
      </c>
      <c r="W697" s="73">
        <f>IF(C697="qwen",0,COUNTIFS($C$2:$C$976,"&lt;&gt;qwen",$S$2:$S$976,"&lt;"&amp;S697)+1)</f>
        <v/>
      </c>
      <c r="X697" s="73">
        <f>IF(C697="ministral",0,COUNTIFS($C$2:$C$976,"&lt;&gt;ministral",$S$2:$S$976,"&lt;"&amp;S697)+1)</f>
        <v/>
      </c>
      <c r="Y697" s="73">
        <f>IF(C697="gemma",0,COUNTIFS($C$2:$C$976,"&lt;&gt;gemma",$S$2:$S$976,"&lt;"&amp;S697)+1)</f>
        <v/>
      </c>
      <c r="Z697" s="87">
        <f>COUNTIFS($B$2:$B$976,B697,$C$2:$C$976,C697,$S$2:$S$976,"&lt;"&amp;S697)+1</f>
        <v/>
      </c>
      <c r="AA697" s="88">
        <f>ABS(S697-SUMPRODUCT(('05B_가정검정'!$A$5:$A$19=B697)*('05B_가정검정'!$B$5:$B$19=C697)*'05B_가정검정'!$E$5:$E$19))</f>
        <v/>
      </c>
      <c r="AB697" s="88">
        <f>S697-AVERAGEIFS($S$2:$S$976,$B$2:$B$976,B697,$C$2:$C$976,C697)</f>
        <v/>
      </c>
    </row>
    <row r="698" ht="15" customHeight="1" s="68">
      <c r="A698" s="83" t="inlineStr">
        <is>
          <t>RPT-16</t>
        </is>
      </c>
      <c r="B698" s="83" t="inlineStr">
        <is>
          <t>gemini</t>
        </is>
      </c>
      <c r="C698" s="83" t="inlineStr">
        <is>
          <t>gemma</t>
        </is>
      </c>
      <c r="D698" s="84" t="n">
        <v>0.253317249698432</v>
      </c>
      <c r="E698" s="84" t="n">
        <v>0.33175355450237</v>
      </c>
      <c r="F698" s="84" t="n">
        <v>0.114832535885168</v>
      </c>
      <c r="G698" s="84" t="n">
        <v>0.255924170616114</v>
      </c>
      <c r="H698" s="84" t="n">
        <v>0.313031116622054</v>
      </c>
      <c r="I698" s="84" t="n">
        <v>0.288065262283396</v>
      </c>
      <c r="J698" s="84" t="n">
        <v>0.750040729247376</v>
      </c>
      <c r="K698" s="84" t="n">
        <v>0.793896141206444</v>
      </c>
      <c r="L698" s="84" t="n">
        <v>0.901473978633582</v>
      </c>
      <c r="M698" s="84" t="n">
        <v>0.906542056074766</v>
      </c>
      <c r="N698" s="84" t="n">
        <v>0.916666666666667</v>
      </c>
      <c r="O698" s="84" t="n">
        <v>1</v>
      </c>
      <c r="P698" s="85">
        <f>AVERAGE(D698:I698)</f>
        <v/>
      </c>
      <c r="Q698" s="85">
        <f>AVERAGE(J698:L698)</f>
        <v/>
      </c>
      <c r="R698" s="85">
        <f>AVERAGE(M698:O698)</f>
        <v/>
      </c>
      <c r="S698" s="85">
        <f>'02_지표정의'!$C$22*P698+'02_지표정의'!$C$23*Q698+'02_지표정의'!$C$24*R698</f>
        <v/>
      </c>
      <c r="T698" s="73">
        <f>IF(OR(AND(B698="gemini",C698="gemma"),AND(B698="qwen3_6",C698="qwen"),AND(B698="mistral",C698="ministral")),1,0)</f>
        <v/>
      </c>
      <c r="U698" s="73">
        <f>IF(LEFT(A698,3)="PAT","특허","보고서")</f>
        <v/>
      </c>
      <c r="V698" s="86">
        <f>COUNTIF($S$2:$S$976,"&lt;"&amp;S698)+(COUNTIF($S$2:$S$976,"="&amp;S698)+1)/2</f>
        <v/>
      </c>
      <c r="W698" s="73">
        <f>IF(C698="qwen",0,COUNTIFS($C$2:$C$976,"&lt;&gt;qwen",$S$2:$S$976,"&lt;"&amp;S698)+1)</f>
        <v/>
      </c>
      <c r="X698" s="73">
        <f>IF(C698="ministral",0,COUNTIFS($C$2:$C$976,"&lt;&gt;ministral",$S$2:$S$976,"&lt;"&amp;S698)+1)</f>
        <v/>
      </c>
      <c r="Y698" s="73">
        <f>IF(C698="gemma",0,COUNTIFS($C$2:$C$976,"&lt;&gt;gemma",$S$2:$S$976,"&lt;"&amp;S698)+1)</f>
        <v/>
      </c>
      <c r="Z698" s="87">
        <f>COUNTIFS($B$2:$B$976,B698,$C$2:$C$976,C698,$S$2:$S$976,"&lt;"&amp;S698)+1</f>
        <v/>
      </c>
      <c r="AA698" s="88">
        <f>ABS(S698-SUMPRODUCT(('05B_가정검정'!$A$5:$A$19=B698)*('05B_가정검정'!$B$5:$B$19=C698)*'05B_가정검정'!$E$5:$E$19))</f>
        <v/>
      </c>
      <c r="AB698" s="88">
        <f>S698-AVERAGEIFS($S$2:$S$976,$B$2:$B$976,B698,$C$2:$C$976,C698)</f>
        <v/>
      </c>
    </row>
    <row r="699" ht="15" customHeight="1" s="68">
      <c r="A699" s="83" t="inlineStr">
        <is>
          <t>RPT-16</t>
        </is>
      </c>
      <c r="B699" s="83" t="inlineStr">
        <is>
          <t>gemini</t>
        </is>
      </c>
      <c r="C699" s="83" t="inlineStr">
        <is>
          <t>ministral</t>
        </is>
      </c>
      <c r="D699" s="84" t="n">
        <v>0.259414225941423</v>
      </c>
      <c r="E699" s="84" t="n">
        <v>0.301724137931035</v>
      </c>
      <c r="F699" s="84" t="n">
        <v>0.139130434782609</v>
      </c>
      <c r="G699" s="84" t="n">
        <v>0.258620689655172</v>
      </c>
      <c r="H699" s="84" t="n">
        <v>0.234827907145562</v>
      </c>
      <c r="I699" s="84" t="n">
        <v>0.20735670561898</v>
      </c>
      <c r="J699" s="84" t="n">
        <v>0.747331297490904</v>
      </c>
      <c r="K699" s="84" t="n">
        <v>0.738635917026812</v>
      </c>
      <c r="L699" s="84" t="n">
        <v>0.871406575735112</v>
      </c>
      <c r="M699" s="84" t="n">
        <v>0.331058020477816</v>
      </c>
      <c r="N699" s="84" t="n">
        <v>0.28030303030303</v>
      </c>
      <c r="O699" s="84" t="n">
        <v>0.526315789473684</v>
      </c>
      <c r="P699" s="85">
        <f>AVERAGE(D699:I699)</f>
        <v/>
      </c>
      <c r="Q699" s="85">
        <f>AVERAGE(J699:L699)</f>
        <v/>
      </c>
      <c r="R699" s="85">
        <f>AVERAGE(M699:O699)</f>
        <v/>
      </c>
      <c r="S699" s="85">
        <f>'02_지표정의'!$C$22*P699+'02_지표정의'!$C$23*Q699+'02_지표정의'!$C$24*R699</f>
        <v/>
      </c>
      <c r="T699" s="73">
        <f>IF(OR(AND(B699="gemini",C699="gemma"),AND(B699="qwen3_6",C699="qwen"),AND(B699="mistral",C699="ministral")),1,0)</f>
        <v/>
      </c>
      <c r="U699" s="73">
        <f>IF(LEFT(A699,3)="PAT","특허","보고서")</f>
        <v/>
      </c>
      <c r="V699" s="86">
        <f>COUNTIF($S$2:$S$976,"&lt;"&amp;S699)+(COUNTIF($S$2:$S$976,"="&amp;S699)+1)/2</f>
        <v/>
      </c>
      <c r="W699" s="73">
        <f>IF(C699="qwen",0,COUNTIFS($C$2:$C$976,"&lt;&gt;qwen",$S$2:$S$976,"&lt;"&amp;S699)+1)</f>
        <v/>
      </c>
      <c r="X699" s="73">
        <f>IF(C699="ministral",0,COUNTIFS($C$2:$C$976,"&lt;&gt;ministral",$S$2:$S$976,"&lt;"&amp;S699)+1)</f>
        <v/>
      </c>
      <c r="Y699" s="73">
        <f>IF(C699="gemma",0,COUNTIFS($C$2:$C$976,"&lt;&gt;gemma",$S$2:$S$976,"&lt;"&amp;S699)+1)</f>
        <v/>
      </c>
      <c r="Z699" s="87">
        <f>COUNTIFS($B$2:$B$976,B699,$C$2:$C$976,C699,$S$2:$S$976,"&lt;"&amp;S699)+1</f>
        <v/>
      </c>
      <c r="AA699" s="88">
        <f>ABS(S699-SUMPRODUCT(('05B_가정검정'!$A$5:$A$19=B699)*('05B_가정검정'!$B$5:$B$19=C699)*'05B_가정검정'!$E$5:$E$19))</f>
        <v/>
      </c>
      <c r="AB699" s="88">
        <f>S699-AVERAGEIFS($S$2:$S$976,$B$2:$B$976,B699,$C$2:$C$976,C699)</f>
        <v/>
      </c>
    </row>
    <row r="700" ht="15" customHeight="1" s="68">
      <c r="A700" s="83" t="inlineStr">
        <is>
          <t>RPT-16</t>
        </is>
      </c>
      <c r="B700" s="83" t="inlineStr">
        <is>
          <t>gemini</t>
        </is>
      </c>
      <c r="C700" s="83" t="inlineStr">
        <is>
          <t>qwen</t>
        </is>
      </c>
      <c r="D700" s="84" t="n">
        <v>0.291287386215865</v>
      </c>
      <c r="E700" s="84" t="n">
        <v>0.416184971098266</v>
      </c>
      <c r="F700" s="84" t="n">
        <v>0.210526315789474</v>
      </c>
      <c r="G700" s="84" t="n">
        <v>0.323699421965318</v>
      </c>
      <c r="H700" s="84" t="n">
        <v>0.307578503222515</v>
      </c>
      <c r="I700" s="84" t="n">
        <v>0.40377593109868</v>
      </c>
      <c r="J700" s="84" t="n">
        <v>0.7734449036754431</v>
      </c>
      <c r="K700" s="84" t="n">
        <v>0.772664491057626</v>
      </c>
      <c r="L700" s="84" t="n">
        <v>0.893342547358727</v>
      </c>
      <c r="M700" s="84" t="n">
        <v>0.5739644970414201</v>
      </c>
      <c r="N700" s="84" t="n">
        <v>0.53921568627451</v>
      </c>
      <c r="O700" s="84" t="n">
        <v>1</v>
      </c>
      <c r="P700" s="85">
        <f>AVERAGE(D700:I700)</f>
        <v/>
      </c>
      <c r="Q700" s="85">
        <f>AVERAGE(J700:L700)</f>
        <v/>
      </c>
      <c r="R700" s="85">
        <f>AVERAGE(M700:O700)</f>
        <v/>
      </c>
      <c r="S700" s="85">
        <f>'02_지표정의'!$C$22*P700+'02_지표정의'!$C$23*Q700+'02_지표정의'!$C$24*R700</f>
        <v/>
      </c>
      <c r="T700" s="73">
        <f>IF(OR(AND(B700="gemini",C700="gemma"),AND(B700="qwen3_6",C700="qwen"),AND(B700="mistral",C700="ministral")),1,0)</f>
        <v/>
      </c>
      <c r="U700" s="73">
        <f>IF(LEFT(A700,3)="PAT","특허","보고서")</f>
        <v/>
      </c>
      <c r="V700" s="86">
        <f>COUNTIF($S$2:$S$976,"&lt;"&amp;S700)+(COUNTIF($S$2:$S$976,"="&amp;S700)+1)/2</f>
        <v/>
      </c>
      <c r="W700" s="73">
        <f>IF(C700="qwen",0,COUNTIFS($C$2:$C$976,"&lt;&gt;qwen",$S$2:$S$976,"&lt;"&amp;S700)+1)</f>
        <v/>
      </c>
      <c r="X700" s="73">
        <f>IF(C700="ministral",0,COUNTIFS($C$2:$C$976,"&lt;&gt;ministral",$S$2:$S$976,"&lt;"&amp;S700)+1)</f>
        <v/>
      </c>
      <c r="Y700" s="73">
        <f>IF(C700="gemma",0,COUNTIFS($C$2:$C$976,"&lt;&gt;gemma",$S$2:$S$976,"&lt;"&amp;S700)+1)</f>
        <v/>
      </c>
      <c r="Z700" s="87">
        <f>COUNTIFS($B$2:$B$976,B700,$C$2:$C$976,C700,$S$2:$S$976,"&lt;"&amp;S700)+1</f>
        <v/>
      </c>
      <c r="AA700" s="88">
        <f>ABS(S700-SUMPRODUCT(('05B_가정검정'!$A$5:$A$19=B700)*('05B_가정검정'!$B$5:$B$19=C700)*'05B_가정검정'!$E$5:$E$19))</f>
        <v/>
      </c>
      <c r="AB700" s="88">
        <f>S700-AVERAGEIFS($S$2:$S$976,$B$2:$B$976,B700,$C$2:$C$976,C700)</f>
        <v/>
      </c>
    </row>
    <row r="701" ht="15" customHeight="1" s="68">
      <c r="A701" s="83" t="inlineStr">
        <is>
          <t>RPT-16</t>
        </is>
      </c>
      <c r="B701" s="83" t="inlineStr">
        <is>
          <t>mistral</t>
        </is>
      </c>
      <c r="C701" s="83" t="inlineStr">
        <is>
          <t>gemma</t>
        </is>
      </c>
      <c r="D701" s="84" t="n">
        <v>0.253602305475504</v>
      </c>
      <c r="E701" s="84" t="n">
        <v>0.333333333333333</v>
      </c>
      <c r="F701" s="84" t="n">
        <v>0.120805369127517</v>
      </c>
      <c r="G701" s="84" t="n">
        <v>0.233333333333333</v>
      </c>
      <c r="H701" s="84" t="n">
        <v>0.264995937730391</v>
      </c>
      <c r="I701" s="84" t="n">
        <v>0.26774429805426</v>
      </c>
      <c r="J701" s="84" t="n">
        <v>0.664133696629134</v>
      </c>
      <c r="K701" s="84" t="n">
        <v>0.6713566128152531</v>
      </c>
      <c r="L701" s="84" t="n">
        <v>0.870155887249954</v>
      </c>
      <c r="M701" s="84" t="n">
        <v>0.340659340659341</v>
      </c>
      <c r="N701" s="84" t="n">
        <v>0.333333333333333</v>
      </c>
      <c r="O701" s="84" t="n">
        <v>1</v>
      </c>
      <c r="P701" s="85">
        <f>AVERAGE(D701:I701)</f>
        <v/>
      </c>
      <c r="Q701" s="85">
        <f>AVERAGE(J701:L701)</f>
        <v/>
      </c>
      <c r="R701" s="85">
        <f>AVERAGE(M701:O701)</f>
        <v/>
      </c>
      <c r="S701" s="85">
        <f>'02_지표정의'!$C$22*P701+'02_지표정의'!$C$23*Q701+'02_지표정의'!$C$24*R701</f>
        <v/>
      </c>
      <c r="T701" s="73">
        <f>IF(OR(AND(B701="gemini",C701="gemma"),AND(B701="qwen3_6",C701="qwen"),AND(B701="mistral",C701="ministral")),1,0)</f>
        <v/>
      </c>
      <c r="U701" s="73">
        <f>IF(LEFT(A701,3)="PAT","특허","보고서")</f>
        <v/>
      </c>
      <c r="V701" s="86">
        <f>COUNTIF($S$2:$S$976,"&lt;"&amp;S701)+(COUNTIF($S$2:$S$976,"="&amp;S701)+1)/2</f>
        <v/>
      </c>
      <c r="W701" s="73">
        <f>IF(C701="qwen",0,COUNTIFS($C$2:$C$976,"&lt;&gt;qwen",$S$2:$S$976,"&lt;"&amp;S701)+1)</f>
        <v/>
      </c>
      <c r="X701" s="73">
        <f>IF(C701="ministral",0,COUNTIFS($C$2:$C$976,"&lt;&gt;ministral",$S$2:$S$976,"&lt;"&amp;S701)+1)</f>
        <v/>
      </c>
      <c r="Y701" s="73">
        <f>IF(C701="gemma",0,COUNTIFS($C$2:$C$976,"&lt;&gt;gemma",$S$2:$S$976,"&lt;"&amp;S701)+1)</f>
        <v/>
      </c>
      <c r="Z701" s="87">
        <f>COUNTIFS($B$2:$B$976,B701,$C$2:$C$976,C701,$S$2:$S$976,"&lt;"&amp;S701)+1</f>
        <v/>
      </c>
      <c r="AA701" s="88">
        <f>ABS(S701-SUMPRODUCT(('05B_가정검정'!$A$5:$A$19=B701)*('05B_가정검정'!$B$5:$B$19=C701)*'05B_가정검정'!$E$5:$E$19))</f>
        <v/>
      </c>
      <c r="AB701" s="88">
        <f>S701-AVERAGEIFS($S$2:$S$976,$B$2:$B$976,B701,$C$2:$C$976,C701)</f>
        <v/>
      </c>
    </row>
    <row r="702" ht="15" customHeight="1" s="68">
      <c r="A702" s="83" t="inlineStr">
        <is>
          <t>RPT-16</t>
        </is>
      </c>
      <c r="B702" s="83" t="inlineStr">
        <is>
          <t>mistral</t>
        </is>
      </c>
      <c r="C702" s="83" t="inlineStr">
        <is>
          <t>ministral</t>
        </is>
      </c>
      <c r="D702" s="84" t="n">
        <v>0.282023681377826</v>
      </c>
      <c r="E702" s="84" t="n">
        <v>0.517133956386293</v>
      </c>
      <c r="F702" s="84" t="n">
        <v>0.263322884012539</v>
      </c>
      <c r="G702" s="84" t="n">
        <v>0.38006230529595</v>
      </c>
      <c r="H702" s="84" t="n">
        <v>0.307230698474604</v>
      </c>
      <c r="I702" s="84" t="n">
        <v>0.257536415896756</v>
      </c>
      <c r="J702" s="84" t="n">
        <v>0.698390441450767</v>
      </c>
      <c r="K702" s="84" t="n">
        <v>0.668807673374713</v>
      </c>
      <c r="L702" s="84" t="n">
        <v>0.869471270091015</v>
      </c>
      <c r="M702" s="84" t="n">
        <v>0.515358361774744</v>
      </c>
      <c r="N702" s="84" t="n">
        <v>0.26530612244898</v>
      </c>
      <c r="O702" s="84" t="n">
        <v>0.526315789473684</v>
      </c>
      <c r="P702" s="85">
        <f>AVERAGE(D702:I702)</f>
        <v/>
      </c>
      <c r="Q702" s="85">
        <f>AVERAGE(J702:L702)</f>
        <v/>
      </c>
      <c r="R702" s="85">
        <f>AVERAGE(M702:O702)</f>
        <v/>
      </c>
      <c r="S702" s="85">
        <f>'02_지표정의'!$C$22*P702+'02_지표정의'!$C$23*Q702+'02_지표정의'!$C$24*R702</f>
        <v/>
      </c>
      <c r="T702" s="73">
        <f>IF(OR(AND(B702="gemini",C702="gemma"),AND(B702="qwen3_6",C702="qwen"),AND(B702="mistral",C702="ministral")),1,0)</f>
        <v/>
      </c>
      <c r="U702" s="73">
        <f>IF(LEFT(A702,3)="PAT","특허","보고서")</f>
        <v/>
      </c>
      <c r="V702" s="86">
        <f>COUNTIF($S$2:$S$976,"&lt;"&amp;S702)+(COUNTIF($S$2:$S$976,"="&amp;S702)+1)/2</f>
        <v/>
      </c>
      <c r="W702" s="73">
        <f>IF(C702="qwen",0,COUNTIFS($C$2:$C$976,"&lt;&gt;qwen",$S$2:$S$976,"&lt;"&amp;S702)+1)</f>
        <v/>
      </c>
      <c r="X702" s="73">
        <f>IF(C702="ministral",0,COUNTIFS($C$2:$C$976,"&lt;&gt;ministral",$S$2:$S$976,"&lt;"&amp;S702)+1)</f>
        <v/>
      </c>
      <c r="Y702" s="73">
        <f>IF(C702="gemma",0,COUNTIFS($C$2:$C$976,"&lt;&gt;gemma",$S$2:$S$976,"&lt;"&amp;S702)+1)</f>
        <v/>
      </c>
      <c r="Z702" s="87">
        <f>COUNTIFS($B$2:$B$976,B702,$C$2:$C$976,C702,$S$2:$S$976,"&lt;"&amp;S702)+1</f>
        <v/>
      </c>
      <c r="AA702" s="88">
        <f>ABS(S702-SUMPRODUCT(('05B_가정검정'!$A$5:$A$19=B702)*('05B_가정검정'!$B$5:$B$19=C702)*'05B_가정검정'!$E$5:$E$19))</f>
        <v/>
      </c>
      <c r="AB702" s="88">
        <f>S702-AVERAGEIFS($S$2:$S$976,$B$2:$B$976,B702,$C$2:$C$976,C702)</f>
        <v/>
      </c>
    </row>
    <row r="703" ht="15" customHeight="1" s="68">
      <c r="A703" s="83" t="inlineStr">
        <is>
          <t>RPT-16</t>
        </is>
      </c>
      <c r="B703" s="83" t="inlineStr">
        <is>
          <t>mistral</t>
        </is>
      </c>
      <c r="C703" s="83" t="inlineStr">
        <is>
          <t>qwen</t>
        </is>
      </c>
      <c r="D703" s="84" t="n">
        <v>0.258919469928644</v>
      </c>
      <c r="E703" s="84" t="n">
        <v>0.480916030534351</v>
      </c>
      <c r="F703" s="84" t="n">
        <v>0.238461538461538</v>
      </c>
      <c r="G703" s="84" t="n">
        <v>0.374045801526718</v>
      </c>
      <c r="H703" s="84" t="n">
        <v>0.312109679180024</v>
      </c>
      <c r="I703" s="84" t="n">
        <v>0.336283875372605</v>
      </c>
      <c r="J703" s="84" t="n">
        <v>0.670690905748015</v>
      </c>
      <c r="K703" s="84" t="n">
        <v>0.658067489643305</v>
      </c>
      <c r="L703" s="84" t="n">
        <v>0.847439905076861</v>
      </c>
      <c r="M703" s="84" t="n">
        <v>0.538461538461538</v>
      </c>
      <c r="N703" s="84" t="n">
        <v>0.605442176870748</v>
      </c>
      <c r="O703" s="84" t="n">
        <v>1</v>
      </c>
      <c r="P703" s="85">
        <f>AVERAGE(D703:I703)</f>
        <v/>
      </c>
      <c r="Q703" s="85">
        <f>AVERAGE(J703:L703)</f>
        <v/>
      </c>
      <c r="R703" s="85">
        <f>AVERAGE(M703:O703)</f>
        <v/>
      </c>
      <c r="S703" s="85">
        <f>'02_지표정의'!$C$22*P703+'02_지표정의'!$C$23*Q703+'02_지표정의'!$C$24*R703</f>
        <v/>
      </c>
      <c r="T703" s="73">
        <f>IF(OR(AND(B703="gemini",C703="gemma"),AND(B703="qwen3_6",C703="qwen"),AND(B703="mistral",C703="ministral")),1,0)</f>
        <v/>
      </c>
      <c r="U703" s="73">
        <f>IF(LEFT(A703,3)="PAT","특허","보고서")</f>
        <v/>
      </c>
      <c r="V703" s="86">
        <f>COUNTIF($S$2:$S$976,"&lt;"&amp;S703)+(COUNTIF($S$2:$S$976,"="&amp;S703)+1)/2</f>
        <v/>
      </c>
      <c r="W703" s="73">
        <f>IF(C703="qwen",0,COUNTIFS($C$2:$C$976,"&lt;&gt;qwen",$S$2:$S$976,"&lt;"&amp;S703)+1)</f>
        <v/>
      </c>
      <c r="X703" s="73">
        <f>IF(C703="ministral",0,COUNTIFS($C$2:$C$976,"&lt;&gt;ministral",$S$2:$S$976,"&lt;"&amp;S703)+1)</f>
        <v/>
      </c>
      <c r="Y703" s="73">
        <f>IF(C703="gemma",0,COUNTIFS($C$2:$C$976,"&lt;&gt;gemma",$S$2:$S$976,"&lt;"&amp;S703)+1)</f>
        <v/>
      </c>
      <c r="Z703" s="87">
        <f>COUNTIFS($B$2:$B$976,B703,$C$2:$C$976,C703,$S$2:$S$976,"&lt;"&amp;S703)+1</f>
        <v/>
      </c>
      <c r="AA703" s="88">
        <f>ABS(S703-SUMPRODUCT(('05B_가정검정'!$A$5:$A$19=B703)*('05B_가정검정'!$B$5:$B$19=C703)*'05B_가정검정'!$E$5:$E$19))</f>
        <v/>
      </c>
      <c r="AB703" s="88">
        <f>S703-AVERAGEIFS($S$2:$S$976,$B$2:$B$976,B703,$C$2:$C$976,C703)</f>
        <v/>
      </c>
    </row>
    <row r="704" ht="15" customHeight="1" s="68">
      <c r="A704" s="83" t="inlineStr">
        <is>
          <t>RPT-16</t>
        </is>
      </c>
      <c r="B704" s="83" t="inlineStr">
        <is>
          <t>qwen3_6</t>
        </is>
      </c>
      <c r="C704" s="83" t="inlineStr">
        <is>
          <t>gemma</t>
        </is>
      </c>
      <c r="D704" s="84" t="n">
        <v>0.269018743109151</v>
      </c>
      <c r="E704" s="84" t="n">
        <v>0.365957446808511</v>
      </c>
      <c r="F704" s="84" t="n">
        <v>0.103004291845494</v>
      </c>
      <c r="G704" s="84" t="n">
        <v>0.263829787234043</v>
      </c>
      <c r="H704" s="84" t="n">
        <v>0.43669195410647</v>
      </c>
      <c r="I704" s="84" t="n">
        <v>0.302902014120406</v>
      </c>
      <c r="J704" s="84" t="n">
        <v>0.723397078144992</v>
      </c>
      <c r="K704" s="84" t="n">
        <v>0.741768059551554</v>
      </c>
      <c r="L704" s="84" t="n">
        <v>0.906710316396347</v>
      </c>
      <c r="M704" s="84" t="n">
        <v>0.906542056074766</v>
      </c>
      <c r="N704" s="84" t="n">
        <v>0.916666666666667</v>
      </c>
      <c r="O704" s="84" t="n">
        <v>1</v>
      </c>
      <c r="P704" s="85">
        <f>AVERAGE(D704:I704)</f>
        <v/>
      </c>
      <c r="Q704" s="85">
        <f>AVERAGE(J704:L704)</f>
        <v/>
      </c>
      <c r="R704" s="85">
        <f>AVERAGE(M704:O704)</f>
        <v/>
      </c>
      <c r="S704" s="85">
        <f>'02_지표정의'!$C$22*P704+'02_지표정의'!$C$23*Q704+'02_지표정의'!$C$24*R704</f>
        <v/>
      </c>
      <c r="T704" s="73">
        <f>IF(OR(AND(B704="gemini",C704="gemma"),AND(B704="qwen3_6",C704="qwen"),AND(B704="mistral",C704="ministral")),1,0)</f>
        <v/>
      </c>
      <c r="U704" s="73">
        <f>IF(LEFT(A704,3)="PAT","특허","보고서")</f>
        <v/>
      </c>
      <c r="V704" s="86">
        <f>COUNTIF($S$2:$S$976,"&lt;"&amp;S704)+(COUNTIF($S$2:$S$976,"="&amp;S704)+1)/2</f>
        <v/>
      </c>
      <c r="W704" s="73">
        <f>IF(C704="qwen",0,COUNTIFS($C$2:$C$976,"&lt;&gt;qwen",$S$2:$S$976,"&lt;"&amp;S704)+1)</f>
        <v/>
      </c>
      <c r="X704" s="73">
        <f>IF(C704="ministral",0,COUNTIFS($C$2:$C$976,"&lt;&gt;ministral",$S$2:$S$976,"&lt;"&amp;S704)+1)</f>
        <v/>
      </c>
      <c r="Y704" s="73">
        <f>IF(C704="gemma",0,COUNTIFS($C$2:$C$976,"&lt;&gt;gemma",$S$2:$S$976,"&lt;"&amp;S704)+1)</f>
        <v/>
      </c>
      <c r="Z704" s="87">
        <f>COUNTIFS($B$2:$B$976,B704,$C$2:$C$976,C704,$S$2:$S$976,"&lt;"&amp;S704)+1</f>
        <v/>
      </c>
      <c r="AA704" s="88">
        <f>ABS(S704-SUMPRODUCT(('05B_가정검정'!$A$5:$A$19=B704)*('05B_가정검정'!$B$5:$B$19=C704)*'05B_가정검정'!$E$5:$E$19))</f>
        <v/>
      </c>
      <c r="AB704" s="88">
        <f>S704-AVERAGEIFS($S$2:$S$976,$B$2:$B$976,B704,$C$2:$C$976,C704)</f>
        <v/>
      </c>
    </row>
    <row r="705" ht="15" customHeight="1" s="68">
      <c r="A705" s="83" t="inlineStr">
        <is>
          <t>RPT-16</t>
        </is>
      </c>
      <c r="B705" s="83" t="inlineStr">
        <is>
          <t>qwen3_6</t>
        </is>
      </c>
      <c r="C705" s="83" t="inlineStr">
        <is>
          <t>ministral</t>
        </is>
      </c>
      <c r="D705" s="84" t="n">
        <v>0.216352201257862</v>
      </c>
      <c r="E705" s="84" t="n">
        <v>0.28125</v>
      </c>
      <c r="F705" s="84" t="n">
        <v>0.118110236220472</v>
      </c>
      <c r="G705" s="84" t="n">
        <v>0.2265625</v>
      </c>
      <c r="H705" s="84" t="n">
        <v>0.26619996003038</v>
      </c>
      <c r="I705" s="84" t="n">
        <v>0.174165961032859</v>
      </c>
      <c r="J705" s="84" t="n">
        <v>0.7081187390139559</v>
      </c>
      <c r="K705" s="84" t="n">
        <v>0.673216197840421</v>
      </c>
      <c r="L705" s="84" t="n">
        <v>0.857099411286062</v>
      </c>
      <c r="M705" s="84" t="n">
        <v>0.331058020477816</v>
      </c>
      <c r="N705" s="84" t="n">
        <v>0.28030303030303</v>
      </c>
      <c r="O705" s="84" t="n">
        <v>0.526315789473684</v>
      </c>
      <c r="P705" s="85">
        <f>AVERAGE(D705:I705)</f>
        <v/>
      </c>
      <c r="Q705" s="85">
        <f>AVERAGE(J705:L705)</f>
        <v/>
      </c>
      <c r="R705" s="85">
        <f>AVERAGE(M705:O705)</f>
        <v/>
      </c>
      <c r="S705" s="85">
        <f>'02_지표정의'!$C$22*P705+'02_지표정의'!$C$23*Q705+'02_지표정의'!$C$24*R705</f>
        <v/>
      </c>
      <c r="T705" s="73">
        <f>IF(OR(AND(B705="gemini",C705="gemma"),AND(B705="qwen3_6",C705="qwen"),AND(B705="mistral",C705="ministral")),1,0)</f>
        <v/>
      </c>
      <c r="U705" s="73">
        <f>IF(LEFT(A705,3)="PAT","특허","보고서")</f>
        <v/>
      </c>
      <c r="V705" s="86">
        <f>COUNTIF($S$2:$S$976,"&lt;"&amp;S705)+(COUNTIF($S$2:$S$976,"="&amp;S705)+1)/2</f>
        <v/>
      </c>
      <c r="W705" s="73">
        <f>IF(C705="qwen",0,COUNTIFS($C$2:$C$976,"&lt;&gt;qwen",$S$2:$S$976,"&lt;"&amp;S705)+1)</f>
        <v/>
      </c>
      <c r="X705" s="73">
        <f>IF(C705="ministral",0,COUNTIFS($C$2:$C$976,"&lt;&gt;ministral",$S$2:$S$976,"&lt;"&amp;S705)+1)</f>
        <v/>
      </c>
      <c r="Y705" s="73">
        <f>IF(C705="gemma",0,COUNTIFS($C$2:$C$976,"&lt;&gt;gemma",$S$2:$S$976,"&lt;"&amp;S705)+1)</f>
        <v/>
      </c>
      <c r="Z705" s="87">
        <f>COUNTIFS($B$2:$B$976,B705,$C$2:$C$976,C705,$S$2:$S$976,"&lt;"&amp;S705)+1</f>
        <v/>
      </c>
      <c r="AA705" s="88">
        <f>ABS(S705-SUMPRODUCT(('05B_가정검정'!$A$5:$A$19=B705)*('05B_가정검정'!$B$5:$B$19=C705)*'05B_가정검정'!$E$5:$E$19))</f>
        <v/>
      </c>
      <c r="AB705" s="88">
        <f>S705-AVERAGEIFS($S$2:$S$976,$B$2:$B$976,B705,$C$2:$C$976,C705)</f>
        <v/>
      </c>
    </row>
    <row r="706" ht="15" customHeight="1" s="68">
      <c r="A706" s="83" t="inlineStr">
        <is>
          <t>RPT-16</t>
        </is>
      </c>
      <c r="B706" s="83" t="inlineStr">
        <is>
          <t>qwen3_6</t>
        </is>
      </c>
      <c r="C706" s="83" t="inlineStr">
        <is>
          <t>qwen</t>
        </is>
      </c>
      <c r="D706" s="84" t="n">
        <v>0.309327036599764</v>
      </c>
      <c r="E706" s="84" t="n">
        <v>0.49746192893401</v>
      </c>
      <c r="F706" s="84" t="n">
        <v>0.287179487179487</v>
      </c>
      <c r="G706" s="84" t="n">
        <v>0.375634517766498</v>
      </c>
      <c r="H706" s="84" t="n">
        <v>0.419704853820197</v>
      </c>
      <c r="I706" s="84" t="n">
        <v>0.48472686238664</v>
      </c>
      <c r="J706" s="84" t="n">
        <v>0.7432471105409461</v>
      </c>
      <c r="K706" s="84" t="n">
        <v>0.736305203052547</v>
      </c>
      <c r="L706" s="84" t="n">
        <v>0.891697040376161</v>
      </c>
      <c r="M706" s="84" t="n">
        <v>0.5739644970414201</v>
      </c>
      <c r="N706" s="84" t="n">
        <v>0.53921568627451</v>
      </c>
      <c r="O706" s="84" t="n">
        <v>1</v>
      </c>
      <c r="P706" s="85">
        <f>AVERAGE(D706:I706)</f>
        <v/>
      </c>
      <c r="Q706" s="85">
        <f>AVERAGE(J706:L706)</f>
        <v/>
      </c>
      <c r="R706" s="85">
        <f>AVERAGE(M706:O706)</f>
        <v/>
      </c>
      <c r="S706" s="85">
        <f>'02_지표정의'!$C$22*P706+'02_지표정의'!$C$23*Q706+'02_지표정의'!$C$24*R706</f>
        <v/>
      </c>
      <c r="T706" s="73">
        <f>IF(OR(AND(B706="gemini",C706="gemma"),AND(B706="qwen3_6",C706="qwen"),AND(B706="mistral",C706="ministral")),1,0)</f>
        <v/>
      </c>
      <c r="U706" s="73">
        <f>IF(LEFT(A706,3)="PAT","특허","보고서")</f>
        <v/>
      </c>
      <c r="V706" s="86">
        <f>COUNTIF($S$2:$S$976,"&lt;"&amp;S706)+(COUNTIF($S$2:$S$976,"="&amp;S706)+1)/2</f>
        <v/>
      </c>
      <c r="W706" s="73">
        <f>IF(C706="qwen",0,COUNTIFS($C$2:$C$976,"&lt;&gt;qwen",$S$2:$S$976,"&lt;"&amp;S706)+1)</f>
        <v/>
      </c>
      <c r="X706" s="73">
        <f>IF(C706="ministral",0,COUNTIFS($C$2:$C$976,"&lt;&gt;ministral",$S$2:$S$976,"&lt;"&amp;S706)+1)</f>
        <v/>
      </c>
      <c r="Y706" s="73">
        <f>IF(C706="gemma",0,COUNTIFS($C$2:$C$976,"&lt;&gt;gemma",$S$2:$S$976,"&lt;"&amp;S706)+1)</f>
        <v/>
      </c>
      <c r="Z706" s="87">
        <f>COUNTIFS($B$2:$B$976,B706,$C$2:$C$976,C706,$S$2:$S$976,"&lt;"&amp;S706)+1</f>
        <v/>
      </c>
      <c r="AA706" s="88">
        <f>ABS(S706-SUMPRODUCT(('05B_가정검정'!$A$5:$A$19=B706)*('05B_가정검정'!$B$5:$B$19=C706)*'05B_가정검정'!$E$5:$E$19))</f>
        <v/>
      </c>
      <c r="AB706" s="88">
        <f>S706-AVERAGEIFS($S$2:$S$976,$B$2:$B$976,B706,$C$2:$C$976,C706)</f>
        <v/>
      </c>
    </row>
    <row r="707" ht="15" customHeight="1" s="68">
      <c r="A707" s="83" t="inlineStr">
        <is>
          <t>RPT-17</t>
        </is>
      </c>
      <c r="B707" s="83" t="inlineStr">
        <is>
          <t>chatgpt</t>
        </is>
      </c>
      <c r="C707" s="83" t="inlineStr">
        <is>
          <t>gemma</t>
        </is>
      </c>
      <c r="D707" s="84" t="n">
        <v>0.251256281407035</v>
      </c>
      <c r="E707" s="84" t="n">
        <v>0.34375</v>
      </c>
      <c r="F707" s="84" t="n">
        <v>0.105263157894737</v>
      </c>
      <c r="G707" s="84" t="n">
        <v>0.270833333333333</v>
      </c>
      <c r="H707" s="84" t="n">
        <v>0.238508984442752</v>
      </c>
      <c r="I707" s="84" t="n">
        <v>0.202349794714506</v>
      </c>
      <c r="J707" s="84" t="n">
        <v>0.724591508396644</v>
      </c>
      <c r="K707" s="84" t="n">
        <v>0.61329024913634</v>
      </c>
      <c r="L707" s="84" t="n">
        <v>0.805745002214705</v>
      </c>
      <c r="M707" s="84" t="n">
        <v>0.515151515151515</v>
      </c>
      <c r="N707" s="84" t="n">
        <v>0.213483146067416</v>
      </c>
      <c r="O707" s="84" t="n">
        <v>1</v>
      </c>
      <c r="P707" s="85">
        <f>AVERAGE(D707:I707)</f>
        <v/>
      </c>
      <c r="Q707" s="85">
        <f>AVERAGE(J707:L707)</f>
        <v/>
      </c>
      <c r="R707" s="85">
        <f>AVERAGE(M707:O707)</f>
        <v/>
      </c>
      <c r="S707" s="85">
        <f>'02_지표정의'!$C$22*P707+'02_지표정의'!$C$23*Q707+'02_지표정의'!$C$24*R707</f>
        <v/>
      </c>
      <c r="T707" s="73">
        <f>IF(OR(AND(B707="gemini",C707="gemma"),AND(B707="qwen3_6",C707="qwen"),AND(B707="mistral",C707="ministral")),1,0)</f>
        <v/>
      </c>
      <c r="U707" s="73">
        <f>IF(LEFT(A707,3)="PAT","특허","보고서")</f>
        <v/>
      </c>
      <c r="V707" s="86">
        <f>COUNTIF($S$2:$S$976,"&lt;"&amp;S707)+(COUNTIF($S$2:$S$976,"="&amp;S707)+1)/2</f>
        <v/>
      </c>
      <c r="W707" s="73">
        <f>IF(C707="qwen",0,COUNTIFS($C$2:$C$976,"&lt;&gt;qwen",$S$2:$S$976,"&lt;"&amp;S707)+1)</f>
        <v/>
      </c>
      <c r="X707" s="73">
        <f>IF(C707="ministral",0,COUNTIFS($C$2:$C$976,"&lt;&gt;ministral",$S$2:$S$976,"&lt;"&amp;S707)+1)</f>
        <v/>
      </c>
      <c r="Y707" s="73">
        <f>IF(C707="gemma",0,COUNTIFS($C$2:$C$976,"&lt;&gt;gemma",$S$2:$S$976,"&lt;"&amp;S707)+1)</f>
        <v/>
      </c>
      <c r="Z707" s="87">
        <f>COUNTIFS($B$2:$B$976,B707,$C$2:$C$976,C707,$S$2:$S$976,"&lt;"&amp;S707)+1</f>
        <v/>
      </c>
      <c r="AA707" s="88">
        <f>ABS(S707-SUMPRODUCT(('05B_가정검정'!$A$5:$A$19=B707)*('05B_가정검정'!$B$5:$B$19=C707)*'05B_가정검정'!$E$5:$E$19))</f>
        <v/>
      </c>
      <c r="AB707" s="88">
        <f>S707-AVERAGEIFS($S$2:$S$976,$B$2:$B$976,B707,$C$2:$C$976,C707)</f>
        <v/>
      </c>
    </row>
    <row r="708" ht="15" customHeight="1" s="68">
      <c r="A708" s="83" t="inlineStr">
        <is>
          <t>RPT-17</t>
        </is>
      </c>
      <c r="B708" s="83" t="inlineStr">
        <is>
          <t>chatgpt</t>
        </is>
      </c>
      <c r="C708" s="83" t="inlineStr">
        <is>
          <t>ministral</t>
        </is>
      </c>
      <c r="D708" s="84" t="n">
        <v>0.275590551181102</v>
      </c>
      <c r="E708" s="84" t="n">
        <v>0.261437908496732</v>
      </c>
      <c r="F708" s="84" t="n">
        <v>0.105263157894737</v>
      </c>
      <c r="G708" s="84" t="n">
        <v>0.209150326797386</v>
      </c>
      <c r="H708" s="84" t="n">
        <v>0.149712567150419</v>
      </c>
      <c r="I708" s="84" t="n">
        <v>0.253258440298273</v>
      </c>
      <c r="J708" s="84" t="n">
        <v>0.70626954313101</v>
      </c>
      <c r="K708" s="84" t="n">
        <v>0.695970298257957</v>
      </c>
      <c r="L708" s="84" t="n">
        <v>0.840667476393708</v>
      </c>
      <c r="M708" s="84" t="n">
        <v>0.476702508960573</v>
      </c>
      <c r="N708" s="84" t="n">
        <v>0.0155038759689923</v>
      </c>
      <c r="O708" s="84" t="n">
        <v>1</v>
      </c>
      <c r="P708" s="85">
        <f>AVERAGE(D708:I708)</f>
        <v/>
      </c>
      <c r="Q708" s="85">
        <f>AVERAGE(J708:L708)</f>
        <v/>
      </c>
      <c r="R708" s="85">
        <f>AVERAGE(M708:O708)</f>
        <v/>
      </c>
      <c r="S708" s="85">
        <f>'02_지표정의'!$C$22*P708+'02_지표정의'!$C$23*Q708+'02_지표정의'!$C$24*R708</f>
        <v/>
      </c>
      <c r="T708" s="73">
        <f>IF(OR(AND(B708="gemini",C708="gemma"),AND(B708="qwen3_6",C708="qwen"),AND(B708="mistral",C708="ministral")),1,0)</f>
        <v/>
      </c>
      <c r="U708" s="73">
        <f>IF(LEFT(A708,3)="PAT","특허","보고서")</f>
        <v/>
      </c>
      <c r="V708" s="86">
        <f>COUNTIF($S$2:$S$976,"&lt;"&amp;S708)+(COUNTIF($S$2:$S$976,"="&amp;S708)+1)/2</f>
        <v/>
      </c>
      <c r="W708" s="73">
        <f>IF(C708="qwen",0,COUNTIFS($C$2:$C$976,"&lt;&gt;qwen",$S$2:$S$976,"&lt;"&amp;S708)+1)</f>
        <v/>
      </c>
      <c r="X708" s="73">
        <f>IF(C708="ministral",0,COUNTIFS($C$2:$C$976,"&lt;&gt;ministral",$S$2:$S$976,"&lt;"&amp;S708)+1)</f>
        <v/>
      </c>
      <c r="Y708" s="73">
        <f>IF(C708="gemma",0,COUNTIFS($C$2:$C$976,"&lt;&gt;gemma",$S$2:$S$976,"&lt;"&amp;S708)+1)</f>
        <v/>
      </c>
      <c r="Z708" s="87">
        <f>COUNTIFS($B$2:$B$976,B708,$C$2:$C$976,C708,$S$2:$S$976,"&lt;"&amp;S708)+1</f>
        <v/>
      </c>
      <c r="AA708" s="88">
        <f>ABS(S708-SUMPRODUCT(('05B_가정검정'!$A$5:$A$19=B708)*('05B_가정검정'!$B$5:$B$19=C708)*'05B_가정검정'!$E$5:$E$19))</f>
        <v/>
      </c>
      <c r="AB708" s="88">
        <f>S708-AVERAGEIFS($S$2:$S$976,$B$2:$B$976,B708,$C$2:$C$976,C708)</f>
        <v/>
      </c>
    </row>
    <row r="709" ht="15" customHeight="1" s="68">
      <c r="A709" s="83" t="inlineStr">
        <is>
          <t>RPT-17</t>
        </is>
      </c>
      <c r="B709" s="83" t="inlineStr">
        <is>
          <t>chatgpt</t>
        </is>
      </c>
      <c r="C709" s="83" t="inlineStr">
        <is>
          <t>qwen</t>
        </is>
      </c>
      <c r="D709" s="84" t="n">
        <v>0.295698924731183</v>
      </c>
      <c r="E709" s="84" t="n">
        <v>0.316151202749141</v>
      </c>
      <c r="F709" s="84" t="n">
        <v>0.13840830449827</v>
      </c>
      <c r="G709" s="84" t="n">
        <v>0.247422680412371</v>
      </c>
      <c r="H709" s="84" t="n">
        <v>0.227756103174254</v>
      </c>
      <c r="I709" s="84" t="n">
        <v>0.270536800474286</v>
      </c>
      <c r="J709" s="84" t="n">
        <v>0.724052390036003</v>
      </c>
      <c r="K709" s="84" t="n">
        <v>0.643266866297076</v>
      </c>
      <c r="L709" s="84" t="n">
        <v>0.8138573306335281</v>
      </c>
      <c r="M709" s="84" t="n">
        <v>0.384615384615385</v>
      </c>
      <c r="N709" s="84" t="n">
        <v>0</v>
      </c>
      <c r="O709" s="84" t="n">
        <v>1</v>
      </c>
      <c r="P709" s="85">
        <f>AVERAGE(D709:I709)</f>
        <v/>
      </c>
      <c r="Q709" s="85">
        <f>AVERAGE(J709:L709)</f>
        <v/>
      </c>
      <c r="R709" s="85">
        <f>AVERAGE(M709:O709)</f>
        <v/>
      </c>
      <c r="S709" s="85">
        <f>'02_지표정의'!$C$22*P709+'02_지표정의'!$C$23*Q709+'02_지표정의'!$C$24*R709</f>
        <v/>
      </c>
      <c r="T709" s="73">
        <f>IF(OR(AND(B709="gemini",C709="gemma"),AND(B709="qwen3_6",C709="qwen"),AND(B709="mistral",C709="ministral")),1,0)</f>
        <v/>
      </c>
      <c r="U709" s="73">
        <f>IF(LEFT(A709,3)="PAT","특허","보고서")</f>
        <v/>
      </c>
      <c r="V709" s="86">
        <f>COUNTIF($S$2:$S$976,"&lt;"&amp;S709)+(COUNTIF($S$2:$S$976,"="&amp;S709)+1)/2</f>
        <v/>
      </c>
      <c r="W709" s="73">
        <f>IF(C709="qwen",0,COUNTIFS($C$2:$C$976,"&lt;&gt;qwen",$S$2:$S$976,"&lt;"&amp;S709)+1)</f>
        <v/>
      </c>
      <c r="X709" s="73">
        <f>IF(C709="ministral",0,COUNTIFS($C$2:$C$976,"&lt;&gt;ministral",$S$2:$S$976,"&lt;"&amp;S709)+1)</f>
        <v/>
      </c>
      <c r="Y709" s="73">
        <f>IF(C709="gemma",0,COUNTIFS($C$2:$C$976,"&lt;&gt;gemma",$S$2:$S$976,"&lt;"&amp;S709)+1)</f>
        <v/>
      </c>
      <c r="Z709" s="87">
        <f>COUNTIFS($B$2:$B$976,B709,$C$2:$C$976,C709,$S$2:$S$976,"&lt;"&amp;S709)+1</f>
        <v/>
      </c>
      <c r="AA709" s="88">
        <f>ABS(S709-SUMPRODUCT(('05B_가정검정'!$A$5:$A$19=B709)*('05B_가정검정'!$B$5:$B$19=C709)*'05B_가정검정'!$E$5:$E$19))</f>
        <v/>
      </c>
      <c r="AB709" s="88">
        <f>S709-AVERAGEIFS($S$2:$S$976,$B$2:$B$976,B709,$C$2:$C$976,C709)</f>
        <v/>
      </c>
    </row>
    <row r="710" ht="15" customHeight="1" s="68">
      <c r="A710" s="83" t="inlineStr">
        <is>
          <t>RPT-17</t>
        </is>
      </c>
      <c r="B710" s="83" t="inlineStr">
        <is>
          <t>claude</t>
        </is>
      </c>
      <c r="C710" s="83" t="inlineStr">
        <is>
          <t>gemma</t>
        </is>
      </c>
      <c r="D710" s="84" t="n">
        <v>0.239786856127886</v>
      </c>
      <c r="E710" s="84" t="n">
        <v>0.268656716417911</v>
      </c>
      <c r="F710" s="84" t="n">
        <v>0.075187969924812</v>
      </c>
      <c r="G710" s="84" t="n">
        <v>0.194029850746269</v>
      </c>
      <c r="H710" s="84" t="n">
        <v>0.322428731418727</v>
      </c>
      <c r="I710" s="84" t="n">
        <v>0.173670130315361</v>
      </c>
      <c r="J710" s="84" t="n">
        <v>0.687280411839544</v>
      </c>
      <c r="K710" s="84" t="n">
        <v>0.702812066219266</v>
      </c>
      <c r="L710" s="84" t="n">
        <v>0.861013300258475</v>
      </c>
      <c r="M710" s="84" t="n">
        <v>0.645833333333333</v>
      </c>
      <c r="N710" s="84" t="n">
        <v>0.583333333333333</v>
      </c>
      <c r="O710" s="84" t="n">
        <v>1</v>
      </c>
      <c r="P710" s="85">
        <f>AVERAGE(D710:I710)</f>
        <v/>
      </c>
      <c r="Q710" s="85">
        <f>AVERAGE(J710:L710)</f>
        <v/>
      </c>
      <c r="R710" s="85">
        <f>AVERAGE(M710:O710)</f>
        <v/>
      </c>
      <c r="S710" s="85">
        <f>'02_지표정의'!$C$22*P710+'02_지표정의'!$C$23*Q710+'02_지표정의'!$C$24*R710</f>
        <v/>
      </c>
      <c r="T710" s="73">
        <f>IF(OR(AND(B710="gemini",C710="gemma"),AND(B710="qwen3_6",C710="qwen"),AND(B710="mistral",C710="ministral")),1,0)</f>
        <v/>
      </c>
      <c r="U710" s="73">
        <f>IF(LEFT(A710,3)="PAT","특허","보고서")</f>
        <v/>
      </c>
      <c r="V710" s="86">
        <f>COUNTIF($S$2:$S$976,"&lt;"&amp;S710)+(COUNTIF($S$2:$S$976,"="&amp;S710)+1)/2</f>
        <v/>
      </c>
      <c r="W710" s="73">
        <f>IF(C710="qwen",0,COUNTIFS($C$2:$C$976,"&lt;&gt;qwen",$S$2:$S$976,"&lt;"&amp;S710)+1)</f>
        <v/>
      </c>
      <c r="X710" s="73">
        <f>IF(C710="ministral",0,COUNTIFS($C$2:$C$976,"&lt;&gt;ministral",$S$2:$S$976,"&lt;"&amp;S710)+1)</f>
        <v/>
      </c>
      <c r="Y710" s="73">
        <f>IF(C710="gemma",0,COUNTIFS($C$2:$C$976,"&lt;&gt;gemma",$S$2:$S$976,"&lt;"&amp;S710)+1)</f>
        <v/>
      </c>
      <c r="Z710" s="87">
        <f>COUNTIFS($B$2:$B$976,B710,$C$2:$C$976,C710,$S$2:$S$976,"&lt;"&amp;S710)+1</f>
        <v/>
      </c>
      <c r="AA710" s="88">
        <f>ABS(S710-SUMPRODUCT(('05B_가정검정'!$A$5:$A$19=B710)*('05B_가정검정'!$B$5:$B$19=C710)*'05B_가정검정'!$E$5:$E$19))</f>
        <v/>
      </c>
      <c r="AB710" s="88">
        <f>S710-AVERAGEIFS($S$2:$S$976,$B$2:$B$976,B710,$C$2:$C$976,C710)</f>
        <v/>
      </c>
    </row>
    <row r="711" ht="15" customHeight="1" s="68">
      <c r="A711" s="83" t="inlineStr">
        <is>
          <t>RPT-17</t>
        </is>
      </c>
      <c r="B711" s="83" t="inlineStr">
        <is>
          <t>claude</t>
        </is>
      </c>
      <c r="C711" s="83" t="inlineStr">
        <is>
          <t>ministral</t>
        </is>
      </c>
      <c r="D711" s="84" t="n">
        <v>0.278388278388278</v>
      </c>
      <c r="E711" s="84" t="n">
        <v>0.267015706806283</v>
      </c>
      <c r="F711" s="84" t="n">
        <v>0.0842105263157895</v>
      </c>
      <c r="G711" s="84" t="n">
        <v>0.225130890052356</v>
      </c>
      <c r="H711" s="84" t="n">
        <v>0.247855288591631</v>
      </c>
      <c r="I711" s="84" t="n">
        <v>0.232893021906664</v>
      </c>
      <c r="J711" s="84" t="n">
        <v>0.715684164236277</v>
      </c>
      <c r="K711" s="84" t="n">
        <v>0.687009239435978</v>
      </c>
      <c r="L711" s="84" t="n">
        <v>0.814595207119895</v>
      </c>
      <c r="M711" s="84" t="n">
        <v>0.494623655913979</v>
      </c>
      <c r="N711" s="84" t="n">
        <v>0.604651162790698</v>
      </c>
      <c r="O711" s="84" t="n">
        <v>1</v>
      </c>
      <c r="P711" s="85">
        <f>AVERAGE(D711:I711)</f>
        <v/>
      </c>
      <c r="Q711" s="85">
        <f>AVERAGE(J711:L711)</f>
        <v/>
      </c>
      <c r="R711" s="85">
        <f>AVERAGE(M711:O711)</f>
        <v/>
      </c>
      <c r="S711" s="85">
        <f>'02_지표정의'!$C$22*P711+'02_지표정의'!$C$23*Q711+'02_지표정의'!$C$24*R711</f>
        <v/>
      </c>
      <c r="T711" s="73">
        <f>IF(OR(AND(B711="gemini",C711="gemma"),AND(B711="qwen3_6",C711="qwen"),AND(B711="mistral",C711="ministral")),1,0)</f>
        <v/>
      </c>
      <c r="U711" s="73">
        <f>IF(LEFT(A711,3)="PAT","특허","보고서")</f>
        <v/>
      </c>
      <c r="V711" s="86">
        <f>COUNTIF($S$2:$S$976,"&lt;"&amp;S711)+(COUNTIF($S$2:$S$976,"="&amp;S711)+1)/2</f>
        <v/>
      </c>
      <c r="W711" s="73">
        <f>IF(C711="qwen",0,COUNTIFS($C$2:$C$976,"&lt;&gt;qwen",$S$2:$S$976,"&lt;"&amp;S711)+1)</f>
        <v/>
      </c>
      <c r="X711" s="73">
        <f>IF(C711="ministral",0,COUNTIFS($C$2:$C$976,"&lt;&gt;ministral",$S$2:$S$976,"&lt;"&amp;S711)+1)</f>
        <v/>
      </c>
      <c r="Y711" s="73">
        <f>IF(C711="gemma",0,COUNTIFS($C$2:$C$976,"&lt;&gt;gemma",$S$2:$S$976,"&lt;"&amp;S711)+1)</f>
        <v/>
      </c>
      <c r="Z711" s="87">
        <f>COUNTIFS($B$2:$B$976,B711,$C$2:$C$976,C711,$S$2:$S$976,"&lt;"&amp;S711)+1</f>
        <v/>
      </c>
      <c r="AA711" s="88">
        <f>ABS(S711-SUMPRODUCT(('05B_가정검정'!$A$5:$A$19=B711)*('05B_가정검정'!$B$5:$B$19=C711)*'05B_가정검정'!$E$5:$E$19))</f>
        <v/>
      </c>
      <c r="AB711" s="88">
        <f>S711-AVERAGEIFS($S$2:$S$976,$B$2:$B$976,B711,$C$2:$C$976,C711)</f>
        <v/>
      </c>
    </row>
    <row r="712" ht="15" customHeight="1" s="68">
      <c r="A712" s="83" t="inlineStr">
        <is>
          <t>RPT-17</t>
        </is>
      </c>
      <c r="B712" s="83" t="inlineStr">
        <is>
          <t>claude</t>
        </is>
      </c>
      <c r="C712" s="83" t="inlineStr">
        <is>
          <t>qwen</t>
        </is>
      </c>
      <c r="D712" s="84" t="n">
        <v>0.262569832402235</v>
      </c>
      <c r="E712" s="84" t="n">
        <v>0.343324250681199</v>
      </c>
      <c r="F712" s="84" t="n">
        <v>0.115068493150685</v>
      </c>
      <c r="G712" s="84" t="n">
        <v>0.23433242506812</v>
      </c>
      <c r="H712" s="84" t="n">
        <v>0.339253161139811</v>
      </c>
      <c r="I712" s="84" t="n">
        <v>0.17142545941904</v>
      </c>
      <c r="J712" s="84" t="n">
        <v>0.706008456460697</v>
      </c>
      <c r="K712" s="84" t="n">
        <v>0.599601677052397</v>
      </c>
      <c r="L712" s="84" t="n">
        <v>0.80607996195486</v>
      </c>
      <c r="M712" s="84" t="n">
        <v>0.710059171597633</v>
      </c>
      <c r="N712" s="84" t="n">
        <v>0.647058823529412</v>
      </c>
      <c r="O712" s="84" t="n">
        <v>1</v>
      </c>
      <c r="P712" s="85">
        <f>AVERAGE(D712:I712)</f>
        <v/>
      </c>
      <c r="Q712" s="85">
        <f>AVERAGE(J712:L712)</f>
        <v/>
      </c>
      <c r="R712" s="85">
        <f>AVERAGE(M712:O712)</f>
        <v/>
      </c>
      <c r="S712" s="85">
        <f>'02_지표정의'!$C$22*P712+'02_지표정의'!$C$23*Q712+'02_지표정의'!$C$24*R712</f>
        <v/>
      </c>
      <c r="T712" s="73">
        <f>IF(OR(AND(B712="gemini",C712="gemma"),AND(B712="qwen3_6",C712="qwen"),AND(B712="mistral",C712="ministral")),1,0)</f>
        <v/>
      </c>
      <c r="U712" s="73">
        <f>IF(LEFT(A712,3)="PAT","특허","보고서")</f>
        <v/>
      </c>
      <c r="V712" s="86">
        <f>COUNTIF($S$2:$S$976,"&lt;"&amp;S712)+(COUNTIF($S$2:$S$976,"="&amp;S712)+1)/2</f>
        <v/>
      </c>
      <c r="W712" s="73">
        <f>IF(C712="qwen",0,COUNTIFS($C$2:$C$976,"&lt;&gt;qwen",$S$2:$S$976,"&lt;"&amp;S712)+1)</f>
        <v/>
      </c>
      <c r="X712" s="73">
        <f>IF(C712="ministral",0,COUNTIFS($C$2:$C$976,"&lt;&gt;ministral",$S$2:$S$976,"&lt;"&amp;S712)+1)</f>
        <v/>
      </c>
      <c r="Y712" s="73">
        <f>IF(C712="gemma",0,COUNTIFS($C$2:$C$976,"&lt;&gt;gemma",$S$2:$S$976,"&lt;"&amp;S712)+1)</f>
        <v/>
      </c>
      <c r="Z712" s="87">
        <f>COUNTIFS($B$2:$B$976,B712,$C$2:$C$976,C712,$S$2:$S$976,"&lt;"&amp;S712)+1</f>
        <v/>
      </c>
      <c r="AA712" s="88">
        <f>ABS(S712-SUMPRODUCT(('05B_가정검정'!$A$5:$A$19=B712)*('05B_가정검정'!$B$5:$B$19=C712)*'05B_가정검정'!$E$5:$E$19))</f>
        <v/>
      </c>
      <c r="AB712" s="88">
        <f>S712-AVERAGEIFS($S$2:$S$976,$B$2:$B$976,B712,$C$2:$C$976,C712)</f>
        <v/>
      </c>
    </row>
    <row r="713" ht="15" customHeight="1" s="68">
      <c r="A713" s="83" t="inlineStr">
        <is>
          <t>RPT-17</t>
        </is>
      </c>
      <c r="B713" s="83" t="inlineStr">
        <is>
          <t>gemini</t>
        </is>
      </c>
      <c r="C713" s="83" t="inlineStr">
        <is>
          <t>gemma</t>
        </is>
      </c>
      <c r="D713" s="84" t="n">
        <v>0.258959537572254</v>
      </c>
      <c r="E713" s="84" t="n">
        <v>0.356435643564357</v>
      </c>
      <c r="F713" s="84" t="n">
        <v>0.14</v>
      </c>
      <c r="G713" s="84" t="n">
        <v>0.257425742574257</v>
      </c>
      <c r="H713" s="84" t="n">
        <v>0.296796455941707</v>
      </c>
      <c r="I713" s="84" t="n">
        <v>0.179701504552536</v>
      </c>
      <c r="J713" s="84" t="n">
        <v>0.7508754545776271</v>
      </c>
      <c r="K713" s="84" t="n">
        <v>0.808978243591267</v>
      </c>
      <c r="L713" s="84" t="n">
        <v>0.908783571519548</v>
      </c>
      <c r="M713" s="84" t="n">
        <v>0.906542056074766</v>
      </c>
      <c r="N713" s="84" t="n">
        <v>0.916666666666667</v>
      </c>
      <c r="O713" s="84" t="n">
        <v>1</v>
      </c>
      <c r="P713" s="85">
        <f>AVERAGE(D713:I713)</f>
        <v/>
      </c>
      <c r="Q713" s="85">
        <f>AVERAGE(J713:L713)</f>
        <v/>
      </c>
      <c r="R713" s="85">
        <f>AVERAGE(M713:O713)</f>
        <v/>
      </c>
      <c r="S713" s="85">
        <f>'02_지표정의'!$C$22*P713+'02_지표정의'!$C$23*Q713+'02_지표정의'!$C$24*R713</f>
        <v/>
      </c>
      <c r="T713" s="73">
        <f>IF(OR(AND(B713="gemini",C713="gemma"),AND(B713="qwen3_6",C713="qwen"),AND(B713="mistral",C713="ministral")),1,0)</f>
        <v/>
      </c>
      <c r="U713" s="73">
        <f>IF(LEFT(A713,3)="PAT","특허","보고서")</f>
        <v/>
      </c>
      <c r="V713" s="86">
        <f>COUNTIF($S$2:$S$976,"&lt;"&amp;S713)+(COUNTIF($S$2:$S$976,"="&amp;S713)+1)/2</f>
        <v/>
      </c>
      <c r="W713" s="73">
        <f>IF(C713="qwen",0,COUNTIFS($C$2:$C$976,"&lt;&gt;qwen",$S$2:$S$976,"&lt;"&amp;S713)+1)</f>
        <v/>
      </c>
      <c r="X713" s="73">
        <f>IF(C713="ministral",0,COUNTIFS($C$2:$C$976,"&lt;&gt;ministral",$S$2:$S$976,"&lt;"&amp;S713)+1)</f>
        <v/>
      </c>
      <c r="Y713" s="73">
        <f>IF(C713="gemma",0,COUNTIFS($C$2:$C$976,"&lt;&gt;gemma",$S$2:$S$976,"&lt;"&amp;S713)+1)</f>
        <v/>
      </c>
      <c r="Z713" s="87">
        <f>COUNTIFS($B$2:$B$976,B713,$C$2:$C$976,C713,$S$2:$S$976,"&lt;"&amp;S713)+1</f>
        <v/>
      </c>
      <c r="AA713" s="88">
        <f>ABS(S713-SUMPRODUCT(('05B_가정검정'!$A$5:$A$19=B713)*('05B_가정검정'!$B$5:$B$19=C713)*'05B_가정검정'!$E$5:$E$19))</f>
        <v/>
      </c>
      <c r="AB713" s="88">
        <f>S713-AVERAGEIFS($S$2:$S$976,$B$2:$B$976,B713,$C$2:$C$976,C713)</f>
        <v/>
      </c>
    </row>
    <row r="714" ht="15" customHeight="1" s="68">
      <c r="A714" s="83" t="inlineStr">
        <is>
          <t>RPT-17</t>
        </is>
      </c>
      <c r="B714" s="83" t="inlineStr">
        <is>
          <t>gemini</t>
        </is>
      </c>
      <c r="C714" s="83" t="inlineStr">
        <is>
          <t>ministral</t>
        </is>
      </c>
      <c r="D714" s="84" t="n">
        <v>0.262334536702768</v>
      </c>
      <c r="E714" s="84" t="n">
        <v>0.246835443037975</v>
      </c>
      <c r="F714" s="84" t="n">
        <v>0.0764331210191083</v>
      </c>
      <c r="G714" s="84" t="n">
        <v>0.170886075949367</v>
      </c>
      <c r="H714" s="84" t="n">
        <v>0.184027946325566</v>
      </c>
      <c r="I714" s="84" t="n">
        <v>0.256335240710955</v>
      </c>
      <c r="J714" s="84" t="n">
        <v>0.745394904906616</v>
      </c>
      <c r="K714" s="84" t="n">
        <v>0.801706875445627</v>
      </c>
      <c r="L714" s="84" t="n">
        <v>0.909507905489832</v>
      </c>
      <c r="M714" s="84" t="n">
        <v>0.347670250896057</v>
      </c>
      <c r="N714" s="84" t="n">
        <v>0.426356589147287</v>
      </c>
      <c r="O714" s="84" t="n">
        <v>1</v>
      </c>
      <c r="P714" s="85">
        <f>AVERAGE(D714:I714)</f>
        <v/>
      </c>
      <c r="Q714" s="85">
        <f>AVERAGE(J714:L714)</f>
        <v/>
      </c>
      <c r="R714" s="85">
        <f>AVERAGE(M714:O714)</f>
        <v/>
      </c>
      <c r="S714" s="85">
        <f>'02_지표정의'!$C$22*P714+'02_지표정의'!$C$23*Q714+'02_지표정의'!$C$24*R714</f>
        <v/>
      </c>
      <c r="T714" s="73">
        <f>IF(OR(AND(B714="gemini",C714="gemma"),AND(B714="qwen3_6",C714="qwen"),AND(B714="mistral",C714="ministral")),1,0)</f>
        <v/>
      </c>
      <c r="U714" s="73">
        <f>IF(LEFT(A714,3)="PAT","특허","보고서")</f>
        <v/>
      </c>
      <c r="V714" s="86">
        <f>COUNTIF($S$2:$S$976,"&lt;"&amp;S714)+(COUNTIF($S$2:$S$976,"="&amp;S714)+1)/2</f>
        <v/>
      </c>
      <c r="W714" s="73">
        <f>IF(C714="qwen",0,COUNTIFS($C$2:$C$976,"&lt;&gt;qwen",$S$2:$S$976,"&lt;"&amp;S714)+1)</f>
        <v/>
      </c>
      <c r="X714" s="73">
        <f>IF(C714="ministral",0,COUNTIFS($C$2:$C$976,"&lt;&gt;ministral",$S$2:$S$976,"&lt;"&amp;S714)+1)</f>
        <v/>
      </c>
      <c r="Y714" s="73">
        <f>IF(C714="gemma",0,COUNTIFS($C$2:$C$976,"&lt;&gt;gemma",$S$2:$S$976,"&lt;"&amp;S714)+1)</f>
        <v/>
      </c>
      <c r="Z714" s="87">
        <f>COUNTIFS($B$2:$B$976,B714,$C$2:$C$976,C714,$S$2:$S$976,"&lt;"&amp;S714)+1</f>
        <v/>
      </c>
      <c r="AA714" s="88">
        <f>ABS(S714-SUMPRODUCT(('05B_가정검정'!$A$5:$A$19=B714)*('05B_가정검정'!$B$5:$B$19=C714)*'05B_가정검정'!$E$5:$E$19))</f>
        <v/>
      </c>
      <c r="AB714" s="88">
        <f>S714-AVERAGEIFS($S$2:$S$976,$B$2:$B$976,B714,$C$2:$C$976,C714)</f>
        <v/>
      </c>
    </row>
    <row r="715" ht="15" customHeight="1" s="68">
      <c r="A715" s="83" t="inlineStr">
        <is>
          <t>RPT-17</t>
        </is>
      </c>
      <c r="B715" s="83" t="inlineStr">
        <is>
          <t>gemini</t>
        </is>
      </c>
      <c r="C715" s="83" t="inlineStr">
        <is>
          <t>qwen</t>
        </is>
      </c>
      <c r="D715" s="84" t="n">
        <v>0.292742927429274</v>
      </c>
      <c r="E715" s="84" t="n">
        <v>0.372093023255814</v>
      </c>
      <c r="F715" s="84" t="n">
        <v>0.140468227424749</v>
      </c>
      <c r="G715" s="84" t="n">
        <v>0.212624584717608</v>
      </c>
      <c r="H715" s="84" t="n">
        <v>0.272903375133044</v>
      </c>
      <c r="I715" s="84" t="n">
        <v>0.271881849293263</v>
      </c>
      <c r="J715" s="84" t="n">
        <v>0.76165727963583</v>
      </c>
      <c r="K715" s="84" t="n">
        <v>0.736463042266391</v>
      </c>
      <c r="L715" s="84" t="n">
        <v>0.875584176147149</v>
      </c>
      <c r="M715" s="84" t="n">
        <v>0.5739644970414201</v>
      </c>
      <c r="N715" s="84" t="n">
        <v>0.53921568627451</v>
      </c>
      <c r="O715" s="84" t="n">
        <v>1</v>
      </c>
      <c r="P715" s="85">
        <f>AVERAGE(D715:I715)</f>
        <v/>
      </c>
      <c r="Q715" s="85">
        <f>AVERAGE(J715:L715)</f>
        <v/>
      </c>
      <c r="R715" s="85">
        <f>AVERAGE(M715:O715)</f>
        <v/>
      </c>
      <c r="S715" s="85">
        <f>'02_지표정의'!$C$22*P715+'02_지표정의'!$C$23*Q715+'02_지표정의'!$C$24*R715</f>
        <v/>
      </c>
      <c r="T715" s="73">
        <f>IF(OR(AND(B715="gemini",C715="gemma"),AND(B715="qwen3_6",C715="qwen"),AND(B715="mistral",C715="ministral")),1,0)</f>
        <v/>
      </c>
      <c r="U715" s="73">
        <f>IF(LEFT(A715,3)="PAT","특허","보고서")</f>
        <v/>
      </c>
      <c r="V715" s="86">
        <f>COUNTIF($S$2:$S$976,"&lt;"&amp;S715)+(COUNTIF($S$2:$S$976,"="&amp;S715)+1)/2</f>
        <v/>
      </c>
      <c r="W715" s="73">
        <f>IF(C715="qwen",0,COUNTIFS($C$2:$C$976,"&lt;&gt;qwen",$S$2:$S$976,"&lt;"&amp;S715)+1)</f>
        <v/>
      </c>
      <c r="X715" s="73">
        <f>IF(C715="ministral",0,COUNTIFS($C$2:$C$976,"&lt;&gt;ministral",$S$2:$S$976,"&lt;"&amp;S715)+1)</f>
        <v/>
      </c>
      <c r="Y715" s="73">
        <f>IF(C715="gemma",0,COUNTIFS($C$2:$C$976,"&lt;&gt;gemma",$S$2:$S$976,"&lt;"&amp;S715)+1)</f>
        <v/>
      </c>
      <c r="Z715" s="87">
        <f>COUNTIFS($B$2:$B$976,B715,$C$2:$C$976,C715,$S$2:$S$976,"&lt;"&amp;S715)+1</f>
        <v/>
      </c>
      <c r="AA715" s="88">
        <f>ABS(S715-SUMPRODUCT(('05B_가정검정'!$A$5:$A$19=B715)*('05B_가정검정'!$B$5:$B$19=C715)*'05B_가정검정'!$E$5:$E$19))</f>
        <v/>
      </c>
      <c r="AB715" s="88">
        <f>S715-AVERAGEIFS($S$2:$S$976,$B$2:$B$976,B715,$C$2:$C$976,C715)</f>
        <v/>
      </c>
    </row>
    <row r="716" ht="15" customHeight="1" s="68">
      <c r="A716" s="83" t="inlineStr">
        <is>
          <t>RPT-17</t>
        </is>
      </c>
      <c r="B716" s="83" t="inlineStr">
        <is>
          <t>mistral</t>
        </is>
      </c>
      <c r="C716" s="83" t="inlineStr">
        <is>
          <t>gemma</t>
        </is>
      </c>
      <c r="D716" s="84" t="n">
        <v>0.266811279826464</v>
      </c>
      <c r="E716" s="84" t="n">
        <v>0.299270072992701</v>
      </c>
      <c r="F716" s="84" t="n">
        <v>0.0808823529411765</v>
      </c>
      <c r="G716" s="84" t="n">
        <v>0.226277372262774</v>
      </c>
      <c r="H716" s="84" t="n">
        <v>0.340479416847886</v>
      </c>
      <c r="I716" s="84" t="n">
        <v>0.187711197644731</v>
      </c>
      <c r="J716" s="84" t="n">
        <v>0.6841331434643541</v>
      </c>
      <c r="K716" s="84" t="n">
        <v>0.573270364087993</v>
      </c>
      <c r="L716" s="84" t="n">
        <v>0.789464650350858</v>
      </c>
      <c r="M716" s="84" t="n">
        <v>0.462686567164179</v>
      </c>
      <c r="N716" s="84" t="n">
        <v>0.415254237288136</v>
      </c>
      <c r="O716" s="84" t="n">
        <v>1</v>
      </c>
      <c r="P716" s="85">
        <f>AVERAGE(D716:I716)</f>
        <v/>
      </c>
      <c r="Q716" s="85">
        <f>AVERAGE(J716:L716)</f>
        <v/>
      </c>
      <c r="R716" s="85">
        <f>AVERAGE(M716:O716)</f>
        <v/>
      </c>
      <c r="S716" s="85">
        <f>'02_지표정의'!$C$22*P716+'02_지표정의'!$C$23*Q716+'02_지표정의'!$C$24*R716</f>
        <v/>
      </c>
      <c r="T716" s="73">
        <f>IF(OR(AND(B716="gemini",C716="gemma"),AND(B716="qwen3_6",C716="qwen"),AND(B716="mistral",C716="ministral")),1,0)</f>
        <v/>
      </c>
      <c r="U716" s="73">
        <f>IF(LEFT(A716,3)="PAT","특허","보고서")</f>
        <v/>
      </c>
      <c r="V716" s="86">
        <f>COUNTIF($S$2:$S$976,"&lt;"&amp;S716)+(COUNTIF($S$2:$S$976,"="&amp;S716)+1)/2</f>
        <v/>
      </c>
      <c r="W716" s="73">
        <f>IF(C716="qwen",0,COUNTIFS($C$2:$C$976,"&lt;&gt;qwen",$S$2:$S$976,"&lt;"&amp;S716)+1)</f>
        <v/>
      </c>
      <c r="X716" s="73">
        <f>IF(C716="ministral",0,COUNTIFS($C$2:$C$976,"&lt;&gt;ministral",$S$2:$S$976,"&lt;"&amp;S716)+1)</f>
        <v/>
      </c>
      <c r="Y716" s="73">
        <f>IF(C716="gemma",0,COUNTIFS($C$2:$C$976,"&lt;&gt;gemma",$S$2:$S$976,"&lt;"&amp;S716)+1)</f>
        <v/>
      </c>
      <c r="Z716" s="87">
        <f>COUNTIFS($B$2:$B$976,B716,$C$2:$C$976,C716,$S$2:$S$976,"&lt;"&amp;S716)+1</f>
        <v/>
      </c>
      <c r="AA716" s="88">
        <f>ABS(S716-SUMPRODUCT(('05B_가정검정'!$A$5:$A$19=B716)*('05B_가정검정'!$B$5:$B$19=C716)*'05B_가정검정'!$E$5:$E$19))</f>
        <v/>
      </c>
      <c r="AB716" s="88">
        <f>S716-AVERAGEIFS($S$2:$S$976,$B$2:$B$976,B716,$C$2:$C$976,C716)</f>
        <v/>
      </c>
    </row>
    <row r="717" ht="15" customHeight="1" s="68">
      <c r="A717" s="83" t="inlineStr">
        <is>
          <t>RPT-17</t>
        </is>
      </c>
      <c r="B717" s="83" t="inlineStr">
        <is>
          <t>mistral</t>
        </is>
      </c>
      <c r="C717" s="83" t="inlineStr">
        <is>
          <t>ministral</t>
        </is>
      </c>
      <c r="D717" s="84" t="n">
        <v>0.335585585585586</v>
      </c>
      <c r="E717" s="84" t="n">
        <v>0.34020618556701</v>
      </c>
      <c r="F717" s="84" t="n">
        <v>0.1139896373057</v>
      </c>
      <c r="G717" s="84" t="n">
        <v>0.262886597938144</v>
      </c>
      <c r="H717" s="84" t="n">
        <v>0.292962673682508</v>
      </c>
      <c r="I717" s="84" t="n">
        <v>0.259117129261744</v>
      </c>
      <c r="J717" s="84" t="n">
        <v>0.725988555176148</v>
      </c>
      <c r="K717" s="84" t="n">
        <v>0.657639687384195</v>
      </c>
      <c r="L717" s="84" t="n">
        <v>0.788362532211937</v>
      </c>
      <c r="M717" s="84" t="n">
        <v>0.620071684587814</v>
      </c>
      <c r="N717" s="84" t="n">
        <v>0.666666666666667</v>
      </c>
      <c r="O717" s="84" t="n">
        <v>1</v>
      </c>
      <c r="P717" s="85">
        <f>AVERAGE(D717:I717)</f>
        <v/>
      </c>
      <c r="Q717" s="85">
        <f>AVERAGE(J717:L717)</f>
        <v/>
      </c>
      <c r="R717" s="85">
        <f>AVERAGE(M717:O717)</f>
        <v/>
      </c>
      <c r="S717" s="85">
        <f>'02_지표정의'!$C$22*P717+'02_지표정의'!$C$23*Q717+'02_지표정의'!$C$24*R717</f>
        <v/>
      </c>
      <c r="T717" s="73">
        <f>IF(OR(AND(B717="gemini",C717="gemma"),AND(B717="qwen3_6",C717="qwen"),AND(B717="mistral",C717="ministral")),1,0)</f>
        <v/>
      </c>
      <c r="U717" s="73">
        <f>IF(LEFT(A717,3)="PAT","특허","보고서")</f>
        <v/>
      </c>
      <c r="V717" s="86">
        <f>COUNTIF($S$2:$S$976,"&lt;"&amp;S717)+(COUNTIF($S$2:$S$976,"="&amp;S717)+1)/2</f>
        <v/>
      </c>
      <c r="W717" s="73">
        <f>IF(C717="qwen",0,COUNTIFS($C$2:$C$976,"&lt;&gt;qwen",$S$2:$S$976,"&lt;"&amp;S717)+1)</f>
        <v/>
      </c>
      <c r="X717" s="73">
        <f>IF(C717="ministral",0,COUNTIFS($C$2:$C$976,"&lt;&gt;ministral",$S$2:$S$976,"&lt;"&amp;S717)+1)</f>
        <v/>
      </c>
      <c r="Y717" s="73">
        <f>IF(C717="gemma",0,COUNTIFS($C$2:$C$976,"&lt;&gt;gemma",$S$2:$S$976,"&lt;"&amp;S717)+1)</f>
        <v/>
      </c>
      <c r="Z717" s="87">
        <f>COUNTIFS($B$2:$B$976,B717,$C$2:$C$976,C717,$S$2:$S$976,"&lt;"&amp;S717)+1</f>
        <v/>
      </c>
      <c r="AA717" s="88">
        <f>ABS(S717-SUMPRODUCT(('05B_가정검정'!$A$5:$A$19=B717)*('05B_가정검정'!$B$5:$B$19=C717)*'05B_가정검정'!$E$5:$E$19))</f>
        <v/>
      </c>
      <c r="AB717" s="88">
        <f>S717-AVERAGEIFS($S$2:$S$976,$B$2:$B$976,B717,$C$2:$C$976,C717)</f>
        <v/>
      </c>
    </row>
    <row r="718" ht="15" customHeight="1" s="68">
      <c r="A718" s="83" t="inlineStr">
        <is>
          <t>RPT-17</t>
        </is>
      </c>
      <c r="B718" s="83" t="inlineStr">
        <is>
          <t>mistral</t>
        </is>
      </c>
      <c r="C718" s="83" t="inlineStr">
        <is>
          <t>qwen</t>
        </is>
      </c>
      <c r="D718" s="84" t="n">
        <v>0.349425287356322</v>
      </c>
      <c r="E718" s="84" t="n">
        <v>0.477211796246649</v>
      </c>
      <c r="F718" s="84" t="n">
        <v>0.204851752021563</v>
      </c>
      <c r="G718" s="84" t="n">
        <v>0.316353887399464</v>
      </c>
      <c r="H718" s="84" t="n">
        <v>0.378723785353426</v>
      </c>
      <c r="I718" s="84" t="n">
        <v>0.321677615788127</v>
      </c>
      <c r="J718" s="84" t="n">
        <v>0.737802522058249</v>
      </c>
      <c r="K718" s="84" t="n">
        <v>0.618892013417195</v>
      </c>
      <c r="L718" s="84" t="n">
        <v>0.820938286716397</v>
      </c>
      <c r="M718" s="84" t="n">
        <v>0.73134328358209</v>
      </c>
      <c r="N718" s="84" t="n">
        <v>0.754237288135593</v>
      </c>
      <c r="O718" s="84" t="n">
        <v>1</v>
      </c>
      <c r="P718" s="85">
        <f>AVERAGE(D718:I718)</f>
        <v/>
      </c>
      <c r="Q718" s="85">
        <f>AVERAGE(J718:L718)</f>
        <v/>
      </c>
      <c r="R718" s="85">
        <f>AVERAGE(M718:O718)</f>
        <v/>
      </c>
      <c r="S718" s="85">
        <f>'02_지표정의'!$C$22*P718+'02_지표정의'!$C$23*Q718+'02_지표정의'!$C$24*R718</f>
        <v/>
      </c>
      <c r="T718" s="73">
        <f>IF(OR(AND(B718="gemini",C718="gemma"),AND(B718="qwen3_6",C718="qwen"),AND(B718="mistral",C718="ministral")),1,0)</f>
        <v/>
      </c>
      <c r="U718" s="73">
        <f>IF(LEFT(A718,3)="PAT","특허","보고서")</f>
        <v/>
      </c>
      <c r="V718" s="86">
        <f>COUNTIF($S$2:$S$976,"&lt;"&amp;S718)+(COUNTIF($S$2:$S$976,"="&amp;S718)+1)/2</f>
        <v/>
      </c>
      <c r="W718" s="73">
        <f>IF(C718="qwen",0,COUNTIFS($C$2:$C$976,"&lt;&gt;qwen",$S$2:$S$976,"&lt;"&amp;S718)+1)</f>
        <v/>
      </c>
      <c r="X718" s="73">
        <f>IF(C718="ministral",0,COUNTIFS($C$2:$C$976,"&lt;&gt;ministral",$S$2:$S$976,"&lt;"&amp;S718)+1)</f>
        <v/>
      </c>
      <c r="Y718" s="73">
        <f>IF(C718="gemma",0,COUNTIFS($C$2:$C$976,"&lt;&gt;gemma",$S$2:$S$976,"&lt;"&amp;S718)+1)</f>
        <v/>
      </c>
      <c r="Z718" s="87">
        <f>COUNTIFS($B$2:$B$976,B718,$C$2:$C$976,C718,$S$2:$S$976,"&lt;"&amp;S718)+1</f>
        <v/>
      </c>
      <c r="AA718" s="88">
        <f>ABS(S718-SUMPRODUCT(('05B_가정검정'!$A$5:$A$19=B718)*('05B_가정검정'!$B$5:$B$19=C718)*'05B_가정검정'!$E$5:$E$19))</f>
        <v/>
      </c>
      <c r="AB718" s="88">
        <f>S718-AVERAGEIFS($S$2:$S$976,$B$2:$B$976,B718,$C$2:$C$976,C718)</f>
        <v/>
      </c>
    </row>
    <row r="719" ht="15" customHeight="1" s="68">
      <c r="A719" s="83" t="inlineStr">
        <is>
          <t>RPT-17</t>
        </is>
      </c>
      <c r="B719" s="83" t="inlineStr">
        <is>
          <t>qwen3_6</t>
        </is>
      </c>
      <c r="C719" s="83" t="inlineStr">
        <is>
          <t>gemma</t>
        </is>
      </c>
      <c r="D719" s="84" t="n">
        <v>0.280909990108803</v>
      </c>
      <c r="E719" s="84" t="n">
        <v>0.320557491289199</v>
      </c>
      <c r="F719" s="84" t="n">
        <v>0.105263157894737</v>
      </c>
      <c r="G719" s="84" t="n">
        <v>0.21602787456446</v>
      </c>
      <c r="H719" s="84" t="n">
        <v>0.420635408930307</v>
      </c>
      <c r="I719" s="84" t="n">
        <v>0.192107927333702</v>
      </c>
      <c r="J719" s="84" t="n">
        <v>0.728176468784369</v>
      </c>
      <c r="K719" s="84" t="n">
        <v>0.6630447089261</v>
      </c>
      <c r="L719" s="84" t="n">
        <v>0.866262056718726</v>
      </c>
      <c r="M719" s="84" t="n">
        <v>0.906542056074766</v>
      </c>
      <c r="N719" s="84" t="n">
        <v>0.916666666666667</v>
      </c>
      <c r="O719" s="84" t="n">
        <v>1</v>
      </c>
      <c r="P719" s="85">
        <f>AVERAGE(D719:I719)</f>
        <v/>
      </c>
      <c r="Q719" s="85">
        <f>AVERAGE(J719:L719)</f>
        <v/>
      </c>
      <c r="R719" s="85">
        <f>AVERAGE(M719:O719)</f>
        <v/>
      </c>
      <c r="S719" s="85">
        <f>'02_지표정의'!$C$22*P719+'02_지표정의'!$C$23*Q719+'02_지표정의'!$C$24*R719</f>
        <v/>
      </c>
      <c r="T719" s="73">
        <f>IF(OR(AND(B719="gemini",C719="gemma"),AND(B719="qwen3_6",C719="qwen"),AND(B719="mistral",C719="ministral")),1,0)</f>
        <v/>
      </c>
      <c r="U719" s="73">
        <f>IF(LEFT(A719,3)="PAT","특허","보고서")</f>
        <v/>
      </c>
      <c r="V719" s="86">
        <f>COUNTIF($S$2:$S$976,"&lt;"&amp;S719)+(COUNTIF($S$2:$S$976,"="&amp;S719)+1)/2</f>
        <v/>
      </c>
      <c r="W719" s="73">
        <f>IF(C719="qwen",0,COUNTIFS($C$2:$C$976,"&lt;&gt;qwen",$S$2:$S$976,"&lt;"&amp;S719)+1)</f>
        <v/>
      </c>
      <c r="X719" s="73">
        <f>IF(C719="ministral",0,COUNTIFS($C$2:$C$976,"&lt;&gt;ministral",$S$2:$S$976,"&lt;"&amp;S719)+1)</f>
        <v/>
      </c>
      <c r="Y719" s="73">
        <f>IF(C719="gemma",0,COUNTIFS($C$2:$C$976,"&lt;&gt;gemma",$S$2:$S$976,"&lt;"&amp;S719)+1)</f>
        <v/>
      </c>
      <c r="Z719" s="87">
        <f>COUNTIFS($B$2:$B$976,B719,$C$2:$C$976,C719,$S$2:$S$976,"&lt;"&amp;S719)+1</f>
        <v/>
      </c>
      <c r="AA719" s="88">
        <f>ABS(S719-SUMPRODUCT(('05B_가정검정'!$A$5:$A$19=B719)*('05B_가정검정'!$B$5:$B$19=C719)*'05B_가정검정'!$E$5:$E$19))</f>
        <v/>
      </c>
      <c r="AB719" s="88">
        <f>S719-AVERAGEIFS($S$2:$S$976,$B$2:$B$976,B719,$C$2:$C$976,C719)</f>
        <v/>
      </c>
    </row>
    <row r="720" ht="15" customHeight="1" s="68">
      <c r="A720" s="83" t="inlineStr">
        <is>
          <t>RPT-17</t>
        </is>
      </c>
      <c r="B720" s="83" t="inlineStr">
        <is>
          <t>qwen3_6</t>
        </is>
      </c>
      <c r="C720" s="83" t="inlineStr">
        <is>
          <t>ministral</t>
        </is>
      </c>
      <c r="D720" s="84" t="n">
        <v>0.24360286591607</v>
      </c>
      <c r="E720" s="84" t="n">
        <v>0.269326683291771</v>
      </c>
      <c r="F720" s="84" t="n">
        <v>0.0802005012531328</v>
      </c>
      <c r="G720" s="84" t="n">
        <v>0.164588528678304</v>
      </c>
      <c r="H720" s="84" t="n">
        <v>0.238508125009365</v>
      </c>
      <c r="I720" s="84" t="n">
        <v>0.136993581048304</v>
      </c>
      <c r="J720" s="84" t="n">
        <v>0.718541744057877</v>
      </c>
      <c r="K720" s="84" t="n">
        <v>0.685213636292223</v>
      </c>
      <c r="L720" s="84" t="n">
        <v>0.83524453241101</v>
      </c>
      <c r="M720" s="84" t="n">
        <v>0.347670250896057</v>
      </c>
      <c r="N720" s="84" t="n">
        <v>0.426356589147287</v>
      </c>
      <c r="O720" s="84" t="n">
        <v>1</v>
      </c>
      <c r="P720" s="85">
        <f>AVERAGE(D720:I720)</f>
        <v/>
      </c>
      <c r="Q720" s="85">
        <f>AVERAGE(J720:L720)</f>
        <v/>
      </c>
      <c r="R720" s="85">
        <f>AVERAGE(M720:O720)</f>
        <v/>
      </c>
      <c r="S720" s="85">
        <f>'02_지표정의'!$C$22*P720+'02_지표정의'!$C$23*Q720+'02_지표정의'!$C$24*R720</f>
        <v/>
      </c>
      <c r="T720" s="73">
        <f>IF(OR(AND(B720="gemini",C720="gemma"),AND(B720="qwen3_6",C720="qwen"),AND(B720="mistral",C720="ministral")),1,0)</f>
        <v/>
      </c>
      <c r="U720" s="73">
        <f>IF(LEFT(A720,3)="PAT","특허","보고서")</f>
        <v/>
      </c>
      <c r="V720" s="86">
        <f>COUNTIF($S$2:$S$976,"&lt;"&amp;S720)+(COUNTIF($S$2:$S$976,"="&amp;S720)+1)/2</f>
        <v/>
      </c>
      <c r="W720" s="73">
        <f>IF(C720="qwen",0,COUNTIFS($C$2:$C$976,"&lt;&gt;qwen",$S$2:$S$976,"&lt;"&amp;S720)+1)</f>
        <v/>
      </c>
      <c r="X720" s="73">
        <f>IF(C720="ministral",0,COUNTIFS($C$2:$C$976,"&lt;&gt;ministral",$S$2:$S$976,"&lt;"&amp;S720)+1)</f>
        <v/>
      </c>
      <c r="Y720" s="73">
        <f>IF(C720="gemma",0,COUNTIFS($C$2:$C$976,"&lt;&gt;gemma",$S$2:$S$976,"&lt;"&amp;S720)+1)</f>
        <v/>
      </c>
      <c r="Z720" s="87">
        <f>COUNTIFS($B$2:$B$976,B720,$C$2:$C$976,C720,$S$2:$S$976,"&lt;"&amp;S720)+1</f>
        <v/>
      </c>
      <c r="AA720" s="88">
        <f>ABS(S720-SUMPRODUCT(('05B_가정검정'!$A$5:$A$19=B720)*('05B_가정검정'!$B$5:$B$19=C720)*'05B_가정검정'!$E$5:$E$19))</f>
        <v/>
      </c>
      <c r="AB720" s="88">
        <f>S720-AVERAGEIFS($S$2:$S$976,$B$2:$B$976,B720,$C$2:$C$976,C720)</f>
        <v/>
      </c>
    </row>
    <row r="721" ht="15" customHeight="1" s="68">
      <c r="A721" s="83" t="inlineStr">
        <is>
          <t>RPT-17</t>
        </is>
      </c>
      <c r="B721" s="83" t="inlineStr">
        <is>
          <t>qwen3_6</t>
        </is>
      </c>
      <c r="C721" s="83" t="inlineStr">
        <is>
          <t>qwen</t>
        </is>
      </c>
      <c r="D721" s="84" t="n">
        <v>0.329509906152242</v>
      </c>
      <c r="E721" s="84" t="n">
        <v>0.502590673575129</v>
      </c>
      <c r="F721" s="84" t="n">
        <v>0.197916666666667</v>
      </c>
      <c r="G721" s="84" t="n">
        <v>0.264248704663212</v>
      </c>
      <c r="H721" s="84" t="n">
        <v>0.417959214964512</v>
      </c>
      <c r="I721" s="84" t="n">
        <v>0.419398203085832</v>
      </c>
      <c r="J721" s="84" t="n">
        <v>0.741131660793507</v>
      </c>
      <c r="K721" s="84" t="n">
        <v>0.674822550426979</v>
      </c>
      <c r="L721" s="84" t="n">
        <v>0.857285790730825</v>
      </c>
      <c r="M721" s="84" t="n">
        <v>0.5739644970414201</v>
      </c>
      <c r="N721" s="84" t="n">
        <v>0.53921568627451</v>
      </c>
      <c r="O721" s="84" t="n">
        <v>1</v>
      </c>
      <c r="P721" s="85">
        <f>AVERAGE(D721:I721)</f>
        <v/>
      </c>
      <c r="Q721" s="85">
        <f>AVERAGE(J721:L721)</f>
        <v/>
      </c>
      <c r="R721" s="85">
        <f>AVERAGE(M721:O721)</f>
        <v/>
      </c>
      <c r="S721" s="85">
        <f>'02_지표정의'!$C$22*P721+'02_지표정의'!$C$23*Q721+'02_지표정의'!$C$24*R721</f>
        <v/>
      </c>
      <c r="T721" s="73">
        <f>IF(OR(AND(B721="gemini",C721="gemma"),AND(B721="qwen3_6",C721="qwen"),AND(B721="mistral",C721="ministral")),1,0)</f>
        <v/>
      </c>
      <c r="U721" s="73">
        <f>IF(LEFT(A721,3)="PAT","특허","보고서")</f>
        <v/>
      </c>
      <c r="V721" s="86">
        <f>COUNTIF($S$2:$S$976,"&lt;"&amp;S721)+(COUNTIF($S$2:$S$976,"="&amp;S721)+1)/2</f>
        <v/>
      </c>
      <c r="W721" s="73">
        <f>IF(C721="qwen",0,COUNTIFS($C$2:$C$976,"&lt;&gt;qwen",$S$2:$S$976,"&lt;"&amp;S721)+1)</f>
        <v/>
      </c>
      <c r="X721" s="73">
        <f>IF(C721="ministral",0,COUNTIFS($C$2:$C$976,"&lt;&gt;ministral",$S$2:$S$976,"&lt;"&amp;S721)+1)</f>
        <v/>
      </c>
      <c r="Y721" s="73">
        <f>IF(C721="gemma",0,COUNTIFS($C$2:$C$976,"&lt;&gt;gemma",$S$2:$S$976,"&lt;"&amp;S721)+1)</f>
        <v/>
      </c>
      <c r="Z721" s="87">
        <f>COUNTIFS($B$2:$B$976,B721,$C$2:$C$976,C721,$S$2:$S$976,"&lt;"&amp;S721)+1</f>
        <v/>
      </c>
      <c r="AA721" s="88">
        <f>ABS(S721-SUMPRODUCT(('05B_가정검정'!$A$5:$A$19=B721)*('05B_가정검정'!$B$5:$B$19=C721)*'05B_가정검정'!$E$5:$E$19))</f>
        <v/>
      </c>
      <c r="AB721" s="88">
        <f>S721-AVERAGEIFS($S$2:$S$976,$B$2:$B$976,B721,$C$2:$C$976,C721)</f>
        <v/>
      </c>
    </row>
    <row r="722" ht="15" customHeight="1" s="68">
      <c r="A722" s="83" t="inlineStr">
        <is>
          <t>RPT-18</t>
        </is>
      </c>
      <c r="B722" s="83" t="inlineStr">
        <is>
          <t>chatgpt</t>
        </is>
      </c>
      <c r="C722" s="83" t="inlineStr">
        <is>
          <t>gemma</t>
        </is>
      </c>
      <c r="D722" s="84" t="n">
        <v>0.24234693877551</v>
      </c>
      <c r="E722" s="84" t="n">
        <v>0.314720812182741</v>
      </c>
      <c r="F722" s="84" t="n">
        <v>0.123076923076923</v>
      </c>
      <c r="G722" s="84" t="n">
        <v>0.284263959390863</v>
      </c>
      <c r="H722" s="84" t="n">
        <v>0.235768223356687</v>
      </c>
      <c r="I722" s="84" t="n">
        <v>0.195133962436881</v>
      </c>
      <c r="J722" s="84" t="n">
        <v>0.698321135105275</v>
      </c>
      <c r="K722" s="84" t="n">
        <v>0.6703627798495591</v>
      </c>
      <c r="L722" s="84" t="n">
        <v>0.7569417624661799</v>
      </c>
      <c r="M722" s="84" t="n">
        <v>0.5575757575757579</v>
      </c>
      <c r="N722" s="84" t="n">
        <v>0.0898876404494382</v>
      </c>
      <c r="O722" s="84" t="n">
        <v>1</v>
      </c>
      <c r="P722" s="85">
        <f>AVERAGE(D722:I722)</f>
        <v/>
      </c>
      <c r="Q722" s="85">
        <f>AVERAGE(J722:L722)</f>
        <v/>
      </c>
      <c r="R722" s="85">
        <f>AVERAGE(M722:O722)</f>
        <v/>
      </c>
      <c r="S722" s="85">
        <f>'02_지표정의'!$C$22*P722+'02_지표정의'!$C$23*Q722+'02_지표정의'!$C$24*R722</f>
        <v/>
      </c>
      <c r="T722" s="73">
        <f>IF(OR(AND(B722="gemini",C722="gemma"),AND(B722="qwen3_6",C722="qwen"),AND(B722="mistral",C722="ministral")),1,0)</f>
        <v/>
      </c>
      <c r="U722" s="73">
        <f>IF(LEFT(A722,3)="PAT","특허","보고서")</f>
        <v/>
      </c>
      <c r="V722" s="86">
        <f>COUNTIF($S$2:$S$976,"&lt;"&amp;S722)+(COUNTIF($S$2:$S$976,"="&amp;S722)+1)/2</f>
        <v/>
      </c>
      <c r="W722" s="73">
        <f>IF(C722="qwen",0,COUNTIFS($C$2:$C$976,"&lt;&gt;qwen",$S$2:$S$976,"&lt;"&amp;S722)+1)</f>
        <v/>
      </c>
      <c r="X722" s="73">
        <f>IF(C722="ministral",0,COUNTIFS($C$2:$C$976,"&lt;&gt;ministral",$S$2:$S$976,"&lt;"&amp;S722)+1)</f>
        <v/>
      </c>
      <c r="Y722" s="73">
        <f>IF(C722="gemma",0,COUNTIFS($C$2:$C$976,"&lt;&gt;gemma",$S$2:$S$976,"&lt;"&amp;S722)+1)</f>
        <v/>
      </c>
      <c r="Z722" s="87">
        <f>COUNTIFS($B$2:$B$976,B722,$C$2:$C$976,C722,$S$2:$S$976,"&lt;"&amp;S722)+1</f>
        <v/>
      </c>
      <c r="AA722" s="88">
        <f>ABS(S722-SUMPRODUCT(('05B_가정검정'!$A$5:$A$19=B722)*('05B_가정검정'!$B$5:$B$19=C722)*'05B_가정검정'!$E$5:$E$19))</f>
        <v/>
      </c>
      <c r="AB722" s="88">
        <f>S722-AVERAGEIFS($S$2:$S$976,$B$2:$B$976,B722,$C$2:$C$976,C722)</f>
        <v/>
      </c>
    </row>
    <row r="723" ht="15" customHeight="1" s="68">
      <c r="A723" s="83" t="inlineStr">
        <is>
          <t>RPT-18</t>
        </is>
      </c>
      <c r="B723" s="83" t="inlineStr">
        <is>
          <t>chatgpt</t>
        </is>
      </c>
      <c r="C723" s="83" t="inlineStr">
        <is>
          <t>ministral</t>
        </is>
      </c>
      <c r="D723" s="84" t="n">
        <v>0.297082228116711</v>
      </c>
      <c r="E723" s="84" t="n">
        <v>0.249110320284698</v>
      </c>
      <c r="F723" s="84" t="n">
        <v>0.129032258064516</v>
      </c>
      <c r="G723" s="84" t="n">
        <v>0.241992882562278</v>
      </c>
      <c r="H723" s="84" t="n">
        <v>0.156000987536545</v>
      </c>
      <c r="I723" s="84" t="n">
        <v>0.292180136166247</v>
      </c>
      <c r="J723" s="84" t="n">
        <v>0.654495834926332</v>
      </c>
      <c r="K723" s="84" t="n">
        <v>0.683171425508045</v>
      </c>
      <c r="L723" s="84" t="n">
        <v>0.7780938185585921</v>
      </c>
      <c r="M723" s="84" t="n">
        <v>0.392953929539295</v>
      </c>
      <c r="N723" s="84" t="n">
        <v>0</v>
      </c>
      <c r="O723" s="84" t="n">
        <v>0.526315789473684</v>
      </c>
      <c r="P723" s="85">
        <f>AVERAGE(D723:I723)</f>
        <v/>
      </c>
      <c r="Q723" s="85">
        <f>AVERAGE(J723:L723)</f>
        <v/>
      </c>
      <c r="R723" s="85">
        <f>AVERAGE(M723:O723)</f>
        <v/>
      </c>
      <c r="S723" s="85">
        <f>'02_지표정의'!$C$22*P723+'02_지표정의'!$C$23*Q723+'02_지표정의'!$C$24*R723</f>
        <v/>
      </c>
      <c r="T723" s="73">
        <f>IF(OR(AND(B723="gemini",C723="gemma"),AND(B723="qwen3_6",C723="qwen"),AND(B723="mistral",C723="ministral")),1,0)</f>
        <v/>
      </c>
      <c r="U723" s="73">
        <f>IF(LEFT(A723,3)="PAT","특허","보고서")</f>
        <v/>
      </c>
      <c r="V723" s="86">
        <f>COUNTIF($S$2:$S$976,"&lt;"&amp;S723)+(COUNTIF($S$2:$S$976,"="&amp;S723)+1)/2</f>
        <v/>
      </c>
      <c r="W723" s="73">
        <f>IF(C723="qwen",0,COUNTIFS($C$2:$C$976,"&lt;&gt;qwen",$S$2:$S$976,"&lt;"&amp;S723)+1)</f>
        <v/>
      </c>
      <c r="X723" s="73">
        <f>IF(C723="ministral",0,COUNTIFS($C$2:$C$976,"&lt;&gt;ministral",$S$2:$S$976,"&lt;"&amp;S723)+1)</f>
        <v/>
      </c>
      <c r="Y723" s="73">
        <f>IF(C723="gemma",0,COUNTIFS($C$2:$C$976,"&lt;&gt;gemma",$S$2:$S$976,"&lt;"&amp;S723)+1)</f>
        <v/>
      </c>
      <c r="Z723" s="87">
        <f>COUNTIFS($B$2:$B$976,B723,$C$2:$C$976,C723,$S$2:$S$976,"&lt;"&amp;S723)+1</f>
        <v/>
      </c>
      <c r="AA723" s="88">
        <f>ABS(S723-SUMPRODUCT(('05B_가정검정'!$A$5:$A$19=B723)*('05B_가정검정'!$B$5:$B$19=C723)*'05B_가정검정'!$E$5:$E$19))</f>
        <v/>
      </c>
      <c r="AB723" s="88">
        <f>S723-AVERAGEIFS($S$2:$S$976,$B$2:$B$976,B723,$C$2:$C$976,C723)</f>
        <v/>
      </c>
    </row>
    <row r="724" ht="15" customHeight="1" s="68">
      <c r="A724" s="83" t="inlineStr">
        <is>
          <t>RPT-18</t>
        </is>
      </c>
      <c r="B724" s="83" t="inlineStr">
        <is>
          <t>chatgpt</t>
        </is>
      </c>
      <c r="C724" s="83" t="inlineStr">
        <is>
          <t>qwen</t>
        </is>
      </c>
      <c r="D724" s="84" t="n">
        <v>0.306962025316456</v>
      </c>
      <c r="E724" s="84" t="n">
        <v>0.312849162011173</v>
      </c>
      <c r="F724" s="84" t="n">
        <v>0.15819209039548</v>
      </c>
      <c r="G724" s="84" t="n">
        <v>0.301675977653631</v>
      </c>
      <c r="H724" s="84" t="n">
        <v>0.239726469386175</v>
      </c>
      <c r="I724" s="84" t="n">
        <v>0.356412896864917</v>
      </c>
      <c r="J724" s="84" t="n">
        <v>0.662827104745827</v>
      </c>
      <c r="K724" s="84" t="n">
        <v>0.66520635516757</v>
      </c>
      <c r="L724" s="84" t="n">
        <v>0.760449267013881</v>
      </c>
      <c r="M724" s="84" t="n">
        <v>0.471910112359551</v>
      </c>
      <c r="N724" s="84" t="n">
        <v>0</v>
      </c>
      <c r="O724" s="84" t="n">
        <v>1</v>
      </c>
      <c r="P724" s="85">
        <f>AVERAGE(D724:I724)</f>
        <v/>
      </c>
      <c r="Q724" s="85">
        <f>AVERAGE(J724:L724)</f>
        <v/>
      </c>
      <c r="R724" s="85">
        <f>AVERAGE(M724:O724)</f>
        <v/>
      </c>
      <c r="S724" s="85">
        <f>'02_지표정의'!$C$22*P724+'02_지표정의'!$C$23*Q724+'02_지표정의'!$C$24*R724</f>
        <v/>
      </c>
      <c r="T724" s="73">
        <f>IF(OR(AND(B724="gemini",C724="gemma"),AND(B724="qwen3_6",C724="qwen"),AND(B724="mistral",C724="ministral")),1,0)</f>
        <v/>
      </c>
      <c r="U724" s="73">
        <f>IF(LEFT(A724,3)="PAT","특허","보고서")</f>
        <v/>
      </c>
      <c r="V724" s="86">
        <f>COUNTIF($S$2:$S$976,"&lt;"&amp;S724)+(COUNTIF($S$2:$S$976,"="&amp;S724)+1)/2</f>
        <v/>
      </c>
      <c r="W724" s="73">
        <f>IF(C724="qwen",0,COUNTIFS($C$2:$C$976,"&lt;&gt;qwen",$S$2:$S$976,"&lt;"&amp;S724)+1)</f>
        <v/>
      </c>
      <c r="X724" s="73">
        <f>IF(C724="ministral",0,COUNTIFS($C$2:$C$976,"&lt;&gt;ministral",$S$2:$S$976,"&lt;"&amp;S724)+1)</f>
        <v/>
      </c>
      <c r="Y724" s="73">
        <f>IF(C724="gemma",0,COUNTIFS($C$2:$C$976,"&lt;&gt;gemma",$S$2:$S$976,"&lt;"&amp;S724)+1)</f>
        <v/>
      </c>
      <c r="Z724" s="87">
        <f>COUNTIFS($B$2:$B$976,B724,$C$2:$C$976,C724,$S$2:$S$976,"&lt;"&amp;S724)+1</f>
        <v/>
      </c>
      <c r="AA724" s="88">
        <f>ABS(S724-SUMPRODUCT(('05B_가정검정'!$A$5:$A$19=B724)*('05B_가정검정'!$B$5:$B$19=C724)*'05B_가정검정'!$E$5:$E$19))</f>
        <v/>
      </c>
      <c r="AB724" s="88">
        <f>S724-AVERAGEIFS($S$2:$S$976,$B$2:$B$976,B724,$C$2:$C$976,C724)</f>
        <v/>
      </c>
    </row>
    <row r="725" ht="15" customHeight="1" s="68">
      <c r="A725" s="83" t="inlineStr">
        <is>
          <t>RPT-18</t>
        </is>
      </c>
      <c r="B725" s="83" t="inlineStr">
        <is>
          <t>claude</t>
        </is>
      </c>
      <c r="C725" s="83" t="inlineStr">
        <is>
          <t>gemma</t>
        </is>
      </c>
      <c r="D725" s="84" t="n">
        <v>0.259528130671506</v>
      </c>
      <c r="E725" s="84" t="n">
        <v>0.380952380952381</v>
      </c>
      <c r="F725" s="84" t="n">
        <v>0.0885608856088561</v>
      </c>
      <c r="G725" s="84" t="n">
        <v>0.241758241758242</v>
      </c>
      <c r="H725" s="84" t="n">
        <v>0.3272694593359</v>
      </c>
      <c r="I725" s="84" t="n">
        <v>0.163341506184546</v>
      </c>
      <c r="J725" s="84" t="n">
        <v>0.691204174574836</v>
      </c>
      <c r="K725" s="84" t="n">
        <v>0.681617509277767</v>
      </c>
      <c r="L725" s="84" t="n">
        <v>0.862265137527265</v>
      </c>
      <c r="M725" s="84" t="n">
        <v>0.567073170731707</v>
      </c>
      <c r="N725" s="84" t="n">
        <v>0.404255319148936</v>
      </c>
      <c r="O725" s="84" t="n">
        <v>1</v>
      </c>
      <c r="P725" s="85">
        <f>AVERAGE(D725:I725)</f>
        <v/>
      </c>
      <c r="Q725" s="85">
        <f>AVERAGE(J725:L725)</f>
        <v/>
      </c>
      <c r="R725" s="85">
        <f>AVERAGE(M725:O725)</f>
        <v/>
      </c>
      <c r="S725" s="85">
        <f>'02_지표정의'!$C$22*P725+'02_지표정의'!$C$23*Q725+'02_지표정의'!$C$24*R725</f>
        <v/>
      </c>
      <c r="T725" s="73">
        <f>IF(OR(AND(B725="gemini",C725="gemma"),AND(B725="qwen3_6",C725="qwen"),AND(B725="mistral",C725="ministral")),1,0)</f>
        <v/>
      </c>
      <c r="U725" s="73">
        <f>IF(LEFT(A725,3)="PAT","특허","보고서")</f>
        <v/>
      </c>
      <c r="V725" s="86">
        <f>COUNTIF($S$2:$S$976,"&lt;"&amp;S725)+(COUNTIF($S$2:$S$976,"="&amp;S725)+1)/2</f>
        <v/>
      </c>
      <c r="W725" s="73">
        <f>IF(C725="qwen",0,COUNTIFS($C$2:$C$976,"&lt;&gt;qwen",$S$2:$S$976,"&lt;"&amp;S725)+1)</f>
        <v/>
      </c>
      <c r="X725" s="73">
        <f>IF(C725="ministral",0,COUNTIFS($C$2:$C$976,"&lt;&gt;ministral",$S$2:$S$976,"&lt;"&amp;S725)+1)</f>
        <v/>
      </c>
      <c r="Y725" s="73">
        <f>IF(C725="gemma",0,COUNTIFS($C$2:$C$976,"&lt;&gt;gemma",$S$2:$S$976,"&lt;"&amp;S725)+1)</f>
        <v/>
      </c>
      <c r="Z725" s="87">
        <f>COUNTIFS($B$2:$B$976,B725,$C$2:$C$976,C725,$S$2:$S$976,"&lt;"&amp;S725)+1</f>
        <v/>
      </c>
      <c r="AA725" s="88">
        <f>ABS(S725-SUMPRODUCT(('05B_가정검정'!$A$5:$A$19=B725)*('05B_가정검정'!$B$5:$B$19=C725)*'05B_가정검정'!$E$5:$E$19))</f>
        <v/>
      </c>
      <c r="AB725" s="88">
        <f>S725-AVERAGEIFS($S$2:$S$976,$B$2:$B$976,B725,$C$2:$C$976,C725)</f>
        <v/>
      </c>
    </row>
    <row r="726" ht="15" customHeight="1" s="68">
      <c r="A726" s="83" t="inlineStr">
        <is>
          <t>RPT-18</t>
        </is>
      </c>
      <c r="B726" s="83" t="inlineStr">
        <is>
          <t>claude</t>
        </is>
      </c>
      <c r="C726" s="83" t="inlineStr">
        <is>
          <t>ministral</t>
        </is>
      </c>
      <c r="D726" s="84" t="n">
        <v>0.289179104477612</v>
      </c>
      <c r="E726" s="84" t="n">
        <v>0.336134453781513</v>
      </c>
      <c r="F726" s="84" t="n">
        <v>0.123943661971831</v>
      </c>
      <c r="G726" s="84" t="n">
        <v>0.2296918767507</v>
      </c>
      <c r="H726" s="84" t="n">
        <v>0.237536800202218</v>
      </c>
      <c r="I726" s="84" t="n">
        <v>0.217357643983746</v>
      </c>
      <c r="J726" s="84" t="n">
        <v>0.71592987943931</v>
      </c>
      <c r="K726" s="84" t="n">
        <v>0.645481482548985</v>
      </c>
      <c r="L726" s="84" t="n">
        <v>0.82403614623897</v>
      </c>
      <c r="M726" s="84" t="n">
        <v>0.425474254742547</v>
      </c>
      <c r="N726" s="84" t="n">
        <v>0.258503401360544</v>
      </c>
      <c r="O726" s="84" t="n">
        <v>0.526315789473684</v>
      </c>
      <c r="P726" s="85">
        <f>AVERAGE(D726:I726)</f>
        <v/>
      </c>
      <c r="Q726" s="85">
        <f>AVERAGE(J726:L726)</f>
        <v/>
      </c>
      <c r="R726" s="85">
        <f>AVERAGE(M726:O726)</f>
        <v/>
      </c>
      <c r="S726" s="85">
        <f>'02_지표정의'!$C$22*P726+'02_지표정의'!$C$23*Q726+'02_지표정의'!$C$24*R726</f>
        <v/>
      </c>
      <c r="T726" s="73">
        <f>IF(OR(AND(B726="gemini",C726="gemma"),AND(B726="qwen3_6",C726="qwen"),AND(B726="mistral",C726="ministral")),1,0)</f>
        <v/>
      </c>
      <c r="U726" s="73">
        <f>IF(LEFT(A726,3)="PAT","특허","보고서")</f>
        <v/>
      </c>
      <c r="V726" s="86">
        <f>COUNTIF($S$2:$S$976,"&lt;"&amp;S726)+(COUNTIF($S$2:$S$976,"="&amp;S726)+1)/2</f>
        <v/>
      </c>
      <c r="W726" s="73">
        <f>IF(C726="qwen",0,COUNTIFS($C$2:$C$976,"&lt;&gt;qwen",$S$2:$S$976,"&lt;"&amp;S726)+1)</f>
        <v/>
      </c>
      <c r="X726" s="73">
        <f>IF(C726="ministral",0,COUNTIFS($C$2:$C$976,"&lt;&gt;ministral",$S$2:$S$976,"&lt;"&amp;S726)+1)</f>
        <v/>
      </c>
      <c r="Y726" s="73">
        <f>IF(C726="gemma",0,COUNTIFS($C$2:$C$976,"&lt;&gt;gemma",$S$2:$S$976,"&lt;"&amp;S726)+1)</f>
        <v/>
      </c>
      <c r="Z726" s="87">
        <f>COUNTIFS($B$2:$B$976,B726,$C$2:$C$976,C726,$S$2:$S$976,"&lt;"&amp;S726)+1</f>
        <v/>
      </c>
      <c r="AA726" s="88">
        <f>ABS(S726-SUMPRODUCT(('05B_가정검정'!$A$5:$A$19=B726)*('05B_가정검정'!$B$5:$B$19=C726)*'05B_가정검정'!$E$5:$E$19))</f>
        <v/>
      </c>
      <c r="AB726" s="88">
        <f>S726-AVERAGEIFS($S$2:$S$976,$B$2:$B$976,B726,$C$2:$C$976,C726)</f>
        <v/>
      </c>
    </row>
    <row r="727" ht="15" customHeight="1" s="68">
      <c r="A727" s="83" t="inlineStr">
        <is>
          <t>RPT-18</t>
        </is>
      </c>
      <c r="B727" s="83" t="inlineStr">
        <is>
          <t>claude</t>
        </is>
      </c>
      <c r="C727" s="83" t="inlineStr">
        <is>
          <t>qwen</t>
        </is>
      </c>
      <c r="D727" s="84" t="n">
        <v>0.269473684210526</v>
      </c>
      <c r="E727" s="84" t="n">
        <v>0.4</v>
      </c>
      <c r="F727" s="84" t="n">
        <v>0.126482213438735</v>
      </c>
      <c r="G727" s="84" t="n">
        <v>0.290196078431373</v>
      </c>
      <c r="H727" s="84" t="n">
        <v>0.328789548015952</v>
      </c>
      <c r="I727" s="84" t="n">
        <v>0.322000370132851</v>
      </c>
      <c r="J727" s="84" t="n">
        <v>0.705546310849635</v>
      </c>
      <c r="K727" s="84" t="n">
        <v>0.659575146404888</v>
      </c>
      <c r="L727" s="84" t="n">
        <v>0.85521403501925</v>
      </c>
      <c r="M727" s="84" t="n">
        <v>0.730337078651685</v>
      </c>
      <c r="N727" s="84" t="n">
        <v>0.627659574468085</v>
      </c>
      <c r="O727" s="84" t="n">
        <v>1</v>
      </c>
      <c r="P727" s="85">
        <f>AVERAGE(D727:I727)</f>
        <v/>
      </c>
      <c r="Q727" s="85">
        <f>AVERAGE(J727:L727)</f>
        <v/>
      </c>
      <c r="R727" s="85">
        <f>AVERAGE(M727:O727)</f>
        <v/>
      </c>
      <c r="S727" s="85">
        <f>'02_지표정의'!$C$22*P727+'02_지표정의'!$C$23*Q727+'02_지표정의'!$C$24*R727</f>
        <v/>
      </c>
      <c r="T727" s="73">
        <f>IF(OR(AND(B727="gemini",C727="gemma"),AND(B727="qwen3_6",C727="qwen"),AND(B727="mistral",C727="ministral")),1,0)</f>
        <v/>
      </c>
      <c r="U727" s="73">
        <f>IF(LEFT(A727,3)="PAT","특허","보고서")</f>
        <v/>
      </c>
      <c r="V727" s="86">
        <f>COUNTIF($S$2:$S$976,"&lt;"&amp;S727)+(COUNTIF($S$2:$S$976,"="&amp;S727)+1)/2</f>
        <v/>
      </c>
      <c r="W727" s="73">
        <f>IF(C727="qwen",0,COUNTIFS($C$2:$C$976,"&lt;&gt;qwen",$S$2:$S$976,"&lt;"&amp;S727)+1)</f>
        <v/>
      </c>
      <c r="X727" s="73">
        <f>IF(C727="ministral",0,COUNTIFS($C$2:$C$976,"&lt;&gt;ministral",$S$2:$S$976,"&lt;"&amp;S727)+1)</f>
        <v/>
      </c>
      <c r="Y727" s="73">
        <f>IF(C727="gemma",0,COUNTIFS($C$2:$C$976,"&lt;&gt;gemma",$S$2:$S$976,"&lt;"&amp;S727)+1)</f>
        <v/>
      </c>
      <c r="Z727" s="87">
        <f>COUNTIFS($B$2:$B$976,B727,$C$2:$C$976,C727,$S$2:$S$976,"&lt;"&amp;S727)+1</f>
        <v/>
      </c>
      <c r="AA727" s="88">
        <f>ABS(S727-SUMPRODUCT(('05B_가정검정'!$A$5:$A$19=B727)*('05B_가정검정'!$B$5:$B$19=C727)*'05B_가정검정'!$E$5:$E$19))</f>
        <v/>
      </c>
      <c r="AB727" s="88">
        <f>S727-AVERAGEIFS($S$2:$S$976,$B$2:$B$976,B727,$C$2:$C$976,C727)</f>
        <v/>
      </c>
    </row>
    <row r="728" ht="15" customHeight="1" s="68">
      <c r="A728" s="83" t="inlineStr">
        <is>
          <t>RPT-18</t>
        </is>
      </c>
      <c r="B728" s="83" t="inlineStr">
        <is>
          <t>gemini</t>
        </is>
      </c>
      <c r="C728" s="83" t="inlineStr">
        <is>
          <t>gemma</t>
        </is>
      </c>
      <c r="D728" s="84" t="n">
        <v>0.279181708784597</v>
      </c>
      <c r="E728" s="84" t="n">
        <v>0.39</v>
      </c>
      <c r="F728" s="84" t="n">
        <v>0.151515151515152</v>
      </c>
      <c r="G728" s="84" t="n">
        <v>0.31</v>
      </c>
      <c r="H728" s="84" t="n">
        <v>0.287458355440785</v>
      </c>
      <c r="I728" s="84" t="n">
        <v>0.195051796238143</v>
      </c>
      <c r="J728" s="84" t="n">
        <v>0.743190282070799</v>
      </c>
      <c r="K728" s="84" t="n">
        <v>0.8182590066226521</v>
      </c>
      <c r="L728" s="84" t="n">
        <v>0.913295541803292</v>
      </c>
      <c r="M728" s="84" t="n">
        <v>0.651006711409396</v>
      </c>
      <c r="N728" s="84" t="n">
        <v>0.774647887323944</v>
      </c>
      <c r="O728" s="84" t="n">
        <v>1</v>
      </c>
      <c r="P728" s="85">
        <f>AVERAGE(D728:I728)</f>
        <v/>
      </c>
      <c r="Q728" s="85">
        <f>AVERAGE(J728:L728)</f>
        <v/>
      </c>
      <c r="R728" s="85">
        <f>AVERAGE(M728:O728)</f>
        <v/>
      </c>
      <c r="S728" s="85">
        <f>'02_지표정의'!$C$22*P728+'02_지표정의'!$C$23*Q728+'02_지표정의'!$C$24*R728</f>
        <v/>
      </c>
      <c r="T728" s="73">
        <f>IF(OR(AND(B728="gemini",C728="gemma"),AND(B728="qwen3_6",C728="qwen"),AND(B728="mistral",C728="ministral")),1,0)</f>
        <v/>
      </c>
      <c r="U728" s="73">
        <f>IF(LEFT(A728,3)="PAT","특허","보고서")</f>
        <v/>
      </c>
      <c r="V728" s="86">
        <f>COUNTIF($S$2:$S$976,"&lt;"&amp;S728)+(COUNTIF($S$2:$S$976,"="&amp;S728)+1)/2</f>
        <v/>
      </c>
      <c r="W728" s="73">
        <f>IF(C728="qwen",0,COUNTIFS($C$2:$C$976,"&lt;&gt;qwen",$S$2:$S$976,"&lt;"&amp;S728)+1)</f>
        <v/>
      </c>
      <c r="X728" s="73">
        <f>IF(C728="ministral",0,COUNTIFS($C$2:$C$976,"&lt;&gt;ministral",$S$2:$S$976,"&lt;"&amp;S728)+1)</f>
        <v/>
      </c>
      <c r="Y728" s="73">
        <f>IF(C728="gemma",0,COUNTIFS($C$2:$C$976,"&lt;&gt;gemma",$S$2:$S$976,"&lt;"&amp;S728)+1)</f>
        <v/>
      </c>
      <c r="Z728" s="87">
        <f>COUNTIFS($B$2:$B$976,B728,$C$2:$C$976,C728,$S$2:$S$976,"&lt;"&amp;S728)+1</f>
        <v/>
      </c>
      <c r="AA728" s="88">
        <f>ABS(S728-SUMPRODUCT(('05B_가정검정'!$A$5:$A$19=B728)*('05B_가정검정'!$B$5:$B$19=C728)*'05B_가정검정'!$E$5:$E$19))</f>
        <v/>
      </c>
      <c r="AB728" s="88">
        <f>S728-AVERAGEIFS($S$2:$S$976,$B$2:$B$976,B728,$C$2:$C$976,C728)</f>
        <v/>
      </c>
    </row>
    <row r="729" ht="15" customHeight="1" s="68">
      <c r="A729" s="83" t="inlineStr">
        <is>
          <t>RPT-18</t>
        </is>
      </c>
      <c r="B729" s="83" t="inlineStr">
        <is>
          <t>gemini</t>
        </is>
      </c>
      <c r="C729" s="83" t="inlineStr">
        <is>
          <t>ministral</t>
        </is>
      </c>
      <c r="D729" s="84" t="n">
        <v>0.274656679151061</v>
      </c>
      <c r="E729" s="84" t="n">
        <v>0.232394366197183</v>
      </c>
      <c r="F729" s="84" t="n">
        <v>0.099290780141844</v>
      </c>
      <c r="G729" s="84" t="n">
        <v>0.197183098591549</v>
      </c>
      <c r="H729" s="84" t="n">
        <v>0.181361694787315</v>
      </c>
      <c r="I729" s="84" t="n">
        <v>0.247668724025611</v>
      </c>
      <c r="J729" s="84" t="n">
        <v>0.762721627658846</v>
      </c>
      <c r="K729" s="84" t="n">
        <v>0.759915082435487</v>
      </c>
      <c r="L729" s="84" t="n">
        <v>0.879948397960015</v>
      </c>
      <c r="M729" s="84" t="n">
        <v>0.262872628726287</v>
      </c>
      <c r="N729" s="84" t="n">
        <v>0.251700680272109</v>
      </c>
      <c r="O729" s="84" t="n">
        <v>0.526315789473684</v>
      </c>
      <c r="P729" s="85">
        <f>AVERAGE(D729:I729)</f>
        <v/>
      </c>
      <c r="Q729" s="85">
        <f>AVERAGE(J729:L729)</f>
        <v/>
      </c>
      <c r="R729" s="85">
        <f>AVERAGE(M729:O729)</f>
        <v/>
      </c>
      <c r="S729" s="85">
        <f>'02_지표정의'!$C$22*P729+'02_지표정의'!$C$23*Q729+'02_지표정의'!$C$24*R729</f>
        <v/>
      </c>
      <c r="T729" s="73">
        <f>IF(OR(AND(B729="gemini",C729="gemma"),AND(B729="qwen3_6",C729="qwen"),AND(B729="mistral",C729="ministral")),1,0)</f>
        <v/>
      </c>
      <c r="U729" s="73">
        <f>IF(LEFT(A729,3)="PAT","특허","보고서")</f>
        <v/>
      </c>
      <c r="V729" s="86">
        <f>COUNTIF($S$2:$S$976,"&lt;"&amp;S729)+(COUNTIF($S$2:$S$976,"="&amp;S729)+1)/2</f>
        <v/>
      </c>
      <c r="W729" s="73">
        <f>IF(C729="qwen",0,COUNTIFS($C$2:$C$976,"&lt;&gt;qwen",$S$2:$S$976,"&lt;"&amp;S729)+1)</f>
        <v/>
      </c>
      <c r="X729" s="73">
        <f>IF(C729="ministral",0,COUNTIFS($C$2:$C$976,"&lt;&gt;ministral",$S$2:$S$976,"&lt;"&amp;S729)+1)</f>
        <v/>
      </c>
      <c r="Y729" s="73">
        <f>IF(C729="gemma",0,COUNTIFS($C$2:$C$976,"&lt;&gt;gemma",$S$2:$S$976,"&lt;"&amp;S729)+1)</f>
        <v/>
      </c>
      <c r="Z729" s="87">
        <f>COUNTIFS($B$2:$B$976,B729,$C$2:$C$976,C729,$S$2:$S$976,"&lt;"&amp;S729)+1</f>
        <v/>
      </c>
      <c r="AA729" s="88">
        <f>ABS(S729-SUMPRODUCT(('05B_가정검정'!$A$5:$A$19=B729)*('05B_가정검정'!$B$5:$B$19=C729)*'05B_가정검정'!$E$5:$E$19))</f>
        <v/>
      </c>
      <c r="AB729" s="88">
        <f>S729-AVERAGEIFS($S$2:$S$976,$B$2:$B$976,B729,$C$2:$C$976,C729)</f>
        <v/>
      </c>
    </row>
    <row r="730" ht="15" customHeight="1" s="68">
      <c r="A730" s="83" t="inlineStr">
        <is>
          <t>RPT-18</t>
        </is>
      </c>
      <c r="B730" s="83" t="inlineStr">
        <is>
          <t>gemini</t>
        </is>
      </c>
      <c r="C730" s="83" t="inlineStr">
        <is>
          <t>qwen</t>
        </is>
      </c>
      <c r="D730" s="84" t="n">
        <v>0.318114874815906</v>
      </c>
      <c r="E730" s="84" t="n">
        <v>0.32967032967033</v>
      </c>
      <c r="F730" s="84" t="n">
        <v>0.133333333333333</v>
      </c>
      <c r="G730" s="84" t="n">
        <v>0.263736263736264</v>
      </c>
      <c r="H730" s="84" t="n">
        <v>0.297292057944627</v>
      </c>
      <c r="I730" s="84" t="n">
        <v>0.343567034427194</v>
      </c>
      <c r="J730" s="84" t="n">
        <v>0.767799339473813</v>
      </c>
      <c r="K730" s="84" t="n">
        <v>0.731981407764416</v>
      </c>
      <c r="L730" s="84" t="n">
        <v>0.875200931433893</v>
      </c>
      <c r="M730" s="84" t="n">
        <v>0.544943820224719</v>
      </c>
      <c r="N730" s="84" t="n">
        <v>0.604395604395605</v>
      </c>
      <c r="O730" s="84" t="n">
        <v>1</v>
      </c>
      <c r="P730" s="85">
        <f>AVERAGE(D730:I730)</f>
        <v/>
      </c>
      <c r="Q730" s="85">
        <f>AVERAGE(J730:L730)</f>
        <v/>
      </c>
      <c r="R730" s="85">
        <f>AVERAGE(M730:O730)</f>
        <v/>
      </c>
      <c r="S730" s="85">
        <f>'02_지표정의'!$C$22*P730+'02_지표정의'!$C$23*Q730+'02_지표정의'!$C$24*R730</f>
        <v/>
      </c>
      <c r="T730" s="73">
        <f>IF(OR(AND(B730="gemini",C730="gemma"),AND(B730="qwen3_6",C730="qwen"),AND(B730="mistral",C730="ministral")),1,0)</f>
        <v/>
      </c>
      <c r="U730" s="73">
        <f>IF(LEFT(A730,3)="PAT","특허","보고서")</f>
        <v/>
      </c>
      <c r="V730" s="86">
        <f>COUNTIF($S$2:$S$976,"&lt;"&amp;S730)+(COUNTIF($S$2:$S$976,"="&amp;S730)+1)/2</f>
        <v/>
      </c>
      <c r="W730" s="73">
        <f>IF(C730="qwen",0,COUNTIFS($C$2:$C$976,"&lt;&gt;qwen",$S$2:$S$976,"&lt;"&amp;S730)+1)</f>
        <v/>
      </c>
      <c r="X730" s="73">
        <f>IF(C730="ministral",0,COUNTIFS($C$2:$C$976,"&lt;&gt;ministral",$S$2:$S$976,"&lt;"&amp;S730)+1)</f>
        <v/>
      </c>
      <c r="Y730" s="73">
        <f>IF(C730="gemma",0,COUNTIFS($C$2:$C$976,"&lt;&gt;gemma",$S$2:$S$976,"&lt;"&amp;S730)+1)</f>
        <v/>
      </c>
      <c r="Z730" s="87">
        <f>COUNTIFS($B$2:$B$976,B730,$C$2:$C$976,C730,$S$2:$S$976,"&lt;"&amp;S730)+1</f>
        <v/>
      </c>
      <c r="AA730" s="88">
        <f>ABS(S730-SUMPRODUCT(('05B_가정검정'!$A$5:$A$19=B730)*('05B_가정검정'!$B$5:$B$19=C730)*'05B_가정검정'!$E$5:$E$19))</f>
        <v/>
      </c>
      <c r="AB730" s="88">
        <f>S730-AVERAGEIFS($S$2:$S$976,$B$2:$B$976,B730,$C$2:$C$976,C730)</f>
        <v/>
      </c>
    </row>
    <row r="731" ht="15" customHeight="1" s="68">
      <c r="A731" s="83" t="inlineStr">
        <is>
          <t>RPT-18</t>
        </is>
      </c>
      <c r="B731" s="83" t="inlineStr">
        <is>
          <t>mistral</t>
        </is>
      </c>
      <c r="C731" s="83" t="inlineStr">
        <is>
          <t>gemma</t>
        </is>
      </c>
      <c r="D731" s="84" t="n">
        <v>0.247162673392182</v>
      </c>
      <c r="E731" s="84" t="n">
        <v>0.341463414634146</v>
      </c>
      <c r="F731" s="84" t="n">
        <v>0.108374384236453</v>
      </c>
      <c r="G731" s="84" t="n">
        <v>0.263414634146342</v>
      </c>
      <c r="H731" s="84" t="n">
        <v>0.285688886843926</v>
      </c>
      <c r="I731" s="84" t="n">
        <v>0.202106312502546</v>
      </c>
      <c r="J731" s="84" t="n">
        <v>0.738366367407479</v>
      </c>
      <c r="K731" s="84" t="n">
        <v>0.773067274389446</v>
      </c>
      <c r="L731" s="84" t="n">
        <v>0.881383741796139</v>
      </c>
      <c r="M731" s="84" t="n">
        <v>0.691275167785235</v>
      </c>
      <c r="N731" s="84" t="n">
        <v>0.513513513513514</v>
      </c>
      <c r="O731" s="84" t="n">
        <v>1</v>
      </c>
      <c r="P731" s="85">
        <f>AVERAGE(D731:I731)</f>
        <v/>
      </c>
      <c r="Q731" s="85">
        <f>AVERAGE(J731:L731)</f>
        <v/>
      </c>
      <c r="R731" s="85">
        <f>AVERAGE(M731:O731)</f>
        <v/>
      </c>
      <c r="S731" s="85">
        <f>'02_지표정의'!$C$22*P731+'02_지표정의'!$C$23*Q731+'02_지표정의'!$C$24*R731</f>
        <v/>
      </c>
      <c r="T731" s="73">
        <f>IF(OR(AND(B731="gemini",C731="gemma"),AND(B731="qwen3_6",C731="qwen"),AND(B731="mistral",C731="ministral")),1,0)</f>
        <v/>
      </c>
      <c r="U731" s="73">
        <f>IF(LEFT(A731,3)="PAT","특허","보고서")</f>
        <v/>
      </c>
      <c r="V731" s="86">
        <f>COUNTIF($S$2:$S$976,"&lt;"&amp;S731)+(COUNTIF($S$2:$S$976,"="&amp;S731)+1)/2</f>
        <v/>
      </c>
      <c r="W731" s="73">
        <f>IF(C731="qwen",0,COUNTIFS($C$2:$C$976,"&lt;&gt;qwen",$S$2:$S$976,"&lt;"&amp;S731)+1)</f>
        <v/>
      </c>
      <c r="X731" s="73">
        <f>IF(C731="ministral",0,COUNTIFS($C$2:$C$976,"&lt;&gt;ministral",$S$2:$S$976,"&lt;"&amp;S731)+1)</f>
        <v/>
      </c>
      <c r="Y731" s="73">
        <f>IF(C731="gemma",0,COUNTIFS($C$2:$C$976,"&lt;&gt;gemma",$S$2:$S$976,"&lt;"&amp;S731)+1)</f>
        <v/>
      </c>
      <c r="Z731" s="87">
        <f>COUNTIFS($B$2:$B$976,B731,$C$2:$C$976,C731,$S$2:$S$976,"&lt;"&amp;S731)+1</f>
        <v/>
      </c>
      <c r="AA731" s="88">
        <f>ABS(S731-SUMPRODUCT(('05B_가정검정'!$A$5:$A$19=B731)*('05B_가정검정'!$B$5:$B$19=C731)*'05B_가정검정'!$E$5:$E$19))</f>
        <v/>
      </c>
      <c r="AB731" s="88">
        <f>S731-AVERAGEIFS($S$2:$S$976,$B$2:$B$976,B731,$C$2:$C$976,C731)</f>
        <v/>
      </c>
    </row>
    <row r="732" ht="15" customHeight="1" s="68">
      <c r="A732" s="83" t="inlineStr">
        <is>
          <t>RPT-18</t>
        </is>
      </c>
      <c r="B732" s="83" t="inlineStr">
        <is>
          <t>mistral</t>
        </is>
      </c>
      <c r="C732" s="83" t="inlineStr">
        <is>
          <t>ministral</t>
        </is>
      </c>
      <c r="D732" s="84" t="n">
        <v>0.301441677588467</v>
      </c>
      <c r="E732" s="84" t="n">
        <v>0.256055363321799</v>
      </c>
      <c r="F732" s="84" t="n">
        <v>0.0975609756097561</v>
      </c>
      <c r="G732" s="84" t="n">
        <v>0.221453287197232</v>
      </c>
      <c r="H732" s="84" t="n">
        <v>0.178000249613147</v>
      </c>
      <c r="I732" s="84" t="n">
        <v>0.281182482166824</v>
      </c>
      <c r="J732" s="84" t="n">
        <v>0.741044523567669</v>
      </c>
      <c r="K732" s="84" t="n">
        <v>0.75858190289873</v>
      </c>
      <c r="L732" s="84" t="n">
        <v>0.886490894091656</v>
      </c>
      <c r="M732" s="84" t="n">
        <v>0.344173441734417</v>
      </c>
      <c r="N732" s="84" t="n">
        <v>0.224489795918367</v>
      </c>
      <c r="O732" s="84" t="n">
        <v>0.526315789473684</v>
      </c>
      <c r="P732" s="85">
        <f>AVERAGE(D732:I732)</f>
        <v/>
      </c>
      <c r="Q732" s="85">
        <f>AVERAGE(J732:L732)</f>
        <v/>
      </c>
      <c r="R732" s="85">
        <f>AVERAGE(M732:O732)</f>
        <v/>
      </c>
      <c r="S732" s="85">
        <f>'02_지표정의'!$C$22*P732+'02_지표정의'!$C$23*Q732+'02_지표정의'!$C$24*R732</f>
        <v/>
      </c>
      <c r="T732" s="73">
        <f>IF(OR(AND(B732="gemini",C732="gemma"),AND(B732="qwen3_6",C732="qwen"),AND(B732="mistral",C732="ministral")),1,0)</f>
        <v/>
      </c>
      <c r="U732" s="73">
        <f>IF(LEFT(A732,3)="PAT","특허","보고서")</f>
        <v/>
      </c>
      <c r="V732" s="86">
        <f>COUNTIF($S$2:$S$976,"&lt;"&amp;S732)+(COUNTIF($S$2:$S$976,"="&amp;S732)+1)/2</f>
        <v/>
      </c>
      <c r="W732" s="73">
        <f>IF(C732="qwen",0,COUNTIFS($C$2:$C$976,"&lt;&gt;qwen",$S$2:$S$976,"&lt;"&amp;S732)+1)</f>
        <v/>
      </c>
      <c r="X732" s="73">
        <f>IF(C732="ministral",0,COUNTIFS($C$2:$C$976,"&lt;&gt;ministral",$S$2:$S$976,"&lt;"&amp;S732)+1)</f>
        <v/>
      </c>
      <c r="Y732" s="73">
        <f>IF(C732="gemma",0,COUNTIFS($C$2:$C$976,"&lt;&gt;gemma",$S$2:$S$976,"&lt;"&amp;S732)+1)</f>
        <v/>
      </c>
      <c r="Z732" s="87">
        <f>COUNTIFS($B$2:$B$976,B732,$C$2:$C$976,C732,$S$2:$S$976,"&lt;"&amp;S732)+1</f>
        <v/>
      </c>
      <c r="AA732" s="88">
        <f>ABS(S732-SUMPRODUCT(('05B_가정검정'!$A$5:$A$19=B732)*('05B_가정검정'!$B$5:$B$19=C732)*'05B_가정검정'!$E$5:$E$19))</f>
        <v/>
      </c>
      <c r="AB732" s="88">
        <f>S732-AVERAGEIFS($S$2:$S$976,$B$2:$B$976,B732,$C$2:$C$976,C732)</f>
        <v/>
      </c>
    </row>
    <row r="733" ht="15" customHeight="1" s="68">
      <c r="A733" s="83" t="inlineStr">
        <is>
          <t>RPT-18</t>
        </is>
      </c>
      <c r="B733" s="83" t="inlineStr">
        <is>
          <t>mistral</t>
        </is>
      </c>
      <c r="C733" s="83" t="inlineStr">
        <is>
          <t>qwen</t>
        </is>
      </c>
      <c r="D733" s="84" t="n">
        <v>0.321372854914197</v>
      </c>
      <c r="E733" s="84" t="n">
        <v>0.331550802139037</v>
      </c>
      <c r="F733" s="84" t="n">
        <v>0.140540540540541</v>
      </c>
      <c r="G733" s="84" t="n">
        <v>0.320855614973262</v>
      </c>
      <c r="H733" s="84" t="n">
        <v>0.26409121451843</v>
      </c>
      <c r="I733" s="84" t="n">
        <v>0.234891502358511</v>
      </c>
      <c r="J733" s="84" t="n">
        <v>0.740998994730008</v>
      </c>
      <c r="K733" s="84" t="n">
        <v>0.712457287661127</v>
      </c>
      <c r="L733" s="84" t="n">
        <v>0.856558845420849</v>
      </c>
      <c r="M733" s="84" t="n">
        <v>0.589887640449438</v>
      </c>
      <c r="N733" s="84" t="n">
        <v>0.384615384615385</v>
      </c>
      <c r="O733" s="84" t="n">
        <v>1</v>
      </c>
      <c r="P733" s="85">
        <f>AVERAGE(D733:I733)</f>
        <v/>
      </c>
      <c r="Q733" s="85">
        <f>AVERAGE(J733:L733)</f>
        <v/>
      </c>
      <c r="R733" s="85">
        <f>AVERAGE(M733:O733)</f>
        <v/>
      </c>
      <c r="S733" s="85">
        <f>'02_지표정의'!$C$22*P733+'02_지표정의'!$C$23*Q733+'02_지표정의'!$C$24*R733</f>
        <v/>
      </c>
      <c r="T733" s="73">
        <f>IF(OR(AND(B733="gemini",C733="gemma"),AND(B733="qwen3_6",C733="qwen"),AND(B733="mistral",C733="ministral")),1,0)</f>
        <v/>
      </c>
      <c r="U733" s="73">
        <f>IF(LEFT(A733,3)="PAT","특허","보고서")</f>
        <v/>
      </c>
      <c r="V733" s="86">
        <f>COUNTIF($S$2:$S$976,"&lt;"&amp;S733)+(COUNTIF($S$2:$S$976,"="&amp;S733)+1)/2</f>
        <v/>
      </c>
      <c r="W733" s="73">
        <f>IF(C733="qwen",0,COUNTIFS($C$2:$C$976,"&lt;&gt;qwen",$S$2:$S$976,"&lt;"&amp;S733)+1)</f>
        <v/>
      </c>
      <c r="X733" s="73">
        <f>IF(C733="ministral",0,COUNTIFS($C$2:$C$976,"&lt;&gt;ministral",$S$2:$S$976,"&lt;"&amp;S733)+1)</f>
        <v/>
      </c>
      <c r="Y733" s="73">
        <f>IF(C733="gemma",0,COUNTIFS($C$2:$C$976,"&lt;&gt;gemma",$S$2:$S$976,"&lt;"&amp;S733)+1)</f>
        <v/>
      </c>
      <c r="Z733" s="87">
        <f>COUNTIFS($B$2:$B$976,B733,$C$2:$C$976,C733,$S$2:$S$976,"&lt;"&amp;S733)+1</f>
        <v/>
      </c>
      <c r="AA733" s="88">
        <f>ABS(S733-SUMPRODUCT(('05B_가정검정'!$A$5:$A$19=B733)*('05B_가정검정'!$B$5:$B$19=C733)*'05B_가정검정'!$E$5:$E$19))</f>
        <v/>
      </c>
      <c r="AB733" s="88">
        <f>S733-AVERAGEIFS($S$2:$S$976,$B$2:$B$976,B733,$C$2:$C$976,C733)</f>
        <v/>
      </c>
    </row>
    <row r="734" ht="15" customHeight="1" s="68">
      <c r="A734" s="83" t="inlineStr">
        <is>
          <t>RPT-18</t>
        </is>
      </c>
      <c r="B734" s="83" t="inlineStr">
        <is>
          <t>qwen3_6</t>
        </is>
      </c>
      <c r="C734" s="83" t="inlineStr">
        <is>
          <t>gemma</t>
        </is>
      </c>
      <c r="D734" s="84" t="n">
        <v>0.26824034334764</v>
      </c>
      <c r="E734" s="84" t="n">
        <v>0.347826086956522</v>
      </c>
      <c r="F734" s="84" t="n">
        <v>0.12280701754386</v>
      </c>
      <c r="G734" s="84" t="n">
        <v>0.243478260869565</v>
      </c>
      <c r="H734" s="84" t="n">
        <v>0.401525621596662</v>
      </c>
      <c r="I734" s="84" t="n">
        <v>0.207386435366083</v>
      </c>
      <c r="J734" s="84" t="n">
        <v>0.686730733967148</v>
      </c>
      <c r="K734" s="84" t="n">
        <v>0.663669602560862</v>
      </c>
      <c r="L734" s="84" t="n">
        <v>0.830649205482652</v>
      </c>
      <c r="M734" s="84" t="n">
        <v>0.651006711409396</v>
      </c>
      <c r="N734" s="84" t="n">
        <v>0.774647887323944</v>
      </c>
      <c r="O734" s="84" t="n">
        <v>1</v>
      </c>
      <c r="P734" s="85">
        <f>AVERAGE(D734:I734)</f>
        <v/>
      </c>
      <c r="Q734" s="85">
        <f>AVERAGE(J734:L734)</f>
        <v/>
      </c>
      <c r="R734" s="85">
        <f>AVERAGE(M734:O734)</f>
        <v/>
      </c>
      <c r="S734" s="85">
        <f>'02_지표정의'!$C$22*P734+'02_지표정의'!$C$23*Q734+'02_지표정의'!$C$24*R734</f>
        <v/>
      </c>
      <c r="T734" s="73">
        <f>IF(OR(AND(B734="gemini",C734="gemma"),AND(B734="qwen3_6",C734="qwen"),AND(B734="mistral",C734="ministral")),1,0)</f>
        <v/>
      </c>
      <c r="U734" s="73">
        <f>IF(LEFT(A734,3)="PAT","특허","보고서")</f>
        <v/>
      </c>
      <c r="V734" s="86">
        <f>COUNTIF($S$2:$S$976,"&lt;"&amp;S734)+(COUNTIF($S$2:$S$976,"="&amp;S734)+1)/2</f>
        <v/>
      </c>
      <c r="W734" s="73">
        <f>IF(C734="qwen",0,COUNTIFS($C$2:$C$976,"&lt;&gt;qwen",$S$2:$S$976,"&lt;"&amp;S734)+1)</f>
        <v/>
      </c>
      <c r="X734" s="73">
        <f>IF(C734="ministral",0,COUNTIFS($C$2:$C$976,"&lt;&gt;ministral",$S$2:$S$976,"&lt;"&amp;S734)+1)</f>
        <v/>
      </c>
      <c r="Y734" s="73">
        <f>IF(C734="gemma",0,COUNTIFS($C$2:$C$976,"&lt;&gt;gemma",$S$2:$S$976,"&lt;"&amp;S734)+1)</f>
        <v/>
      </c>
      <c r="Z734" s="87">
        <f>COUNTIFS($B$2:$B$976,B734,$C$2:$C$976,C734,$S$2:$S$976,"&lt;"&amp;S734)+1</f>
        <v/>
      </c>
      <c r="AA734" s="88">
        <f>ABS(S734-SUMPRODUCT(('05B_가정검정'!$A$5:$A$19=B734)*('05B_가정검정'!$B$5:$B$19=C734)*'05B_가정검정'!$E$5:$E$19))</f>
        <v/>
      </c>
      <c r="AB734" s="88">
        <f>S734-AVERAGEIFS($S$2:$S$976,$B$2:$B$976,B734,$C$2:$C$976,C734)</f>
        <v/>
      </c>
    </row>
    <row r="735" ht="15" customHeight="1" s="68">
      <c r="A735" s="83" t="inlineStr">
        <is>
          <t>RPT-18</t>
        </is>
      </c>
      <c r="B735" s="83" t="inlineStr">
        <is>
          <t>qwen3_6</t>
        </is>
      </c>
      <c r="C735" s="83" t="inlineStr">
        <is>
          <t>ministral</t>
        </is>
      </c>
      <c r="D735" s="84" t="n">
        <v>0.24390243902439</v>
      </c>
      <c r="E735" s="84" t="n">
        <v>0.222929936305733</v>
      </c>
      <c r="F735" s="84" t="n">
        <v>0.0897435897435898</v>
      </c>
      <c r="G735" s="84" t="n">
        <v>0.178343949044586</v>
      </c>
      <c r="H735" s="84" t="n">
        <v>0.225152292407967</v>
      </c>
      <c r="I735" s="84" t="n">
        <v>0.208713262379938</v>
      </c>
      <c r="J735" s="84" t="n">
        <v>0.683276755711838</v>
      </c>
      <c r="K735" s="84" t="n">
        <v>0.673822643070815</v>
      </c>
      <c r="L735" s="84" t="n">
        <v>0.787567983068325</v>
      </c>
      <c r="M735" s="84" t="n">
        <v>0.262872628726287</v>
      </c>
      <c r="N735" s="84" t="n">
        <v>0.251700680272109</v>
      </c>
      <c r="O735" s="84" t="n">
        <v>0.526315789473684</v>
      </c>
      <c r="P735" s="85">
        <f>AVERAGE(D735:I735)</f>
        <v/>
      </c>
      <c r="Q735" s="85">
        <f>AVERAGE(J735:L735)</f>
        <v/>
      </c>
      <c r="R735" s="85">
        <f>AVERAGE(M735:O735)</f>
        <v/>
      </c>
      <c r="S735" s="85">
        <f>'02_지표정의'!$C$22*P735+'02_지표정의'!$C$23*Q735+'02_지표정의'!$C$24*R735</f>
        <v/>
      </c>
      <c r="T735" s="73">
        <f>IF(OR(AND(B735="gemini",C735="gemma"),AND(B735="qwen3_6",C735="qwen"),AND(B735="mistral",C735="ministral")),1,0)</f>
        <v/>
      </c>
      <c r="U735" s="73">
        <f>IF(LEFT(A735,3)="PAT","특허","보고서")</f>
        <v/>
      </c>
      <c r="V735" s="86">
        <f>COUNTIF($S$2:$S$976,"&lt;"&amp;S735)+(COUNTIF($S$2:$S$976,"="&amp;S735)+1)/2</f>
        <v/>
      </c>
      <c r="W735" s="73">
        <f>IF(C735="qwen",0,COUNTIFS($C$2:$C$976,"&lt;&gt;qwen",$S$2:$S$976,"&lt;"&amp;S735)+1)</f>
        <v/>
      </c>
      <c r="X735" s="73">
        <f>IF(C735="ministral",0,COUNTIFS($C$2:$C$976,"&lt;&gt;ministral",$S$2:$S$976,"&lt;"&amp;S735)+1)</f>
        <v/>
      </c>
      <c r="Y735" s="73">
        <f>IF(C735="gemma",0,COUNTIFS($C$2:$C$976,"&lt;&gt;gemma",$S$2:$S$976,"&lt;"&amp;S735)+1)</f>
        <v/>
      </c>
      <c r="Z735" s="87">
        <f>COUNTIFS($B$2:$B$976,B735,$C$2:$C$976,C735,$S$2:$S$976,"&lt;"&amp;S735)+1</f>
        <v/>
      </c>
      <c r="AA735" s="88">
        <f>ABS(S735-SUMPRODUCT(('05B_가정검정'!$A$5:$A$19=B735)*('05B_가정검정'!$B$5:$B$19=C735)*'05B_가정검정'!$E$5:$E$19))</f>
        <v/>
      </c>
      <c r="AB735" s="88">
        <f>S735-AVERAGEIFS($S$2:$S$976,$B$2:$B$976,B735,$C$2:$C$976,C735)</f>
        <v/>
      </c>
    </row>
    <row r="736" ht="15" customHeight="1" s="68">
      <c r="A736" s="83" t="inlineStr">
        <is>
          <t>RPT-18</t>
        </is>
      </c>
      <c r="B736" s="83" t="inlineStr">
        <is>
          <t>qwen3_6</t>
        </is>
      </c>
      <c r="C736" s="83" t="inlineStr">
        <is>
          <t>qwen</t>
        </is>
      </c>
      <c r="D736" s="84" t="n">
        <v>0.282051282051282</v>
      </c>
      <c r="E736" s="84" t="n">
        <v>0.349056603773585</v>
      </c>
      <c r="F736" s="84" t="n">
        <v>0.180952380952381</v>
      </c>
      <c r="G736" s="84" t="n">
        <v>0.30188679245283</v>
      </c>
      <c r="H736" s="84" t="n">
        <v>0.403294829208862</v>
      </c>
      <c r="I736" s="84" t="n">
        <v>0.360452555780878</v>
      </c>
      <c r="J736" s="84" t="n">
        <v>0.708196924987336</v>
      </c>
      <c r="K736" s="84" t="n">
        <v>0.680440689698695</v>
      </c>
      <c r="L736" s="84" t="n">
        <v>0.8437157966625231</v>
      </c>
      <c r="M736" s="84" t="n">
        <v>0.544943820224719</v>
      </c>
      <c r="N736" s="84" t="n">
        <v>0.604395604395605</v>
      </c>
      <c r="O736" s="84" t="n">
        <v>1</v>
      </c>
      <c r="P736" s="85">
        <f>AVERAGE(D736:I736)</f>
        <v/>
      </c>
      <c r="Q736" s="85">
        <f>AVERAGE(J736:L736)</f>
        <v/>
      </c>
      <c r="R736" s="85">
        <f>AVERAGE(M736:O736)</f>
        <v/>
      </c>
      <c r="S736" s="85">
        <f>'02_지표정의'!$C$22*P736+'02_지표정의'!$C$23*Q736+'02_지표정의'!$C$24*R736</f>
        <v/>
      </c>
      <c r="T736" s="73">
        <f>IF(OR(AND(B736="gemini",C736="gemma"),AND(B736="qwen3_6",C736="qwen"),AND(B736="mistral",C736="ministral")),1,0)</f>
        <v/>
      </c>
      <c r="U736" s="73">
        <f>IF(LEFT(A736,3)="PAT","특허","보고서")</f>
        <v/>
      </c>
      <c r="V736" s="86">
        <f>COUNTIF($S$2:$S$976,"&lt;"&amp;S736)+(COUNTIF($S$2:$S$976,"="&amp;S736)+1)/2</f>
        <v/>
      </c>
      <c r="W736" s="73">
        <f>IF(C736="qwen",0,COUNTIFS($C$2:$C$976,"&lt;&gt;qwen",$S$2:$S$976,"&lt;"&amp;S736)+1)</f>
        <v/>
      </c>
      <c r="X736" s="73">
        <f>IF(C736="ministral",0,COUNTIFS($C$2:$C$976,"&lt;&gt;ministral",$S$2:$S$976,"&lt;"&amp;S736)+1)</f>
        <v/>
      </c>
      <c r="Y736" s="73">
        <f>IF(C736="gemma",0,COUNTIFS($C$2:$C$976,"&lt;&gt;gemma",$S$2:$S$976,"&lt;"&amp;S736)+1)</f>
        <v/>
      </c>
      <c r="Z736" s="87">
        <f>COUNTIFS($B$2:$B$976,B736,$C$2:$C$976,C736,$S$2:$S$976,"&lt;"&amp;S736)+1</f>
        <v/>
      </c>
      <c r="AA736" s="88">
        <f>ABS(S736-SUMPRODUCT(('05B_가정검정'!$A$5:$A$19=B736)*('05B_가정검정'!$B$5:$B$19=C736)*'05B_가정검정'!$E$5:$E$19))</f>
        <v/>
      </c>
      <c r="AB736" s="88">
        <f>S736-AVERAGEIFS($S$2:$S$976,$B$2:$B$976,B736,$C$2:$C$976,C736)</f>
        <v/>
      </c>
    </row>
    <row r="737" ht="15" customHeight="1" s="68">
      <c r="A737" s="83" t="inlineStr">
        <is>
          <t>RPT-19</t>
        </is>
      </c>
      <c r="B737" s="83" t="inlineStr">
        <is>
          <t>chatgpt</t>
        </is>
      </c>
      <c r="C737" s="83" t="inlineStr">
        <is>
          <t>gemma</t>
        </is>
      </c>
      <c r="D737" s="84" t="n">
        <v>0.268974700399467</v>
      </c>
      <c r="E737" s="84" t="n">
        <v>0.297872340425532</v>
      </c>
      <c r="F737" s="84" t="n">
        <v>0.128755364806867</v>
      </c>
      <c r="G737" s="84" t="n">
        <v>0.229787234042553</v>
      </c>
      <c r="H737" s="84" t="n">
        <v>0.243226406073461</v>
      </c>
      <c r="I737" s="84" t="n">
        <v>0.241659075045166</v>
      </c>
      <c r="J737" s="84" t="n">
        <v>0.659754992248467</v>
      </c>
      <c r="K737" s="84" t="n">
        <v>0.599013410879178</v>
      </c>
      <c r="L737" s="84" t="n">
        <v>0.793580517052847</v>
      </c>
      <c r="M737" s="84" t="n">
        <v>0.515151515151515</v>
      </c>
      <c r="N737" s="84" t="n">
        <v>0.213483146067416</v>
      </c>
      <c r="O737" s="84" t="n">
        <v>1</v>
      </c>
      <c r="P737" s="85">
        <f>AVERAGE(D737:I737)</f>
        <v/>
      </c>
      <c r="Q737" s="85">
        <f>AVERAGE(J737:L737)</f>
        <v/>
      </c>
      <c r="R737" s="85">
        <f>AVERAGE(M737:O737)</f>
        <v/>
      </c>
      <c r="S737" s="85">
        <f>'02_지표정의'!$C$22*P737+'02_지표정의'!$C$23*Q737+'02_지표정의'!$C$24*R737</f>
        <v/>
      </c>
      <c r="T737" s="73">
        <f>IF(OR(AND(B737="gemini",C737="gemma"),AND(B737="qwen3_6",C737="qwen"),AND(B737="mistral",C737="ministral")),1,0)</f>
        <v/>
      </c>
      <c r="U737" s="73">
        <f>IF(LEFT(A737,3)="PAT","특허","보고서")</f>
        <v/>
      </c>
      <c r="V737" s="86">
        <f>COUNTIF($S$2:$S$976,"&lt;"&amp;S737)+(COUNTIF($S$2:$S$976,"="&amp;S737)+1)/2</f>
        <v/>
      </c>
      <c r="W737" s="73">
        <f>IF(C737="qwen",0,COUNTIFS($C$2:$C$976,"&lt;&gt;qwen",$S$2:$S$976,"&lt;"&amp;S737)+1)</f>
        <v/>
      </c>
      <c r="X737" s="73">
        <f>IF(C737="ministral",0,COUNTIFS($C$2:$C$976,"&lt;&gt;ministral",$S$2:$S$976,"&lt;"&amp;S737)+1)</f>
        <v/>
      </c>
      <c r="Y737" s="73">
        <f>IF(C737="gemma",0,COUNTIFS($C$2:$C$976,"&lt;&gt;gemma",$S$2:$S$976,"&lt;"&amp;S737)+1)</f>
        <v/>
      </c>
      <c r="Z737" s="87">
        <f>COUNTIFS($B$2:$B$976,B737,$C$2:$C$976,C737,$S$2:$S$976,"&lt;"&amp;S737)+1</f>
        <v/>
      </c>
      <c r="AA737" s="88">
        <f>ABS(S737-SUMPRODUCT(('05B_가정검정'!$A$5:$A$19=B737)*('05B_가정검정'!$B$5:$B$19=C737)*'05B_가정검정'!$E$5:$E$19))</f>
        <v/>
      </c>
      <c r="AB737" s="88">
        <f>S737-AVERAGEIFS($S$2:$S$976,$B$2:$B$976,B737,$C$2:$C$976,C737)</f>
        <v/>
      </c>
    </row>
    <row r="738" ht="15" customHeight="1" s="68">
      <c r="A738" s="83" t="inlineStr">
        <is>
          <t>RPT-19</t>
        </is>
      </c>
      <c r="B738" s="83" t="inlineStr">
        <is>
          <t>chatgpt</t>
        </is>
      </c>
      <c r="C738" s="83" t="inlineStr">
        <is>
          <t>ministral</t>
        </is>
      </c>
      <c r="D738" s="84" t="n">
        <v>0.316400580551524</v>
      </c>
      <c r="E738" s="84" t="n">
        <v>0.261127596439169</v>
      </c>
      <c r="F738" s="84" t="n">
        <v>0.13134328358209</v>
      </c>
      <c r="G738" s="84" t="n">
        <v>0.219584569732938</v>
      </c>
      <c r="H738" s="84" t="n">
        <v>0.188392903920117</v>
      </c>
      <c r="I738" s="84" t="n">
        <v>0.286220700795924</v>
      </c>
      <c r="J738" s="84" t="n">
        <v>0.674645197435903</v>
      </c>
      <c r="K738" s="84" t="n">
        <v>0.7020918930896221</v>
      </c>
      <c r="L738" s="84" t="n">
        <v>0.8324737633411911</v>
      </c>
      <c r="M738" s="84" t="n">
        <v>0.417956656346749</v>
      </c>
      <c r="N738" s="84" t="n">
        <v>0</v>
      </c>
      <c r="O738" s="84" t="n">
        <v>0.526315789473684</v>
      </c>
      <c r="P738" s="85">
        <f>AVERAGE(D738:I738)</f>
        <v/>
      </c>
      <c r="Q738" s="85">
        <f>AVERAGE(J738:L738)</f>
        <v/>
      </c>
      <c r="R738" s="85">
        <f>AVERAGE(M738:O738)</f>
        <v/>
      </c>
      <c r="S738" s="85">
        <f>'02_지표정의'!$C$22*P738+'02_지표정의'!$C$23*Q738+'02_지표정의'!$C$24*R738</f>
        <v/>
      </c>
      <c r="T738" s="73">
        <f>IF(OR(AND(B738="gemini",C738="gemma"),AND(B738="qwen3_6",C738="qwen"),AND(B738="mistral",C738="ministral")),1,0)</f>
        <v/>
      </c>
      <c r="U738" s="73">
        <f>IF(LEFT(A738,3)="PAT","특허","보고서")</f>
        <v/>
      </c>
      <c r="V738" s="86">
        <f>COUNTIF($S$2:$S$976,"&lt;"&amp;S738)+(COUNTIF($S$2:$S$976,"="&amp;S738)+1)/2</f>
        <v/>
      </c>
      <c r="W738" s="73">
        <f>IF(C738="qwen",0,COUNTIFS($C$2:$C$976,"&lt;&gt;qwen",$S$2:$S$976,"&lt;"&amp;S738)+1)</f>
        <v/>
      </c>
      <c r="X738" s="73">
        <f>IF(C738="ministral",0,COUNTIFS($C$2:$C$976,"&lt;&gt;ministral",$S$2:$S$976,"&lt;"&amp;S738)+1)</f>
        <v/>
      </c>
      <c r="Y738" s="73">
        <f>IF(C738="gemma",0,COUNTIFS($C$2:$C$976,"&lt;&gt;gemma",$S$2:$S$976,"&lt;"&amp;S738)+1)</f>
        <v/>
      </c>
      <c r="Z738" s="87">
        <f>COUNTIFS($B$2:$B$976,B738,$C$2:$C$976,C738,$S$2:$S$976,"&lt;"&amp;S738)+1</f>
        <v/>
      </c>
      <c r="AA738" s="88">
        <f>ABS(S738-SUMPRODUCT(('05B_가정검정'!$A$5:$A$19=B738)*('05B_가정검정'!$B$5:$B$19=C738)*'05B_가정검정'!$E$5:$E$19))</f>
        <v/>
      </c>
      <c r="AB738" s="88">
        <f>S738-AVERAGEIFS($S$2:$S$976,$B$2:$B$976,B738,$C$2:$C$976,C738)</f>
        <v/>
      </c>
    </row>
    <row r="739" ht="15" customHeight="1" s="68">
      <c r="A739" s="83" t="inlineStr">
        <is>
          <t>RPT-19</t>
        </is>
      </c>
      <c r="B739" s="83" t="inlineStr">
        <is>
          <t>chatgpt</t>
        </is>
      </c>
      <c r="C739" s="83" t="inlineStr">
        <is>
          <t>qwen</t>
        </is>
      </c>
      <c r="D739" s="84" t="n">
        <v>0.343042071197411</v>
      </c>
      <c r="E739" s="84" t="n">
        <v>0.41025641025641</v>
      </c>
      <c r="F739" s="84" t="n">
        <v>0.206896551724138</v>
      </c>
      <c r="G739" s="84" t="n">
        <v>0.282051282051282</v>
      </c>
      <c r="H739" s="84" t="n">
        <v>0.312440971259141</v>
      </c>
      <c r="I739" s="84" t="n">
        <v>0.303469017328693</v>
      </c>
      <c r="J739" s="84" t="n">
        <v>0.727109802256268</v>
      </c>
      <c r="K739" s="84" t="n">
        <v>0.627711427943309</v>
      </c>
      <c r="L739" s="84" t="n">
        <v>0.832729633201958</v>
      </c>
      <c r="M739" s="84" t="n">
        <v>0.515151515151515</v>
      </c>
      <c r="N739" s="84" t="n">
        <v>0</v>
      </c>
      <c r="O739" s="84" t="n">
        <v>1</v>
      </c>
      <c r="P739" s="85">
        <f>AVERAGE(D739:I739)</f>
        <v/>
      </c>
      <c r="Q739" s="85">
        <f>AVERAGE(J739:L739)</f>
        <v/>
      </c>
      <c r="R739" s="85">
        <f>AVERAGE(M739:O739)</f>
        <v/>
      </c>
      <c r="S739" s="85">
        <f>'02_지표정의'!$C$22*P739+'02_지표정의'!$C$23*Q739+'02_지표정의'!$C$24*R739</f>
        <v/>
      </c>
      <c r="T739" s="73">
        <f>IF(OR(AND(B739="gemini",C739="gemma"),AND(B739="qwen3_6",C739="qwen"),AND(B739="mistral",C739="ministral")),1,0)</f>
        <v/>
      </c>
      <c r="U739" s="73">
        <f>IF(LEFT(A739,3)="PAT","특허","보고서")</f>
        <v/>
      </c>
      <c r="V739" s="86">
        <f>COUNTIF($S$2:$S$976,"&lt;"&amp;S739)+(COUNTIF($S$2:$S$976,"="&amp;S739)+1)/2</f>
        <v/>
      </c>
      <c r="W739" s="73">
        <f>IF(C739="qwen",0,COUNTIFS($C$2:$C$976,"&lt;&gt;qwen",$S$2:$S$976,"&lt;"&amp;S739)+1)</f>
        <v/>
      </c>
      <c r="X739" s="73">
        <f>IF(C739="ministral",0,COUNTIFS($C$2:$C$976,"&lt;&gt;ministral",$S$2:$S$976,"&lt;"&amp;S739)+1)</f>
        <v/>
      </c>
      <c r="Y739" s="73">
        <f>IF(C739="gemma",0,COUNTIFS($C$2:$C$976,"&lt;&gt;gemma",$S$2:$S$976,"&lt;"&amp;S739)+1)</f>
        <v/>
      </c>
      <c r="Z739" s="87">
        <f>COUNTIFS($B$2:$B$976,B739,$C$2:$C$976,C739,$S$2:$S$976,"&lt;"&amp;S739)+1</f>
        <v/>
      </c>
      <c r="AA739" s="88">
        <f>ABS(S739-SUMPRODUCT(('05B_가정검정'!$A$5:$A$19=B739)*('05B_가정검정'!$B$5:$B$19=C739)*'05B_가정검정'!$E$5:$E$19))</f>
        <v/>
      </c>
      <c r="AB739" s="88">
        <f>S739-AVERAGEIFS($S$2:$S$976,$B$2:$B$976,B739,$C$2:$C$976,C739)</f>
        <v/>
      </c>
    </row>
    <row r="740" ht="15" customHeight="1" s="68">
      <c r="A740" s="83" t="inlineStr">
        <is>
          <t>RPT-19</t>
        </is>
      </c>
      <c r="B740" s="83" t="inlineStr">
        <is>
          <t>claude</t>
        </is>
      </c>
      <c r="C740" s="83" t="inlineStr">
        <is>
          <t>gemma</t>
        </is>
      </c>
      <c r="D740" s="84" t="n">
        <v>0.240561896400351</v>
      </c>
      <c r="E740" s="84" t="n">
        <v>0.333333333333333</v>
      </c>
      <c r="F740" s="84" t="n">
        <v>0.127358490566038</v>
      </c>
      <c r="G740" s="84" t="n">
        <v>0.183098591549296</v>
      </c>
      <c r="H740" s="84" t="n">
        <v>0.308671539943086</v>
      </c>
      <c r="I740" s="84" t="n">
        <v>0.192157492381644</v>
      </c>
      <c r="J740" s="84" t="n">
        <v>0.679315799487001</v>
      </c>
      <c r="K740" s="84" t="n">
        <v>0.633375881515545</v>
      </c>
      <c r="L740" s="84" t="n">
        <v>0.841239770001723</v>
      </c>
      <c r="M740" s="84" t="n">
        <v>0.664285714285714</v>
      </c>
      <c r="N740" s="84" t="n">
        <v>0.597560975609756</v>
      </c>
      <c r="O740" s="84" t="n">
        <v>1</v>
      </c>
      <c r="P740" s="85">
        <f>AVERAGE(D740:I740)</f>
        <v/>
      </c>
      <c r="Q740" s="85">
        <f>AVERAGE(J740:L740)</f>
        <v/>
      </c>
      <c r="R740" s="85">
        <f>AVERAGE(M740:O740)</f>
        <v/>
      </c>
      <c r="S740" s="85">
        <f>'02_지표정의'!$C$22*P740+'02_지표정의'!$C$23*Q740+'02_지표정의'!$C$24*R740</f>
        <v/>
      </c>
      <c r="T740" s="73">
        <f>IF(OR(AND(B740="gemini",C740="gemma"),AND(B740="qwen3_6",C740="qwen"),AND(B740="mistral",C740="ministral")),1,0)</f>
        <v/>
      </c>
      <c r="U740" s="73">
        <f>IF(LEFT(A740,3)="PAT","특허","보고서")</f>
        <v/>
      </c>
      <c r="V740" s="86">
        <f>COUNTIF($S$2:$S$976,"&lt;"&amp;S740)+(COUNTIF($S$2:$S$976,"="&amp;S740)+1)/2</f>
        <v/>
      </c>
      <c r="W740" s="73">
        <f>IF(C740="qwen",0,COUNTIFS($C$2:$C$976,"&lt;&gt;qwen",$S$2:$S$976,"&lt;"&amp;S740)+1)</f>
        <v/>
      </c>
      <c r="X740" s="73">
        <f>IF(C740="ministral",0,COUNTIFS($C$2:$C$976,"&lt;&gt;ministral",$S$2:$S$976,"&lt;"&amp;S740)+1)</f>
        <v/>
      </c>
      <c r="Y740" s="73">
        <f>IF(C740="gemma",0,COUNTIFS($C$2:$C$976,"&lt;&gt;gemma",$S$2:$S$976,"&lt;"&amp;S740)+1)</f>
        <v/>
      </c>
      <c r="Z740" s="87">
        <f>COUNTIFS($B$2:$B$976,B740,$C$2:$C$976,C740,$S$2:$S$976,"&lt;"&amp;S740)+1</f>
        <v/>
      </c>
      <c r="AA740" s="88">
        <f>ABS(S740-SUMPRODUCT(('05B_가정검정'!$A$5:$A$19=B740)*('05B_가정검정'!$B$5:$B$19=C740)*'05B_가정검정'!$E$5:$E$19))</f>
        <v/>
      </c>
      <c r="AB740" s="88">
        <f>S740-AVERAGEIFS($S$2:$S$976,$B$2:$B$976,B740,$C$2:$C$976,C740)</f>
        <v/>
      </c>
    </row>
    <row r="741" ht="15" customHeight="1" s="68">
      <c r="A741" s="83" t="inlineStr">
        <is>
          <t>RPT-19</t>
        </is>
      </c>
      <c r="B741" s="83" t="inlineStr">
        <is>
          <t>claude</t>
        </is>
      </c>
      <c r="C741" s="83" t="inlineStr">
        <is>
          <t>ministral</t>
        </is>
      </c>
      <c r="D741" s="84" t="n">
        <v>0.282265552460539</v>
      </c>
      <c r="E741" s="84" t="n">
        <v>0.34469696969697</v>
      </c>
      <c r="F741" s="84" t="n">
        <v>0.136882129277567</v>
      </c>
      <c r="G741" s="84" t="n">
        <v>0.204545454545455</v>
      </c>
      <c r="H741" s="84" t="n">
        <v>0.286094426668975</v>
      </c>
      <c r="I741" s="84" t="n">
        <v>0.261390814865357</v>
      </c>
      <c r="J741" s="84" t="n">
        <v>0.705769935944687</v>
      </c>
      <c r="K741" s="84" t="n">
        <v>0.6581598887196179</v>
      </c>
      <c r="L741" s="84" t="n">
        <v>0.83603024397125</v>
      </c>
      <c r="M741" s="84" t="n">
        <v>0.427244582043344</v>
      </c>
      <c r="N741" s="84" t="n">
        <v>0.259541984732824</v>
      </c>
      <c r="O741" s="84" t="n">
        <v>0.526315789473684</v>
      </c>
      <c r="P741" s="85">
        <f>AVERAGE(D741:I741)</f>
        <v/>
      </c>
      <c r="Q741" s="85">
        <f>AVERAGE(J741:L741)</f>
        <v/>
      </c>
      <c r="R741" s="85">
        <f>AVERAGE(M741:O741)</f>
        <v/>
      </c>
      <c r="S741" s="85">
        <f>'02_지표정의'!$C$22*P741+'02_지표정의'!$C$23*Q741+'02_지표정의'!$C$24*R741</f>
        <v/>
      </c>
      <c r="T741" s="73">
        <f>IF(OR(AND(B741="gemini",C741="gemma"),AND(B741="qwen3_6",C741="qwen"),AND(B741="mistral",C741="ministral")),1,0)</f>
        <v/>
      </c>
      <c r="U741" s="73">
        <f>IF(LEFT(A741,3)="PAT","특허","보고서")</f>
        <v/>
      </c>
      <c r="V741" s="86">
        <f>COUNTIF($S$2:$S$976,"&lt;"&amp;S741)+(COUNTIF($S$2:$S$976,"="&amp;S741)+1)/2</f>
        <v/>
      </c>
      <c r="W741" s="73">
        <f>IF(C741="qwen",0,COUNTIFS($C$2:$C$976,"&lt;&gt;qwen",$S$2:$S$976,"&lt;"&amp;S741)+1)</f>
        <v/>
      </c>
      <c r="X741" s="73">
        <f>IF(C741="ministral",0,COUNTIFS($C$2:$C$976,"&lt;&gt;ministral",$S$2:$S$976,"&lt;"&amp;S741)+1)</f>
        <v/>
      </c>
      <c r="Y741" s="73">
        <f>IF(C741="gemma",0,COUNTIFS($C$2:$C$976,"&lt;&gt;gemma",$S$2:$S$976,"&lt;"&amp;S741)+1)</f>
        <v/>
      </c>
      <c r="Z741" s="87">
        <f>COUNTIFS($B$2:$B$976,B741,$C$2:$C$976,C741,$S$2:$S$976,"&lt;"&amp;S741)+1</f>
        <v/>
      </c>
      <c r="AA741" s="88">
        <f>ABS(S741-SUMPRODUCT(('05B_가정검정'!$A$5:$A$19=B741)*('05B_가정검정'!$B$5:$B$19=C741)*'05B_가정검정'!$E$5:$E$19))</f>
        <v/>
      </c>
      <c r="AB741" s="88">
        <f>S741-AVERAGEIFS($S$2:$S$976,$B$2:$B$976,B741,$C$2:$C$976,C741)</f>
        <v/>
      </c>
    </row>
    <row r="742" ht="15" customHeight="1" s="68">
      <c r="A742" s="83" t="inlineStr">
        <is>
          <t>RPT-19</t>
        </is>
      </c>
      <c r="B742" s="83" t="inlineStr">
        <is>
          <t>claude</t>
        </is>
      </c>
      <c r="C742" s="83" t="inlineStr">
        <is>
          <t>qwen</t>
        </is>
      </c>
      <c r="D742" s="84" t="n">
        <v>0.288270377733598</v>
      </c>
      <c r="E742" s="84" t="n">
        <v>0.527058823529412</v>
      </c>
      <c r="F742" s="84" t="n">
        <v>0.250591016548463</v>
      </c>
      <c r="G742" s="84" t="n">
        <v>0.291764705882353</v>
      </c>
      <c r="H742" s="84" t="n">
        <v>0.249124097477255</v>
      </c>
      <c r="I742" s="84" t="n">
        <v>0.354405778835038</v>
      </c>
      <c r="J742" s="84" t="n">
        <v>0.718921904703906</v>
      </c>
      <c r="K742" s="84" t="n">
        <v>0.6153890372494411</v>
      </c>
      <c r="L742" s="84" t="n">
        <v>0.826805320796049</v>
      </c>
      <c r="M742" s="84" t="n">
        <v>0.8</v>
      </c>
      <c r="N742" s="84" t="n">
        <v>0.829268292682927</v>
      </c>
      <c r="O742" s="84" t="n">
        <v>1</v>
      </c>
      <c r="P742" s="85">
        <f>AVERAGE(D742:I742)</f>
        <v/>
      </c>
      <c r="Q742" s="85">
        <f>AVERAGE(J742:L742)</f>
        <v/>
      </c>
      <c r="R742" s="85">
        <f>AVERAGE(M742:O742)</f>
        <v/>
      </c>
      <c r="S742" s="85">
        <f>'02_지표정의'!$C$22*P742+'02_지표정의'!$C$23*Q742+'02_지표정의'!$C$24*R742</f>
        <v/>
      </c>
      <c r="T742" s="73">
        <f>IF(OR(AND(B742="gemini",C742="gemma"),AND(B742="qwen3_6",C742="qwen"),AND(B742="mistral",C742="ministral")),1,0)</f>
        <v/>
      </c>
      <c r="U742" s="73">
        <f>IF(LEFT(A742,3)="PAT","특허","보고서")</f>
        <v/>
      </c>
      <c r="V742" s="86">
        <f>COUNTIF($S$2:$S$976,"&lt;"&amp;S742)+(COUNTIF($S$2:$S$976,"="&amp;S742)+1)/2</f>
        <v/>
      </c>
      <c r="W742" s="73">
        <f>IF(C742="qwen",0,COUNTIFS($C$2:$C$976,"&lt;&gt;qwen",$S$2:$S$976,"&lt;"&amp;S742)+1)</f>
        <v/>
      </c>
      <c r="X742" s="73">
        <f>IF(C742="ministral",0,COUNTIFS($C$2:$C$976,"&lt;&gt;ministral",$S$2:$S$976,"&lt;"&amp;S742)+1)</f>
        <v/>
      </c>
      <c r="Y742" s="73">
        <f>IF(C742="gemma",0,COUNTIFS($C$2:$C$976,"&lt;&gt;gemma",$S$2:$S$976,"&lt;"&amp;S742)+1)</f>
        <v/>
      </c>
      <c r="Z742" s="87">
        <f>COUNTIFS($B$2:$B$976,B742,$C$2:$C$976,C742,$S$2:$S$976,"&lt;"&amp;S742)+1</f>
        <v/>
      </c>
      <c r="AA742" s="88">
        <f>ABS(S742-SUMPRODUCT(('05B_가정검정'!$A$5:$A$19=B742)*('05B_가정검정'!$B$5:$B$19=C742)*'05B_가정검정'!$E$5:$E$19))</f>
        <v/>
      </c>
      <c r="AB742" s="88">
        <f>S742-AVERAGEIFS($S$2:$S$976,$B$2:$B$976,B742,$C$2:$C$976,C742)</f>
        <v/>
      </c>
    </row>
    <row r="743" ht="15" customHeight="1" s="68">
      <c r="A743" s="83" t="inlineStr">
        <is>
          <t>RPT-19</t>
        </is>
      </c>
      <c r="B743" s="83" t="inlineStr">
        <is>
          <t>gemini</t>
        </is>
      </c>
      <c r="C743" s="83" t="inlineStr">
        <is>
          <t>gemma</t>
        </is>
      </c>
      <c r="D743" s="84" t="n">
        <v>0.263681592039801</v>
      </c>
      <c r="E743" s="84" t="n">
        <v>0.364341085271318</v>
      </c>
      <c r="F743" s="84" t="n">
        <v>0.15625</v>
      </c>
      <c r="G743" s="84" t="n">
        <v>0.255813953488372</v>
      </c>
      <c r="H743" s="84" t="n">
        <v>0.294992107845148</v>
      </c>
      <c r="I743" s="84" t="n">
        <v>0.22343160353297</v>
      </c>
      <c r="J743" s="84" t="n">
        <v>0.73055521224829</v>
      </c>
      <c r="K743" s="84" t="n">
        <v>0.780845153909584</v>
      </c>
      <c r="L743" s="84" t="n">
        <v>0.897160850126362</v>
      </c>
      <c r="M743" s="84" t="n">
        <v>0.906542056074766</v>
      </c>
      <c r="N743" s="84" t="n">
        <v>0.916666666666667</v>
      </c>
      <c r="O743" s="84" t="n">
        <v>1</v>
      </c>
      <c r="P743" s="85">
        <f>AVERAGE(D743:I743)</f>
        <v/>
      </c>
      <c r="Q743" s="85">
        <f>AVERAGE(J743:L743)</f>
        <v/>
      </c>
      <c r="R743" s="85">
        <f>AVERAGE(M743:O743)</f>
        <v/>
      </c>
      <c r="S743" s="85">
        <f>'02_지표정의'!$C$22*P743+'02_지표정의'!$C$23*Q743+'02_지표정의'!$C$24*R743</f>
        <v/>
      </c>
      <c r="T743" s="73">
        <f>IF(OR(AND(B743="gemini",C743="gemma"),AND(B743="qwen3_6",C743="qwen"),AND(B743="mistral",C743="ministral")),1,0)</f>
        <v/>
      </c>
      <c r="U743" s="73">
        <f>IF(LEFT(A743,3)="PAT","특허","보고서")</f>
        <v/>
      </c>
      <c r="V743" s="86">
        <f>COUNTIF($S$2:$S$976,"&lt;"&amp;S743)+(COUNTIF($S$2:$S$976,"="&amp;S743)+1)/2</f>
        <v/>
      </c>
      <c r="W743" s="73">
        <f>IF(C743="qwen",0,COUNTIFS($C$2:$C$976,"&lt;&gt;qwen",$S$2:$S$976,"&lt;"&amp;S743)+1)</f>
        <v/>
      </c>
      <c r="X743" s="73">
        <f>IF(C743="ministral",0,COUNTIFS($C$2:$C$976,"&lt;&gt;ministral",$S$2:$S$976,"&lt;"&amp;S743)+1)</f>
        <v/>
      </c>
      <c r="Y743" s="73">
        <f>IF(C743="gemma",0,COUNTIFS($C$2:$C$976,"&lt;&gt;gemma",$S$2:$S$976,"&lt;"&amp;S743)+1)</f>
        <v/>
      </c>
      <c r="Z743" s="87">
        <f>COUNTIFS($B$2:$B$976,B743,$C$2:$C$976,C743,$S$2:$S$976,"&lt;"&amp;S743)+1</f>
        <v/>
      </c>
      <c r="AA743" s="88">
        <f>ABS(S743-SUMPRODUCT(('05B_가정검정'!$A$5:$A$19=B743)*('05B_가정검정'!$B$5:$B$19=C743)*'05B_가정검정'!$E$5:$E$19))</f>
        <v/>
      </c>
      <c r="AB743" s="88">
        <f>S743-AVERAGEIFS($S$2:$S$976,$B$2:$B$976,B743,$C$2:$C$976,C743)</f>
        <v/>
      </c>
    </row>
    <row r="744" ht="15" customHeight="1" s="68">
      <c r="A744" s="83" t="inlineStr">
        <is>
          <t>RPT-19</t>
        </is>
      </c>
      <c r="B744" s="83" t="inlineStr">
        <is>
          <t>gemini</t>
        </is>
      </c>
      <c r="C744" s="83" t="inlineStr">
        <is>
          <t>ministral</t>
        </is>
      </c>
      <c r="D744" s="84" t="n">
        <v>0.326145552560647</v>
      </c>
      <c r="E744" s="84" t="n">
        <v>0.3</v>
      </c>
      <c r="F744" s="84" t="n">
        <v>0.156424581005587</v>
      </c>
      <c r="G744" s="84" t="n">
        <v>0.238888888888889</v>
      </c>
      <c r="H744" s="84" t="n">
        <v>0.228533632396851</v>
      </c>
      <c r="I744" s="84" t="n">
        <v>0.303326637604319</v>
      </c>
      <c r="J744" s="84" t="n">
        <v>0.754351732191895</v>
      </c>
      <c r="K744" s="84" t="n">
        <v>0.807210594236943</v>
      </c>
      <c r="L744" s="84" t="n">
        <v>0.915678140815662</v>
      </c>
      <c r="M744" s="84" t="n">
        <v>0.30030959752322</v>
      </c>
      <c r="N744" s="84" t="n">
        <v>0.282442748091603</v>
      </c>
      <c r="O744" s="84" t="n">
        <v>0.526315789473684</v>
      </c>
      <c r="P744" s="85">
        <f>AVERAGE(D744:I744)</f>
        <v/>
      </c>
      <c r="Q744" s="85">
        <f>AVERAGE(J744:L744)</f>
        <v/>
      </c>
      <c r="R744" s="85">
        <f>AVERAGE(M744:O744)</f>
        <v/>
      </c>
      <c r="S744" s="85">
        <f>'02_지표정의'!$C$22*P744+'02_지표정의'!$C$23*Q744+'02_지표정의'!$C$24*R744</f>
        <v/>
      </c>
      <c r="T744" s="73">
        <f>IF(OR(AND(B744="gemini",C744="gemma"),AND(B744="qwen3_6",C744="qwen"),AND(B744="mistral",C744="ministral")),1,0)</f>
        <v/>
      </c>
      <c r="U744" s="73">
        <f>IF(LEFT(A744,3)="PAT","특허","보고서")</f>
        <v/>
      </c>
      <c r="V744" s="86">
        <f>COUNTIF($S$2:$S$976,"&lt;"&amp;S744)+(COUNTIF($S$2:$S$976,"="&amp;S744)+1)/2</f>
        <v/>
      </c>
      <c r="W744" s="73">
        <f>IF(C744="qwen",0,COUNTIFS($C$2:$C$976,"&lt;&gt;qwen",$S$2:$S$976,"&lt;"&amp;S744)+1)</f>
        <v/>
      </c>
      <c r="X744" s="73">
        <f>IF(C744="ministral",0,COUNTIFS($C$2:$C$976,"&lt;&gt;ministral",$S$2:$S$976,"&lt;"&amp;S744)+1)</f>
        <v/>
      </c>
      <c r="Y744" s="73">
        <f>IF(C744="gemma",0,COUNTIFS($C$2:$C$976,"&lt;&gt;gemma",$S$2:$S$976,"&lt;"&amp;S744)+1)</f>
        <v/>
      </c>
      <c r="Z744" s="87">
        <f>COUNTIFS($B$2:$B$976,B744,$C$2:$C$976,C744,$S$2:$S$976,"&lt;"&amp;S744)+1</f>
        <v/>
      </c>
      <c r="AA744" s="88">
        <f>ABS(S744-SUMPRODUCT(('05B_가정검정'!$A$5:$A$19=B744)*('05B_가정검정'!$B$5:$B$19=C744)*'05B_가정검정'!$E$5:$E$19))</f>
        <v/>
      </c>
      <c r="AB744" s="88">
        <f>S744-AVERAGEIFS($S$2:$S$976,$B$2:$B$976,B744,$C$2:$C$976,C744)</f>
        <v/>
      </c>
    </row>
    <row r="745" ht="15" customHeight="1" s="68">
      <c r="A745" s="83" t="inlineStr">
        <is>
          <t>RPT-19</t>
        </is>
      </c>
      <c r="B745" s="83" t="inlineStr">
        <is>
          <t>gemini</t>
        </is>
      </c>
      <c r="C745" s="83" t="inlineStr">
        <is>
          <t>qwen</t>
        </is>
      </c>
      <c r="D745" s="84" t="n">
        <v>0.315946348733234</v>
      </c>
      <c r="E745" s="84" t="n">
        <v>0.396887159533074</v>
      </c>
      <c r="F745" s="84" t="n">
        <v>0.180392156862745</v>
      </c>
      <c r="G745" s="84" t="n">
        <v>0.295719844357977</v>
      </c>
      <c r="H745" s="84" t="n">
        <v>0.39154842362731</v>
      </c>
      <c r="I745" s="84" t="n">
        <v>0.300503583254504</v>
      </c>
      <c r="J745" s="84" t="n">
        <v>0.797108921463255</v>
      </c>
      <c r="K745" s="84" t="n">
        <v>0.743401823271297</v>
      </c>
      <c r="L745" s="84" t="n">
        <v>0.870408466080573</v>
      </c>
      <c r="M745" s="84" t="n">
        <v>0.702898550724638</v>
      </c>
      <c r="N745" s="84" t="n">
        <v>0.679012345679012</v>
      </c>
      <c r="O745" s="84" t="n">
        <v>1</v>
      </c>
      <c r="P745" s="85">
        <f>AVERAGE(D745:I745)</f>
        <v/>
      </c>
      <c r="Q745" s="85">
        <f>AVERAGE(J745:L745)</f>
        <v/>
      </c>
      <c r="R745" s="85">
        <f>AVERAGE(M745:O745)</f>
        <v/>
      </c>
      <c r="S745" s="85">
        <f>'02_지표정의'!$C$22*P745+'02_지표정의'!$C$23*Q745+'02_지표정의'!$C$24*R745</f>
        <v/>
      </c>
      <c r="T745" s="73">
        <f>IF(OR(AND(B745="gemini",C745="gemma"),AND(B745="qwen3_6",C745="qwen"),AND(B745="mistral",C745="ministral")),1,0)</f>
        <v/>
      </c>
      <c r="U745" s="73">
        <f>IF(LEFT(A745,3)="PAT","특허","보고서")</f>
        <v/>
      </c>
      <c r="V745" s="86">
        <f>COUNTIF($S$2:$S$976,"&lt;"&amp;S745)+(COUNTIF($S$2:$S$976,"="&amp;S745)+1)/2</f>
        <v/>
      </c>
      <c r="W745" s="73">
        <f>IF(C745="qwen",0,COUNTIFS($C$2:$C$976,"&lt;&gt;qwen",$S$2:$S$976,"&lt;"&amp;S745)+1)</f>
        <v/>
      </c>
      <c r="X745" s="73">
        <f>IF(C745="ministral",0,COUNTIFS($C$2:$C$976,"&lt;&gt;ministral",$S$2:$S$976,"&lt;"&amp;S745)+1)</f>
        <v/>
      </c>
      <c r="Y745" s="73">
        <f>IF(C745="gemma",0,COUNTIFS($C$2:$C$976,"&lt;&gt;gemma",$S$2:$S$976,"&lt;"&amp;S745)+1)</f>
        <v/>
      </c>
      <c r="Z745" s="87">
        <f>COUNTIFS($B$2:$B$976,B745,$C$2:$C$976,C745,$S$2:$S$976,"&lt;"&amp;S745)+1</f>
        <v/>
      </c>
      <c r="AA745" s="88">
        <f>ABS(S745-SUMPRODUCT(('05B_가정검정'!$A$5:$A$19=B745)*('05B_가정검정'!$B$5:$B$19=C745)*'05B_가정검정'!$E$5:$E$19))</f>
        <v/>
      </c>
      <c r="AB745" s="88">
        <f>S745-AVERAGEIFS($S$2:$S$976,$B$2:$B$976,B745,$C$2:$C$976,C745)</f>
        <v/>
      </c>
    </row>
    <row r="746" ht="15" customHeight="1" s="68">
      <c r="A746" s="83" t="inlineStr">
        <is>
          <t>RPT-19</t>
        </is>
      </c>
      <c r="B746" s="83" t="inlineStr">
        <is>
          <t>mistral</t>
        </is>
      </c>
      <c r="C746" s="83" t="inlineStr">
        <is>
          <t>gemma</t>
        </is>
      </c>
      <c r="D746" s="84" t="n">
        <v>0.260869565217391</v>
      </c>
      <c r="E746" s="84" t="n">
        <v>0.35</v>
      </c>
      <c r="F746" s="84" t="n">
        <v>0.115107913669065</v>
      </c>
      <c r="G746" s="84" t="n">
        <v>0.221428571428571</v>
      </c>
      <c r="H746" s="84" t="n">
        <v>0.358408449132079</v>
      </c>
      <c r="I746" s="84" t="n">
        <v>0.28874217307536</v>
      </c>
      <c r="J746" s="84" t="n">
        <v>0.7028061456273</v>
      </c>
      <c r="K746" s="84" t="n">
        <v>0.574474036532413</v>
      </c>
      <c r="L746" s="84" t="n">
        <v>0.743239127887743</v>
      </c>
      <c r="M746" s="84" t="n">
        <v>0.502702702702703</v>
      </c>
      <c r="N746" s="84" t="n">
        <v>0.445454545454545</v>
      </c>
      <c r="O746" s="84" t="n">
        <v>1</v>
      </c>
      <c r="P746" s="85">
        <f>AVERAGE(D746:I746)</f>
        <v/>
      </c>
      <c r="Q746" s="85">
        <f>AVERAGE(J746:L746)</f>
        <v/>
      </c>
      <c r="R746" s="85">
        <f>AVERAGE(M746:O746)</f>
        <v/>
      </c>
      <c r="S746" s="85">
        <f>'02_지표정의'!$C$22*P746+'02_지표정의'!$C$23*Q746+'02_지표정의'!$C$24*R746</f>
        <v/>
      </c>
      <c r="T746" s="73">
        <f>IF(OR(AND(B746="gemini",C746="gemma"),AND(B746="qwen3_6",C746="qwen"),AND(B746="mistral",C746="ministral")),1,0)</f>
        <v/>
      </c>
      <c r="U746" s="73">
        <f>IF(LEFT(A746,3)="PAT","특허","보고서")</f>
        <v/>
      </c>
      <c r="V746" s="86">
        <f>COUNTIF($S$2:$S$976,"&lt;"&amp;S746)+(COUNTIF($S$2:$S$976,"="&amp;S746)+1)/2</f>
        <v/>
      </c>
      <c r="W746" s="73">
        <f>IF(C746="qwen",0,COUNTIFS($C$2:$C$976,"&lt;&gt;qwen",$S$2:$S$976,"&lt;"&amp;S746)+1)</f>
        <v/>
      </c>
      <c r="X746" s="73">
        <f>IF(C746="ministral",0,COUNTIFS($C$2:$C$976,"&lt;&gt;ministral",$S$2:$S$976,"&lt;"&amp;S746)+1)</f>
        <v/>
      </c>
      <c r="Y746" s="73">
        <f>IF(C746="gemma",0,COUNTIFS($C$2:$C$976,"&lt;&gt;gemma",$S$2:$S$976,"&lt;"&amp;S746)+1)</f>
        <v/>
      </c>
      <c r="Z746" s="87">
        <f>COUNTIFS($B$2:$B$976,B746,$C$2:$C$976,C746,$S$2:$S$976,"&lt;"&amp;S746)+1</f>
        <v/>
      </c>
      <c r="AA746" s="88">
        <f>ABS(S746-SUMPRODUCT(('05B_가정검정'!$A$5:$A$19=B746)*('05B_가정검정'!$B$5:$B$19=C746)*'05B_가정검정'!$E$5:$E$19))</f>
        <v/>
      </c>
      <c r="AB746" s="88">
        <f>S746-AVERAGEIFS($S$2:$S$976,$B$2:$B$976,B746,$C$2:$C$976,C746)</f>
        <v/>
      </c>
    </row>
    <row r="747" ht="15" customHeight="1" s="68">
      <c r="A747" s="83" t="inlineStr">
        <is>
          <t>RPT-19</t>
        </is>
      </c>
      <c r="B747" s="83" t="inlineStr">
        <is>
          <t>mistral</t>
        </is>
      </c>
      <c r="C747" s="83" t="inlineStr">
        <is>
          <t>ministral</t>
        </is>
      </c>
      <c r="D747" s="84" t="n">
        <v>0.337724550898204</v>
      </c>
      <c r="E747" s="84" t="n">
        <v>0.366492146596859</v>
      </c>
      <c r="F747" s="84" t="n">
        <v>0.168421052631579</v>
      </c>
      <c r="G747" s="84" t="n">
        <v>0.25130890052356</v>
      </c>
      <c r="H747" s="84" t="n">
        <v>0.360421788494549</v>
      </c>
      <c r="I747" s="84" t="n">
        <v>0.391761540211655</v>
      </c>
      <c r="J747" s="84" t="n">
        <v>0.696767962280477</v>
      </c>
      <c r="K747" s="84" t="n">
        <v>0.670823503340175</v>
      </c>
      <c r="L747" s="84" t="n">
        <v>0.80418626126361</v>
      </c>
      <c r="M747" s="84" t="n">
        <v>0.538699690402477</v>
      </c>
      <c r="N747" s="84" t="n">
        <v>0.274809160305344</v>
      </c>
      <c r="O747" s="84" t="n">
        <v>0.526315789473684</v>
      </c>
      <c r="P747" s="85">
        <f>AVERAGE(D747:I747)</f>
        <v/>
      </c>
      <c r="Q747" s="85">
        <f>AVERAGE(J747:L747)</f>
        <v/>
      </c>
      <c r="R747" s="85">
        <f>AVERAGE(M747:O747)</f>
        <v/>
      </c>
      <c r="S747" s="85">
        <f>'02_지표정의'!$C$22*P747+'02_지표정의'!$C$23*Q747+'02_지표정의'!$C$24*R747</f>
        <v/>
      </c>
      <c r="T747" s="73">
        <f>IF(OR(AND(B747="gemini",C747="gemma"),AND(B747="qwen3_6",C747="qwen"),AND(B747="mistral",C747="ministral")),1,0)</f>
        <v/>
      </c>
      <c r="U747" s="73">
        <f>IF(LEFT(A747,3)="PAT","특허","보고서")</f>
        <v/>
      </c>
      <c r="V747" s="86">
        <f>COUNTIF($S$2:$S$976,"&lt;"&amp;S747)+(COUNTIF($S$2:$S$976,"="&amp;S747)+1)/2</f>
        <v/>
      </c>
      <c r="W747" s="73">
        <f>IF(C747="qwen",0,COUNTIFS($C$2:$C$976,"&lt;&gt;qwen",$S$2:$S$976,"&lt;"&amp;S747)+1)</f>
        <v/>
      </c>
      <c r="X747" s="73">
        <f>IF(C747="ministral",0,COUNTIFS($C$2:$C$976,"&lt;&gt;ministral",$S$2:$S$976,"&lt;"&amp;S747)+1)</f>
        <v/>
      </c>
      <c r="Y747" s="73">
        <f>IF(C747="gemma",0,COUNTIFS($C$2:$C$976,"&lt;&gt;gemma",$S$2:$S$976,"&lt;"&amp;S747)+1)</f>
        <v/>
      </c>
      <c r="Z747" s="87">
        <f>COUNTIFS($B$2:$B$976,B747,$C$2:$C$976,C747,$S$2:$S$976,"&lt;"&amp;S747)+1</f>
        <v/>
      </c>
      <c r="AA747" s="88">
        <f>ABS(S747-SUMPRODUCT(('05B_가정검정'!$A$5:$A$19=B747)*('05B_가정검정'!$B$5:$B$19=C747)*'05B_가정검정'!$E$5:$E$19))</f>
        <v/>
      </c>
      <c r="AB747" s="88">
        <f>S747-AVERAGEIFS($S$2:$S$976,$B$2:$B$976,B747,$C$2:$C$976,C747)</f>
        <v/>
      </c>
    </row>
    <row r="748" ht="15" customHeight="1" s="68">
      <c r="A748" s="83" t="inlineStr">
        <is>
          <t>RPT-19</t>
        </is>
      </c>
      <c r="B748" s="83" t="inlineStr">
        <is>
          <t>mistral</t>
        </is>
      </c>
      <c r="C748" s="83" t="inlineStr">
        <is>
          <t>qwen</t>
        </is>
      </c>
      <c r="D748" s="84" t="n">
        <v>0.356020942408377</v>
      </c>
      <c r="E748" s="84" t="n">
        <v>0.523297491039427</v>
      </c>
      <c r="F748" s="84" t="n">
        <v>0.231046931407942</v>
      </c>
      <c r="G748" s="84" t="n">
        <v>0.315412186379928</v>
      </c>
      <c r="H748" s="84" t="n">
        <v>0.34744476610689</v>
      </c>
      <c r="I748" s="84" t="n">
        <v>0.389517029887379</v>
      </c>
      <c r="J748" s="84" t="n">
        <v>0.748119871985676</v>
      </c>
      <c r="K748" s="84" t="n">
        <v>0.580204022338301</v>
      </c>
      <c r="L748" s="84" t="n">
        <v>0.820935877365364</v>
      </c>
      <c r="M748" s="84" t="n">
        <v>0.6594594594594591</v>
      </c>
      <c r="N748" s="84" t="n">
        <v>0.627272727272727</v>
      </c>
      <c r="O748" s="84" t="n">
        <v>1</v>
      </c>
      <c r="P748" s="85">
        <f>AVERAGE(D748:I748)</f>
        <v/>
      </c>
      <c r="Q748" s="85">
        <f>AVERAGE(J748:L748)</f>
        <v/>
      </c>
      <c r="R748" s="85">
        <f>AVERAGE(M748:O748)</f>
        <v/>
      </c>
      <c r="S748" s="85">
        <f>'02_지표정의'!$C$22*P748+'02_지표정의'!$C$23*Q748+'02_지표정의'!$C$24*R748</f>
        <v/>
      </c>
      <c r="T748" s="73">
        <f>IF(OR(AND(B748="gemini",C748="gemma"),AND(B748="qwen3_6",C748="qwen"),AND(B748="mistral",C748="ministral")),1,0)</f>
        <v/>
      </c>
      <c r="U748" s="73">
        <f>IF(LEFT(A748,3)="PAT","특허","보고서")</f>
        <v/>
      </c>
      <c r="V748" s="86">
        <f>COUNTIF($S$2:$S$976,"&lt;"&amp;S748)+(COUNTIF($S$2:$S$976,"="&amp;S748)+1)/2</f>
        <v/>
      </c>
      <c r="W748" s="73">
        <f>IF(C748="qwen",0,COUNTIFS($C$2:$C$976,"&lt;&gt;qwen",$S$2:$S$976,"&lt;"&amp;S748)+1)</f>
        <v/>
      </c>
      <c r="X748" s="73">
        <f>IF(C748="ministral",0,COUNTIFS($C$2:$C$976,"&lt;&gt;ministral",$S$2:$S$976,"&lt;"&amp;S748)+1)</f>
        <v/>
      </c>
      <c r="Y748" s="73">
        <f>IF(C748="gemma",0,COUNTIFS($C$2:$C$976,"&lt;&gt;gemma",$S$2:$S$976,"&lt;"&amp;S748)+1)</f>
        <v/>
      </c>
      <c r="Z748" s="87">
        <f>COUNTIFS($B$2:$B$976,B748,$C$2:$C$976,C748,$S$2:$S$976,"&lt;"&amp;S748)+1</f>
        <v/>
      </c>
      <c r="AA748" s="88">
        <f>ABS(S748-SUMPRODUCT(('05B_가정검정'!$A$5:$A$19=B748)*('05B_가정검정'!$B$5:$B$19=C748)*'05B_가정검정'!$E$5:$E$19))</f>
        <v/>
      </c>
      <c r="AB748" s="88">
        <f>S748-AVERAGEIFS($S$2:$S$976,$B$2:$B$976,B748,$C$2:$C$976,C748)</f>
        <v/>
      </c>
    </row>
    <row r="749" ht="15" customHeight="1" s="68">
      <c r="A749" s="83" t="inlineStr">
        <is>
          <t>RPT-19</t>
        </is>
      </c>
      <c r="B749" s="83" t="inlineStr">
        <is>
          <t>qwen3_6</t>
        </is>
      </c>
      <c r="C749" s="83" t="inlineStr">
        <is>
          <t>gemma</t>
        </is>
      </c>
      <c r="D749" s="84" t="n">
        <v>0.258201058201058</v>
      </c>
      <c r="E749" s="84" t="n">
        <v>0.343558282208589</v>
      </c>
      <c r="F749" s="84" t="n">
        <v>0.141975308641975</v>
      </c>
      <c r="G749" s="84" t="n">
        <v>0.226993865030675</v>
      </c>
      <c r="H749" s="84" t="n">
        <v>0.425685467519584</v>
      </c>
      <c r="I749" s="84" t="n">
        <v>0.316503271617592</v>
      </c>
      <c r="J749" s="84" t="n">
        <v>0.726834515790546</v>
      </c>
      <c r="K749" s="84" t="n">
        <v>0.672704316330465</v>
      </c>
      <c r="L749" s="84" t="n">
        <v>0.829802677628229</v>
      </c>
      <c r="M749" s="84" t="n">
        <v>0.906542056074766</v>
      </c>
      <c r="N749" s="84" t="n">
        <v>0.916666666666667</v>
      </c>
      <c r="O749" s="84" t="n">
        <v>1</v>
      </c>
      <c r="P749" s="85">
        <f>AVERAGE(D749:I749)</f>
        <v/>
      </c>
      <c r="Q749" s="85">
        <f>AVERAGE(J749:L749)</f>
        <v/>
      </c>
      <c r="R749" s="85">
        <f>AVERAGE(M749:O749)</f>
        <v/>
      </c>
      <c r="S749" s="85">
        <f>'02_지표정의'!$C$22*P749+'02_지표정의'!$C$23*Q749+'02_지표정의'!$C$24*R749</f>
        <v/>
      </c>
      <c r="T749" s="73">
        <f>IF(OR(AND(B749="gemini",C749="gemma"),AND(B749="qwen3_6",C749="qwen"),AND(B749="mistral",C749="ministral")),1,0)</f>
        <v/>
      </c>
      <c r="U749" s="73">
        <f>IF(LEFT(A749,3)="PAT","특허","보고서")</f>
        <v/>
      </c>
      <c r="V749" s="86">
        <f>COUNTIF($S$2:$S$976,"&lt;"&amp;S749)+(COUNTIF($S$2:$S$976,"="&amp;S749)+1)/2</f>
        <v/>
      </c>
      <c r="W749" s="73">
        <f>IF(C749="qwen",0,COUNTIFS($C$2:$C$976,"&lt;&gt;qwen",$S$2:$S$976,"&lt;"&amp;S749)+1)</f>
        <v/>
      </c>
      <c r="X749" s="73">
        <f>IF(C749="ministral",0,COUNTIFS($C$2:$C$976,"&lt;&gt;ministral",$S$2:$S$976,"&lt;"&amp;S749)+1)</f>
        <v/>
      </c>
      <c r="Y749" s="73">
        <f>IF(C749="gemma",0,COUNTIFS($C$2:$C$976,"&lt;&gt;gemma",$S$2:$S$976,"&lt;"&amp;S749)+1)</f>
        <v/>
      </c>
      <c r="Z749" s="87">
        <f>COUNTIFS($B$2:$B$976,B749,$C$2:$C$976,C749,$S$2:$S$976,"&lt;"&amp;S749)+1</f>
        <v/>
      </c>
      <c r="AA749" s="88">
        <f>ABS(S749-SUMPRODUCT(('05B_가정검정'!$A$5:$A$19=B749)*('05B_가정검정'!$B$5:$B$19=C749)*'05B_가정검정'!$E$5:$E$19))</f>
        <v/>
      </c>
      <c r="AB749" s="88">
        <f>S749-AVERAGEIFS($S$2:$S$976,$B$2:$B$976,B749,$C$2:$C$976,C749)</f>
        <v/>
      </c>
    </row>
    <row r="750" ht="15" customHeight="1" s="68">
      <c r="A750" s="83" t="inlineStr">
        <is>
          <t>RPT-19</t>
        </is>
      </c>
      <c r="B750" s="83" t="inlineStr">
        <is>
          <t>qwen3_6</t>
        </is>
      </c>
      <c r="C750" s="83" t="inlineStr">
        <is>
          <t>ministral</t>
        </is>
      </c>
      <c r="D750" s="84" t="n">
        <v>0.269535673839185</v>
      </c>
      <c r="E750" s="84" t="n">
        <v>0.327102803738318</v>
      </c>
      <c r="F750" s="84" t="n">
        <v>0.169014084507042</v>
      </c>
      <c r="G750" s="84" t="n">
        <v>0.224299065420561</v>
      </c>
      <c r="H750" s="84" t="n">
        <v>0.272576581130479</v>
      </c>
      <c r="I750" s="84" t="n">
        <v>0.321456850049681</v>
      </c>
      <c r="J750" s="84" t="n">
        <v>0.703772067888063</v>
      </c>
      <c r="K750" s="84" t="n">
        <v>0.682263993209423</v>
      </c>
      <c r="L750" s="84" t="n">
        <v>0.835478325623226</v>
      </c>
      <c r="M750" s="84" t="n">
        <v>0.30030959752322</v>
      </c>
      <c r="N750" s="84" t="n">
        <v>0.282442748091603</v>
      </c>
      <c r="O750" s="84" t="n">
        <v>0.526315789473684</v>
      </c>
      <c r="P750" s="85">
        <f>AVERAGE(D750:I750)</f>
        <v/>
      </c>
      <c r="Q750" s="85">
        <f>AVERAGE(J750:L750)</f>
        <v/>
      </c>
      <c r="R750" s="85">
        <f>AVERAGE(M750:O750)</f>
        <v/>
      </c>
      <c r="S750" s="85">
        <f>'02_지표정의'!$C$22*P750+'02_지표정의'!$C$23*Q750+'02_지표정의'!$C$24*R750</f>
        <v/>
      </c>
      <c r="T750" s="73">
        <f>IF(OR(AND(B750="gemini",C750="gemma"),AND(B750="qwen3_6",C750="qwen"),AND(B750="mistral",C750="ministral")),1,0)</f>
        <v/>
      </c>
      <c r="U750" s="73">
        <f>IF(LEFT(A750,3)="PAT","특허","보고서")</f>
        <v/>
      </c>
      <c r="V750" s="86">
        <f>COUNTIF($S$2:$S$976,"&lt;"&amp;S750)+(COUNTIF($S$2:$S$976,"="&amp;S750)+1)/2</f>
        <v/>
      </c>
      <c r="W750" s="73">
        <f>IF(C750="qwen",0,COUNTIFS($C$2:$C$976,"&lt;&gt;qwen",$S$2:$S$976,"&lt;"&amp;S750)+1)</f>
        <v/>
      </c>
      <c r="X750" s="73">
        <f>IF(C750="ministral",0,COUNTIFS($C$2:$C$976,"&lt;&gt;ministral",$S$2:$S$976,"&lt;"&amp;S750)+1)</f>
        <v/>
      </c>
      <c r="Y750" s="73">
        <f>IF(C750="gemma",0,COUNTIFS($C$2:$C$976,"&lt;&gt;gemma",$S$2:$S$976,"&lt;"&amp;S750)+1)</f>
        <v/>
      </c>
      <c r="Z750" s="87">
        <f>COUNTIFS($B$2:$B$976,B750,$C$2:$C$976,C750,$S$2:$S$976,"&lt;"&amp;S750)+1</f>
        <v/>
      </c>
      <c r="AA750" s="88">
        <f>ABS(S750-SUMPRODUCT(('05B_가정검정'!$A$5:$A$19=B750)*('05B_가정검정'!$B$5:$B$19=C750)*'05B_가정검정'!$E$5:$E$19))</f>
        <v/>
      </c>
      <c r="AB750" s="88">
        <f>S750-AVERAGEIFS($S$2:$S$976,$B$2:$B$976,B750,$C$2:$C$976,C750)</f>
        <v/>
      </c>
    </row>
    <row r="751" ht="15" customHeight="1" s="68">
      <c r="A751" s="83" t="inlineStr">
        <is>
          <t>RPT-19</t>
        </is>
      </c>
      <c r="B751" s="83" t="inlineStr">
        <is>
          <t>qwen3_6</t>
        </is>
      </c>
      <c r="C751" s="83" t="inlineStr">
        <is>
          <t>qwen</t>
        </is>
      </c>
      <c r="D751" s="84" t="n">
        <v>0.334975369458128</v>
      </c>
      <c r="E751" s="84" t="n">
        <v>0.621538461538462</v>
      </c>
      <c r="F751" s="84" t="n">
        <v>0.371517027863777</v>
      </c>
      <c r="G751" s="84" t="n">
        <v>0.369230769230769</v>
      </c>
      <c r="H751" s="84" t="n">
        <v>0.372572793940369</v>
      </c>
      <c r="I751" s="84" t="n">
        <v>0.516727239816826</v>
      </c>
      <c r="J751" s="84" t="n">
        <v>0.733948750992874</v>
      </c>
      <c r="K751" s="84" t="n">
        <v>0.693721243771069</v>
      </c>
      <c r="L751" s="84" t="n">
        <v>0.873429585880482</v>
      </c>
      <c r="M751" s="84" t="n">
        <v>0.702898550724638</v>
      </c>
      <c r="N751" s="84" t="n">
        <v>0.679012345679012</v>
      </c>
      <c r="O751" s="84" t="n">
        <v>1</v>
      </c>
      <c r="P751" s="85">
        <f>AVERAGE(D751:I751)</f>
        <v/>
      </c>
      <c r="Q751" s="85">
        <f>AVERAGE(J751:L751)</f>
        <v/>
      </c>
      <c r="R751" s="85">
        <f>AVERAGE(M751:O751)</f>
        <v/>
      </c>
      <c r="S751" s="85">
        <f>'02_지표정의'!$C$22*P751+'02_지표정의'!$C$23*Q751+'02_지표정의'!$C$24*R751</f>
        <v/>
      </c>
      <c r="T751" s="73">
        <f>IF(OR(AND(B751="gemini",C751="gemma"),AND(B751="qwen3_6",C751="qwen"),AND(B751="mistral",C751="ministral")),1,0)</f>
        <v/>
      </c>
      <c r="U751" s="73">
        <f>IF(LEFT(A751,3)="PAT","특허","보고서")</f>
        <v/>
      </c>
      <c r="V751" s="86">
        <f>COUNTIF($S$2:$S$976,"&lt;"&amp;S751)+(COUNTIF($S$2:$S$976,"="&amp;S751)+1)/2</f>
        <v/>
      </c>
      <c r="W751" s="73">
        <f>IF(C751="qwen",0,COUNTIFS($C$2:$C$976,"&lt;&gt;qwen",$S$2:$S$976,"&lt;"&amp;S751)+1)</f>
        <v/>
      </c>
      <c r="X751" s="73">
        <f>IF(C751="ministral",0,COUNTIFS($C$2:$C$976,"&lt;&gt;ministral",$S$2:$S$976,"&lt;"&amp;S751)+1)</f>
        <v/>
      </c>
      <c r="Y751" s="73">
        <f>IF(C751="gemma",0,COUNTIFS($C$2:$C$976,"&lt;&gt;gemma",$S$2:$S$976,"&lt;"&amp;S751)+1)</f>
        <v/>
      </c>
      <c r="Z751" s="87">
        <f>COUNTIFS($B$2:$B$976,B751,$C$2:$C$976,C751,$S$2:$S$976,"&lt;"&amp;S751)+1</f>
        <v/>
      </c>
      <c r="AA751" s="88">
        <f>ABS(S751-SUMPRODUCT(('05B_가정검정'!$A$5:$A$19=B751)*('05B_가정검정'!$B$5:$B$19=C751)*'05B_가정검정'!$E$5:$E$19))</f>
        <v/>
      </c>
      <c r="AB751" s="88">
        <f>S751-AVERAGEIFS($S$2:$S$976,$B$2:$B$976,B751,$C$2:$C$976,C751)</f>
        <v/>
      </c>
    </row>
    <row r="752" ht="15" customHeight="1" s="68">
      <c r="A752" s="83" t="inlineStr">
        <is>
          <t>RPT-20</t>
        </is>
      </c>
      <c r="B752" s="83" t="inlineStr">
        <is>
          <t>chatgpt</t>
        </is>
      </c>
      <c r="C752" s="83" t="inlineStr">
        <is>
          <t>gemma</t>
        </is>
      </c>
      <c r="D752" s="84" t="n">
        <v>0.252747252747253</v>
      </c>
      <c r="E752" s="84" t="n">
        <v>0.327868852459016</v>
      </c>
      <c r="F752" s="84" t="n">
        <v>0.132596685082873</v>
      </c>
      <c r="G752" s="84" t="n">
        <v>0.262295081967213</v>
      </c>
      <c r="H752" s="84" t="n">
        <v>0.251365248449621</v>
      </c>
      <c r="I752" s="84" t="n">
        <v>0.166048666670461</v>
      </c>
      <c r="J752" s="84" t="n">
        <v>0.718355205360638</v>
      </c>
      <c r="K752" s="84" t="n">
        <v>0.677022571195537</v>
      </c>
      <c r="L752" s="84" t="n">
        <v>0.838933839278947</v>
      </c>
      <c r="M752" s="84" t="n">
        <v>0.5575757575757579</v>
      </c>
      <c r="N752" s="84" t="n">
        <v>0.0898876404494382</v>
      </c>
      <c r="O752" s="84" t="n">
        <v>1</v>
      </c>
      <c r="P752" s="85">
        <f>AVERAGE(D752:I752)</f>
        <v/>
      </c>
      <c r="Q752" s="85">
        <f>AVERAGE(J752:L752)</f>
        <v/>
      </c>
      <c r="R752" s="85">
        <f>AVERAGE(M752:O752)</f>
        <v/>
      </c>
      <c r="S752" s="85">
        <f>'02_지표정의'!$C$22*P752+'02_지표정의'!$C$23*Q752+'02_지표정의'!$C$24*R752</f>
        <v/>
      </c>
      <c r="T752" s="73">
        <f>IF(OR(AND(B752="gemini",C752="gemma"),AND(B752="qwen3_6",C752="qwen"),AND(B752="mistral",C752="ministral")),1,0)</f>
        <v/>
      </c>
      <c r="U752" s="73">
        <f>IF(LEFT(A752,3)="PAT","특허","보고서")</f>
        <v/>
      </c>
      <c r="V752" s="86">
        <f>COUNTIF($S$2:$S$976,"&lt;"&amp;S752)+(COUNTIF($S$2:$S$976,"="&amp;S752)+1)/2</f>
        <v/>
      </c>
      <c r="W752" s="73">
        <f>IF(C752="qwen",0,COUNTIFS($C$2:$C$976,"&lt;&gt;qwen",$S$2:$S$976,"&lt;"&amp;S752)+1)</f>
        <v/>
      </c>
      <c r="X752" s="73">
        <f>IF(C752="ministral",0,COUNTIFS($C$2:$C$976,"&lt;&gt;ministral",$S$2:$S$976,"&lt;"&amp;S752)+1)</f>
        <v/>
      </c>
      <c r="Y752" s="73">
        <f>IF(C752="gemma",0,COUNTIFS($C$2:$C$976,"&lt;&gt;gemma",$S$2:$S$976,"&lt;"&amp;S752)+1)</f>
        <v/>
      </c>
      <c r="Z752" s="87">
        <f>COUNTIFS($B$2:$B$976,B752,$C$2:$C$976,C752,$S$2:$S$976,"&lt;"&amp;S752)+1</f>
        <v/>
      </c>
      <c r="AA752" s="88">
        <f>ABS(S752-SUMPRODUCT(('05B_가정검정'!$A$5:$A$19=B752)*('05B_가정검정'!$B$5:$B$19=C752)*'05B_가정검정'!$E$5:$E$19))</f>
        <v/>
      </c>
      <c r="AB752" s="88">
        <f>S752-AVERAGEIFS($S$2:$S$976,$B$2:$B$976,B752,$C$2:$C$976,C752)</f>
        <v/>
      </c>
    </row>
    <row r="753" ht="15" customHeight="1" s="68">
      <c r="A753" s="83" t="inlineStr">
        <is>
          <t>RPT-20</t>
        </is>
      </c>
      <c r="B753" s="83" t="inlineStr">
        <is>
          <t>chatgpt</t>
        </is>
      </c>
      <c r="C753" s="83" t="inlineStr">
        <is>
          <t>ministral</t>
        </is>
      </c>
      <c r="D753" s="84" t="n">
        <v>0.317541613316261</v>
      </c>
      <c r="E753" s="84" t="n">
        <v>0.278745644599303</v>
      </c>
      <c r="F753" s="84" t="n">
        <v>0.133333333333333</v>
      </c>
      <c r="G753" s="84" t="n">
        <v>0.222996515679443</v>
      </c>
      <c r="H753" s="84" t="n">
        <v>0.123949220576514</v>
      </c>
      <c r="I753" s="84" t="n">
        <v>0.271618008063202</v>
      </c>
      <c r="J753" s="84" t="n">
        <v>0.722847444942966</v>
      </c>
      <c r="K753" s="84" t="n">
        <v>0.756705763187052</v>
      </c>
      <c r="L753" s="84" t="n">
        <v>0.891707335328829</v>
      </c>
      <c r="M753" s="84" t="n">
        <v>0.432727272727273</v>
      </c>
      <c r="N753" s="84" t="n">
        <v>0</v>
      </c>
      <c r="O753" s="84" t="n">
        <v>1</v>
      </c>
      <c r="P753" s="85">
        <f>AVERAGE(D753:I753)</f>
        <v/>
      </c>
      <c r="Q753" s="85">
        <f>AVERAGE(J753:L753)</f>
        <v/>
      </c>
      <c r="R753" s="85">
        <f>AVERAGE(M753:O753)</f>
        <v/>
      </c>
      <c r="S753" s="85">
        <f>'02_지표정의'!$C$22*P753+'02_지표정의'!$C$23*Q753+'02_지표정의'!$C$24*R753</f>
        <v/>
      </c>
      <c r="T753" s="73">
        <f>IF(OR(AND(B753="gemini",C753="gemma"),AND(B753="qwen3_6",C753="qwen"),AND(B753="mistral",C753="ministral")),1,0)</f>
        <v/>
      </c>
      <c r="U753" s="73">
        <f>IF(LEFT(A753,3)="PAT","특허","보고서")</f>
        <v/>
      </c>
      <c r="V753" s="86">
        <f>COUNTIF($S$2:$S$976,"&lt;"&amp;S753)+(COUNTIF($S$2:$S$976,"="&amp;S753)+1)/2</f>
        <v/>
      </c>
      <c r="W753" s="73">
        <f>IF(C753="qwen",0,COUNTIFS($C$2:$C$976,"&lt;&gt;qwen",$S$2:$S$976,"&lt;"&amp;S753)+1)</f>
        <v/>
      </c>
      <c r="X753" s="73">
        <f>IF(C753="ministral",0,COUNTIFS($C$2:$C$976,"&lt;&gt;ministral",$S$2:$S$976,"&lt;"&amp;S753)+1)</f>
        <v/>
      </c>
      <c r="Y753" s="73">
        <f>IF(C753="gemma",0,COUNTIFS($C$2:$C$976,"&lt;&gt;gemma",$S$2:$S$976,"&lt;"&amp;S753)+1)</f>
        <v/>
      </c>
      <c r="Z753" s="87">
        <f>COUNTIFS($B$2:$B$976,B753,$C$2:$C$976,C753,$S$2:$S$976,"&lt;"&amp;S753)+1</f>
        <v/>
      </c>
      <c r="AA753" s="88">
        <f>ABS(S753-SUMPRODUCT(('05B_가정검정'!$A$5:$A$19=B753)*('05B_가정검정'!$B$5:$B$19=C753)*'05B_가정검정'!$E$5:$E$19))</f>
        <v/>
      </c>
      <c r="AB753" s="88">
        <f>S753-AVERAGEIFS($S$2:$S$976,$B$2:$B$976,B753,$C$2:$C$976,C753)</f>
        <v/>
      </c>
    </row>
    <row r="754" ht="15" customHeight="1" s="68">
      <c r="A754" s="83" t="inlineStr">
        <is>
          <t>RPT-20</t>
        </is>
      </c>
      <c r="B754" s="83" t="inlineStr">
        <is>
          <t>chatgpt</t>
        </is>
      </c>
      <c r="C754" s="83" t="inlineStr">
        <is>
          <t>qwen</t>
        </is>
      </c>
      <c r="D754" s="84" t="n">
        <v>0.308762169680111</v>
      </c>
      <c r="E754" s="84" t="n">
        <v>0.429378531073446</v>
      </c>
      <c r="F754" s="84" t="n">
        <v>0.251428571428571</v>
      </c>
      <c r="G754" s="84" t="n">
        <v>0.350282485875706</v>
      </c>
      <c r="H754" s="84" t="n">
        <v>0.237094691992281</v>
      </c>
      <c r="I754" s="84" t="n">
        <v>0.311432722566306</v>
      </c>
      <c r="J754" s="84" t="n">
        <v>0.762257891010355</v>
      </c>
      <c r="K754" s="84" t="n">
        <v>0.6503160066688231</v>
      </c>
      <c r="L754" s="84" t="n">
        <v>0.838020071220922</v>
      </c>
      <c r="M754" s="84" t="n">
        <v>0.463054187192118</v>
      </c>
      <c r="N754" s="84" t="n">
        <v>0</v>
      </c>
      <c r="O754" s="84" t="n">
        <v>1</v>
      </c>
      <c r="P754" s="85">
        <f>AVERAGE(D754:I754)</f>
        <v/>
      </c>
      <c r="Q754" s="85">
        <f>AVERAGE(J754:L754)</f>
        <v/>
      </c>
      <c r="R754" s="85">
        <f>AVERAGE(M754:O754)</f>
        <v/>
      </c>
      <c r="S754" s="85">
        <f>'02_지표정의'!$C$22*P754+'02_지표정의'!$C$23*Q754+'02_지표정의'!$C$24*R754</f>
        <v/>
      </c>
      <c r="T754" s="73">
        <f>IF(OR(AND(B754="gemini",C754="gemma"),AND(B754="qwen3_6",C754="qwen"),AND(B754="mistral",C754="ministral")),1,0)</f>
        <v/>
      </c>
      <c r="U754" s="73">
        <f>IF(LEFT(A754,3)="PAT","특허","보고서")</f>
        <v/>
      </c>
      <c r="V754" s="86">
        <f>COUNTIF($S$2:$S$976,"&lt;"&amp;S754)+(COUNTIF($S$2:$S$976,"="&amp;S754)+1)/2</f>
        <v/>
      </c>
      <c r="W754" s="73">
        <f>IF(C754="qwen",0,COUNTIFS($C$2:$C$976,"&lt;&gt;qwen",$S$2:$S$976,"&lt;"&amp;S754)+1)</f>
        <v/>
      </c>
      <c r="X754" s="73">
        <f>IF(C754="ministral",0,COUNTIFS($C$2:$C$976,"&lt;&gt;ministral",$S$2:$S$976,"&lt;"&amp;S754)+1)</f>
        <v/>
      </c>
      <c r="Y754" s="73">
        <f>IF(C754="gemma",0,COUNTIFS($C$2:$C$976,"&lt;&gt;gemma",$S$2:$S$976,"&lt;"&amp;S754)+1)</f>
        <v/>
      </c>
      <c r="Z754" s="87">
        <f>COUNTIFS($B$2:$B$976,B754,$C$2:$C$976,C754,$S$2:$S$976,"&lt;"&amp;S754)+1</f>
        <v/>
      </c>
      <c r="AA754" s="88">
        <f>ABS(S754-SUMPRODUCT(('05B_가정검정'!$A$5:$A$19=B754)*('05B_가정검정'!$B$5:$B$19=C754)*'05B_가정검정'!$E$5:$E$19))</f>
        <v/>
      </c>
      <c r="AB754" s="88">
        <f>S754-AVERAGEIFS($S$2:$S$976,$B$2:$B$976,B754,$C$2:$C$976,C754)</f>
        <v/>
      </c>
    </row>
    <row r="755" ht="15" customHeight="1" s="68">
      <c r="A755" s="83" t="inlineStr">
        <is>
          <t>RPT-20</t>
        </is>
      </c>
      <c r="B755" s="83" t="inlineStr">
        <is>
          <t>claude</t>
        </is>
      </c>
      <c r="C755" s="83" t="inlineStr">
        <is>
          <t>gemma</t>
        </is>
      </c>
      <c r="D755" s="84" t="n">
        <v>0.228464419475655</v>
      </c>
      <c r="E755" s="84" t="n">
        <v>0.298181818181818</v>
      </c>
      <c r="F755" s="84" t="n">
        <v>0.07326007326007331</v>
      </c>
      <c r="G755" s="84" t="n">
        <v>0.203636363636364</v>
      </c>
      <c r="H755" s="84" t="n">
        <v>0.275796884886525</v>
      </c>
      <c r="I755" s="84" t="n">
        <v>0.159828788000497</v>
      </c>
      <c r="J755" s="84" t="n">
        <v>0.7045466986137709</v>
      </c>
      <c r="K755" s="84" t="n">
        <v>0.667738800764214</v>
      </c>
      <c r="L755" s="84" t="n">
        <v>0.870573493015358</v>
      </c>
      <c r="M755" s="84" t="n">
        <v>0.536912751677852</v>
      </c>
      <c r="N755" s="84" t="n">
        <v>0.463414634146341</v>
      </c>
      <c r="O755" s="84" t="n">
        <v>1</v>
      </c>
      <c r="P755" s="85">
        <f>AVERAGE(D755:I755)</f>
        <v/>
      </c>
      <c r="Q755" s="85">
        <f>AVERAGE(J755:L755)</f>
        <v/>
      </c>
      <c r="R755" s="85">
        <f>AVERAGE(M755:O755)</f>
        <v/>
      </c>
      <c r="S755" s="85">
        <f>'02_지표정의'!$C$22*P755+'02_지표정의'!$C$23*Q755+'02_지표정의'!$C$24*R755</f>
        <v/>
      </c>
      <c r="T755" s="73">
        <f>IF(OR(AND(B755="gemini",C755="gemma"),AND(B755="qwen3_6",C755="qwen"),AND(B755="mistral",C755="ministral")),1,0)</f>
        <v/>
      </c>
      <c r="U755" s="73">
        <f>IF(LEFT(A755,3)="PAT","특허","보고서")</f>
        <v/>
      </c>
      <c r="V755" s="86">
        <f>COUNTIF($S$2:$S$976,"&lt;"&amp;S755)+(COUNTIF($S$2:$S$976,"="&amp;S755)+1)/2</f>
        <v/>
      </c>
      <c r="W755" s="73">
        <f>IF(C755="qwen",0,COUNTIFS($C$2:$C$976,"&lt;&gt;qwen",$S$2:$S$976,"&lt;"&amp;S755)+1)</f>
        <v/>
      </c>
      <c r="X755" s="73">
        <f>IF(C755="ministral",0,COUNTIFS($C$2:$C$976,"&lt;&gt;ministral",$S$2:$S$976,"&lt;"&amp;S755)+1)</f>
        <v/>
      </c>
      <c r="Y755" s="73">
        <f>IF(C755="gemma",0,COUNTIFS($C$2:$C$976,"&lt;&gt;gemma",$S$2:$S$976,"&lt;"&amp;S755)+1)</f>
        <v/>
      </c>
      <c r="Z755" s="87">
        <f>COUNTIFS($B$2:$B$976,B755,$C$2:$C$976,C755,$S$2:$S$976,"&lt;"&amp;S755)+1</f>
        <v/>
      </c>
      <c r="AA755" s="88">
        <f>ABS(S755-SUMPRODUCT(('05B_가정검정'!$A$5:$A$19=B755)*('05B_가정검정'!$B$5:$B$19=C755)*'05B_가정검정'!$E$5:$E$19))</f>
        <v/>
      </c>
      <c r="AB755" s="88">
        <f>S755-AVERAGEIFS($S$2:$S$976,$B$2:$B$976,B755,$C$2:$C$976,C755)</f>
        <v/>
      </c>
    </row>
    <row r="756" ht="15" customHeight="1" s="68">
      <c r="A756" s="83" t="inlineStr">
        <is>
          <t>RPT-20</t>
        </is>
      </c>
      <c r="B756" s="83" t="inlineStr">
        <is>
          <t>claude</t>
        </is>
      </c>
      <c r="C756" s="83" t="inlineStr">
        <is>
          <t>ministral</t>
        </is>
      </c>
      <c r="D756" s="84" t="n">
        <v>0.272970561998216</v>
      </c>
      <c r="E756" s="84" t="n">
        <v>0.311345646437995</v>
      </c>
      <c r="F756" s="84" t="n">
        <v>0.0954907161803714</v>
      </c>
      <c r="G756" s="84" t="n">
        <v>0.226912928759894</v>
      </c>
      <c r="H756" s="84" t="n">
        <v>0.209695723977958</v>
      </c>
      <c r="I756" s="84" t="n">
        <v>0.19912980800491</v>
      </c>
      <c r="J756" s="84" t="n">
        <v>0.686840555857036</v>
      </c>
      <c r="K756" s="84" t="n">
        <v>0.651302436124456</v>
      </c>
      <c r="L756" s="84" t="n">
        <v>0.810799988135802</v>
      </c>
      <c r="M756" s="84" t="n">
        <v>0.494545454545455</v>
      </c>
      <c r="N756" s="84" t="n">
        <v>0.603053435114504</v>
      </c>
      <c r="O756" s="84" t="n">
        <v>1</v>
      </c>
      <c r="P756" s="85">
        <f>AVERAGE(D756:I756)</f>
        <v/>
      </c>
      <c r="Q756" s="85">
        <f>AVERAGE(J756:L756)</f>
        <v/>
      </c>
      <c r="R756" s="85">
        <f>AVERAGE(M756:O756)</f>
        <v/>
      </c>
      <c r="S756" s="85">
        <f>'02_지표정의'!$C$22*P756+'02_지표정의'!$C$23*Q756+'02_지표정의'!$C$24*R756</f>
        <v/>
      </c>
      <c r="T756" s="73">
        <f>IF(OR(AND(B756="gemini",C756="gemma"),AND(B756="qwen3_6",C756="qwen"),AND(B756="mistral",C756="ministral")),1,0)</f>
        <v/>
      </c>
      <c r="U756" s="73">
        <f>IF(LEFT(A756,3)="PAT","특허","보고서")</f>
        <v/>
      </c>
      <c r="V756" s="86">
        <f>COUNTIF($S$2:$S$976,"&lt;"&amp;S756)+(COUNTIF($S$2:$S$976,"="&amp;S756)+1)/2</f>
        <v/>
      </c>
      <c r="W756" s="73">
        <f>IF(C756="qwen",0,COUNTIFS($C$2:$C$976,"&lt;&gt;qwen",$S$2:$S$976,"&lt;"&amp;S756)+1)</f>
        <v/>
      </c>
      <c r="X756" s="73">
        <f>IF(C756="ministral",0,COUNTIFS($C$2:$C$976,"&lt;&gt;ministral",$S$2:$S$976,"&lt;"&amp;S756)+1)</f>
        <v/>
      </c>
      <c r="Y756" s="73">
        <f>IF(C756="gemma",0,COUNTIFS($C$2:$C$976,"&lt;&gt;gemma",$S$2:$S$976,"&lt;"&amp;S756)+1)</f>
        <v/>
      </c>
      <c r="Z756" s="87">
        <f>COUNTIFS($B$2:$B$976,B756,$C$2:$C$976,C756,$S$2:$S$976,"&lt;"&amp;S756)+1</f>
        <v/>
      </c>
      <c r="AA756" s="88">
        <f>ABS(S756-SUMPRODUCT(('05B_가정검정'!$A$5:$A$19=B756)*('05B_가정검정'!$B$5:$B$19=C756)*'05B_가정검정'!$E$5:$E$19))</f>
        <v/>
      </c>
      <c r="AB756" s="88">
        <f>S756-AVERAGEIFS($S$2:$S$976,$B$2:$B$976,B756,$C$2:$C$976,C756)</f>
        <v/>
      </c>
    </row>
    <row r="757" ht="15" customHeight="1" s="68">
      <c r="A757" s="83" t="inlineStr">
        <is>
          <t>RPT-20</t>
        </is>
      </c>
      <c r="B757" s="83" t="inlineStr">
        <is>
          <t>claude</t>
        </is>
      </c>
      <c r="C757" s="83" t="inlineStr">
        <is>
          <t>qwen</t>
        </is>
      </c>
      <c r="D757" s="84" t="n">
        <v>0.302171860245515</v>
      </c>
      <c r="E757" s="84" t="n">
        <v>0.475836431226766</v>
      </c>
      <c r="F757" s="84" t="n">
        <v>0.209737827715356</v>
      </c>
      <c r="G757" s="84" t="n">
        <v>0.342007434944238</v>
      </c>
      <c r="H757" s="84" t="n">
        <v>0.344665407641984</v>
      </c>
      <c r="I757" s="84" t="n">
        <v>0.300368497163728</v>
      </c>
      <c r="J757" s="84" t="n">
        <v>0.736462501792947</v>
      </c>
      <c r="K757" s="84" t="n">
        <v>0.590541260997013</v>
      </c>
      <c r="L757" s="84" t="n">
        <v>0.822409246771141</v>
      </c>
      <c r="M757" s="84" t="n">
        <v>0.625615763546798</v>
      </c>
      <c r="N757" s="84" t="n">
        <v>0.587719298245614</v>
      </c>
      <c r="O757" s="84" t="n">
        <v>1</v>
      </c>
      <c r="P757" s="85">
        <f>AVERAGE(D757:I757)</f>
        <v/>
      </c>
      <c r="Q757" s="85">
        <f>AVERAGE(J757:L757)</f>
        <v/>
      </c>
      <c r="R757" s="85">
        <f>AVERAGE(M757:O757)</f>
        <v/>
      </c>
      <c r="S757" s="85">
        <f>'02_지표정의'!$C$22*P757+'02_지표정의'!$C$23*Q757+'02_지표정의'!$C$24*R757</f>
        <v/>
      </c>
      <c r="T757" s="73">
        <f>IF(OR(AND(B757="gemini",C757="gemma"),AND(B757="qwen3_6",C757="qwen"),AND(B757="mistral",C757="ministral")),1,0)</f>
        <v/>
      </c>
      <c r="U757" s="73">
        <f>IF(LEFT(A757,3)="PAT","특허","보고서")</f>
        <v/>
      </c>
      <c r="V757" s="86">
        <f>COUNTIF($S$2:$S$976,"&lt;"&amp;S757)+(COUNTIF($S$2:$S$976,"="&amp;S757)+1)/2</f>
        <v/>
      </c>
      <c r="W757" s="73">
        <f>IF(C757="qwen",0,COUNTIFS($C$2:$C$976,"&lt;&gt;qwen",$S$2:$S$976,"&lt;"&amp;S757)+1)</f>
        <v/>
      </c>
      <c r="X757" s="73">
        <f>IF(C757="ministral",0,COUNTIFS($C$2:$C$976,"&lt;&gt;ministral",$S$2:$S$976,"&lt;"&amp;S757)+1)</f>
        <v/>
      </c>
      <c r="Y757" s="73">
        <f>IF(C757="gemma",0,COUNTIFS($C$2:$C$976,"&lt;&gt;gemma",$S$2:$S$976,"&lt;"&amp;S757)+1)</f>
        <v/>
      </c>
      <c r="Z757" s="87">
        <f>COUNTIFS($B$2:$B$976,B757,$C$2:$C$976,C757,$S$2:$S$976,"&lt;"&amp;S757)+1</f>
        <v/>
      </c>
      <c r="AA757" s="88">
        <f>ABS(S757-SUMPRODUCT(('05B_가정검정'!$A$5:$A$19=B757)*('05B_가정검정'!$B$5:$B$19=C757)*'05B_가정검정'!$E$5:$E$19))</f>
        <v/>
      </c>
      <c r="AB757" s="88">
        <f>S757-AVERAGEIFS($S$2:$S$976,$B$2:$B$976,B757,$C$2:$C$976,C757)</f>
        <v/>
      </c>
    </row>
    <row r="758" ht="15" customHeight="1" s="68">
      <c r="A758" s="83" t="inlineStr">
        <is>
          <t>RPT-20</t>
        </is>
      </c>
      <c r="B758" s="83" t="inlineStr">
        <is>
          <t>gemini</t>
        </is>
      </c>
      <c r="C758" s="83" t="inlineStr">
        <is>
          <t>gemma</t>
        </is>
      </c>
      <c r="D758" s="84" t="n">
        <v>0.229426433915212</v>
      </c>
      <c r="E758" s="84" t="n">
        <v>0.358695652173913</v>
      </c>
      <c r="F758" s="84" t="n">
        <v>0.10989010989011</v>
      </c>
      <c r="G758" s="84" t="n">
        <v>0.271739130434783</v>
      </c>
      <c r="H758" s="84" t="n">
        <v>0.308256798979785</v>
      </c>
      <c r="I758" s="84" t="n">
        <v>0.148136490339089</v>
      </c>
      <c r="J758" s="84" t="n">
        <v>0.746009407260647</v>
      </c>
      <c r="K758" s="84" t="n">
        <v>0.744364392770381</v>
      </c>
      <c r="L758" s="84" t="n">
        <v>0.877499083006361</v>
      </c>
      <c r="M758" s="84" t="n">
        <v>0.651006711409396</v>
      </c>
      <c r="N758" s="84" t="n">
        <v>0.774647887323944</v>
      </c>
      <c r="O758" s="84" t="n">
        <v>1</v>
      </c>
      <c r="P758" s="85">
        <f>AVERAGE(D758:I758)</f>
        <v/>
      </c>
      <c r="Q758" s="85">
        <f>AVERAGE(J758:L758)</f>
        <v/>
      </c>
      <c r="R758" s="85">
        <f>AVERAGE(M758:O758)</f>
        <v/>
      </c>
      <c r="S758" s="85">
        <f>'02_지표정의'!$C$22*P758+'02_지표정의'!$C$23*Q758+'02_지표정의'!$C$24*R758</f>
        <v/>
      </c>
      <c r="T758" s="73">
        <f>IF(OR(AND(B758="gemini",C758="gemma"),AND(B758="qwen3_6",C758="qwen"),AND(B758="mistral",C758="ministral")),1,0)</f>
        <v/>
      </c>
      <c r="U758" s="73">
        <f>IF(LEFT(A758,3)="PAT","특허","보고서")</f>
        <v/>
      </c>
      <c r="V758" s="86">
        <f>COUNTIF($S$2:$S$976,"&lt;"&amp;S758)+(COUNTIF($S$2:$S$976,"="&amp;S758)+1)/2</f>
        <v/>
      </c>
      <c r="W758" s="73">
        <f>IF(C758="qwen",0,COUNTIFS($C$2:$C$976,"&lt;&gt;qwen",$S$2:$S$976,"&lt;"&amp;S758)+1)</f>
        <v/>
      </c>
      <c r="X758" s="73">
        <f>IF(C758="ministral",0,COUNTIFS($C$2:$C$976,"&lt;&gt;ministral",$S$2:$S$976,"&lt;"&amp;S758)+1)</f>
        <v/>
      </c>
      <c r="Y758" s="73">
        <f>IF(C758="gemma",0,COUNTIFS($C$2:$C$976,"&lt;&gt;gemma",$S$2:$S$976,"&lt;"&amp;S758)+1)</f>
        <v/>
      </c>
      <c r="Z758" s="87">
        <f>COUNTIFS($B$2:$B$976,B758,$C$2:$C$976,C758,$S$2:$S$976,"&lt;"&amp;S758)+1</f>
        <v/>
      </c>
      <c r="AA758" s="88">
        <f>ABS(S758-SUMPRODUCT(('05B_가정검정'!$A$5:$A$19=B758)*('05B_가정검정'!$B$5:$B$19=C758)*'05B_가정검정'!$E$5:$E$19))</f>
        <v/>
      </c>
      <c r="AB758" s="88">
        <f>S758-AVERAGEIFS($S$2:$S$976,$B$2:$B$976,B758,$C$2:$C$976,C758)</f>
        <v/>
      </c>
    </row>
    <row r="759" ht="15" customHeight="1" s="68">
      <c r="A759" s="83" t="inlineStr">
        <is>
          <t>RPT-20</t>
        </is>
      </c>
      <c r="B759" s="83" t="inlineStr">
        <is>
          <t>gemini</t>
        </is>
      </c>
      <c r="C759" s="83" t="inlineStr">
        <is>
          <t>ministral</t>
        </is>
      </c>
      <c r="D759" s="84" t="n">
        <v>0.24327485380117</v>
      </c>
      <c r="E759" s="84" t="n">
        <v>0.194444444444444</v>
      </c>
      <c r="F759" s="84" t="n">
        <v>0.08391608391608391</v>
      </c>
      <c r="G759" s="84" t="n">
        <v>0.1875</v>
      </c>
      <c r="H759" s="84" t="n">
        <v>0.14256910332383</v>
      </c>
      <c r="I759" s="84" t="n">
        <v>0.166154931495311</v>
      </c>
      <c r="J759" s="84" t="n">
        <v>0.733012941579804</v>
      </c>
      <c r="K759" s="84" t="n">
        <v>0.815943274184218</v>
      </c>
      <c r="L759" s="84" t="n">
        <v>0.917800128201598</v>
      </c>
      <c r="M759" s="84" t="n">
        <v>0.352727272727273</v>
      </c>
      <c r="N759" s="84" t="n">
        <v>0.419847328244275</v>
      </c>
      <c r="O759" s="84" t="n">
        <v>1</v>
      </c>
      <c r="P759" s="85">
        <f>AVERAGE(D759:I759)</f>
        <v/>
      </c>
      <c r="Q759" s="85">
        <f>AVERAGE(J759:L759)</f>
        <v/>
      </c>
      <c r="R759" s="85">
        <f>AVERAGE(M759:O759)</f>
        <v/>
      </c>
      <c r="S759" s="85">
        <f>'02_지표정의'!$C$22*P759+'02_지표정의'!$C$23*Q759+'02_지표정의'!$C$24*R759</f>
        <v/>
      </c>
      <c r="T759" s="73">
        <f>IF(OR(AND(B759="gemini",C759="gemma"),AND(B759="qwen3_6",C759="qwen"),AND(B759="mistral",C759="ministral")),1,0)</f>
        <v/>
      </c>
      <c r="U759" s="73">
        <f>IF(LEFT(A759,3)="PAT","특허","보고서")</f>
        <v/>
      </c>
      <c r="V759" s="86">
        <f>COUNTIF($S$2:$S$976,"&lt;"&amp;S759)+(COUNTIF($S$2:$S$976,"="&amp;S759)+1)/2</f>
        <v/>
      </c>
      <c r="W759" s="73">
        <f>IF(C759="qwen",0,COUNTIFS($C$2:$C$976,"&lt;&gt;qwen",$S$2:$S$976,"&lt;"&amp;S759)+1)</f>
        <v/>
      </c>
      <c r="X759" s="73">
        <f>IF(C759="ministral",0,COUNTIFS($C$2:$C$976,"&lt;&gt;ministral",$S$2:$S$976,"&lt;"&amp;S759)+1)</f>
        <v/>
      </c>
      <c r="Y759" s="73">
        <f>IF(C759="gemma",0,COUNTIFS($C$2:$C$976,"&lt;&gt;gemma",$S$2:$S$976,"&lt;"&amp;S759)+1)</f>
        <v/>
      </c>
      <c r="Z759" s="87">
        <f>COUNTIFS($B$2:$B$976,B759,$C$2:$C$976,C759,$S$2:$S$976,"&lt;"&amp;S759)+1</f>
        <v/>
      </c>
      <c r="AA759" s="88">
        <f>ABS(S759-SUMPRODUCT(('05B_가정검정'!$A$5:$A$19=B759)*('05B_가정검정'!$B$5:$B$19=C759)*'05B_가정검정'!$E$5:$E$19))</f>
        <v/>
      </c>
      <c r="AB759" s="88">
        <f>S759-AVERAGEIFS($S$2:$S$976,$B$2:$B$976,B759,$C$2:$C$976,C759)</f>
        <v/>
      </c>
    </row>
    <row r="760" ht="15" customHeight="1" s="68">
      <c r="A760" s="83" t="inlineStr">
        <is>
          <t>RPT-20</t>
        </is>
      </c>
      <c r="B760" s="83" t="inlineStr">
        <is>
          <t>gemini</t>
        </is>
      </c>
      <c r="C760" s="83" t="inlineStr">
        <is>
          <t>qwen</t>
        </is>
      </c>
      <c r="D760" s="84" t="n">
        <v>0.302648171500631</v>
      </c>
      <c r="E760" s="84" t="n">
        <v>0.370786516853933</v>
      </c>
      <c r="F760" s="84" t="n">
        <v>0.193181818181818</v>
      </c>
      <c r="G760" s="84" t="n">
        <v>0.292134831460674</v>
      </c>
      <c r="H760" s="84" t="n">
        <v>0.303961750701915</v>
      </c>
      <c r="I760" s="84" t="n">
        <v>0.28650040274561</v>
      </c>
      <c r="J760" s="84" t="n">
        <v>0.788900681932981</v>
      </c>
      <c r="K760" s="84" t="n">
        <v>0.775705390276281</v>
      </c>
      <c r="L760" s="84" t="n">
        <v>0.8906370907814249</v>
      </c>
      <c r="M760" s="84" t="n">
        <v>0.477832512315271</v>
      </c>
      <c r="N760" s="84" t="n">
        <v>0.482456140350877</v>
      </c>
      <c r="O760" s="84" t="n">
        <v>1</v>
      </c>
      <c r="P760" s="85">
        <f>AVERAGE(D760:I760)</f>
        <v/>
      </c>
      <c r="Q760" s="85">
        <f>AVERAGE(J760:L760)</f>
        <v/>
      </c>
      <c r="R760" s="85">
        <f>AVERAGE(M760:O760)</f>
        <v/>
      </c>
      <c r="S760" s="85">
        <f>'02_지표정의'!$C$22*P760+'02_지표정의'!$C$23*Q760+'02_지표정의'!$C$24*R760</f>
        <v/>
      </c>
      <c r="T760" s="73">
        <f>IF(OR(AND(B760="gemini",C760="gemma"),AND(B760="qwen3_6",C760="qwen"),AND(B760="mistral",C760="ministral")),1,0)</f>
        <v/>
      </c>
      <c r="U760" s="73">
        <f>IF(LEFT(A760,3)="PAT","특허","보고서")</f>
        <v/>
      </c>
      <c r="V760" s="86">
        <f>COUNTIF($S$2:$S$976,"&lt;"&amp;S760)+(COUNTIF($S$2:$S$976,"="&amp;S760)+1)/2</f>
        <v/>
      </c>
      <c r="W760" s="73">
        <f>IF(C760="qwen",0,COUNTIFS($C$2:$C$976,"&lt;&gt;qwen",$S$2:$S$976,"&lt;"&amp;S760)+1)</f>
        <v/>
      </c>
      <c r="X760" s="73">
        <f>IF(C760="ministral",0,COUNTIFS($C$2:$C$976,"&lt;&gt;ministral",$S$2:$S$976,"&lt;"&amp;S760)+1)</f>
        <v/>
      </c>
      <c r="Y760" s="73">
        <f>IF(C760="gemma",0,COUNTIFS($C$2:$C$976,"&lt;&gt;gemma",$S$2:$S$976,"&lt;"&amp;S760)+1)</f>
        <v/>
      </c>
      <c r="Z760" s="87">
        <f>COUNTIFS($B$2:$B$976,B760,$C$2:$C$976,C760,$S$2:$S$976,"&lt;"&amp;S760)+1</f>
        <v/>
      </c>
      <c r="AA760" s="88">
        <f>ABS(S760-SUMPRODUCT(('05B_가정검정'!$A$5:$A$19=B760)*('05B_가정검정'!$B$5:$B$19=C760)*'05B_가정검정'!$E$5:$E$19))</f>
        <v/>
      </c>
      <c r="AB760" s="88">
        <f>S760-AVERAGEIFS($S$2:$S$976,$B$2:$B$976,B760,$C$2:$C$976,C760)</f>
        <v/>
      </c>
    </row>
    <row r="761" ht="15" customHeight="1" s="68">
      <c r="A761" s="83" t="inlineStr">
        <is>
          <t>RPT-20</t>
        </is>
      </c>
      <c r="B761" s="83" t="inlineStr">
        <is>
          <t>mistral</t>
        </is>
      </c>
      <c r="C761" s="83" t="inlineStr">
        <is>
          <t>gemma</t>
        </is>
      </c>
      <c r="D761" s="84" t="n">
        <v>0.287898089171975</v>
      </c>
      <c r="E761" s="84" t="n">
        <v>0.382222222222222</v>
      </c>
      <c r="F761" s="84" t="n">
        <v>0.152466367713005</v>
      </c>
      <c r="G761" s="84" t="n">
        <v>0.284444444444444</v>
      </c>
      <c r="H761" s="84" t="n">
        <v>0.316015805749467</v>
      </c>
      <c r="I761" s="84" t="n">
        <v>0.18787850424207</v>
      </c>
      <c r="J761" s="84" t="n">
        <v>0.742813411808104</v>
      </c>
      <c r="K761" s="84" t="n">
        <v>0.648188303328438</v>
      </c>
      <c r="L761" s="84" t="n">
        <v>0.849067356333058</v>
      </c>
      <c r="M761" s="84" t="n">
        <v>0.691275167785235</v>
      </c>
      <c r="N761" s="84" t="n">
        <v>0.513513513513514</v>
      </c>
      <c r="O761" s="84" t="n">
        <v>1</v>
      </c>
      <c r="P761" s="85">
        <f>AVERAGE(D761:I761)</f>
        <v/>
      </c>
      <c r="Q761" s="85">
        <f>AVERAGE(J761:L761)</f>
        <v/>
      </c>
      <c r="R761" s="85">
        <f>AVERAGE(M761:O761)</f>
        <v/>
      </c>
      <c r="S761" s="85">
        <f>'02_지표정의'!$C$22*P761+'02_지표정의'!$C$23*Q761+'02_지표정의'!$C$24*R761</f>
        <v/>
      </c>
      <c r="T761" s="73">
        <f>IF(OR(AND(B761="gemini",C761="gemma"),AND(B761="qwen3_6",C761="qwen"),AND(B761="mistral",C761="ministral")),1,0)</f>
        <v/>
      </c>
      <c r="U761" s="73">
        <f>IF(LEFT(A761,3)="PAT","특허","보고서")</f>
        <v/>
      </c>
      <c r="V761" s="86">
        <f>COUNTIF($S$2:$S$976,"&lt;"&amp;S761)+(COUNTIF($S$2:$S$976,"="&amp;S761)+1)/2</f>
        <v/>
      </c>
      <c r="W761" s="73">
        <f>IF(C761="qwen",0,COUNTIFS($C$2:$C$976,"&lt;&gt;qwen",$S$2:$S$976,"&lt;"&amp;S761)+1)</f>
        <v/>
      </c>
      <c r="X761" s="73">
        <f>IF(C761="ministral",0,COUNTIFS($C$2:$C$976,"&lt;&gt;ministral",$S$2:$S$976,"&lt;"&amp;S761)+1)</f>
        <v/>
      </c>
      <c r="Y761" s="73">
        <f>IF(C761="gemma",0,COUNTIFS($C$2:$C$976,"&lt;&gt;gemma",$S$2:$S$976,"&lt;"&amp;S761)+1)</f>
        <v/>
      </c>
      <c r="Z761" s="87">
        <f>COUNTIFS($B$2:$B$976,B761,$C$2:$C$976,C761,$S$2:$S$976,"&lt;"&amp;S761)+1</f>
        <v/>
      </c>
      <c r="AA761" s="88">
        <f>ABS(S761-SUMPRODUCT(('05B_가정검정'!$A$5:$A$19=B761)*('05B_가정검정'!$B$5:$B$19=C761)*'05B_가정검정'!$E$5:$E$19))</f>
        <v/>
      </c>
      <c r="AB761" s="88">
        <f>S761-AVERAGEIFS($S$2:$S$976,$B$2:$B$976,B761,$C$2:$C$976,C761)</f>
        <v/>
      </c>
    </row>
    <row r="762" ht="15" customHeight="1" s="68">
      <c r="A762" s="83" t="inlineStr">
        <is>
          <t>RPT-20</t>
        </is>
      </c>
      <c r="B762" s="83" t="inlineStr">
        <is>
          <t>mistral</t>
        </is>
      </c>
      <c r="C762" s="83" t="inlineStr">
        <is>
          <t>ministral</t>
        </is>
      </c>
      <c r="D762" s="84" t="n">
        <v>0.343675417661098</v>
      </c>
      <c r="E762" s="84" t="n">
        <v>0.328267477203647</v>
      </c>
      <c r="F762" s="84" t="n">
        <v>0.110091743119266</v>
      </c>
      <c r="G762" s="84" t="n">
        <v>0.218844984802432</v>
      </c>
      <c r="H762" s="84" t="n">
        <v>0.17015556015151</v>
      </c>
      <c r="I762" s="84" t="n">
        <v>0.262001113590706</v>
      </c>
      <c r="J762" s="84" t="n">
        <v>0.7198520712922249</v>
      </c>
      <c r="K762" s="84" t="n">
        <v>0.700697529402948</v>
      </c>
      <c r="L762" s="84" t="n">
        <v>0.847098042199346</v>
      </c>
      <c r="M762" s="84" t="n">
        <v>0.425454545454545</v>
      </c>
      <c r="N762" s="84" t="n">
        <v>0.366412213740458</v>
      </c>
      <c r="O762" s="84" t="n">
        <v>1</v>
      </c>
      <c r="P762" s="85">
        <f>AVERAGE(D762:I762)</f>
        <v/>
      </c>
      <c r="Q762" s="85">
        <f>AVERAGE(J762:L762)</f>
        <v/>
      </c>
      <c r="R762" s="85">
        <f>AVERAGE(M762:O762)</f>
        <v/>
      </c>
      <c r="S762" s="85">
        <f>'02_지표정의'!$C$22*P762+'02_지표정의'!$C$23*Q762+'02_지표정의'!$C$24*R762</f>
        <v/>
      </c>
      <c r="T762" s="73">
        <f>IF(OR(AND(B762="gemini",C762="gemma"),AND(B762="qwen3_6",C762="qwen"),AND(B762="mistral",C762="ministral")),1,0)</f>
        <v/>
      </c>
      <c r="U762" s="73">
        <f>IF(LEFT(A762,3)="PAT","특허","보고서")</f>
        <v/>
      </c>
      <c r="V762" s="86">
        <f>COUNTIF($S$2:$S$976,"&lt;"&amp;S762)+(COUNTIF($S$2:$S$976,"="&amp;S762)+1)/2</f>
        <v/>
      </c>
      <c r="W762" s="73">
        <f>IF(C762="qwen",0,COUNTIFS($C$2:$C$976,"&lt;&gt;qwen",$S$2:$S$976,"&lt;"&amp;S762)+1)</f>
        <v/>
      </c>
      <c r="X762" s="73">
        <f>IF(C762="ministral",0,COUNTIFS($C$2:$C$976,"&lt;&gt;ministral",$S$2:$S$976,"&lt;"&amp;S762)+1)</f>
        <v/>
      </c>
      <c r="Y762" s="73">
        <f>IF(C762="gemma",0,COUNTIFS($C$2:$C$976,"&lt;&gt;gemma",$S$2:$S$976,"&lt;"&amp;S762)+1)</f>
        <v/>
      </c>
      <c r="Z762" s="87">
        <f>COUNTIFS($B$2:$B$976,B762,$C$2:$C$976,C762,$S$2:$S$976,"&lt;"&amp;S762)+1</f>
        <v/>
      </c>
      <c r="AA762" s="88">
        <f>ABS(S762-SUMPRODUCT(('05B_가정검정'!$A$5:$A$19=B762)*('05B_가정검정'!$B$5:$B$19=C762)*'05B_가정검정'!$E$5:$E$19))</f>
        <v/>
      </c>
      <c r="AB762" s="88">
        <f>S762-AVERAGEIFS($S$2:$S$976,$B$2:$B$976,B762,$C$2:$C$976,C762)</f>
        <v/>
      </c>
    </row>
    <row r="763" ht="15" customHeight="1" s="68">
      <c r="A763" s="83" t="inlineStr">
        <is>
          <t>RPT-20</t>
        </is>
      </c>
      <c r="B763" s="83" t="inlineStr">
        <is>
          <t>mistral</t>
        </is>
      </c>
      <c r="C763" s="83" t="inlineStr">
        <is>
          <t>qwen</t>
        </is>
      </c>
      <c r="D763" s="84" t="n">
        <v>0.335051546391753</v>
      </c>
      <c r="E763" s="84" t="n">
        <v>0.383561643835617</v>
      </c>
      <c r="F763" s="84" t="n">
        <v>0.15668202764977</v>
      </c>
      <c r="G763" s="84" t="n">
        <v>0.28310502283105</v>
      </c>
      <c r="H763" s="84" t="n">
        <v>0.300005750515509</v>
      </c>
      <c r="I763" s="84" t="n">
        <v>0.312905058701157</v>
      </c>
      <c r="J763" s="84" t="n">
        <v>0.716992696994422</v>
      </c>
      <c r="K763" s="84" t="n">
        <v>0.629935349502302</v>
      </c>
      <c r="L763" s="84" t="n">
        <v>0.820736018135257</v>
      </c>
      <c r="M763" s="84" t="n">
        <v>0.507389162561576</v>
      </c>
      <c r="N763" s="84" t="n">
        <v>0.307017543859649</v>
      </c>
      <c r="O763" s="84" t="n">
        <v>1</v>
      </c>
      <c r="P763" s="85">
        <f>AVERAGE(D763:I763)</f>
        <v/>
      </c>
      <c r="Q763" s="85">
        <f>AVERAGE(J763:L763)</f>
        <v/>
      </c>
      <c r="R763" s="85">
        <f>AVERAGE(M763:O763)</f>
        <v/>
      </c>
      <c r="S763" s="85">
        <f>'02_지표정의'!$C$22*P763+'02_지표정의'!$C$23*Q763+'02_지표정의'!$C$24*R763</f>
        <v/>
      </c>
      <c r="T763" s="73">
        <f>IF(OR(AND(B763="gemini",C763="gemma"),AND(B763="qwen3_6",C763="qwen"),AND(B763="mistral",C763="ministral")),1,0)</f>
        <v/>
      </c>
      <c r="U763" s="73">
        <f>IF(LEFT(A763,3)="PAT","특허","보고서")</f>
        <v/>
      </c>
      <c r="V763" s="86">
        <f>COUNTIF($S$2:$S$976,"&lt;"&amp;S763)+(COUNTIF($S$2:$S$976,"="&amp;S763)+1)/2</f>
        <v/>
      </c>
      <c r="W763" s="73">
        <f>IF(C763="qwen",0,COUNTIFS($C$2:$C$976,"&lt;&gt;qwen",$S$2:$S$976,"&lt;"&amp;S763)+1)</f>
        <v/>
      </c>
      <c r="X763" s="73">
        <f>IF(C763="ministral",0,COUNTIFS($C$2:$C$976,"&lt;&gt;ministral",$S$2:$S$976,"&lt;"&amp;S763)+1)</f>
        <v/>
      </c>
      <c r="Y763" s="73">
        <f>IF(C763="gemma",0,COUNTIFS($C$2:$C$976,"&lt;&gt;gemma",$S$2:$S$976,"&lt;"&amp;S763)+1)</f>
        <v/>
      </c>
      <c r="Z763" s="87">
        <f>COUNTIFS($B$2:$B$976,B763,$C$2:$C$976,C763,$S$2:$S$976,"&lt;"&amp;S763)+1</f>
        <v/>
      </c>
      <c r="AA763" s="88">
        <f>ABS(S763-SUMPRODUCT(('05B_가정검정'!$A$5:$A$19=B763)*('05B_가정검정'!$B$5:$B$19=C763)*'05B_가정검정'!$E$5:$E$19))</f>
        <v/>
      </c>
      <c r="AB763" s="88">
        <f>S763-AVERAGEIFS($S$2:$S$976,$B$2:$B$976,B763,$C$2:$C$976,C763)</f>
        <v/>
      </c>
    </row>
    <row r="764" ht="15" customHeight="1" s="68">
      <c r="A764" s="83" t="inlineStr">
        <is>
          <t>RPT-20</t>
        </is>
      </c>
      <c r="B764" s="83" t="inlineStr">
        <is>
          <t>qwen3_6</t>
        </is>
      </c>
      <c r="C764" s="83" t="inlineStr">
        <is>
          <t>gemma</t>
        </is>
      </c>
      <c r="D764" s="84" t="n">
        <v>0.213004484304933</v>
      </c>
      <c r="E764" s="84" t="n">
        <v>0.337662337662338</v>
      </c>
      <c r="F764" s="84" t="n">
        <v>0.11353711790393</v>
      </c>
      <c r="G764" s="84" t="n">
        <v>0.233766233766234</v>
      </c>
      <c r="H764" s="84" t="n">
        <v>0.389233204977181</v>
      </c>
      <c r="I764" s="84" t="n">
        <v>0.151600938904802</v>
      </c>
      <c r="J764" s="84" t="n">
        <v>0.740688334542096</v>
      </c>
      <c r="K764" s="84" t="n">
        <v>0.648989590148089</v>
      </c>
      <c r="L764" s="84" t="n">
        <v>0.863438124910557</v>
      </c>
      <c r="M764" s="84" t="n">
        <v>0.651006711409396</v>
      </c>
      <c r="N764" s="84" t="n">
        <v>0.774647887323944</v>
      </c>
      <c r="O764" s="84" t="n">
        <v>1</v>
      </c>
      <c r="P764" s="85">
        <f>AVERAGE(D764:I764)</f>
        <v/>
      </c>
      <c r="Q764" s="85">
        <f>AVERAGE(J764:L764)</f>
        <v/>
      </c>
      <c r="R764" s="85">
        <f>AVERAGE(M764:O764)</f>
        <v/>
      </c>
      <c r="S764" s="85">
        <f>'02_지표정의'!$C$22*P764+'02_지표정의'!$C$23*Q764+'02_지표정의'!$C$24*R764</f>
        <v/>
      </c>
      <c r="T764" s="73">
        <f>IF(OR(AND(B764="gemini",C764="gemma"),AND(B764="qwen3_6",C764="qwen"),AND(B764="mistral",C764="ministral")),1,0)</f>
        <v/>
      </c>
      <c r="U764" s="73">
        <f>IF(LEFT(A764,3)="PAT","특허","보고서")</f>
        <v/>
      </c>
      <c r="V764" s="86">
        <f>COUNTIF($S$2:$S$976,"&lt;"&amp;S764)+(COUNTIF($S$2:$S$976,"="&amp;S764)+1)/2</f>
        <v/>
      </c>
      <c r="W764" s="73">
        <f>IF(C764="qwen",0,COUNTIFS($C$2:$C$976,"&lt;&gt;qwen",$S$2:$S$976,"&lt;"&amp;S764)+1)</f>
        <v/>
      </c>
      <c r="X764" s="73">
        <f>IF(C764="ministral",0,COUNTIFS($C$2:$C$976,"&lt;&gt;ministral",$S$2:$S$976,"&lt;"&amp;S764)+1)</f>
        <v/>
      </c>
      <c r="Y764" s="73">
        <f>IF(C764="gemma",0,COUNTIFS($C$2:$C$976,"&lt;&gt;gemma",$S$2:$S$976,"&lt;"&amp;S764)+1)</f>
        <v/>
      </c>
      <c r="Z764" s="87">
        <f>COUNTIFS($B$2:$B$976,B764,$C$2:$C$976,C764,$S$2:$S$976,"&lt;"&amp;S764)+1</f>
        <v/>
      </c>
      <c r="AA764" s="88">
        <f>ABS(S764-SUMPRODUCT(('05B_가정검정'!$A$5:$A$19=B764)*('05B_가정검정'!$B$5:$B$19=C764)*'05B_가정검정'!$E$5:$E$19))</f>
        <v/>
      </c>
      <c r="AB764" s="88">
        <f>S764-AVERAGEIFS($S$2:$S$976,$B$2:$B$976,B764,$C$2:$C$976,C764)</f>
        <v/>
      </c>
    </row>
    <row r="765" ht="15" customHeight="1" s="68">
      <c r="A765" s="83" t="inlineStr">
        <is>
          <t>RPT-20</t>
        </is>
      </c>
      <c r="B765" s="83" t="inlineStr">
        <is>
          <t>qwen3_6</t>
        </is>
      </c>
      <c r="C765" s="83" t="inlineStr">
        <is>
          <t>ministral</t>
        </is>
      </c>
      <c r="D765" s="84" t="n">
        <v>0.243386243386243</v>
      </c>
      <c r="E765" s="84" t="n">
        <v>0.26865671641791</v>
      </c>
      <c r="F765" s="84" t="n">
        <v>0.102102102102102</v>
      </c>
      <c r="G765" s="84" t="n">
        <v>0.208955223880597</v>
      </c>
      <c r="H765" s="84" t="n">
        <v>0.183610385295473</v>
      </c>
      <c r="I765" s="84" t="n">
        <v>0.187520573068336</v>
      </c>
      <c r="J765" s="84" t="n">
        <v>0.719819873828131</v>
      </c>
      <c r="K765" s="84" t="n">
        <v>0.7270039146507991</v>
      </c>
      <c r="L765" s="84" t="n">
        <v>0.863588714205993</v>
      </c>
      <c r="M765" s="84" t="n">
        <v>0.352727272727273</v>
      </c>
      <c r="N765" s="84" t="n">
        <v>0.419847328244275</v>
      </c>
      <c r="O765" s="84" t="n">
        <v>1</v>
      </c>
      <c r="P765" s="85">
        <f>AVERAGE(D765:I765)</f>
        <v/>
      </c>
      <c r="Q765" s="85">
        <f>AVERAGE(J765:L765)</f>
        <v/>
      </c>
      <c r="R765" s="85">
        <f>AVERAGE(M765:O765)</f>
        <v/>
      </c>
      <c r="S765" s="85">
        <f>'02_지표정의'!$C$22*P765+'02_지표정의'!$C$23*Q765+'02_지표정의'!$C$24*R765</f>
        <v/>
      </c>
      <c r="T765" s="73">
        <f>IF(OR(AND(B765="gemini",C765="gemma"),AND(B765="qwen3_6",C765="qwen"),AND(B765="mistral",C765="ministral")),1,0)</f>
        <v/>
      </c>
      <c r="U765" s="73">
        <f>IF(LEFT(A765,3)="PAT","특허","보고서")</f>
        <v/>
      </c>
      <c r="V765" s="86">
        <f>COUNTIF($S$2:$S$976,"&lt;"&amp;S765)+(COUNTIF($S$2:$S$976,"="&amp;S765)+1)/2</f>
        <v/>
      </c>
      <c r="W765" s="73">
        <f>IF(C765="qwen",0,COUNTIFS($C$2:$C$976,"&lt;&gt;qwen",$S$2:$S$976,"&lt;"&amp;S765)+1)</f>
        <v/>
      </c>
      <c r="X765" s="73">
        <f>IF(C765="ministral",0,COUNTIFS($C$2:$C$976,"&lt;&gt;ministral",$S$2:$S$976,"&lt;"&amp;S765)+1)</f>
        <v/>
      </c>
      <c r="Y765" s="73">
        <f>IF(C765="gemma",0,COUNTIFS($C$2:$C$976,"&lt;&gt;gemma",$S$2:$S$976,"&lt;"&amp;S765)+1)</f>
        <v/>
      </c>
      <c r="Z765" s="87">
        <f>COUNTIFS($B$2:$B$976,B765,$C$2:$C$976,C765,$S$2:$S$976,"&lt;"&amp;S765)+1</f>
        <v/>
      </c>
      <c r="AA765" s="88">
        <f>ABS(S765-SUMPRODUCT(('05B_가정검정'!$A$5:$A$19=B765)*('05B_가정검정'!$B$5:$B$19=C765)*'05B_가정검정'!$E$5:$E$19))</f>
        <v/>
      </c>
      <c r="AB765" s="88">
        <f>S765-AVERAGEIFS($S$2:$S$976,$B$2:$B$976,B765,$C$2:$C$976,C765)</f>
        <v/>
      </c>
    </row>
    <row r="766" ht="15" customHeight="1" s="68">
      <c r="A766" s="83" t="inlineStr">
        <is>
          <t>RPT-20</t>
        </is>
      </c>
      <c r="B766" s="83" t="inlineStr">
        <is>
          <t>qwen3_6</t>
        </is>
      </c>
      <c r="C766" s="83" t="inlineStr">
        <is>
          <t>qwen</t>
        </is>
      </c>
      <c r="D766" s="84" t="n">
        <v>0.303510758776897</v>
      </c>
      <c r="E766" s="84" t="n">
        <v>0.417777777777778</v>
      </c>
      <c r="F766" s="84" t="n">
        <v>0.161434977578475</v>
      </c>
      <c r="G766" s="84" t="n">
        <v>0.302222222222222</v>
      </c>
      <c r="H766" s="84" t="n">
        <v>0.37821651668126</v>
      </c>
      <c r="I766" s="84" t="n">
        <v>0.270606591050552</v>
      </c>
      <c r="J766" s="84" t="n">
        <v>0.73840945168817</v>
      </c>
      <c r="K766" s="84" t="n">
        <v>0.647986235648786</v>
      </c>
      <c r="L766" s="84" t="n">
        <v>0.864086685912387</v>
      </c>
      <c r="M766" s="84" t="n">
        <v>0.477832512315271</v>
      </c>
      <c r="N766" s="84" t="n">
        <v>0.482456140350877</v>
      </c>
      <c r="O766" s="84" t="n">
        <v>1</v>
      </c>
      <c r="P766" s="85">
        <f>AVERAGE(D766:I766)</f>
        <v/>
      </c>
      <c r="Q766" s="85">
        <f>AVERAGE(J766:L766)</f>
        <v/>
      </c>
      <c r="R766" s="85">
        <f>AVERAGE(M766:O766)</f>
        <v/>
      </c>
      <c r="S766" s="85">
        <f>'02_지표정의'!$C$22*P766+'02_지표정의'!$C$23*Q766+'02_지표정의'!$C$24*R766</f>
        <v/>
      </c>
      <c r="T766" s="73">
        <f>IF(OR(AND(B766="gemini",C766="gemma"),AND(B766="qwen3_6",C766="qwen"),AND(B766="mistral",C766="ministral")),1,0)</f>
        <v/>
      </c>
      <c r="U766" s="73">
        <f>IF(LEFT(A766,3)="PAT","특허","보고서")</f>
        <v/>
      </c>
      <c r="V766" s="86">
        <f>COUNTIF($S$2:$S$976,"&lt;"&amp;S766)+(COUNTIF($S$2:$S$976,"="&amp;S766)+1)/2</f>
        <v/>
      </c>
      <c r="W766" s="73">
        <f>IF(C766="qwen",0,COUNTIFS($C$2:$C$976,"&lt;&gt;qwen",$S$2:$S$976,"&lt;"&amp;S766)+1)</f>
        <v/>
      </c>
      <c r="X766" s="73">
        <f>IF(C766="ministral",0,COUNTIFS($C$2:$C$976,"&lt;&gt;ministral",$S$2:$S$976,"&lt;"&amp;S766)+1)</f>
        <v/>
      </c>
      <c r="Y766" s="73">
        <f>IF(C766="gemma",0,COUNTIFS($C$2:$C$976,"&lt;&gt;gemma",$S$2:$S$976,"&lt;"&amp;S766)+1)</f>
        <v/>
      </c>
      <c r="Z766" s="87">
        <f>COUNTIFS($B$2:$B$976,B766,$C$2:$C$976,C766,$S$2:$S$976,"&lt;"&amp;S766)+1</f>
        <v/>
      </c>
      <c r="AA766" s="88">
        <f>ABS(S766-SUMPRODUCT(('05B_가정검정'!$A$5:$A$19=B766)*('05B_가정검정'!$B$5:$B$19=C766)*'05B_가정검정'!$E$5:$E$19))</f>
        <v/>
      </c>
      <c r="AB766" s="88">
        <f>S766-AVERAGEIFS($S$2:$S$976,$B$2:$B$976,B766,$C$2:$C$976,C766)</f>
        <v/>
      </c>
    </row>
    <row r="767" ht="15" customHeight="1" s="68">
      <c r="A767" s="83" t="inlineStr">
        <is>
          <t>RPT-21</t>
        </is>
      </c>
      <c r="B767" s="83" t="inlineStr">
        <is>
          <t>chatgpt</t>
        </is>
      </c>
      <c r="C767" s="83" t="inlineStr">
        <is>
          <t>gemma</t>
        </is>
      </c>
      <c r="D767" s="84" t="n">
        <v>0.229249011857708</v>
      </c>
      <c r="E767" s="84" t="n">
        <v>0.306122448979592</v>
      </c>
      <c r="F767" s="84" t="n">
        <v>0.123711340206186</v>
      </c>
      <c r="G767" s="84" t="n">
        <v>0.255102040816327</v>
      </c>
      <c r="H767" s="84" t="n">
        <v>0.224361096528306</v>
      </c>
      <c r="I767" s="84" t="n">
        <v>0.179007256736085</v>
      </c>
      <c r="J767" s="84" t="n">
        <v>0.665206257573389</v>
      </c>
      <c r="K767" s="84" t="n">
        <v>0.640770121844745</v>
      </c>
      <c r="L767" s="84" t="n">
        <v>0.811305317929703</v>
      </c>
      <c r="M767" s="84" t="n">
        <v>0.5575757575757579</v>
      </c>
      <c r="N767" s="84" t="n">
        <v>0.0898876404494382</v>
      </c>
      <c r="O767" s="84" t="n">
        <v>1</v>
      </c>
      <c r="P767" s="85">
        <f>AVERAGE(D767:I767)</f>
        <v/>
      </c>
      <c r="Q767" s="85">
        <f>AVERAGE(J767:L767)</f>
        <v/>
      </c>
      <c r="R767" s="85">
        <f>AVERAGE(M767:O767)</f>
        <v/>
      </c>
      <c r="S767" s="85">
        <f>'02_지표정의'!$C$22*P767+'02_지표정의'!$C$23*Q767+'02_지표정의'!$C$24*R767</f>
        <v/>
      </c>
      <c r="T767" s="73">
        <f>IF(OR(AND(B767="gemini",C767="gemma"),AND(B767="qwen3_6",C767="qwen"),AND(B767="mistral",C767="ministral")),1,0)</f>
        <v/>
      </c>
      <c r="U767" s="73">
        <f>IF(LEFT(A767,3)="PAT","특허","보고서")</f>
        <v/>
      </c>
      <c r="V767" s="86">
        <f>COUNTIF($S$2:$S$976,"&lt;"&amp;S767)+(COUNTIF($S$2:$S$976,"="&amp;S767)+1)/2</f>
        <v/>
      </c>
      <c r="W767" s="73">
        <f>IF(C767="qwen",0,COUNTIFS($C$2:$C$976,"&lt;&gt;qwen",$S$2:$S$976,"&lt;"&amp;S767)+1)</f>
        <v/>
      </c>
      <c r="X767" s="73">
        <f>IF(C767="ministral",0,COUNTIFS($C$2:$C$976,"&lt;&gt;ministral",$S$2:$S$976,"&lt;"&amp;S767)+1)</f>
        <v/>
      </c>
      <c r="Y767" s="73">
        <f>IF(C767="gemma",0,COUNTIFS($C$2:$C$976,"&lt;&gt;gemma",$S$2:$S$976,"&lt;"&amp;S767)+1)</f>
        <v/>
      </c>
      <c r="Z767" s="87">
        <f>COUNTIFS($B$2:$B$976,B767,$C$2:$C$976,C767,$S$2:$S$976,"&lt;"&amp;S767)+1</f>
        <v/>
      </c>
      <c r="AA767" s="88">
        <f>ABS(S767-SUMPRODUCT(('05B_가정검정'!$A$5:$A$19=B767)*('05B_가정검정'!$B$5:$B$19=C767)*'05B_가정검정'!$E$5:$E$19))</f>
        <v/>
      </c>
      <c r="AB767" s="88">
        <f>S767-AVERAGEIFS($S$2:$S$976,$B$2:$B$976,B767,$C$2:$C$976,C767)</f>
        <v/>
      </c>
    </row>
    <row r="768" ht="15" customHeight="1" s="68">
      <c r="A768" s="83" t="inlineStr">
        <is>
          <t>RPT-21</t>
        </is>
      </c>
      <c r="B768" s="83" t="inlineStr">
        <is>
          <t>chatgpt</t>
        </is>
      </c>
      <c r="C768" s="83" t="inlineStr">
        <is>
          <t>ministral</t>
        </is>
      </c>
      <c r="D768" s="84" t="n">
        <v>0.307926829268293</v>
      </c>
      <c r="E768" s="84" t="n">
        <v>0.217391304347826</v>
      </c>
      <c r="F768" s="84" t="n">
        <v>0.08749999999999999</v>
      </c>
      <c r="G768" s="84" t="n">
        <v>0.173913043478261</v>
      </c>
      <c r="H768" s="84" t="n">
        <v>0.155314451376801</v>
      </c>
      <c r="I768" s="84" t="n">
        <v>0.26006230019432</v>
      </c>
      <c r="J768" s="84" t="n">
        <v>0.685949310275495</v>
      </c>
      <c r="K768" s="84" t="n">
        <v>0.705872806059615</v>
      </c>
      <c r="L768" s="84" t="n">
        <v>0.840953909810927</v>
      </c>
      <c r="M768" s="84" t="n">
        <v>0.448559670781893</v>
      </c>
      <c r="N768" s="84" t="n">
        <v>0</v>
      </c>
      <c r="O768" s="84" t="n">
        <v>1</v>
      </c>
      <c r="P768" s="85">
        <f>AVERAGE(D768:I768)</f>
        <v/>
      </c>
      <c r="Q768" s="85">
        <f>AVERAGE(J768:L768)</f>
        <v/>
      </c>
      <c r="R768" s="85">
        <f>AVERAGE(M768:O768)</f>
        <v/>
      </c>
      <c r="S768" s="85">
        <f>'02_지표정의'!$C$22*P768+'02_지표정의'!$C$23*Q768+'02_지표정의'!$C$24*R768</f>
        <v/>
      </c>
      <c r="T768" s="73">
        <f>IF(OR(AND(B768="gemini",C768="gemma"),AND(B768="qwen3_6",C768="qwen"),AND(B768="mistral",C768="ministral")),1,0)</f>
        <v/>
      </c>
      <c r="U768" s="73">
        <f>IF(LEFT(A768,3)="PAT","특허","보고서")</f>
        <v/>
      </c>
      <c r="V768" s="86">
        <f>COUNTIF($S$2:$S$976,"&lt;"&amp;S768)+(COUNTIF($S$2:$S$976,"="&amp;S768)+1)/2</f>
        <v/>
      </c>
      <c r="W768" s="73">
        <f>IF(C768="qwen",0,COUNTIFS($C$2:$C$976,"&lt;&gt;qwen",$S$2:$S$976,"&lt;"&amp;S768)+1)</f>
        <v/>
      </c>
      <c r="X768" s="73">
        <f>IF(C768="ministral",0,COUNTIFS($C$2:$C$976,"&lt;&gt;ministral",$S$2:$S$976,"&lt;"&amp;S768)+1)</f>
        <v/>
      </c>
      <c r="Y768" s="73">
        <f>IF(C768="gemma",0,COUNTIFS($C$2:$C$976,"&lt;&gt;gemma",$S$2:$S$976,"&lt;"&amp;S768)+1)</f>
        <v/>
      </c>
      <c r="Z768" s="87">
        <f>COUNTIFS($B$2:$B$976,B768,$C$2:$C$976,C768,$S$2:$S$976,"&lt;"&amp;S768)+1</f>
        <v/>
      </c>
      <c r="AA768" s="88">
        <f>ABS(S768-SUMPRODUCT(('05B_가정검정'!$A$5:$A$19=B768)*('05B_가정검정'!$B$5:$B$19=C768)*'05B_가정검정'!$E$5:$E$19))</f>
        <v/>
      </c>
      <c r="AB768" s="88">
        <f>S768-AVERAGEIFS($S$2:$S$976,$B$2:$B$976,B768,$C$2:$C$976,C768)</f>
        <v/>
      </c>
    </row>
    <row r="769" ht="15" customHeight="1" s="68">
      <c r="A769" s="83" t="inlineStr">
        <is>
          <t>RPT-21</t>
        </is>
      </c>
      <c r="B769" s="83" t="inlineStr">
        <is>
          <t>chatgpt</t>
        </is>
      </c>
      <c r="C769" s="83" t="inlineStr">
        <is>
          <t>qwen</t>
        </is>
      </c>
      <c r="D769" s="84" t="n">
        <v>0.296416938110749</v>
      </c>
      <c r="E769" s="84" t="n">
        <v>0.456310679611651</v>
      </c>
      <c r="F769" s="84" t="n">
        <v>0.196078431372549</v>
      </c>
      <c r="G769" s="84" t="n">
        <v>0.330097087378641</v>
      </c>
      <c r="H769" s="84" t="n">
        <v>0.280526589328739</v>
      </c>
      <c r="I769" s="84" t="n">
        <v>0.261312983188794</v>
      </c>
      <c r="J769" s="84" t="n">
        <v>0.7032321171557649</v>
      </c>
      <c r="K769" s="84" t="n">
        <v>0.614820120052852</v>
      </c>
      <c r="L769" s="84" t="n">
        <v>0.789059483107581</v>
      </c>
      <c r="M769" s="84" t="n">
        <v>0.515151515151515</v>
      </c>
      <c r="N769" s="84" t="n">
        <v>0.213483146067416</v>
      </c>
      <c r="O769" s="84" t="n">
        <v>1</v>
      </c>
      <c r="P769" s="85">
        <f>AVERAGE(D769:I769)</f>
        <v/>
      </c>
      <c r="Q769" s="85">
        <f>AVERAGE(J769:L769)</f>
        <v/>
      </c>
      <c r="R769" s="85">
        <f>AVERAGE(M769:O769)</f>
        <v/>
      </c>
      <c r="S769" s="85">
        <f>'02_지표정의'!$C$22*P769+'02_지표정의'!$C$23*Q769+'02_지표정의'!$C$24*R769</f>
        <v/>
      </c>
      <c r="T769" s="73">
        <f>IF(OR(AND(B769="gemini",C769="gemma"),AND(B769="qwen3_6",C769="qwen"),AND(B769="mistral",C769="ministral")),1,0)</f>
        <v/>
      </c>
      <c r="U769" s="73">
        <f>IF(LEFT(A769,3)="PAT","특허","보고서")</f>
        <v/>
      </c>
      <c r="V769" s="86">
        <f>COUNTIF($S$2:$S$976,"&lt;"&amp;S769)+(COUNTIF($S$2:$S$976,"="&amp;S769)+1)/2</f>
        <v/>
      </c>
      <c r="W769" s="73">
        <f>IF(C769="qwen",0,COUNTIFS($C$2:$C$976,"&lt;&gt;qwen",$S$2:$S$976,"&lt;"&amp;S769)+1)</f>
        <v/>
      </c>
      <c r="X769" s="73">
        <f>IF(C769="ministral",0,COUNTIFS($C$2:$C$976,"&lt;&gt;ministral",$S$2:$S$976,"&lt;"&amp;S769)+1)</f>
        <v/>
      </c>
      <c r="Y769" s="73">
        <f>IF(C769="gemma",0,COUNTIFS($C$2:$C$976,"&lt;&gt;gemma",$S$2:$S$976,"&lt;"&amp;S769)+1)</f>
        <v/>
      </c>
      <c r="Z769" s="87">
        <f>COUNTIFS($B$2:$B$976,B769,$C$2:$C$976,C769,$S$2:$S$976,"&lt;"&amp;S769)+1</f>
        <v/>
      </c>
      <c r="AA769" s="88">
        <f>ABS(S769-SUMPRODUCT(('05B_가정검정'!$A$5:$A$19=B769)*('05B_가정검정'!$B$5:$B$19=C769)*'05B_가정검정'!$E$5:$E$19))</f>
        <v/>
      </c>
      <c r="AB769" s="88">
        <f>S769-AVERAGEIFS($S$2:$S$976,$B$2:$B$976,B769,$C$2:$C$976,C769)</f>
        <v/>
      </c>
    </row>
    <row r="770" ht="15" customHeight="1" s="68">
      <c r="A770" s="83" t="inlineStr">
        <is>
          <t>RPT-21</t>
        </is>
      </c>
      <c r="B770" s="83" t="inlineStr">
        <is>
          <t>claude</t>
        </is>
      </c>
      <c r="C770" s="83" t="inlineStr">
        <is>
          <t>gemma</t>
        </is>
      </c>
      <c r="D770" s="84" t="n">
        <v>0.233128834355828</v>
      </c>
      <c r="E770" s="84" t="n">
        <v>0.314606741573034</v>
      </c>
      <c r="F770" s="84" t="n">
        <v>0.0981132075471698</v>
      </c>
      <c r="G770" s="84" t="n">
        <v>0.202247191011236</v>
      </c>
      <c r="H770" s="84" t="n">
        <v>0.311289632354814</v>
      </c>
      <c r="I770" s="84" t="n">
        <v>0.134101821642514</v>
      </c>
      <c r="J770" s="84" t="n">
        <v>0.6498012296915699</v>
      </c>
      <c r="K770" s="84" t="n">
        <v>0.633577240286874</v>
      </c>
      <c r="L770" s="84" t="n">
        <v>0.8446490268745011</v>
      </c>
      <c r="M770" s="84" t="n">
        <v>0.536912751677852</v>
      </c>
      <c r="N770" s="84" t="n">
        <v>0.463414634146341</v>
      </c>
      <c r="O770" s="84" t="n">
        <v>1</v>
      </c>
      <c r="P770" s="85">
        <f>AVERAGE(D770:I770)</f>
        <v/>
      </c>
      <c r="Q770" s="85">
        <f>AVERAGE(J770:L770)</f>
        <v/>
      </c>
      <c r="R770" s="85">
        <f>AVERAGE(M770:O770)</f>
        <v/>
      </c>
      <c r="S770" s="85">
        <f>'02_지표정의'!$C$22*P770+'02_지표정의'!$C$23*Q770+'02_지표정의'!$C$24*R770</f>
        <v/>
      </c>
      <c r="T770" s="73">
        <f>IF(OR(AND(B770="gemini",C770="gemma"),AND(B770="qwen3_6",C770="qwen"),AND(B770="mistral",C770="ministral")),1,0)</f>
        <v/>
      </c>
      <c r="U770" s="73">
        <f>IF(LEFT(A770,3)="PAT","특허","보고서")</f>
        <v/>
      </c>
      <c r="V770" s="86">
        <f>COUNTIF($S$2:$S$976,"&lt;"&amp;S770)+(COUNTIF($S$2:$S$976,"="&amp;S770)+1)/2</f>
        <v/>
      </c>
      <c r="W770" s="73">
        <f>IF(C770="qwen",0,COUNTIFS($C$2:$C$976,"&lt;&gt;qwen",$S$2:$S$976,"&lt;"&amp;S770)+1)</f>
        <v/>
      </c>
      <c r="X770" s="73">
        <f>IF(C770="ministral",0,COUNTIFS($C$2:$C$976,"&lt;&gt;ministral",$S$2:$S$976,"&lt;"&amp;S770)+1)</f>
        <v/>
      </c>
      <c r="Y770" s="73">
        <f>IF(C770="gemma",0,COUNTIFS($C$2:$C$976,"&lt;&gt;gemma",$S$2:$S$976,"&lt;"&amp;S770)+1)</f>
        <v/>
      </c>
      <c r="Z770" s="87">
        <f>COUNTIFS($B$2:$B$976,B770,$C$2:$C$976,C770,$S$2:$S$976,"&lt;"&amp;S770)+1</f>
        <v/>
      </c>
      <c r="AA770" s="88">
        <f>ABS(S770-SUMPRODUCT(('05B_가정검정'!$A$5:$A$19=B770)*('05B_가정검정'!$B$5:$B$19=C770)*'05B_가정검정'!$E$5:$E$19))</f>
        <v/>
      </c>
      <c r="AB770" s="88">
        <f>S770-AVERAGEIFS($S$2:$S$976,$B$2:$B$976,B770,$C$2:$C$976,C770)</f>
        <v/>
      </c>
    </row>
    <row r="771" ht="15" customHeight="1" s="68">
      <c r="A771" s="83" t="inlineStr">
        <is>
          <t>RPT-21</t>
        </is>
      </c>
      <c r="B771" s="83" t="inlineStr">
        <is>
          <t>claude</t>
        </is>
      </c>
      <c r="C771" s="83" t="inlineStr">
        <is>
          <t>ministral</t>
        </is>
      </c>
      <c r="D771" s="84" t="n">
        <v>0.250481695568401</v>
      </c>
      <c r="E771" s="84" t="n">
        <v>0.279898218829517</v>
      </c>
      <c r="F771" s="84" t="n">
        <v>0.0869565217391304</v>
      </c>
      <c r="G771" s="84" t="n">
        <v>0.213740458015267</v>
      </c>
      <c r="H771" s="84" t="n">
        <v>0.255891200906429</v>
      </c>
      <c r="I771" s="84" t="n">
        <v>0.182032619201215</v>
      </c>
      <c r="J771" s="84" t="n">
        <v>0.657443408762184</v>
      </c>
      <c r="K771" s="84" t="n">
        <v>0.661361064005191</v>
      </c>
      <c r="L771" s="84" t="n">
        <v>0.808940697996293</v>
      </c>
      <c r="M771" s="84" t="n">
        <v>0.539094650205761</v>
      </c>
      <c r="N771" s="84" t="n">
        <v>0.5630252100840339</v>
      </c>
      <c r="O771" s="84" t="n">
        <v>1</v>
      </c>
      <c r="P771" s="85">
        <f>AVERAGE(D771:I771)</f>
        <v/>
      </c>
      <c r="Q771" s="85">
        <f>AVERAGE(J771:L771)</f>
        <v/>
      </c>
      <c r="R771" s="85">
        <f>AVERAGE(M771:O771)</f>
        <v/>
      </c>
      <c r="S771" s="85">
        <f>'02_지표정의'!$C$22*P771+'02_지표정의'!$C$23*Q771+'02_지표정의'!$C$24*R771</f>
        <v/>
      </c>
      <c r="T771" s="73">
        <f>IF(OR(AND(B771="gemini",C771="gemma"),AND(B771="qwen3_6",C771="qwen"),AND(B771="mistral",C771="ministral")),1,0)</f>
        <v/>
      </c>
      <c r="U771" s="73">
        <f>IF(LEFT(A771,3)="PAT","특허","보고서")</f>
        <v/>
      </c>
      <c r="V771" s="86">
        <f>COUNTIF($S$2:$S$976,"&lt;"&amp;S771)+(COUNTIF($S$2:$S$976,"="&amp;S771)+1)/2</f>
        <v/>
      </c>
      <c r="W771" s="73">
        <f>IF(C771="qwen",0,COUNTIFS($C$2:$C$976,"&lt;&gt;qwen",$S$2:$S$976,"&lt;"&amp;S771)+1)</f>
        <v/>
      </c>
      <c r="X771" s="73">
        <f>IF(C771="ministral",0,COUNTIFS($C$2:$C$976,"&lt;&gt;ministral",$S$2:$S$976,"&lt;"&amp;S771)+1)</f>
        <v/>
      </c>
      <c r="Y771" s="73">
        <f>IF(C771="gemma",0,COUNTIFS($C$2:$C$976,"&lt;&gt;gemma",$S$2:$S$976,"&lt;"&amp;S771)+1)</f>
        <v/>
      </c>
      <c r="Z771" s="87">
        <f>COUNTIFS($B$2:$B$976,B771,$C$2:$C$976,C771,$S$2:$S$976,"&lt;"&amp;S771)+1</f>
        <v/>
      </c>
      <c r="AA771" s="88">
        <f>ABS(S771-SUMPRODUCT(('05B_가정검정'!$A$5:$A$19=B771)*('05B_가정검정'!$B$5:$B$19=C771)*'05B_가정검정'!$E$5:$E$19))</f>
        <v/>
      </c>
      <c r="AB771" s="88">
        <f>S771-AVERAGEIFS($S$2:$S$976,$B$2:$B$976,B771,$C$2:$C$976,C771)</f>
        <v/>
      </c>
    </row>
    <row r="772" ht="15" customHeight="1" s="68">
      <c r="A772" s="83" t="inlineStr">
        <is>
          <t>RPT-21</t>
        </is>
      </c>
      <c r="B772" s="83" t="inlineStr">
        <is>
          <t>claude</t>
        </is>
      </c>
      <c r="C772" s="83" t="inlineStr">
        <is>
          <t>qwen</t>
        </is>
      </c>
      <c r="D772" s="84" t="n">
        <v>0.240963855421687</v>
      </c>
      <c r="E772" s="84" t="n">
        <v>0.404332129963899</v>
      </c>
      <c r="F772" s="84" t="n">
        <v>0.174545454545455</v>
      </c>
      <c r="G772" s="84" t="n">
        <v>0.245487364620939</v>
      </c>
      <c r="H772" s="84" t="n">
        <v>0.205883909919005</v>
      </c>
      <c r="I772" s="84" t="n">
        <v>0.141096747550682</v>
      </c>
      <c r="J772" s="84" t="n">
        <v>0.63575384104465</v>
      </c>
      <c r="K772" s="84" t="n">
        <v>0.6044894524533569</v>
      </c>
      <c r="L772" s="84" t="n">
        <v>0.830857933217952</v>
      </c>
      <c r="M772" s="84" t="n">
        <v>0.664285714285714</v>
      </c>
      <c r="N772" s="84" t="n">
        <v>0.597560975609756</v>
      </c>
      <c r="O772" s="84" t="n">
        <v>1</v>
      </c>
      <c r="P772" s="85">
        <f>AVERAGE(D772:I772)</f>
        <v/>
      </c>
      <c r="Q772" s="85">
        <f>AVERAGE(J772:L772)</f>
        <v/>
      </c>
      <c r="R772" s="85">
        <f>AVERAGE(M772:O772)</f>
        <v/>
      </c>
      <c r="S772" s="85">
        <f>'02_지표정의'!$C$22*P772+'02_지표정의'!$C$23*Q772+'02_지표정의'!$C$24*R772</f>
        <v/>
      </c>
      <c r="T772" s="73">
        <f>IF(OR(AND(B772="gemini",C772="gemma"),AND(B772="qwen3_6",C772="qwen"),AND(B772="mistral",C772="ministral")),1,0)</f>
        <v/>
      </c>
      <c r="U772" s="73">
        <f>IF(LEFT(A772,3)="PAT","특허","보고서")</f>
        <v/>
      </c>
      <c r="V772" s="86">
        <f>COUNTIF($S$2:$S$976,"&lt;"&amp;S772)+(COUNTIF($S$2:$S$976,"="&amp;S772)+1)/2</f>
        <v/>
      </c>
      <c r="W772" s="73">
        <f>IF(C772="qwen",0,COUNTIFS($C$2:$C$976,"&lt;&gt;qwen",$S$2:$S$976,"&lt;"&amp;S772)+1)</f>
        <v/>
      </c>
      <c r="X772" s="73">
        <f>IF(C772="ministral",0,COUNTIFS($C$2:$C$976,"&lt;&gt;ministral",$S$2:$S$976,"&lt;"&amp;S772)+1)</f>
        <v/>
      </c>
      <c r="Y772" s="73">
        <f>IF(C772="gemma",0,COUNTIFS($C$2:$C$976,"&lt;&gt;gemma",$S$2:$S$976,"&lt;"&amp;S772)+1)</f>
        <v/>
      </c>
      <c r="Z772" s="87">
        <f>COUNTIFS($B$2:$B$976,B772,$C$2:$C$976,C772,$S$2:$S$976,"&lt;"&amp;S772)+1</f>
        <v/>
      </c>
      <c r="AA772" s="88">
        <f>ABS(S772-SUMPRODUCT(('05B_가정검정'!$A$5:$A$19=B772)*('05B_가정검정'!$B$5:$B$19=C772)*'05B_가정검정'!$E$5:$E$19))</f>
        <v/>
      </c>
      <c r="AB772" s="88">
        <f>S772-AVERAGEIFS($S$2:$S$976,$B$2:$B$976,B772,$C$2:$C$976,C772)</f>
        <v/>
      </c>
    </row>
    <row r="773" ht="15" customHeight="1" s="68">
      <c r="A773" s="83" t="inlineStr">
        <is>
          <t>RPT-21</t>
        </is>
      </c>
      <c r="B773" s="83" t="inlineStr">
        <is>
          <t>gemini</t>
        </is>
      </c>
      <c r="C773" s="83" t="inlineStr">
        <is>
          <t>gemma</t>
        </is>
      </c>
      <c r="D773" s="84" t="n">
        <v>0.237556561085973</v>
      </c>
      <c r="E773" s="84" t="n">
        <v>0.313364055299539</v>
      </c>
      <c r="F773" s="84" t="n">
        <v>0.12093023255814</v>
      </c>
      <c r="G773" s="84" t="n">
        <v>0.258064516129032</v>
      </c>
      <c r="H773" s="84" t="n">
        <v>0.310295754890588</v>
      </c>
      <c r="I773" s="84" t="n">
        <v>0.150113559853401</v>
      </c>
      <c r="J773" s="84" t="n">
        <v>0.740117205224004</v>
      </c>
      <c r="K773" s="84" t="n">
        <v>0.74157982799356</v>
      </c>
      <c r="L773" s="84" t="n">
        <v>0.874346661436911</v>
      </c>
      <c r="M773" s="84" t="n">
        <v>0.651006711409396</v>
      </c>
      <c r="N773" s="84" t="n">
        <v>0.774647887323944</v>
      </c>
      <c r="O773" s="84" t="n">
        <v>1</v>
      </c>
      <c r="P773" s="85">
        <f>AVERAGE(D773:I773)</f>
        <v/>
      </c>
      <c r="Q773" s="85">
        <f>AVERAGE(J773:L773)</f>
        <v/>
      </c>
      <c r="R773" s="85">
        <f>AVERAGE(M773:O773)</f>
        <v/>
      </c>
      <c r="S773" s="85">
        <f>'02_지표정의'!$C$22*P773+'02_지표정의'!$C$23*Q773+'02_지표정의'!$C$24*R773</f>
        <v/>
      </c>
      <c r="T773" s="73">
        <f>IF(OR(AND(B773="gemini",C773="gemma"),AND(B773="qwen3_6",C773="qwen"),AND(B773="mistral",C773="ministral")),1,0)</f>
        <v/>
      </c>
      <c r="U773" s="73">
        <f>IF(LEFT(A773,3)="PAT","특허","보고서")</f>
        <v/>
      </c>
      <c r="V773" s="86">
        <f>COUNTIF($S$2:$S$976,"&lt;"&amp;S773)+(COUNTIF($S$2:$S$976,"="&amp;S773)+1)/2</f>
        <v/>
      </c>
      <c r="W773" s="73">
        <f>IF(C773="qwen",0,COUNTIFS($C$2:$C$976,"&lt;&gt;qwen",$S$2:$S$976,"&lt;"&amp;S773)+1)</f>
        <v/>
      </c>
      <c r="X773" s="73">
        <f>IF(C773="ministral",0,COUNTIFS($C$2:$C$976,"&lt;&gt;ministral",$S$2:$S$976,"&lt;"&amp;S773)+1)</f>
        <v/>
      </c>
      <c r="Y773" s="73">
        <f>IF(C773="gemma",0,COUNTIFS($C$2:$C$976,"&lt;&gt;gemma",$S$2:$S$976,"&lt;"&amp;S773)+1)</f>
        <v/>
      </c>
      <c r="Z773" s="87">
        <f>COUNTIFS($B$2:$B$976,B773,$C$2:$C$976,C773,$S$2:$S$976,"&lt;"&amp;S773)+1</f>
        <v/>
      </c>
      <c r="AA773" s="88">
        <f>ABS(S773-SUMPRODUCT(('05B_가정검정'!$A$5:$A$19=B773)*('05B_가정검정'!$B$5:$B$19=C773)*'05B_가정검정'!$E$5:$E$19))</f>
        <v/>
      </c>
      <c r="AB773" s="88">
        <f>S773-AVERAGEIFS($S$2:$S$976,$B$2:$B$976,B773,$C$2:$C$976,C773)</f>
        <v/>
      </c>
    </row>
    <row r="774" ht="15" customHeight="1" s="68">
      <c r="A774" s="83" t="inlineStr">
        <is>
          <t>RPT-21</t>
        </is>
      </c>
      <c r="B774" s="83" t="inlineStr">
        <is>
          <t>gemini</t>
        </is>
      </c>
      <c r="C774" s="83" t="inlineStr">
        <is>
          <t>ministral</t>
        </is>
      </c>
      <c r="D774" s="84" t="n">
        <v>0.271446862996159</v>
      </c>
      <c r="E774" s="84" t="n">
        <v>0.256559766763849</v>
      </c>
      <c r="F774" s="84" t="n">
        <v>0.093841642228739</v>
      </c>
      <c r="G774" s="84" t="n">
        <v>0.209912536443149</v>
      </c>
      <c r="H774" s="84" t="n">
        <v>0.199453771250544</v>
      </c>
      <c r="I774" s="84" t="n">
        <v>0.183161427523635</v>
      </c>
      <c r="J774" s="84" t="n">
        <v>0.731813065913428</v>
      </c>
      <c r="K774" s="84" t="n">
        <v>0.743217515883781</v>
      </c>
      <c r="L774" s="84" t="n">
        <v>0.883906840216975</v>
      </c>
      <c r="M774" s="84" t="n">
        <v>0.39917695473251</v>
      </c>
      <c r="N774" s="84" t="n">
        <v>0.46218487394958</v>
      </c>
      <c r="O774" s="84" t="n">
        <v>1</v>
      </c>
      <c r="P774" s="85">
        <f>AVERAGE(D774:I774)</f>
        <v/>
      </c>
      <c r="Q774" s="85">
        <f>AVERAGE(J774:L774)</f>
        <v/>
      </c>
      <c r="R774" s="85">
        <f>AVERAGE(M774:O774)</f>
        <v/>
      </c>
      <c r="S774" s="85">
        <f>'02_지표정의'!$C$22*P774+'02_지표정의'!$C$23*Q774+'02_지표정의'!$C$24*R774</f>
        <v/>
      </c>
      <c r="T774" s="73">
        <f>IF(OR(AND(B774="gemini",C774="gemma"),AND(B774="qwen3_6",C774="qwen"),AND(B774="mistral",C774="ministral")),1,0)</f>
        <v/>
      </c>
      <c r="U774" s="73">
        <f>IF(LEFT(A774,3)="PAT","특허","보고서")</f>
        <v/>
      </c>
      <c r="V774" s="86">
        <f>COUNTIF($S$2:$S$976,"&lt;"&amp;S774)+(COUNTIF($S$2:$S$976,"="&amp;S774)+1)/2</f>
        <v/>
      </c>
      <c r="W774" s="73">
        <f>IF(C774="qwen",0,COUNTIFS($C$2:$C$976,"&lt;&gt;qwen",$S$2:$S$976,"&lt;"&amp;S774)+1)</f>
        <v/>
      </c>
      <c r="X774" s="73">
        <f>IF(C774="ministral",0,COUNTIFS($C$2:$C$976,"&lt;&gt;ministral",$S$2:$S$976,"&lt;"&amp;S774)+1)</f>
        <v/>
      </c>
      <c r="Y774" s="73">
        <f>IF(C774="gemma",0,COUNTIFS($C$2:$C$976,"&lt;&gt;gemma",$S$2:$S$976,"&lt;"&amp;S774)+1)</f>
        <v/>
      </c>
      <c r="Z774" s="87">
        <f>COUNTIFS($B$2:$B$976,B774,$C$2:$C$976,C774,$S$2:$S$976,"&lt;"&amp;S774)+1</f>
        <v/>
      </c>
      <c r="AA774" s="88">
        <f>ABS(S774-SUMPRODUCT(('05B_가정검정'!$A$5:$A$19=B774)*('05B_가정검정'!$B$5:$B$19=C774)*'05B_가정검정'!$E$5:$E$19))</f>
        <v/>
      </c>
      <c r="AB774" s="88">
        <f>S774-AVERAGEIFS($S$2:$S$976,$B$2:$B$976,B774,$C$2:$C$976,C774)</f>
        <v/>
      </c>
    </row>
    <row r="775" ht="15" customHeight="1" s="68">
      <c r="A775" s="83" t="inlineStr">
        <is>
          <t>RPT-21</t>
        </is>
      </c>
      <c r="B775" s="83" t="inlineStr">
        <is>
          <t>gemini</t>
        </is>
      </c>
      <c r="C775" s="83" t="inlineStr">
        <is>
          <t>qwen</t>
        </is>
      </c>
      <c r="D775" s="84" t="n">
        <v>0.281461434370771</v>
      </c>
      <c r="E775" s="84" t="n">
        <v>0.484581497797357</v>
      </c>
      <c r="F775" s="84" t="n">
        <v>0.213333333333333</v>
      </c>
      <c r="G775" s="84" t="n">
        <v>0.334801762114537</v>
      </c>
      <c r="H775" s="84" t="n">
        <v>0.403526693667645</v>
      </c>
      <c r="I775" s="84" t="n">
        <v>0.298085082793643</v>
      </c>
      <c r="J775" s="84" t="n">
        <v>0.755972825863687</v>
      </c>
      <c r="K775" s="84" t="n">
        <v>0.790256787138087</v>
      </c>
      <c r="L775" s="84" t="n">
        <v>0.897910784073644</v>
      </c>
      <c r="M775" s="84" t="n">
        <v>0.906542056074766</v>
      </c>
      <c r="N775" s="84" t="n">
        <v>0.916666666666667</v>
      </c>
      <c r="O775" s="84" t="n">
        <v>1</v>
      </c>
      <c r="P775" s="85">
        <f>AVERAGE(D775:I775)</f>
        <v/>
      </c>
      <c r="Q775" s="85">
        <f>AVERAGE(J775:L775)</f>
        <v/>
      </c>
      <c r="R775" s="85">
        <f>AVERAGE(M775:O775)</f>
        <v/>
      </c>
      <c r="S775" s="85">
        <f>'02_지표정의'!$C$22*P775+'02_지표정의'!$C$23*Q775+'02_지표정의'!$C$24*R775</f>
        <v/>
      </c>
      <c r="T775" s="73">
        <f>IF(OR(AND(B775="gemini",C775="gemma"),AND(B775="qwen3_6",C775="qwen"),AND(B775="mistral",C775="ministral")),1,0)</f>
        <v/>
      </c>
      <c r="U775" s="73">
        <f>IF(LEFT(A775,3)="PAT","특허","보고서")</f>
        <v/>
      </c>
      <c r="V775" s="86">
        <f>COUNTIF($S$2:$S$976,"&lt;"&amp;S775)+(COUNTIF($S$2:$S$976,"="&amp;S775)+1)/2</f>
        <v/>
      </c>
      <c r="W775" s="73">
        <f>IF(C775="qwen",0,COUNTIFS($C$2:$C$976,"&lt;&gt;qwen",$S$2:$S$976,"&lt;"&amp;S775)+1)</f>
        <v/>
      </c>
      <c r="X775" s="73">
        <f>IF(C775="ministral",0,COUNTIFS($C$2:$C$976,"&lt;&gt;ministral",$S$2:$S$976,"&lt;"&amp;S775)+1)</f>
        <v/>
      </c>
      <c r="Y775" s="73">
        <f>IF(C775="gemma",0,COUNTIFS($C$2:$C$976,"&lt;&gt;gemma",$S$2:$S$976,"&lt;"&amp;S775)+1)</f>
        <v/>
      </c>
      <c r="Z775" s="87">
        <f>COUNTIFS($B$2:$B$976,B775,$C$2:$C$976,C775,$S$2:$S$976,"&lt;"&amp;S775)+1</f>
        <v/>
      </c>
      <c r="AA775" s="88">
        <f>ABS(S775-SUMPRODUCT(('05B_가정검정'!$A$5:$A$19=B775)*('05B_가정검정'!$B$5:$B$19=C775)*'05B_가정검정'!$E$5:$E$19))</f>
        <v/>
      </c>
      <c r="AB775" s="88">
        <f>S775-AVERAGEIFS($S$2:$S$976,$B$2:$B$976,B775,$C$2:$C$976,C775)</f>
        <v/>
      </c>
    </row>
    <row r="776" ht="15" customHeight="1" s="68">
      <c r="A776" s="83" t="inlineStr">
        <is>
          <t>RPT-21</t>
        </is>
      </c>
      <c r="B776" s="83" t="inlineStr">
        <is>
          <t>mistral</t>
        </is>
      </c>
      <c r="C776" s="83" t="inlineStr">
        <is>
          <t>gemma</t>
        </is>
      </c>
      <c r="D776" s="84" t="n">
        <v>0.248447204968944</v>
      </c>
      <c r="E776" s="84" t="n">
        <v>0.324324324324324</v>
      </c>
      <c r="F776" s="84" t="n">
        <v>0.127272727272727</v>
      </c>
      <c r="G776" s="84" t="n">
        <v>0.234234234234234</v>
      </c>
      <c r="H776" s="84" t="n">
        <v>0.278010196117976</v>
      </c>
      <c r="I776" s="84" t="n">
        <v>0.174890664455744</v>
      </c>
      <c r="J776" s="84" t="n">
        <v>0.702064475629433</v>
      </c>
      <c r="K776" s="84" t="n">
        <v>0.6667940198665629</v>
      </c>
      <c r="L776" s="84" t="n">
        <v>0.870183084053982</v>
      </c>
      <c r="M776" s="84" t="n">
        <v>0.704697986577181</v>
      </c>
      <c r="N776" s="84" t="n">
        <v>0.605633802816902</v>
      </c>
      <c r="O776" s="84" t="n">
        <v>1</v>
      </c>
      <c r="P776" s="85">
        <f>AVERAGE(D776:I776)</f>
        <v/>
      </c>
      <c r="Q776" s="85">
        <f>AVERAGE(J776:L776)</f>
        <v/>
      </c>
      <c r="R776" s="85">
        <f>AVERAGE(M776:O776)</f>
        <v/>
      </c>
      <c r="S776" s="85">
        <f>'02_지표정의'!$C$22*P776+'02_지표정의'!$C$23*Q776+'02_지표정의'!$C$24*R776</f>
        <v/>
      </c>
      <c r="T776" s="73">
        <f>IF(OR(AND(B776="gemini",C776="gemma"),AND(B776="qwen3_6",C776="qwen"),AND(B776="mistral",C776="ministral")),1,0)</f>
        <v/>
      </c>
      <c r="U776" s="73">
        <f>IF(LEFT(A776,3)="PAT","특허","보고서")</f>
        <v/>
      </c>
      <c r="V776" s="86">
        <f>COUNTIF($S$2:$S$976,"&lt;"&amp;S776)+(COUNTIF($S$2:$S$976,"="&amp;S776)+1)/2</f>
        <v/>
      </c>
      <c r="W776" s="73">
        <f>IF(C776="qwen",0,COUNTIFS($C$2:$C$976,"&lt;&gt;qwen",$S$2:$S$976,"&lt;"&amp;S776)+1)</f>
        <v/>
      </c>
      <c r="X776" s="73">
        <f>IF(C776="ministral",0,COUNTIFS($C$2:$C$976,"&lt;&gt;ministral",$S$2:$S$976,"&lt;"&amp;S776)+1)</f>
        <v/>
      </c>
      <c r="Y776" s="73">
        <f>IF(C776="gemma",0,COUNTIFS($C$2:$C$976,"&lt;&gt;gemma",$S$2:$S$976,"&lt;"&amp;S776)+1)</f>
        <v/>
      </c>
      <c r="Z776" s="87">
        <f>COUNTIFS($B$2:$B$976,B776,$C$2:$C$976,C776,$S$2:$S$976,"&lt;"&amp;S776)+1</f>
        <v/>
      </c>
      <c r="AA776" s="88">
        <f>ABS(S776-SUMPRODUCT(('05B_가정검정'!$A$5:$A$19=B776)*('05B_가정검정'!$B$5:$B$19=C776)*'05B_가정검정'!$E$5:$E$19))</f>
        <v/>
      </c>
      <c r="AB776" s="88">
        <f>S776-AVERAGEIFS($S$2:$S$976,$B$2:$B$976,B776,$C$2:$C$976,C776)</f>
        <v/>
      </c>
    </row>
    <row r="777" ht="15" customHeight="1" s="68">
      <c r="A777" s="83" t="inlineStr">
        <is>
          <t>RPT-21</t>
        </is>
      </c>
      <c r="B777" s="83" t="inlineStr">
        <is>
          <t>mistral</t>
        </is>
      </c>
      <c r="C777" s="83" t="inlineStr">
        <is>
          <t>ministral</t>
        </is>
      </c>
      <c r="D777" s="84" t="n">
        <v>0.336182336182336</v>
      </c>
      <c r="E777" s="84" t="n">
        <v>0.224137931034483</v>
      </c>
      <c r="F777" s="84" t="n">
        <v>0.0982658959537572</v>
      </c>
      <c r="G777" s="84" t="n">
        <v>0.189655172413793</v>
      </c>
      <c r="H777" s="84" t="n">
        <v>0.211214777821739</v>
      </c>
      <c r="I777" s="84" t="n">
        <v>0.257947260338284</v>
      </c>
      <c r="J777" s="84" t="n">
        <v>0.709604563905387</v>
      </c>
      <c r="K777" s="84" t="n">
        <v>0.691056618025074</v>
      </c>
      <c r="L777" s="84" t="n">
        <v>0.840966062888462</v>
      </c>
      <c r="M777" s="84" t="n">
        <v>0.423868312757202</v>
      </c>
      <c r="N777" s="84" t="n">
        <v>0.369747899159664</v>
      </c>
      <c r="O777" s="84" t="n">
        <v>1</v>
      </c>
      <c r="P777" s="85">
        <f>AVERAGE(D777:I777)</f>
        <v/>
      </c>
      <c r="Q777" s="85">
        <f>AVERAGE(J777:L777)</f>
        <v/>
      </c>
      <c r="R777" s="85">
        <f>AVERAGE(M777:O777)</f>
        <v/>
      </c>
      <c r="S777" s="85">
        <f>'02_지표정의'!$C$22*P777+'02_지표정의'!$C$23*Q777+'02_지표정의'!$C$24*R777</f>
        <v/>
      </c>
      <c r="T777" s="73">
        <f>IF(OR(AND(B777="gemini",C777="gemma"),AND(B777="qwen3_6",C777="qwen"),AND(B777="mistral",C777="ministral")),1,0)</f>
        <v/>
      </c>
      <c r="U777" s="73">
        <f>IF(LEFT(A777,3)="PAT","특허","보고서")</f>
        <v/>
      </c>
      <c r="V777" s="86">
        <f>COUNTIF($S$2:$S$976,"&lt;"&amp;S777)+(COUNTIF($S$2:$S$976,"="&amp;S777)+1)/2</f>
        <v/>
      </c>
      <c r="W777" s="73">
        <f>IF(C777="qwen",0,COUNTIFS($C$2:$C$976,"&lt;&gt;qwen",$S$2:$S$976,"&lt;"&amp;S777)+1)</f>
        <v/>
      </c>
      <c r="X777" s="73">
        <f>IF(C777="ministral",0,COUNTIFS($C$2:$C$976,"&lt;&gt;ministral",$S$2:$S$976,"&lt;"&amp;S777)+1)</f>
        <v/>
      </c>
      <c r="Y777" s="73">
        <f>IF(C777="gemma",0,COUNTIFS($C$2:$C$976,"&lt;&gt;gemma",$S$2:$S$976,"&lt;"&amp;S777)+1)</f>
        <v/>
      </c>
      <c r="Z777" s="87">
        <f>COUNTIFS($B$2:$B$976,B777,$C$2:$C$976,C777,$S$2:$S$976,"&lt;"&amp;S777)+1</f>
        <v/>
      </c>
      <c r="AA777" s="88">
        <f>ABS(S777-SUMPRODUCT(('05B_가정검정'!$A$5:$A$19=B777)*('05B_가정검정'!$B$5:$B$19=C777)*'05B_가정검정'!$E$5:$E$19))</f>
        <v/>
      </c>
      <c r="AB777" s="88">
        <f>S777-AVERAGEIFS($S$2:$S$976,$B$2:$B$976,B777,$C$2:$C$976,C777)</f>
        <v/>
      </c>
    </row>
    <row r="778" ht="15" customHeight="1" s="68">
      <c r="A778" s="83" t="inlineStr">
        <is>
          <t>RPT-21</t>
        </is>
      </c>
      <c r="B778" s="83" t="inlineStr">
        <is>
          <t>mistral</t>
        </is>
      </c>
      <c r="C778" s="83" t="inlineStr">
        <is>
          <t>qwen</t>
        </is>
      </c>
      <c r="D778" s="84" t="n">
        <v>0.33030303030303</v>
      </c>
      <c r="E778" s="84" t="n">
        <v>0.5</v>
      </c>
      <c r="F778" s="84" t="n">
        <v>0.234782608695652</v>
      </c>
      <c r="G778" s="84" t="n">
        <v>0.275862068965517</v>
      </c>
      <c r="H778" s="84" t="n">
        <v>0.334266446589462</v>
      </c>
      <c r="I778" s="84" t="n">
        <v>0.321137761186514</v>
      </c>
      <c r="J778" s="84" t="n">
        <v>0.694317521168364</v>
      </c>
      <c r="K778" s="84" t="n">
        <v>0.641814297721071</v>
      </c>
      <c r="L778" s="84" t="n">
        <v>0.843801998678442</v>
      </c>
      <c r="M778" s="84" t="n">
        <v>0.747899159663866</v>
      </c>
      <c r="N778" s="84" t="n">
        <v>0.742424242424242</v>
      </c>
      <c r="O778" s="84" t="n">
        <v>1</v>
      </c>
      <c r="P778" s="85">
        <f>AVERAGE(D778:I778)</f>
        <v/>
      </c>
      <c r="Q778" s="85">
        <f>AVERAGE(J778:L778)</f>
        <v/>
      </c>
      <c r="R778" s="85">
        <f>AVERAGE(M778:O778)</f>
        <v/>
      </c>
      <c r="S778" s="85">
        <f>'02_지표정의'!$C$22*P778+'02_지표정의'!$C$23*Q778+'02_지표정의'!$C$24*R778</f>
        <v/>
      </c>
      <c r="T778" s="73">
        <f>IF(OR(AND(B778="gemini",C778="gemma"),AND(B778="qwen3_6",C778="qwen"),AND(B778="mistral",C778="ministral")),1,0)</f>
        <v/>
      </c>
      <c r="U778" s="73">
        <f>IF(LEFT(A778,3)="PAT","특허","보고서")</f>
        <v/>
      </c>
      <c r="V778" s="86">
        <f>COUNTIF($S$2:$S$976,"&lt;"&amp;S778)+(COUNTIF($S$2:$S$976,"="&amp;S778)+1)/2</f>
        <v/>
      </c>
      <c r="W778" s="73">
        <f>IF(C778="qwen",0,COUNTIFS($C$2:$C$976,"&lt;&gt;qwen",$S$2:$S$976,"&lt;"&amp;S778)+1)</f>
        <v/>
      </c>
      <c r="X778" s="73">
        <f>IF(C778="ministral",0,COUNTIFS($C$2:$C$976,"&lt;&gt;ministral",$S$2:$S$976,"&lt;"&amp;S778)+1)</f>
        <v/>
      </c>
      <c r="Y778" s="73">
        <f>IF(C778="gemma",0,COUNTIFS($C$2:$C$976,"&lt;&gt;gemma",$S$2:$S$976,"&lt;"&amp;S778)+1)</f>
        <v/>
      </c>
      <c r="Z778" s="87">
        <f>COUNTIFS($B$2:$B$976,B778,$C$2:$C$976,C778,$S$2:$S$976,"&lt;"&amp;S778)+1</f>
        <v/>
      </c>
      <c r="AA778" s="88">
        <f>ABS(S778-SUMPRODUCT(('05B_가정검정'!$A$5:$A$19=B778)*('05B_가정검정'!$B$5:$B$19=C778)*'05B_가정검정'!$E$5:$E$19))</f>
        <v/>
      </c>
      <c r="AB778" s="88">
        <f>S778-AVERAGEIFS($S$2:$S$976,$B$2:$B$976,B778,$C$2:$C$976,C778)</f>
        <v/>
      </c>
    </row>
    <row r="779" ht="15" customHeight="1" s="68">
      <c r="A779" s="83" t="inlineStr">
        <is>
          <t>RPT-21</t>
        </is>
      </c>
      <c r="B779" s="83" t="inlineStr">
        <is>
          <t>qwen3_6</t>
        </is>
      </c>
      <c r="C779" s="83" t="inlineStr">
        <is>
          <t>gemma</t>
        </is>
      </c>
      <c r="D779" s="84" t="n">
        <v>0.249208025343189</v>
      </c>
      <c r="E779" s="84" t="n">
        <v>0.324110671936759</v>
      </c>
      <c r="F779" s="84" t="n">
        <v>0.103585657370518</v>
      </c>
      <c r="G779" s="84" t="n">
        <v>0.205533596837945</v>
      </c>
      <c r="H779" s="84" t="n">
        <v>0.385516948582752</v>
      </c>
      <c r="I779" s="84" t="n">
        <v>0.17569323288923</v>
      </c>
      <c r="J779" s="84" t="n">
        <v>0.71035515563394</v>
      </c>
      <c r="K779" s="84" t="n">
        <v>0.675620955006955</v>
      </c>
      <c r="L779" s="84" t="n">
        <v>0.865220709463677</v>
      </c>
      <c r="M779" s="84" t="n">
        <v>0.651006711409396</v>
      </c>
      <c r="N779" s="84" t="n">
        <v>0.774647887323944</v>
      </c>
      <c r="O779" s="84" t="n">
        <v>1</v>
      </c>
      <c r="P779" s="85">
        <f>AVERAGE(D779:I779)</f>
        <v/>
      </c>
      <c r="Q779" s="85">
        <f>AVERAGE(J779:L779)</f>
        <v/>
      </c>
      <c r="R779" s="85">
        <f>AVERAGE(M779:O779)</f>
        <v/>
      </c>
      <c r="S779" s="85">
        <f>'02_지표정의'!$C$22*P779+'02_지표정의'!$C$23*Q779+'02_지표정의'!$C$24*R779</f>
        <v/>
      </c>
      <c r="T779" s="73">
        <f>IF(OR(AND(B779="gemini",C779="gemma"),AND(B779="qwen3_6",C779="qwen"),AND(B779="mistral",C779="ministral")),1,0)</f>
        <v/>
      </c>
      <c r="U779" s="73">
        <f>IF(LEFT(A779,3)="PAT","특허","보고서")</f>
        <v/>
      </c>
      <c r="V779" s="86">
        <f>COUNTIF($S$2:$S$976,"&lt;"&amp;S779)+(COUNTIF($S$2:$S$976,"="&amp;S779)+1)/2</f>
        <v/>
      </c>
      <c r="W779" s="73">
        <f>IF(C779="qwen",0,COUNTIFS($C$2:$C$976,"&lt;&gt;qwen",$S$2:$S$976,"&lt;"&amp;S779)+1)</f>
        <v/>
      </c>
      <c r="X779" s="73">
        <f>IF(C779="ministral",0,COUNTIFS($C$2:$C$976,"&lt;&gt;ministral",$S$2:$S$976,"&lt;"&amp;S779)+1)</f>
        <v/>
      </c>
      <c r="Y779" s="73">
        <f>IF(C779="gemma",0,COUNTIFS($C$2:$C$976,"&lt;&gt;gemma",$S$2:$S$976,"&lt;"&amp;S779)+1)</f>
        <v/>
      </c>
      <c r="Z779" s="87">
        <f>COUNTIFS($B$2:$B$976,B779,$C$2:$C$976,C779,$S$2:$S$976,"&lt;"&amp;S779)+1</f>
        <v/>
      </c>
      <c r="AA779" s="88">
        <f>ABS(S779-SUMPRODUCT(('05B_가정검정'!$A$5:$A$19=B779)*('05B_가정검정'!$B$5:$B$19=C779)*'05B_가정검정'!$E$5:$E$19))</f>
        <v/>
      </c>
      <c r="AB779" s="88">
        <f>S779-AVERAGEIFS($S$2:$S$976,$B$2:$B$976,B779,$C$2:$C$976,C779)</f>
        <v/>
      </c>
    </row>
    <row r="780" ht="15" customHeight="1" s="68">
      <c r="A780" s="83" t="inlineStr">
        <is>
          <t>RPT-21</t>
        </is>
      </c>
      <c r="B780" s="83" t="inlineStr">
        <is>
          <t>qwen3_6</t>
        </is>
      </c>
      <c r="C780" s="83" t="inlineStr">
        <is>
          <t>ministral</t>
        </is>
      </c>
      <c r="D780" s="84" t="n">
        <v>0.239336492890995</v>
      </c>
      <c r="E780" s="84" t="n">
        <v>0.211081794195251</v>
      </c>
      <c r="F780" s="84" t="n">
        <v>0.0795755968169761</v>
      </c>
      <c r="G780" s="84" t="n">
        <v>0.174142480211082</v>
      </c>
      <c r="H780" s="84" t="n">
        <v>0.211721555209827</v>
      </c>
      <c r="I780" s="84" t="n">
        <v>0.176027558737178</v>
      </c>
      <c r="J780" s="84" t="n">
        <v>0.697957863474344</v>
      </c>
      <c r="K780" s="84" t="n">
        <v>0.689423855415541</v>
      </c>
      <c r="L780" s="84" t="n">
        <v>0.834760830543321</v>
      </c>
      <c r="M780" s="84" t="n">
        <v>0.39917695473251</v>
      </c>
      <c r="N780" s="84" t="n">
        <v>0.46218487394958</v>
      </c>
      <c r="O780" s="84" t="n">
        <v>1</v>
      </c>
      <c r="P780" s="85">
        <f>AVERAGE(D780:I780)</f>
        <v/>
      </c>
      <c r="Q780" s="85">
        <f>AVERAGE(J780:L780)</f>
        <v/>
      </c>
      <c r="R780" s="85">
        <f>AVERAGE(M780:O780)</f>
        <v/>
      </c>
      <c r="S780" s="85">
        <f>'02_지표정의'!$C$22*P780+'02_지표정의'!$C$23*Q780+'02_지표정의'!$C$24*R780</f>
        <v/>
      </c>
      <c r="T780" s="73">
        <f>IF(OR(AND(B780="gemini",C780="gemma"),AND(B780="qwen3_6",C780="qwen"),AND(B780="mistral",C780="ministral")),1,0)</f>
        <v/>
      </c>
      <c r="U780" s="73">
        <f>IF(LEFT(A780,3)="PAT","특허","보고서")</f>
        <v/>
      </c>
      <c r="V780" s="86">
        <f>COUNTIF($S$2:$S$976,"&lt;"&amp;S780)+(COUNTIF($S$2:$S$976,"="&amp;S780)+1)/2</f>
        <v/>
      </c>
      <c r="W780" s="73">
        <f>IF(C780="qwen",0,COUNTIFS($C$2:$C$976,"&lt;&gt;qwen",$S$2:$S$976,"&lt;"&amp;S780)+1)</f>
        <v/>
      </c>
      <c r="X780" s="73">
        <f>IF(C780="ministral",0,COUNTIFS($C$2:$C$976,"&lt;&gt;ministral",$S$2:$S$976,"&lt;"&amp;S780)+1)</f>
        <v/>
      </c>
      <c r="Y780" s="73">
        <f>IF(C780="gemma",0,COUNTIFS($C$2:$C$976,"&lt;&gt;gemma",$S$2:$S$976,"&lt;"&amp;S780)+1)</f>
        <v/>
      </c>
      <c r="Z780" s="87">
        <f>COUNTIFS($B$2:$B$976,B780,$C$2:$C$976,C780,$S$2:$S$976,"&lt;"&amp;S780)+1</f>
        <v/>
      </c>
      <c r="AA780" s="88">
        <f>ABS(S780-SUMPRODUCT(('05B_가정검정'!$A$5:$A$19=B780)*('05B_가정검정'!$B$5:$B$19=C780)*'05B_가정검정'!$E$5:$E$19))</f>
        <v/>
      </c>
      <c r="AB780" s="88">
        <f>S780-AVERAGEIFS($S$2:$S$976,$B$2:$B$976,B780,$C$2:$C$976,C780)</f>
        <v/>
      </c>
    </row>
    <row r="781" ht="15" customHeight="1" s="68">
      <c r="A781" s="83" t="inlineStr">
        <is>
          <t>RPT-21</t>
        </is>
      </c>
      <c r="B781" s="83" t="inlineStr">
        <is>
          <t>qwen3_6</t>
        </is>
      </c>
      <c r="C781" s="83" t="inlineStr">
        <is>
          <t>qwen</t>
        </is>
      </c>
      <c r="D781" s="84" t="n">
        <v>0.304239401496259</v>
      </c>
      <c r="E781" s="84" t="n">
        <v>0.5551330798479091</v>
      </c>
      <c r="F781" s="84" t="n">
        <v>0.237547892720307</v>
      </c>
      <c r="G781" s="84" t="n">
        <v>0.334600760456274</v>
      </c>
      <c r="H781" s="84" t="n">
        <v>0.384100413800197</v>
      </c>
      <c r="I781" s="84" t="n">
        <v>0.379813301305698</v>
      </c>
      <c r="J781" s="84" t="n">
        <v>0.702333112763129</v>
      </c>
      <c r="K781" s="84" t="n">
        <v>0.680234788141185</v>
      </c>
      <c r="L781" s="84" t="n">
        <v>0.874433205150275</v>
      </c>
      <c r="M781" s="84" t="n">
        <v>0.906542056074766</v>
      </c>
      <c r="N781" s="84" t="n">
        <v>0.916666666666667</v>
      </c>
      <c r="O781" s="84" t="n">
        <v>1</v>
      </c>
      <c r="P781" s="85">
        <f>AVERAGE(D781:I781)</f>
        <v/>
      </c>
      <c r="Q781" s="85">
        <f>AVERAGE(J781:L781)</f>
        <v/>
      </c>
      <c r="R781" s="85">
        <f>AVERAGE(M781:O781)</f>
        <v/>
      </c>
      <c r="S781" s="85">
        <f>'02_지표정의'!$C$22*P781+'02_지표정의'!$C$23*Q781+'02_지표정의'!$C$24*R781</f>
        <v/>
      </c>
      <c r="T781" s="73">
        <f>IF(OR(AND(B781="gemini",C781="gemma"),AND(B781="qwen3_6",C781="qwen"),AND(B781="mistral",C781="ministral")),1,0)</f>
        <v/>
      </c>
      <c r="U781" s="73">
        <f>IF(LEFT(A781,3)="PAT","특허","보고서")</f>
        <v/>
      </c>
      <c r="V781" s="86">
        <f>COUNTIF($S$2:$S$976,"&lt;"&amp;S781)+(COUNTIF($S$2:$S$976,"="&amp;S781)+1)/2</f>
        <v/>
      </c>
      <c r="W781" s="73">
        <f>IF(C781="qwen",0,COUNTIFS($C$2:$C$976,"&lt;&gt;qwen",$S$2:$S$976,"&lt;"&amp;S781)+1)</f>
        <v/>
      </c>
      <c r="X781" s="73">
        <f>IF(C781="ministral",0,COUNTIFS($C$2:$C$976,"&lt;&gt;ministral",$S$2:$S$976,"&lt;"&amp;S781)+1)</f>
        <v/>
      </c>
      <c r="Y781" s="73">
        <f>IF(C781="gemma",0,COUNTIFS($C$2:$C$976,"&lt;&gt;gemma",$S$2:$S$976,"&lt;"&amp;S781)+1)</f>
        <v/>
      </c>
      <c r="Z781" s="87">
        <f>COUNTIFS($B$2:$B$976,B781,$C$2:$C$976,C781,$S$2:$S$976,"&lt;"&amp;S781)+1</f>
        <v/>
      </c>
      <c r="AA781" s="88">
        <f>ABS(S781-SUMPRODUCT(('05B_가정검정'!$A$5:$A$19=B781)*('05B_가정검정'!$B$5:$B$19=C781)*'05B_가정검정'!$E$5:$E$19))</f>
        <v/>
      </c>
      <c r="AB781" s="88">
        <f>S781-AVERAGEIFS($S$2:$S$976,$B$2:$B$976,B781,$C$2:$C$976,C781)</f>
        <v/>
      </c>
    </row>
    <row r="782" ht="15" customHeight="1" s="68">
      <c r="A782" s="83" t="inlineStr">
        <is>
          <t>RPT-22</t>
        </is>
      </c>
      <c r="B782" s="83" t="inlineStr">
        <is>
          <t>chatgpt</t>
        </is>
      </c>
      <c r="C782" s="83" t="inlineStr">
        <is>
          <t>gemma</t>
        </is>
      </c>
      <c r="D782" s="84" t="n">
        <v>0.269444444444444</v>
      </c>
      <c r="E782" s="84" t="n">
        <v>0.388888888888889</v>
      </c>
      <c r="F782" s="84" t="n">
        <v>0.197183098591549</v>
      </c>
      <c r="G782" s="84" t="n">
        <v>0.333333333333333</v>
      </c>
      <c r="H782" s="84" t="n">
        <v>0.240836042833478</v>
      </c>
      <c r="I782" s="84" t="n">
        <v>0.179511437995643</v>
      </c>
      <c r="J782" s="84" t="n">
        <v>0.708987689074898</v>
      </c>
      <c r="K782" s="84" t="n">
        <v>0.611891836389567</v>
      </c>
      <c r="L782" s="84" t="n">
        <v>0.836870314077233</v>
      </c>
      <c r="M782" s="84" t="n">
        <v>0.515151515151515</v>
      </c>
      <c r="N782" s="84" t="n">
        <v>0.213483146067416</v>
      </c>
      <c r="O782" s="84" t="n">
        <v>1</v>
      </c>
      <c r="P782" s="85">
        <f>AVERAGE(D782:I782)</f>
        <v/>
      </c>
      <c r="Q782" s="85">
        <f>AVERAGE(J782:L782)</f>
        <v/>
      </c>
      <c r="R782" s="85">
        <f>AVERAGE(M782:O782)</f>
        <v/>
      </c>
      <c r="S782" s="85">
        <f>'02_지표정의'!$C$22*P782+'02_지표정의'!$C$23*Q782+'02_지표정의'!$C$24*R782</f>
        <v/>
      </c>
      <c r="T782" s="73">
        <f>IF(OR(AND(B782="gemini",C782="gemma"),AND(B782="qwen3_6",C782="qwen"),AND(B782="mistral",C782="ministral")),1,0)</f>
        <v/>
      </c>
      <c r="U782" s="73">
        <f>IF(LEFT(A782,3)="PAT","특허","보고서")</f>
        <v/>
      </c>
      <c r="V782" s="86">
        <f>COUNTIF($S$2:$S$976,"&lt;"&amp;S782)+(COUNTIF($S$2:$S$976,"="&amp;S782)+1)/2</f>
        <v/>
      </c>
      <c r="W782" s="73">
        <f>IF(C782="qwen",0,COUNTIFS($C$2:$C$976,"&lt;&gt;qwen",$S$2:$S$976,"&lt;"&amp;S782)+1)</f>
        <v/>
      </c>
      <c r="X782" s="73">
        <f>IF(C782="ministral",0,COUNTIFS($C$2:$C$976,"&lt;&gt;ministral",$S$2:$S$976,"&lt;"&amp;S782)+1)</f>
        <v/>
      </c>
      <c r="Y782" s="73">
        <f>IF(C782="gemma",0,COUNTIFS($C$2:$C$976,"&lt;&gt;gemma",$S$2:$S$976,"&lt;"&amp;S782)+1)</f>
        <v/>
      </c>
      <c r="Z782" s="87">
        <f>COUNTIFS($B$2:$B$976,B782,$C$2:$C$976,C782,$S$2:$S$976,"&lt;"&amp;S782)+1</f>
        <v/>
      </c>
      <c r="AA782" s="88">
        <f>ABS(S782-SUMPRODUCT(('05B_가정검정'!$A$5:$A$19=B782)*('05B_가정검정'!$B$5:$B$19=C782)*'05B_가정검정'!$E$5:$E$19))</f>
        <v/>
      </c>
      <c r="AB782" s="88">
        <f>S782-AVERAGEIFS($S$2:$S$976,$B$2:$B$976,B782,$C$2:$C$976,C782)</f>
        <v/>
      </c>
    </row>
    <row r="783" ht="15" customHeight="1" s="68">
      <c r="A783" s="83" t="inlineStr">
        <is>
          <t>RPT-22</t>
        </is>
      </c>
      <c r="B783" s="83" t="inlineStr">
        <is>
          <t>chatgpt</t>
        </is>
      </c>
      <c r="C783" s="83" t="inlineStr">
        <is>
          <t>ministral</t>
        </is>
      </c>
      <c r="D783" s="84" t="n">
        <v>0.345811051693405</v>
      </c>
      <c r="E783" s="84" t="n">
        <v>0.192857142857143</v>
      </c>
      <c r="F783" s="84" t="n">
        <v>0.107913669064748</v>
      </c>
      <c r="G783" s="84" t="n">
        <v>0.178571428571429</v>
      </c>
      <c r="H783" s="84" t="n">
        <v>0.177598300508885</v>
      </c>
      <c r="I783" s="84" t="n">
        <v>0.234933440524229</v>
      </c>
      <c r="J783" s="84" t="n">
        <v>0.711616459188486</v>
      </c>
      <c r="K783" s="84" t="n">
        <v>0.666523210475106</v>
      </c>
      <c r="L783" s="84" t="n">
        <v>0.828386795040409</v>
      </c>
      <c r="M783" s="84" t="n">
        <v>0.425531914893617</v>
      </c>
      <c r="N783" s="84" t="n">
        <v>0</v>
      </c>
      <c r="O783" s="84" t="n">
        <v>1</v>
      </c>
      <c r="P783" s="85">
        <f>AVERAGE(D783:I783)</f>
        <v/>
      </c>
      <c r="Q783" s="85">
        <f>AVERAGE(J783:L783)</f>
        <v/>
      </c>
      <c r="R783" s="85">
        <f>AVERAGE(M783:O783)</f>
        <v/>
      </c>
      <c r="S783" s="85">
        <f>'02_지표정의'!$C$22*P783+'02_지표정의'!$C$23*Q783+'02_지표정의'!$C$24*R783</f>
        <v/>
      </c>
      <c r="T783" s="73">
        <f>IF(OR(AND(B783="gemini",C783="gemma"),AND(B783="qwen3_6",C783="qwen"),AND(B783="mistral",C783="ministral")),1,0)</f>
        <v/>
      </c>
      <c r="U783" s="73">
        <f>IF(LEFT(A783,3)="PAT","특허","보고서")</f>
        <v/>
      </c>
      <c r="V783" s="86">
        <f>COUNTIF($S$2:$S$976,"&lt;"&amp;S783)+(COUNTIF($S$2:$S$976,"="&amp;S783)+1)/2</f>
        <v/>
      </c>
      <c r="W783" s="73">
        <f>IF(C783="qwen",0,COUNTIFS($C$2:$C$976,"&lt;&gt;qwen",$S$2:$S$976,"&lt;"&amp;S783)+1)</f>
        <v/>
      </c>
      <c r="X783" s="73">
        <f>IF(C783="ministral",0,COUNTIFS($C$2:$C$976,"&lt;&gt;ministral",$S$2:$S$976,"&lt;"&amp;S783)+1)</f>
        <v/>
      </c>
      <c r="Y783" s="73">
        <f>IF(C783="gemma",0,COUNTIFS($C$2:$C$976,"&lt;&gt;gemma",$S$2:$S$976,"&lt;"&amp;S783)+1)</f>
        <v/>
      </c>
      <c r="Z783" s="87">
        <f>COUNTIFS($B$2:$B$976,B783,$C$2:$C$976,C783,$S$2:$S$976,"&lt;"&amp;S783)+1</f>
        <v/>
      </c>
      <c r="AA783" s="88">
        <f>ABS(S783-SUMPRODUCT(('05B_가정검정'!$A$5:$A$19=B783)*('05B_가정검정'!$B$5:$B$19=C783)*'05B_가정검정'!$E$5:$E$19))</f>
        <v/>
      </c>
      <c r="AB783" s="88">
        <f>S783-AVERAGEIFS($S$2:$S$976,$B$2:$B$976,B783,$C$2:$C$976,C783)</f>
        <v/>
      </c>
    </row>
    <row r="784" ht="15" customHeight="1" s="68">
      <c r="A784" s="83" t="inlineStr">
        <is>
          <t>RPT-22</t>
        </is>
      </c>
      <c r="B784" s="83" t="inlineStr">
        <is>
          <t>chatgpt</t>
        </is>
      </c>
      <c r="C784" s="83" t="inlineStr">
        <is>
          <t>qwen</t>
        </is>
      </c>
      <c r="D784" s="84" t="n">
        <v>0.321144674085851</v>
      </c>
      <c r="E784" s="84" t="n">
        <v>0.449612403100775</v>
      </c>
      <c r="F784" s="84" t="n">
        <v>0.283464566929134</v>
      </c>
      <c r="G784" s="84" t="n">
        <v>0.387596899224806</v>
      </c>
      <c r="H784" s="84" t="n">
        <v>0.282944527505486</v>
      </c>
      <c r="I784" s="84" t="n">
        <v>0.362045491604102</v>
      </c>
      <c r="J784" s="84" t="n">
        <v>0.715142804981347</v>
      </c>
      <c r="K784" s="84" t="n">
        <v>0.621027303679782</v>
      </c>
      <c r="L784" s="84" t="n">
        <v>0.839044606767426</v>
      </c>
      <c r="M784" s="84" t="n">
        <v>0.393939393939394</v>
      </c>
      <c r="N784" s="84" t="n">
        <v>0</v>
      </c>
      <c r="O784" s="84" t="n">
        <v>1</v>
      </c>
      <c r="P784" s="85">
        <f>AVERAGE(D784:I784)</f>
        <v/>
      </c>
      <c r="Q784" s="85">
        <f>AVERAGE(J784:L784)</f>
        <v/>
      </c>
      <c r="R784" s="85">
        <f>AVERAGE(M784:O784)</f>
        <v/>
      </c>
      <c r="S784" s="85">
        <f>'02_지표정의'!$C$22*P784+'02_지표정의'!$C$23*Q784+'02_지표정의'!$C$24*R784</f>
        <v/>
      </c>
      <c r="T784" s="73">
        <f>IF(OR(AND(B784="gemini",C784="gemma"),AND(B784="qwen3_6",C784="qwen"),AND(B784="mistral",C784="ministral")),1,0)</f>
        <v/>
      </c>
      <c r="U784" s="73">
        <f>IF(LEFT(A784,3)="PAT","특허","보고서")</f>
        <v/>
      </c>
      <c r="V784" s="86">
        <f>COUNTIF($S$2:$S$976,"&lt;"&amp;S784)+(COUNTIF($S$2:$S$976,"="&amp;S784)+1)/2</f>
        <v/>
      </c>
      <c r="W784" s="73">
        <f>IF(C784="qwen",0,COUNTIFS($C$2:$C$976,"&lt;&gt;qwen",$S$2:$S$976,"&lt;"&amp;S784)+1)</f>
        <v/>
      </c>
      <c r="X784" s="73">
        <f>IF(C784="ministral",0,COUNTIFS($C$2:$C$976,"&lt;&gt;ministral",$S$2:$S$976,"&lt;"&amp;S784)+1)</f>
        <v/>
      </c>
      <c r="Y784" s="73">
        <f>IF(C784="gemma",0,COUNTIFS($C$2:$C$976,"&lt;&gt;gemma",$S$2:$S$976,"&lt;"&amp;S784)+1)</f>
        <v/>
      </c>
      <c r="Z784" s="87">
        <f>COUNTIFS($B$2:$B$976,B784,$C$2:$C$976,C784,$S$2:$S$976,"&lt;"&amp;S784)+1</f>
        <v/>
      </c>
      <c r="AA784" s="88">
        <f>ABS(S784-SUMPRODUCT(('05B_가정검정'!$A$5:$A$19=B784)*('05B_가정검정'!$B$5:$B$19=C784)*'05B_가정검정'!$E$5:$E$19))</f>
        <v/>
      </c>
      <c r="AB784" s="88">
        <f>S784-AVERAGEIFS($S$2:$S$976,$B$2:$B$976,B784,$C$2:$C$976,C784)</f>
        <v/>
      </c>
    </row>
    <row r="785" ht="15" customHeight="1" s="68">
      <c r="A785" s="83" t="inlineStr">
        <is>
          <t>RPT-22</t>
        </is>
      </c>
      <c r="B785" s="83" t="inlineStr">
        <is>
          <t>claude</t>
        </is>
      </c>
      <c r="C785" s="83" t="inlineStr">
        <is>
          <t>gemma</t>
        </is>
      </c>
      <c r="D785" s="84" t="n">
        <v>0.264560710760118</v>
      </c>
      <c r="E785" s="84" t="n">
        <v>0.351851851851852</v>
      </c>
      <c r="F785" s="84" t="n">
        <v>0.11214953271028</v>
      </c>
      <c r="G785" s="84" t="n">
        <v>0.25</v>
      </c>
      <c r="H785" s="84" t="n">
        <v>0.3121976492488</v>
      </c>
      <c r="I785" s="84" t="n">
        <v>0.273379398623578</v>
      </c>
      <c r="J785" s="84" t="n">
        <v>0.706024459089844</v>
      </c>
      <c r="K785" s="84" t="n">
        <v>0.62633594278294</v>
      </c>
      <c r="L785" s="84" t="n">
        <v>0.846627016280518</v>
      </c>
      <c r="M785" s="84" t="n">
        <v>0.628378378378378</v>
      </c>
      <c r="N785" s="84" t="n">
        <v>0.569767441860465</v>
      </c>
      <c r="O785" s="84" t="n">
        <v>1</v>
      </c>
      <c r="P785" s="85">
        <f>AVERAGE(D785:I785)</f>
        <v/>
      </c>
      <c r="Q785" s="85">
        <f>AVERAGE(J785:L785)</f>
        <v/>
      </c>
      <c r="R785" s="85">
        <f>AVERAGE(M785:O785)</f>
        <v/>
      </c>
      <c r="S785" s="85">
        <f>'02_지표정의'!$C$22*P785+'02_지표정의'!$C$23*Q785+'02_지표정의'!$C$24*R785</f>
        <v/>
      </c>
      <c r="T785" s="73">
        <f>IF(OR(AND(B785="gemini",C785="gemma"),AND(B785="qwen3_6",C785="qwen"),AND(B785="mistral",C785="ministral")),1,0)</f>
        <v/>
      </c>
      <c r="U785" s="73">
        <f>IF(LEFT(A785,3)="PAT","특허","보고서")</f>
        <v/>
      </c>
      <c r="V785" s="86">
        <f>COUNTIF($S$2:$S$976,"&lt;"&amp;S785)+(COUNTIF($S$2:$S$976,"="&amp;S785)+1)/2</f>
        <v/>
      </c>
      <c r="W785" s="73">
        <f>IF(C785="qwen",0,COUNTIFS($C$2:$C$976,"&lt;&gt;qwen",$S$2:$S$976,"&lt;"&amp;S785)+1)</f>
        <v/>
      </c>
      <c r="X785" s="73">
        <f>IF(C785="ministral",0,COUNTIFS($C$2:$C$976,"&lt;&gt;ministral",$S$2:$S$976,"&lt;"&amp;S785)+1)</f>
        <v/>
      </c>
      <c r="Y785" s="73">
        <f>IF(C785="gemma",0,COUNTIFS($C$2:$C$976,"&lt;&gt;gemma",$S$2:$S$976,"&lt;"&amp;S785)+1)</f>
        <v/>
      </c>
      <c r="Z785" s="87">
        <f>COUNTIFS($B$2:$B$976,B785,$C$2:$C$976,C785,$S$2:$S$976,"&lt;"&amp;S785)+1</f>
        <v/>
      </c>
      <c r="AA785" s="88">
        <f>ABS(S785-SUMPRODUCT(('05B_가정검정'!$A$5:$A$19=B785)*('05B_가정검정'!$B$5:$B$19=C785)*'05B_가정검정'!$E$5:$E$19))</f>
        <v/>
      </c>
      <c r="AB785" s="88">
        <f>S785-AVERAGEIFS($S$2:$S$976,$B$2:$B$976,B785,$C$2:$C$976,C785)</f>
        <v/>
      </c>
    </row>
    <row r="786" ht="15" customHeight="1" s="68">
      <c r="A786" s="83" t="inlineStr">
        <is>
          <t>RPT-22</t>
        </is>
      </c>
      <c r="B786" s="83" t="inlineStr">
        <is>
          <t>claude</t>
        </is>
      </c>
      <c r="C786" s="83" t="inlineStr">
        <is>
          <t>ministral</t>
        </is>
      </c>
      <c r="D786" s="84" t="n">
        <v>0.292740046838408</v>
      </c>
      <c r="E786" s="84" t="n">
        <v>0.25</v>
      </c>
      <c r="F786" s="84" t="n">
        <v>0.102857142857143</v>
      </c>
      <c r="G786" s="84" t="n">
        <v>0.210227272727273</v>
      </c>
      <c r="H786" s="84" t="n">
        <v>0.257081165470647</v>
      </c>
      <c r="I786" s="84" t="n">
        <v>0.22823268918149</v>
      </c>
      <c r="J786" s="84" t="n">
        <v>0.711071111423092</v>
      </c>
      <c r="K786" s="84" t="n">
        <v>0.644689629569434</v>
      </c>
      <c r="L786" s="84" t="n">
        <v>0.836468221512865</v>
      </c>
      <c r="M786" s="84" t="n">
        <v>0.527659574468085</v>
      </c>
      <c r="N786" s="84" t="n">
        <v>0.556521739130435</v>
      </c>
      <c r="O786" s="84" t="n">
        <v>1</v>
      </c>
      <c r="P786" s="85">
        <f>AVERAGE(D786:I786)</f>
        <v/>
      </c>
      <c r="Q786" s="85">
        <f>AVERAGE(J786:L786)</f>
        <v/>
      </c>
      <c r="R786" s="85">
        <f>AVERAGE(M786:O786)</f>
        <v/>
      </c>
      <c r="S786" s="85">
        <f>'02_지표정의'!$C$22*P786+'02_지표정의'!$C$23*Q786+'02_지표정의'!$C$24*R786</f>
        <v/>
      </c>
      <c r="T786" s="73">
        <f>IF(OR(AND(B786="gemini",C786="gemma"),AND(B786="qwen3_6",C786="qwen"),AND(B786="mistral",C786="ministral")),1,0)</f>
        <v/>
      </c>
      <c r="U786" s="73">
        <f>IF(LEFT(A786,3)="PAT","특허","보고서")</f>
        <v/>
      </c>
      <c r="V786" s="86">
        <f>COUNTIF($S$2:$S$976,"&lt;"&amp;S786)+(COUNTIF($S$2:$S$976,"="&amp;S786)+1)/2</f>
        <v/>
      </c>
      <c r="W786" s="73">
        <f>IF(C786="qwen",0,COUNTIFS($C$2:$C$976,"&lt;&gt;qwen",$S$2:$S$976,"&lt;"&amp;S786)+1)</f>
        <v/>
      </c>
      <c r="X786" s="73">
        <f>IF(C786="ministral",0,COUNTIFS($C$2:$C$976,"&lt;&gt;ministral",$S$2:$S$976,"&lt;"&amp;S786)+1)</f>
        <v/>
      </c>
      <c r="Y786" s="73">
        <f>IF(C786="gemma",0,COUNTIFS($C$2:$C$976,"&lt;&gt;gemma",$S$2:$S$976,"&lt;"&amp;S786)+1)</f>
        <v/>
      </c>
      <c r="Z786" s="87">
        <f>COUNTIFS($B$2:$B$976,B786,$C$2:$C$976,C786,$S$2:$S$976,"&lt;"&amp;S786)+1</f>
        <v/>
      </c>
      <c r="AA786" s="88">
        <f>ABS(S786-SUMPRODUCT(('05B_가정검정'!$A$5:$A$19=B786)*('05B_가정검정'!$B$5:$B$19=C786)*'05B_가정검정'!$E$5:$E$19))</f>
        <v/>
      </c>
      <c r="AB786" s="88">
        <f>S786-AVERAGEIFS($S$2:$S$976,$B$2:$B$976,B786,$C$2:$C$976,C786)</f>
        <v/>
      </c>
    </row>
    <row r="787" ht="15" customHeight="1" s="68">
      <c r="A787" s="83" t="inlineStr">
        <is>
          <t>RPT-22</t>
        </is>
      </c>
      <c r="B787" s="83" t="inlineStr">
        <is>
          <t>claude</t>
        </is>
      </c>
      <c r="C787" s="83" t="inlineStr">
        <is>
          <t>qwen</t>
        </is>
      </c>
      <c r="D787" s="84" t="n">
        <v>0.316702819956616</v>
      </c>
      <c r="E787" s="84" t="n">
        <v>0.467661691542289</v>
      </c>
      <c r="F787" s="84" t="n">
        <v>0.201005025125628</v>
      </c>
      <c r="G787" s="84" t="n">
        <v>0.358208955223881</v>
      </c>
      <c r="H787" s="84" t="n">
        <v>0.327245142053252</v>
      </c>
      <c r="I787" s="84" t="n">
        <v>0.364548372721001</v>
      </c>
      <c r="J787" s="84" t="n">
        <v>0.71664655384798</v>
      </c>
      <c r="K787" s="84" t="n">
        <v>0.618662383330848</v>
      </c>
      <c r="L787" s="84" t="n">
        <v>0.8317343186314829</v>
      </c>
      <c r="M787" s="84" t="n">
        <v>0.642424242424242</v>
      </c>
      <c r="N787" s="84" t="n">
        <v>0.63</v>
      </c>
      <c r="O787" s="84" t="n">
        <v>1</v>
      </c>
      <c r="P787" s="85">
        <f>AVERAGE(D787:I787)</f>
        <v/>
      </c>
      <c r="Q787" s="85">
        <f>AVERAGE(J787:L787)</f>
        <v/>
      </c>
      <c r="R787" s="85">
        <f>AVERAGE(M787:O787)</f>
        <v/>
      </c>
      <c r="S787" s="85">
        <f>'02_지표정의'!$C$22*P787+'02_지표정의'!$C$23*Q787+'02_지표정의'!$C$24*R787</f>
        <v/>
      </c>
      <c r="T787" s="73">
        <f>IF(OR(AND(B787="gemini",C787="gemma"),AND(B787="qwen3_6",C787="qwen"),AND(B787="mistral",C787="ministral")),1,0)</f>
        <v/>
      </c>
      <c r="U787" s="73">
        <f>IF(LEFT(A787,3)="PAT","특허","보고서")</f>
        <v/>
      </c>
      <c r="V787" s="86">
        <f>COUNTIF($S$2:$S$976,"&lt;"&amp;S787)+(COUNTIF($S$2:$S$976,"="&amp;S787)+1)/2</f>
        <v/>
      </c>
      <c r="W787" s="73">
        <f>IF(C787="qwen",0,COUNTIFS($C$2:$C$976,"&lt;&gt;qwen",$S$2:$S$976,"&lt;"&amp;S787)+1)</f>
        <v/>
      </c>
      <c r="X787" s="73">
        <f>IF(C787="ministral",0,COUNTIFS($C$2:$C$976,"&lt;&gt;ministral",$S$2:$S$976,"&lt;"&amp;S787)+1)</f>
        <v/>
      </c>
      <c r="Y787" s="73">
        <f>IF(C787="gemma",0,COUNTIFS($C$2:$C$976,"&lt;&gt;gemma",$S$2:$S$976,"&lt;"&amp;S787)+1)</f>
        <v/>
      </c>
      <c r="Z787" s="87">
        <f>COUNTIFS($B$2:$B$976,B787,$C$2:$C$976,C787,$S$2:$S$976,"&lt;"&amp;S787)+1</f>
        <v/>
      </c>
      <c r="AA787" s="88">
        <f>ABS(S787-SUMPRODUCT(('05B_가정검정'!$A$5:$A$19=B787)*('05B_가정검정'!$B$5:$B$19=C787)*'05B_가정검정'!$E$5:$E$19))</f>
        <v/>
      </c>
      <c r="AB787" s="88">
        <f>S787-AVERAGEIFS($S$2:$S$976,$B$2:$B$976,B787,$C$2:$C$976,C787)</f>
        <v/>
      </c>
    </row>
    <row r="788" ht="15" customHeight="1" s="68">
      <c r="A788" s="83" t="inlineStr">
        <is>
          <t>RPT-22</t>
        </is>
      </c>
      <c r="B788" s="83" t="inlineStr">
        <is>
          <t>gemini</t>
        </is>
      </c>
      <c r="C788" s="83" t="inlineStr">
        <is>
          <t>gemma</t>
        </is>
      </c>
      <c r="D788" s="84" t="n">
        <v>0.2853470437018</v>
      </c>
      <c r="E788" s="84" t="n">
        <v>0.450331125827815</v>
      </c>
      <c r="F788" s="84" t="n">
        <v>0.201342281879195</v>
      </c>
      <c r="G788" s="84" t="n">
        <v>0.370860927152318</v>
      </c>
      <c r="H788" s="84" t="n">
        <v>0.311988064323955</v>
      </c>
      <c r="I788" s="84" t="n">
        <v>0.263422759714656</v>
      </c>
      <c r="J788" s="84" t="n">
        <v>0.753620796510587</v>
      </c>
      <c r="K788" s="84" t="n">
        <v>0.730827463165443</v>
      </c>
      <c r="L788" s="84" t="n">
        <v>0.873902465517497</v>
      </c>
      <c r="M788" s="84" t="n">
        <v>0.906542056074766</v>
      </c>
      <c r="N788" s="84" t="n">
        <v>0.916666666666667</v>
      </c>
      <c r="O788" s="84" t="n">
        <v>1</v>
      </c>
      <c r="P788" s="85">
        <f>AVERAGE(D788:I788)</f>
        <v/>
      </c>
      <c r="Q788" s="85">
        <f>AVERAGE(J788:L788)</f>
        <v/>
      </c>
      <c r="R788" s="85">
        <f>AVERAGE(M788:O788)</f>
        <v/>
      </c>
      <c r="S788" s="85">
        <f>'02_지표정의'!$C$22*P788+'02_지표정의'!$C$23*Q788+'02_지표정의'!$C$24*R788</f>
        <v/>
      </c>
      <c r="T788" s="73">
        <f>IF(OR(AND(B788="gemini",C788="gemma"),AND(B788="qwen3_6",C788="qwen"),AND(B788="mistral",C788="ministral")),1,0)</f>
        <v/>
      </c>
      <c r="U788" s="73">
        <f>IF(LEFT(A788,3)="PAT","특허","보고서")</f>
        <v/>
      </c>
      <c r="V788" s="86">
        <f>COUNTIF($S$2:$S$976,"&lt;"&amp;S788)+(COUNTIF($S$2:$S$976,"="&amp;S788)+1)/2</f>
        <v/>
      </c>
      <c r="W788" s="73">
        <f>IF(C788="qwen",0,COUNTIFS($C$2:$C$976,"&lt;&gt;qwen",$S$2:$S$976,"&lt;"&amp;S788)+1)</f>
        <v/>
      </c>
      <c r="X788" s="73">
        <f>IF(C788="ministral",0,COUNTIFS($C$2:$C$976,"&lt;&gt;ministral",$S$2:$S$976,"&lt;"&amp;S788)+1)</f>
        <v/>
      </c>
      <c r="Y788" s="73">
        <f>IF(C788="gemma",0,COUNTIFS($C$2:$C$976,"&lt;&gt;gemma",$S$2:$S$976,"&lt;"&amp;S788)+1)</f>
        <v/>
      </c>
      <c r="Z788" s="87">
        <f>COUNTIFS($B$2:$B$976,B788,$C$2:$C$976,C788,$S$2:$S$976,"&lt;"&amp;S788)+1</f>
        <v/>
      </c>
      <c r="AA788" s="88">
        <f>ABS(S788-SUMPRODUCT(('05B_가정검정'!$A$5:$A$19=B788)*('05B_가정검정'!$B$5:$B$19=C788)*'05B_가정검정'!$E$5:$E$19))</f>
        <v/>
      </c>
      <c r="AB788" s="88">
        <f>S788-AVERAGEIFS($S$2:$S$976,$B$2:$B$976,B788,$C$2:$C$976,C788)</f>
        <v/>
      </c>
    </row>
    <row r="789" ht="15" customHeight="1" s="68">
      <c r="A789" s="83" t="inlineStr">
        <is>
          <t>RPT-22</t>
        </is>
      </c>
      <c r="B789" s="83" t="inlineStr">
        <is>
          <t>gemini</t>
        </is>
      </c>
      <c r="C789" s="83" t="inlineStr">
        <is>
          <t>ministral</t>
        </is>
      </c>
      <c r="D789" s="84" t="n">
        <v>0.27140549273021</v>
      </c>
      <c r="E789" s="84" t="n">
        <v>0.24390243902439</v>
      </c>
      <c r="F789" s="84" t="n">
        <v>0.140350877192982</v>
      </c>
      <c r="G789" s="84" t="n">
        <v>0.21602787456446</v>
      </c>
      <c r="H789" s="84" t="n">
        <v>0.206861731967682</v>
      </c>
      <c r="I789" s="84" t="n">
        <v>0.185828621746106</v>
      </c>
      <c r="J789" s="84" t="n">
        <v>0.760487648595048</v>
      </c>
      <c r="K789" s="84" t="n">
        <v>0.748927912438481</v>
      </c>
      <c r="L789" s="84" t="n">
        <v>0.8823754397275</v>
      </c>
      <c r="M789" s="84" t="n">
        <v>0.412765957446809</v>
      </c>
      <c r="N789" s="84" t="n">
        <v>0.478260869565217</v>
      </c>
      <c r="O789" s="84" t="n">
        <v>1</v>
      </c>
      <c r="P789" s="85">
        <f>AVERAGE(D789:I789)</f>
        <v/>
      </c>
      <c r="Q789" s="85">
        <f>AVERAGE(J789:L789)</f>
        <v/>
      </c>
      <c r="R789" s="85">
        <f>AVERAGE(M789:O789)</f>
        <v/>
      </c>
      <c r="S789" s="85">
        <f>'02_지표정의'!$C$22*P789+'02_지표정의'!$C$23*Q789+'02_지표정의'!$C$24*R789</f>
        <v/>
      </c>
      <c r="T789" s="73">
        <f>IF(OR(AND(B789="gemini",C789="gemma"),AND(B789="qwen3_6",C789="qwen"),AND(B789="mistral",C789="ministral")),1,0)</f>
        <v/>
      </c>
      <c r="U789" s="73">
        <f>IF(LEFT(A789,3)="PAT","특허","보고서")</f>
        <v/>
      </c>
      <c r="V789" s="86">
        <f>COUNTIF($S$2:$S$976,"&lt;"&amp;S789)+(COUNTIF($S$2:$S$976,"="&amp;S789)+1)/2</f>
        <v/>
      </c>
      <c r="W789" s="73">
        <f>IF(C789="qwen",0,COUNTIFS($C$2:$C$976,"&lt;&gt;qwen",$S$2:$S$976,"&lt;"&amp;S789)+1)</f>
        <v/>
      </c>
      <c r="X789" s="73">
        <f>IF(C789="ministral",0,COUNTIFS($C$2:$C$976,"&lt;&gt;ministral",$S$2:$S$976,"&lt;"&amp;S789)+1)</f>
        <v/>
      </c>
      <c r="Y789" s="73">
        <f>IF(C789="gemma",0,COUNTIFS($C$2:$C$976,"&lt;&gt;gemma",$S$2:$S$976,"&lt;"&amp;S789)+1)</f>
        <v/>
      </c>
      <c r="Z789" s="87">
        <f>COUNTIFS($B$2:$B$976,B789,$C$2:$C$976,C789,$S$2:$S$976,"&lt;"&amp;S789)+1</f>
        <v/>
      </c>
      <c r="AA789" s="88">
        <f>ABS(S789-SUMPRODUCT(('05B_가정검정'!$A$5:$A$19=B789)*('05B_가정검정'!$B$5:$B$19=C789)*'05B_가정검정'!$E$5:$E$19))</f>
        <v/>
      </c>
      <c r="AB789" s="88">
        <f>S789-AVERAGEIFS($S$2:$S$976,$B$2:$B$976,B789,$C$2:$C$976,C789)</f>
        <v/>
      </c>
    </row>
    <row r="790" ht="15" customHeight="1" s="68">
      <c r="A790" s="83" t="inlineStr">
        <is>
          <t>RPT-22</t>
        </is>
      </c>
      <c r="B790" s="83" t="inlineStr">
        <is>
          <t>gemini</t>
        </is>
      </c>
      <c r="C790" s="83" t="inlineStr">
        <is>
          <t>qwen</t>
        </is>
      </c>
      <c r="D790" s="84" t="n">
        <v>0.328966521106259</v>
      </c>
      <c r="E790" s="84" t="n">
        <v>0.426470588235294</v>
      </c>
      <c r="F790" s="84" t="n">
        <v>0.208955223880597</v>
      </c>
      <c r="G790" s="84" t="n">
        <v>0.338235294117647</v>
      </c>
      <c r="H790" s="84" t="n">
        <v>0.344233417369503</v>
      </c>
      <c r="I790" s="84" t="n">
        <v>0.265079214403037</v>
      </c>
      <c r="J790" s="84" t="n">
        <v>0.776410958300275</v>
      </c>
      <c r="K790" s="84" t="n">
        <v>0.742539748158912</v>
      </c>
      <c r="L790" s="84" t="n">
        <v>0.882583453737032</v>
      </c>
      <c r="M790" s="84" t="n">
        <v>0.587878787878788</v>
      </c>
      <c r="N790" s="84" t="n">
        <v>0.55</v>
      </c>
      <c r="O790" s="84" t="n">
        <v>1</v>
      </c>
      <c r="P790" s="85">
        <f>AVERAGE(D790:I790)</f>
        <v/>
      </c>
      <c r="Q790" s="85">
        <f>AVERAGE(J790:L790)</f>
        <v/>
      </c>
      <c r="R790" s="85">
        <f>AVERAGE(M790:O790)</f>
        <v/>
      </c>
      <c r="S790" s="85">
        <f>'02_지표정의'!$C$22*P790+'02_지표정의'!$C$23*Q790+'02_지표정의'!$C$24*R790</f>
        <v/>
      </c>
      <c r="T790" s="73">
        <f>IF(OR(AND(B790="gemini",C790="gemma"),AND(B790="qwen3_6",C790="qwen"),AND(B790="mistral",C790="ministral")),1,0)</f>
        <v/>
      </c>
      <c r="U790" s="73">
        <f>IF(LEFT(A790,3)="PAT","특허","보고서")</f>
        <v/>
      </c>
      <c r="V790" s="86">
        <f>COUNTIF($S$2:$S$976,"&lt;"&amp;S790)+(COUNTIF($S$2:$S$976,"="&amp;S790)+1)/2</f>
        <v/>
      </c>
      <c r="W790" s="73">
        <f>IF(C790="qwen",0,COUNTIFS($C$2:$C$976,"&lt;&gt;qwen",$S$2:$S$976,"&lt;"&amp;S790)+1)</f>
        <v/>
      </c>
      <c r="X790" s="73">
        <f>IF(C790="ministral",0,COUNTIFS($C$2:$C$976,"&lt;&gt;ministral",$S$2:$S$976,"&lt;"&amp;S790)+1)</f>
        <v/>
      </c>
      <c r="Y790" s="73">
        <f>IF(C790="gemma",0,COUNTIFS($C$2:$C$976,"&lt;&gt;gemma",$S$2:$S$976,"&lt;"&amp;S790)+1)</f>
        <v/>
      </c>
      <c r="Z790" s="87">
        <f>COUNTIFS($B$2:$B$976,B790,$C$2:$C$976,C790,$S$2:$S$976,"&lt;"&amp;S790)+1</f>
        <v/>
      </c>
      <c r="AA790" s="88">
        <f>ABS(S790-SUMPRODUCT(('05B_가정검정'!$A$5:$A$19=B790)*('05B_가정검정'!$B$5:$B$19=C790)*'05B_가정검정'!$E$5:$E$19))</f>
        <v/>
      </c>
      <c r="AB790" s="88">
        <f>S790-AVERAGEIFS($S$2:$S$976,$B$2:$B$976,B790,$C$2:$C$976,C790)</f>
        <v/>
      </c>
    </row>
    <row r="791" ht="15" customHeight="1" s="68">
      <c r="A791" s="83" t="inlineStr">
        <is>
          <t>RPT-22</t>
        </is>
      </c>
      <c r="B791" s="83" t="inlineStr">
        <is>
          <t>mistral</t>
        </is>
      </c>
      <c r="C791" s="83" t="inlineStr">
        <is>
          <t>gemma</t>
        </is>
      </c>
      <c r="D791" s="84" t="n">
        <v>0.269484808454425</v>
      </c>
      <c r="E791" s="84" t="n">
        <v>0.391891891891892</v>
      </c>
      <c r="F791" s="84" t="n">
        <v>0.136986301369863</v>
      </c>
      <c r="G791" s="84" t="n">
        <v>0.324324324324324</v>
      </c>
      <c r="H791" s="84" t="n">
        <v>0.292095734703632</v>
      </c>
      <c r="I791" s="84" t="n">
        <v>0.188524234830117</v>
      </c>
      <c r="J791" s="84" t="n">
        <v>0.696095591524134</v>
      </c>
      <c r="K791" s="84" t="n">
        <v>0.621084870607667</v>
      </c>
      <c r="L791" s="84" t="n">
        <v>0.784810893165144</v>
      </c>
      <c r="M791" s="84" t="n">
        <v>0.747899159663866</v>
      </c>
      <c r="N791" s="84" t="n">
        <v>0.742424242424242</v>
      </c>
      <c r="O791" s="84" t="n">
        <v>1</v>
      </c>
      <c r="P791" s="85">
        <f>AVERAGE(D791:I791)</f>
        <v/>
      </c>
      <c r="Q791" s="85">
        <f>AVERAGE(J791:L791)</f>
        <v/>
      </c>
      <c r="R791" s="85">
        <f>AVERAGE(M791:O791)</f>
        <v/>
      </c>
      <c r="S791" s="85">
        <f>'02_지표정의'!$C$22*P791+'02_지표정의'!$C$23*Q791+'02_지표정의'!$C$24*R791</f>
        <v/>
      </c>
      <c r="T791" s="73">
        <f>IF(OR(AND(B791="gemini",C791="gemma"),AND(B791="qwen3_6",C791="qwen"),AND(B791="mistral",C791="ministral")),1,0)</f>
        <v/>
      </c>
      <c r="U791" s="73">
        <f>IF(LEFT(A791,3)="PAT","특허","보고서")</f>
        <v/>
      </c>
      <c r="V791" s="86">
        <f>COUNTIF($S$2:$S$976,"&lt;"&amp;S791)+(COUNTIF($S$2:$S$976,"="&amp;S791)+1)/2</f>
        <v/>
      </c>
      <c r="W791" s="73">
        <f>IF(C791="qwen",0,COUNTIFS($C$2:$C$976,"&lt;&gt;qwen",$S$2:$S$976,"&lt;"&amp;S791)+1)</f>
        <v/>
      </c>
      <c r="X791" s="73">
        <f>IF(C791="ministral",0,COUNTIFS($C$2:$C$976,"&lt;&gt;ministral",$S$2:$S$976,"&lt;"&amp;S791)+1)</f>
        <v/>
      </c>
      <c r="Y791" s="73">
        <f>IF(C791="gemma",0,COUNTIFS($C$2:$C$976,"&lt;&gt;gemma",$S$2:$S$976,"&lt;"&amp;S791)+1)</f>
        <v/>
      </c>
      <c r="Z791" s="87">
        <f>COUNTIFS($B$2:$B$976,B791,$C$2:$C$976,C791,$S$2:$S$976,"&lt;"&amp;S791)+1</f>
        <v/>
      </c>
      <c r="AA791" s="88">
        <f>ABS(S791-SUMPRODUCT(('05B_가정검정'!$A$5:$A$19=B791)*('05B_가정검정'!$B$5:$B$19=C791)*'05B_가정검정'!$E$5:$E$19))</f>
        <v/>
      </c>
      <c r="AB791" s="88">
        <f>S791-AVERAGEIFS($S$2:$S$976,$B$2:$B$976,B791,$C$2:$C$976,C791)</f>
        <v/>
      </c>
    </row>
    <row r="792" ht="15" customHeight="1" s="68">
      <c r="A792" s="83" t="inlineStr">
        <is>
          <t>RPT-22</t>
        </is>
      </c>
      <c r="B792" s="83" t="inlineStr">
        <is>
          <t>mistral</t>
        </is>
      </c>
      <c r="C792" s="83" t="inlineStr">
        <is>
          <t>ministral</t>
        </is>
      </c>
      <c r="D792" s="84" t="n">
        <v>0.367892976588629</v>
      </c>
      <c r="E792" s="84" t="n">
        <v>0.21830985915493</v>
      </c>
      <c r="F792" s="84" t="n">
        <v>0.0851063829787234</v>
      </c>
      <c r="G792" s="84" t="n">
        <v>0.183098591549296</v>
      </c>
      <c r="H792" s="84" t="n">
        <v>0.215794967478509</v>
      </c>
      <c r="I792" s="84" t="n">
        <v>0.219367450935392</v>
      </c>
      <c r="J792" s="84" t="n">
        <v>0.7199232915043829</v>
      </c>
      <c r="K792" s="84" t="n">
        <v>0.683505135480288</v>
      </c>
      <c r="L792" s="84" t="n">
        <v>0.826410809767068</v>
      </c>
      <c r="M792" s="84" t="n">
        <v>0.412765957446809</v>
      </c>
      <c r="N792" s="84" t="n">
        <v>0.382608695652174</v>
      </c>
      <c r="O792" s="84" t="n">
        <v>1</v>
      </c>
      <c r="P792" s="85">
        <f>AVERAGE(D792:I792)</f>
        <v/>
      </c>
      <c r="Q792" s="85">
        <f>AVERAGE(J792:L792)</f>
        <v/>
      </c>
      <c r="R792" s="85">
        <f>AVERAGE(M792:O792)</f>
        <v/>
      </c>
      <c r="S792" s="85">
        <f>'02_지표정의'!$C$22*P792+'02_지표정의'!$C$23*Q792+'02_지표정의'!$C$24*R792</f>
        <v/>
      </c>
      <c r="T792" s="73">
        <f>IF(OR(AND(B792="gemini",C792="gemma"),AND(B792="qwen3_6",C792="qwen"),AND(B792="mistral",C792="ministral")),1,0)</f>
        <v/>
      </c>
      <c r="U792" s="73">
        <f>IF(LEFT(A792,3)="PAT","특허","보고서")</f>
        <v/>
      </c>
      <c r="V792" s="86">
        <f>COUNTIF($S$2:$S$976,"&lt;"&amp;S792)+(COUNTIF($S$2:$S$976,"="&amp;S792)+1)/2</f>
        <v/>
      </c>
      <c r="W792" s="73">
        <f>IF(C792="qwen",0,COUNTIFS($C$2:$C$976,"&lt;&gt;qwen",$S$2:$S$976,"&lt;"&amp;S792)+1)</f>
        <v/>
      </c>
      <c r="X792" s="73">
        <f>IF(C792="ministral",0,COUNTIFS($C$2:$C$976,"&lt;&gt;ministral",$S$2:$S$976,"&lt;"&amp;S792)+1)</f>
        <v/>
      </c>
      <c r="Y792" s="73">
        <f>IF(C792="gemma",0,COUNTIFS($C$2:$C$976,"&lt;&gt;gemma",$S$2:$S$976,"&lt;"&amp;S792)+1)</f>
        <v/>
      </c>
      <c r="Z792" s="87">
        <f>COUNTIFS($B$2:$B$976,B792,$C$2:$C$976,C792,$S$2:$S$976,"&lt;"&amp;S792)+1</f>
        <v/>
      </c>
      <c r="AA792" s="88">
        <f>ABS(S792-SUMPRODUCT(('05B_가정검정'!$A$5:$A$19=B792)*('05B_가정검정'!$B$5:$B$19=C792)*'05B_가정검정'!$E$5:$E$19))</f>
        <v/>
      </c>
      <c r="AB792" s="88">
        <f>S792-AVERAGEIFS($S$2:$S$976,$B$2:$B$976,B792,$C$2:$C$976,C792)</f>
        <v/>
      </c>
    </row>
    <row r="793" ht="15" customHeight="1" s="68">
      <c r="A793" s="83" t="inlineStr">
        <is>
          <t>RPT-22</t>
        </is>
      </c>
      <c r="B793" s="83" t="inlineStr">
        <is>
          <t>mistral</t>
        </is>
      </c>
      <c r="C793" s="83" t="inlineStr">
        <is>
          <t>qwen</t>
        </is>
      </c>
      <c r="D793" s="84" t="n">
        <v>0.312312312312312</v>
      </c>
      <c r="E793" s="84" t="n">
        <v>0.43609022556391</v>
      </c>
      <c r="F793" s="84" t="n">
        <v>0.213740458015267</v>
      </c>
      <c r="G793" s="84" t="n">
        <v>0.406015037593985</v>
      </c>
      <c r="H793" s="84" t="n">
        <v>0.335258212276875</v>
      </c>
      <c r="I793" s="84" t="n">
        <v>0.271352179074747</v>
      </c>
      <c r="J793" s="84" t="n">
        <v>0.725159969177162</v>
      </c>
      <c r="K793" s="84" t="n">
        <v>0.64456637794075</v>
      </c>
      <c r="L793" s="84" t="n">
        <v>0.817909628463965</v>
      </c>
      <c r="M793" s="84" t="n">
        <v>0.478787878787879</v>
      </c>
      <c r="N793" s="84" t="n">
        <v>0.43</v>
      </c>
      <c r="O793" s="84" t="n">
        <v>1</v>
      </c>
      <c r="P793" s="85">
        <f>AVERAGE(D793:I793)</f>
        <v/>
      </c>
      <c r="Q793" s="85">
        <f>AVERAGE(J793:L793)</f>
        <v/>
      </c>
      <c r="R793" s="85">
        <f>AVERAGE(M793:O793)</f>
        <v/>
      </c>
      <c r="S793" s="85">
        <f>'02_지표정의'!$C$22*P793+'02_지표정의'!$C$23*Q793+'02_지표정의'!$C$24*R793</f>
        <v/>
      </c>
      <c r="T793" s="73">
        <f>IF(OR(AND(B793="gemini",C793="gemma"),AND(B793="qwen3_6",C793="qwen"),AND(B793="mistral",C793="ministral")),1,0)</f>
        <v/>
      </c>
      <c r="U793" s="73">
        <f>IF(LEFT(A793,3)="PAT","특허","보고서")</f>
        <v/>
      </c>
      <c r="V793" s="86">
        <f>COUNTIF($S$2:$S$976,"&lt;"&amp;S793)+(COUNTIF($S$2:$S$976,"="&amp;S793)+1)/2</f>
        <v/>
      </c>
      <c r="W793" s="73">
        <f>IF(C793="qwen",0,COUNTIFS($C$2:$C$976,"&lt;&gt;qwen",$S$2:$S$976,"&lt;"&amp;S793)+1)</f>
        <v/>
      </c>
      <c r="X793" s="73">
        <f>IF(C793="ministral",0,COUNTIFS($C$2:$C$976,"&lt;&gt;ministral",$S$2:$S$976,"&lt;"&amp;S793)+1)</f>
        <v/>
      </c>
      <c r="Y793" s="73">
        <f>IF(C793="gemma",0,COUNTIFS($C$2:$C$976,"&lt;&gt;gemma",$S$2:$S$976,"&lt;"&amp;S793)+1)</f>
        <v/>
      </c>
      <c r="Z793" s="87">
        <f>COUNTIFS($B$2:$B$976,B793,$C$2:$C$976,C793,$S$2:$S$976,"&lt;"&amp;S793)+1</f>
        <v/>
      </c>
      <c r="AA793" s="88">
        <f>ABS(S793-SUMPRODUCT(('05B_가정검정'!$A$5:$A$19=B793)*('05B_가정검정'!$B$5:$B$19=C793)*'05B_가정검정'!$E$5:$E$19))</f>
        <v/>
      </c>
      <c r="AB793" s="88">
        <f>S793-AVERAGEIFS($S$2:$S$976,$B$2:$B$976,B793,$C$2:$C$976,C793)</f>
        <v/>
      </c>
    </row>
    <row r="794" ht="15" customHeight="1" s="68">
      <c r="A794" s="83" t="inlineStr">
        <is>
          <t>RPT-22</t>
        </is>
      </c>
      <c r="B794" s="83" t="inlineStr">
        <is>
          <t>qwen3_6</t>
        </is>
      </c>
      <c r="C794" s="83" t="inlineStr">
        <is>
          <t>gemma</t>
        </is>
      </c>
      <c r="D794" s="84" t="n">
        <v>0.280137772675086</v>
      </c>
      <c r="E794" s="84" t="n">
        <v>0.434782608695652</v>
      </c>
      <c r="F794" s="84" t="n">
        <v>0.138364779874214</v>
      </c>
      <c r="G794" s="84" t="n">
        <v>0.31055900621118</v>
      </c>
      <c r="H794" s="84" t="n">
        <v>0.414366367569786</v>
      </c>
      <c r="I794" s="84" t="n">
        <v>0.305203328574114</v>
      </c>
      <c r="J794" s="84" t="n">
        <v>0.733082831147812</v>
      </c>
      <c r="K794" s="84" t="n">
        <v>0.703182945967558</v>
      </c>
      <c r="L794" s="84" t="n">
        <v>0.903886449118474</v>
      </c>
      <c r="M794" s="84" t="n">
        <v>0.906542056074766</v>
      </c>
      <c r="N794" s="84" t="n">
        <v>0.916666666666667</v>
      </c>
      <c r="O794" s="84" t="n">
        <v>1</v>
      </c>
      <c r="P794" s="85">
        <f>AVERAGE(D794:I794)</f>
        <v/>
      </c>
      <c r="Q794" s="85">
        <f>AVERAGE(J794:L794)</f>
        <v/>
      </c>
      <c r="R794" s="85">
        <f>AVERAGE(M794:O794)</f>
        <v/>
      </c>
      <c r="S794" s="85">
        <f>'02_지표정의'!$C$22*P794+'02_지표정의'!$C$23*Q794+'02_지표정의'!$C$24*R794</f>
        <v/>
      </c>
      <c r="T794" s="73">
        <f>IF(OR(AND(B794="gemini",C794="gemma"),AND(B794="qwen3_6",C794="qwen"),AND(B794="mistral",C794="ministral")),1,0)</f>
        <v/>
      </c>
      <c r="U794" s="73">
        <f>IF(LEFT(A794,3)="PAT","특허","보고서")</f>
        <v/>
      </c>
      <c r="V794" s="86">
        <f>COUNTIF($S$2:$S$976,"&lt;"&amp;S794)+(COUNTIF($S$2:$S$976,"="&amp;S794)+1)/2</f>
        <v/>
      </c>
      <c r="W794" s="73">
        <f>IF(C794="qwen",0,COUNTIFS($C$2:$C$976,"&lt;&gt;qwen",$S$2:$S$976,"&lt;"&amp;S794)+1)</f>
        <v/>
      </c>
      <c r="X794" s="73">
        <f>IF(C794="ministral",0,COUNTIFS($C$2:$C$976,"&lt;&gt;ministral",$S$2:$S$976,"&lt;"&amp;S794)+1)</f>
        <v/>
      </c>
      <c r="Y794" s="73">
        <f>IF(C794="gemma",0,COUNTIFS($C$2:$C$976,"&lt;&gt;gemma",$S$2:$S$976,"&lt;"&amp;S794)+1)</f>
        <v/>
      </c>
      <c r="Z794" s="87">
        <f>COUNTIFS($B$2:$B$976,B794,$C$2:$C$976,C794,$S$2:$S$976,"&lt;"&amp;S794)+1</f>
        <v/>
      </c>
      <c r="AA794" s="88">
        <f>ABS(S794-SUMPRODUCT(('05B_가정검정'!$A$5:$A$19=B794)*('05B_가정검정'!$B$5:$B$19=C794)*'05B_가정검정'!$E$5:$E$19))</f>
        <v/>
      </c>
      <c r="AB794" s="88">
        <f>S794-AVERAGEIFS($S$2:$S$976,$B$2:$B$976,B794,$C$2:$C$976,C794)</f>
        <v/>
      </c>
    </row>
    <row r="795" ht="15" customHeight="1" s="68">
      <c r="A795" s="83" t="inlineStr">
        <is>
          <t>RPT-22</t>
        </is>
      </c>
      <c r="B795" s="83" t="inlineStr">
        <is>
          <t>qwen3_6</t>
        </is>
      </c>
      <c r="C795" s="83" t="inlineStr">
        <is>
          <t>ministral</t>
        </is>
      </c>
      <c r="D795" s="84" t="n">
        <v>0.26685393258427</v>
      </c>
      <c r="E795" s="84" t="n">
        <v>0.242424242424243</v>
      </c>
      <c r="F795" s="84" t="n">
        <v>0.108474576271186</v>
      </c>
      <c r="G795" s="84" t="n">
        <v>0.222222222222222</v>
      </c>
      <c r="H795" s="84" t="n">
        <v>0.254684885721095</v>
      </c>
      <c r="I795" s="84" t="n">
        <v>0.171547429625293</v>
      </c>
      <c r="J795" s="84" t="n">
        <v>0.717736445965842</v>
      </c>
      <c r="K795" s="84" t="n">
        <v>0.688159030164192</v>
      </c>
      <c r="L795" s="84" t="n">
        <v>0.869001643297717</v>
      </c>
      <c r="M795" s="84" t="n">
        <v>0.412765957446809</v>
      </c>
      <c r="N795" s="84" t="n">
        <v>0.478260869565217</v>
      </c>
      <c r="O795" s="84" t="n">
        <v>1</v>
      </c>
      <c r="P795" s="85">
        <f>AVERAGE(D795:I795)</f>
        <v/>
      </c>
      <c r="Q795" s="85">
        <f>AVERAGE(J795:L795)</f>
        <v/>
      </c>
      <c r="R795" s="85">
        <f>AVERAGE(M795:O795)</f>
        <v/>
      </c>
      <c r="S795" s="85">
        <f>'02_지표정의'!$C$22*P795+'02_지표정의'!$C$23*Q795+'02_지표정의'!$C$24*R795</f>
        <v/>
      </c>
      <c r="T795" s="73">
        <f>IF(OR(AND(B795="gemini",C795="gemma"),AND(B795="qwen3_6",C795="qwen"),AND(B795="mistral",C795="ministral")),1,0)</f>
        <v/>
      </c>
      <c r="U795" s="73">
        <f>IF(LEFT(A795,3)="PAT","특허","보고서")</f>
        <v/>
      </c>
      <c r="V795" s="86">
        <f>COUNTIF($S$2:$S$976,"&lt;"&amp;S795)+(COUNTIF($S$2:$S$976,"="&amp;S795)+1)/2</f>
        <v/>
      </c>
      <c r="W795" s="73">
        <f>IF(C795="qwen",0,COUNTIFS($C$2:$C$976,"&lt;&gt;qwen",$S$2:$S$976,"&lt;"&amp;S795)+1)</f>
        <v/>
      </c>
      <c r="X795" s="73">
        <f>IF(C795="ministral",0,COUNTIFS($C$2:$C$976,"&lt;&gt;ministral",$S$2:$S$976,"&lt;"&amp;S795)+1)</f>
        <v/>
      </c>
      <c r="Y795" s="73">
        <f>IF(C795="gemma",0,COUNTIFS($C$2:$C$976,"&lt;&gt;gemma",$S$2:$S$976,"&lt;"&amp;S795)+1)</f>
        <v/>
      </c>
      <c r="Z795" s="87">
        <f>COUNTIFS($B$2:$B$976,B795,$C$2:$C$976,C795,$S$2:$S$976,"&lt;"&amp;S795)+1</f>
        <v/>
      </c>
      <c r="AA795" s="88">
        <f>ABS(S795-SUMPRODUCT(('05B_가정검정'!$A$5:$A$19=B795)*('05B_가정검정'!$B$5:$B$19=C795)*'05B_가정검정'!$E$5:$E$19))</f>
        <v/>
      </c>
      <c r="AB795" s="88">
        <f>S795-AVERAGEIFS($S$2:$S$976,$B$2:$B$976,B795,$C$2:$C$976,C795)</f>
        <v/>
      </c>
    </row>
    <row r="796" ht="15" customHeight="1" s="68">
      <c r="A796" s="83" t="inlineStr">
        <is>
          <t>RPT-22</t>
        </is>
      </c>
      <c r="B796" s="83" t="inlineStr">
        <is>
          <t>qwen3_6</t>
        </is>
      </c>
      <c r="C796" s="83" t="inlineStr">
        <is>
          <t>qwen</t>
        </is>
      </c>
      <c r="D796" s="84" t="n">
        <v>0.294871794871795</v>
      </c>
      <c r="E796" s="84" t="n">
        <v>0.452054794520548</v>
      </c>
      <c r="F796" s="84" t="n">
        <v>0.180555555555556</v>
      </c>
      <c r="G796" s="84" t="n">
        <v>0.356164383561644</v>
      </c>
      <c r="H796" s="84" t="n">
        <v>0.435519908093756</v>
      </c>
      <c r="I796" s="84" t="n">
        <v>0.275842393051381</v>
      </c>
      <c r="J796" s="84" t="n">
        <v>0.726651187671763</v>
      </c>
      <c r="K796" s="84" t="n">
        <v>0.677320084195331</v>
      </c>
      <c r="L796" s="84" t="n">
        <v>0.865708839380382</v>
      </c>
      <c r="M796" s="84" t="n">
        <v>0.587878787878788</v>
      </c>
      <c r="N796" s="84" t="n">
        <v>0.55</v>
      </c>
      <c r="O796" s="84" t="n">
        <v>1</v>
      </c>
      <c r="P796" s="85">
        <f>AVERAGE(D796:I796)</f>
        <v/>
      </c>
      <c r="Q796" s="85">
        <f>AVERAGE(J796:L796)</f>
        <v/>
      </c>
      <c r="R796" s="85">
        <f>AVERAGE(M796:O796)</f>
        <v/>
      </c>
      <c r="S796" s="85">
        <f>'02_지표정의'!$C$22*P796+'02_지표정의'!$C$23*Q796+'02_지표정의'!$C$24*R796</f>
        <v/>
      </c>
      <c r="T796" s="73">
        <f>IF(OR(AND(B796="gemini",C796="gemma"),AND(B796="qwen3_6",C796="qwen"),AND(B796="mistral",C796="ministral")),1,0)</f>
        <v/>
      </c>
      <c r="U796" s="73">
        <f>IF(LEFT(A796,3)="PAT","특허","보고서")</f>
        <v/>
      </c>
      <c r="V796" s="86">
        <f>COUNTIF($S$2:$S$976,"&lt;"&amp;S796)+(COUNTIF($S$2:$S$976,"="&amp;S796)+1)/2</f>
        <v/>
      </c>
      <c r="W796" s="73">
        <f>IF(C796="qwen",0,COUNTIFS($C$2:$C$976,"&lt;&gt;qwen",$S$2:$S$976,"&lt;"&amp;S796)+1)</f>
        <v/>
      </c>
      <c r="X796" s="73">
        <f>IF(C796="ministral",0,COUNTIFS($C$2:$C$976,"&lt;&gt;ministral",$S$2:$S$976,"&lt;"&amp;S796)+1)</f>
        <v/>
      </c>
      <c r="Y796" s="73">
        <f>IF(C796="gemma",0,COUNTIFS($C$2:$C$976,"&lt;&gt;gemma",$S$2:$S$976,"&lt;"&amp;S796)+1)</f>
        <v/>
      </c>
      <c r="Z796" s="87">
        <f>COUNTIFS($B$2:$B$976,B796,$C$2:$C$976,C796,$S$2:$S$976,"&lt;"&amp;S796)+1</f>
        <v/>
      </c>
      <c r="AA796" s="88">
        <f>ABS(S796-SUMPRODUCT(('05B_가정검정'!$A$5:$A$19=B796)*('05B_가정검정'!$B$5:$B$19=C796)*'05B_가정검정'!$E$5:$E$19))</f>
        <v/>
      </c>
      <c r="AB796" s="88">
        <f>S796-AVERAGEIFS($S$2:$S$976,$B$2:$B$976,B796,$C$2:$C$976,C796)</f>
        <v/>
      </c>
    </row>
    <row r="797" ht="15" customHeight="1" s="68">
      <c r="A797" s="83" t="inlineStr">
        <is>
          <t>RPT-23</t>
        </is>
      </c>
      <c r="B797" s="83" t="inlineStr">
        <is>
          <t>chatgpt</t>
        </is>
      </c>
      <c r="C797" s="83" t="inlineStr">
        <is>
          <t>gemma</t>
        </is>
      </c>
      <c r="D797" s="84" t="n">
        <v>0.235872235872236</v>
      </c>
      <c r="E797" s="84" t="n">
        <v>0.341880341880342</v>
      </c>
      <c r="F797" s="84" t="n">
        <v>0.137931034482759</v>
      </c>
      <c r="G797" s="84" t="n">
        <v>0.256410256410256</v>
      </c>
      <c r="H797" s="84" t="n">
        <v>0.29534440880574</v>
      </c>
      <c r="I797" s="84" t="n">
        <v>0.183266609897662</v>
      </c>
      <c r="J797" s="84" t="n">
        <v>0.691864328493014</v>
      </c>
      <c r="K797" s="84" t="n">
        <v>0.526616767418807</v>
      </c>
      <c r="L797" s="84" t="n">
        <v>0.750931743305748</v>
      </c>
      <c r="M797" s="84" t="n">
        <v>0.392405063291139</v>
      </c>
      <c r="N797" s="84" t="n">
        <v>0.139705882352941</v>
      </c>
      <c r="O797" s="84" t="n">
        <v>1</v>
      </c>
      <c r="P797" s="85">
        <f>AVERAGE(D797:I797)</f>
        <v/>
      </c>
      <c r="Q797" s="85">
        <f>AVERAGE(J797:L797)</f>
        <v/>
      </c>
      <c r="R797" s="85">
        <f>AVERAGE(M797:O797)</f>
        <v/>
      </c>
      <c r="S797" s="85">
        <f>'02_지표정의'!$C$22*P797+'02_지표정의'!$C$23*Q797+'02_지표정의'!$C$24*R797</f>
        <v/>
      </c>
      <c r="T797" s="73">
        <f>IF(OR(AND(B797="gemini",C797="gemma"),AND(B797="qwen3_6",C797="qwen"),AND(B797="mistral",C797="ministral")),1,0)</f>
        <v/>
      </c>
      <c r="U797" s="73">
        <f>IF(LEFT(A797,3)="PAT","특허","보고서")</f>
        <v/>
      </c>
      <c r="V797" s="86">
        <f>COUNTIF($S$2:$S$976,"&lt;"&amp;S797)+(COUNTIF($S$2:$S$976,"="&amp;S797)+1)/2</f>
        <v/>
      </c>
      <c r="W797" s="73">
        <f>IF(C797="qwen",0,COUNTIFS($C$2:$C$976,"&lt;&gt;qwen",$S$2:$S$976,"&lt;"&amp;S797)+1)</f>
        <v/>
      </c>
      <c r="X797" s="73">
        <f>IF(C797="ministral",0,COUNTIFS($C$2:$C$976,"&lt;&gt;ministral",$S$2:$S$976,"&lt;"&amp;S797)+1)</f>
        <v/>
      </c>
      <c r="Y797" s="73">
        <f>IF(C797="gemma",0,COUNTIFS($C$2:$C$976,"&lt;&gt;gemma",$S$2:$S$976,"&lt;"&amp;S797)+1)</f>
        <v/>
      </c>
      <c r="Z797" s="87">
        <f>COUNTIFS($B$2:$B$976,B797,$C$2:$C$976,C797,$S$2:$S$976,"&lt;"&amp;S797)+1</f>
        <v/>
      </c>
      <c r="AA797" s="88">
        <f>ABS(S797-SUMPRODUCT(('05B_가정검정'!$A$5:$A$19=B797)*('05B_가정검정'!$B$5:$B$19=C797)*'05B_가정검정'!$E$5:$E$19))</f>
        <v/>
      </c>
      <c r="AB797" s="88">
        <f>S797-AVERAGEIFS($S$2:$S$976,$B$2:$B$976,B797,$C$2:$C$976,C797)</f>
        <v/>
      </c>
    </row>
    <row r="798" ht="15" customHeight="1" s="68">
      <c r="A798" s="83" t="inlineStr">
        <is>
          <t>RPT-23</t>
        </is>
      </c>
      <c r="B798" s="83" t="inlineStr">
        <is>
          <t>chatgpt</t>
        </is>
      </c>
      <c r="C798" s="83" t="inlineStr">
        <is>
          <t>ministral</t>
        </is>
      </c>
      <c r="D798" s="84" t="n">
        <v>0.304225352112676</v>
      </c>
      <c r="E798" s="84" t="n">
        <v>0.349854227405248</v>
      </c>
      <c r="F798" s="84" t="n">
        <v>0.152492668621701</v>
      </c>
      <c r="G798" s="84" t="n">
        <v>0.291545189504373</v>
      </c>
      <c r="H798" s="84" t="n">
        <v>0.247426575500528</v>
      </c>
      <c r="I798" s="84" t="n">
        <v>0.263873242927475</v>
      </c>
      <c r="J798" s="84" t="n">
        <v>0.702910205613369</v>
      </c>
      <c r="K798" s="84" t="n">
        <v>0.646571234350473</v>
      </c>
      <c r="L798" s="84" t="n">
        <v>0.807665019150836</v>
      </c>
      <c r="M798" s="84" t="n">
        <v>0.634408602150538</v>
      </c>
      <c r="N798" s="84" t="n">
        <v>0.279411764705882</v>
      </c>
      <c r="O798" s="84" t="n">
        <v>1</v>
      </c>
      <c r="P798" s="85">
        <f>AVERAGE(D798:I798)</f>
        <v/>
      </c>
      <c r="Q798" s="85">
        <f>AVERAGE(J798:L798)</f>
        <v/>
      </c>
      <c r="R798" s="85">
        <f>AVERAGE(M798:O798)</f>
        <v/>
      </c>
      <c r="S798" s="85">
        <f>'02_지표정의'!$C$22*P798+'02_지표정의'!$C$23*Q798+'02_지표정의'!$C$24*R798</f>
        <v/>
      </c>
      <c r="T798" s="73">
        <f>IF(OR(AND(B798="gemini",C798="gemma"),AND(B798="qwen3_6",C798="qwen"),AND(B798="mistral",C798="ministral")),1,0)</f>
        <v/>
      </c>
      <c r="U798" s="73">
        <f>IF(LEFT(A798,3)="PAT","특허","보고서")</f>
        <v/>
      </c>
      <c r="V798" s="86">
        <f>COUNTIF($S$2:$S$976,"&lt;"&amp;S798)+(COUNTIF($S$2:$S$976,"="&amp;S798)+1)/2</f>
        <v/>
      </c>
      <c r="W798" s="73">
        <f>IF(C798="qwen",0,COUNTIFS($C$2:$C$976,"&lt;&gt;qwen",$S$2:$S$976,"&lt;"&amp;S798)+1)</f>
        <v/>
      </c>
      <c r="X798" s="73">
        <f>IF(C798="ministral",0,COUNTIFS($C$2:$C$976,"&lt;&gt;ministral",$S$2:$S$976,"&lt;"&amp;S798)+1)</f>
        <v/>
      </c>
      <c r="Y798" s="73">
        <f>IF(C798="gemma",0,COUNTIFS($C$2:$C$976,"&lt;&gt;gemma",$S$2:$S$976,"&lt;"&amp;S798)+1)</f>
        <v/>
      </c>
      <c r="Z798" s="87">
        <f>COUNTIFS($B$2:$B$976,B798,$C$2:$C$976,C798,$S$2:$S$976,"&lt;"&amp;S798)+1</f>
        <v/>
      </c>
      <c r="AA798" s="88">
        <f>ABS(S798-SUMPRODUCT(('05B_가정검정'!$A$5:$A$19=B798)*('05B_가정검정'!$B$5:$B$19=C798)*'05B_가정검정'!$E$5:$E$19))</f>
        <v/>
      </c>
      <c r="AB798" s="88">
        <f>S798-AVERAGEIFS($S$2:$S$976,$B$2:$B$976,B798,$C$2:$C$976,C798)</f>
        <v/>
      </c>
    </row>
    <row r="799" ht="15" customHeight="1" s="68">
      <c r="A799" s="83" t="inlineStr">
        <is>
          <t>RPT-23</t>
        </is>
      </c>
      <c r="B799" s="83" t="inlineStr">
        <is>
          <t>chatgpt</t>
        </is>
      </c>
      <c r="C799" s="83" t="inlineStr">
        <is>
          <t>qwen</t>
        </is>
      </c>
      <c r="D799" s="84" t="n">
        <v>0.246781115879828</v>
      </c>
      <c r="E799" s="84" t="n">
        <v>0.301136363636364</v>
      </c>
      <c r="F799" s="84" t="n">
        <v>0.0914285714285714</v>
      </c>
      <c r="G799" s="84" t="n">
        <v>0.25</v>
      </c>
      <c r="H799" s="84" t="n">
        <v>0.25244120881158</v>
      </c>
      <c r="I799" s="84" t="n">
        <v>0.222996035124412</v>
      </c>
      <c r="J799" s="84" t="n">
        <v>0.676915065538777</v>
      </c>
      <c r="K799" s="84" t="n">
        <v>0.639708804889611</v>
      </c>
      <c r="L799" s="84" t="n">
        <v>0.785029115806457</v>
      </c>
      <c r="M799" s="84" t="n">
        <v>0.540084388185654</v>
      </c>
      <c r="N799" s="84" t="n">
        <v>0.286764705882353</v>
      </c>
      <c r="O799" s="84" t="n">
        <v>1</v>
      </c>
      <c r="P799" s="85">
        <f>AVERAGE(D799:I799)</f>
        <v/>
      </c>
      <c r="Q799" s="85">
        <f>AVERAGE(J799:L799)</f>
        <v/>
      </c>
      <c r="R799" s="85">
        <f>AVERAGE(M799:O799)</f>
        <v/>
      </c>
      <c r="S799" s="85">
        <f>'02_지표정의'!$C$22*P799+'02_지표정의'!$C$23*Q799+'02_지표정의'!$C$24*R799</f>
        <v/>
      </c>
      <c r="T799" s="73">
        <f>IF(OR(AND(B799="gemini",C799="gemma"),AND(B799="qwen3_6",C799="qwen"),AND(B799="mistral",C799="ministral")),1,0)</f>
        <v/>
      </c>
      <c r="U799" s="73">
        <f>IF(LEFT(A799,3)="PAT","특허","보고서")</f>
        <v/>
      </c>
      <c r="V799" s="86">
        <f>COUNTIF($S$2:$S$976,"&lt;"&amp;S799)+(COUNTIF($S$2:$S$976,"="&amp;S799)+1)/2</f>
        <v/>
      </c>
      <c r="W799" s="73">
        <f>IF(C799="qwen",0,COUNTIFS($C$2:$C$976,"&lt;&gt;qwen",$S$2:$S$976,"&lt;"&amp;S799)+1)</f>
        <v/>
      </c>
      <c r="X799" s="73">
        <f>IF(C799="ministral",0,COUNTIFS($C$2:$C$976,"&lt;&gt;ministral",$S$2:$S$976,"&lt;"&amp;S799)+1)</f>
        <v/>
      </c>
      <c r="Y799" s="73">
        <f>IF(C799="gemma",0,COUNTIFS($C$2:$C$976,"&lt;&gt;gemma",$S$2:$S$976,"&lt;"&amp;S799)+1)</f>
        <v/>
      </c>
      <c r="Z799" s="87">
        <f>COUNTIFS($B$2:$B$976,B799,$C$2:$C$976,C799,$S$2:$S$976,"&lt;"&amp;S799)+1</f>
        <v/>
      </c>
      <c r="AA799" s="88">
        <f>ABS(S799-SUMPRODUCT(('05B_가정검정'!$A$5:$A$19=B799)*('05B_가정검정'!$B$5:$B$19=C799)*'05B_가정검정'!$E$5:$E$19))</f>
        <v/>
      </c>
      <c r="AB799" s="88">
        <f>S799-AVERAGEIFS($S$2:$S$976,$B$2:$B$976,B799,$C$2:$C$976,C799)</f>
        <v/>
      </c>
    </row>
    <row r="800" ht="15" customHeight="1" s="68">
      <c r="A800" s="83" t="inlineStr">
        <is>
          <t>RPT-23</t>
        </is>
      </c>
      <c r="B800" s="83" t="inlineStr">
        <is>
          <t>claude</t>
        </is>
      </c>
      <c r="C800" s="83" t="inlineStr">
        <is>
          <t>gemma</t>
        </is>
      </c>
      <c r="D800" s="84" t="n">
        <v>0.212837837837838</v>
      </c>
      <c r="E800" s="84" t="n">
        <v>0.309941520467836</v>
      </c>
      <c r="F800" s="84" t="n">
        <v>0.0823529411764706</v>
      </c>
      <c r="G800" s="84" t="n">
        <v>0.198830409356725</v>
      </c>
      <c r="H800" s="84" t="n">
        <v>0.282447309876009</v>
      </c>
      <c r="I800" s="84" t="n">
        <v>0.170315497147244</v>
      </c>
      <c r="J800" s="84" t="n">
        <v>0.689273695156136</v>
      </c>
      <c r="K800" s="84" t="n">
        <v>0.660403768135315</v>
      </c>
      <c r="L800" s="84" t="n">
        <v>0.8557825469106199</v>
      </c>
      <c r="M800" s="84" t="n">
        <v>0.664285714285714</v>
      </c>
      <c r="N800" s="84" t="n">
        <v>0.5609756097560979</v>
      </c>
      <c r="O800" s="84" t="n">
        <v>1</v>
      </c>
      <c r="P800" s="85">
        <f>AVERAGE(D800:I800)</f>
        <v/>
      </c>
      <c r="Q800" s="85">
        <f>AVERAGE(J800:L800)</f>
        <v/>
      </c>
      <c r="R800" s="85">
        <f>AVERAGE(M800:O800)</f>
        <v/>
      </c>
      <c r="S800" s="85">
        <f>'02_지표정의'!$C$22*P800+'02_지표정의'!$C$23*Q800+'02_지표정의'!$C$24*R800</f>
        <v/>
      </c>
      <c r="T800" s="73">
        <f>IF(OR(AND(B800="gemini",C800="gemma"),AND(B800="qwen3_6",C800="qwen"),AND(B800="mistral",C800="ministral")),1,0)</f>
        <v/>
      </c>
      <c r="U800" s="73">
        <f>IF(LEFT(A800,3)="PAT","특허","보고서")</f>
        <v/>
      </c>
      <c r="V800" s="86">
        <f>COUNTIF($S$2:$S$976,"&lt;"&amp;S800)+(COUNTIF($S$2:$S$976,"="&amp;S800)+1)/2</f>
        <v/>
      </c>
      <c r="W800" s="73">
        <f>IF(C800="qwen",0,COUNTIFS($C$2:$C$976,"&lt;&gt;qwen",$S$2:$S$976,"&lt;"&amp;S800)+1)</f>
        <v/>
      </c>
      <c r="X800" s="73">
        <f>IF(C800="ministral",0,COUNTIFS($C$2:$C$976,"&lt;&gt;ministral",$S$2:$S$976,"&lt;"&amp;S800)+1)</f>
        <v/>
      </c>
      <c r="Y800" s="73">
        <f>IF(C800="gemma",0,COUNTIFS($C$2:$C$976,"&lt;&gt;gemma",$S$2:$S$976,"&lt;"&amp;S800)+1)</f>
        <v/>
      </c>
      <c r="Z800" s="87">
        <f>COUNTIFS($B$2:$B$976,B800,$C$2:$C$976,C800,$S$2:$S$976,"&lt;"&amp;S800)+1</f>
        <v/>
      </c>
      <c r="AA800" s="88">
        <f>ABS(S800-SUMPRODUCT(('05B_가정검정'!$A$5:$A$19=B800)*('05B_가정검정'!$B$5:$B$19=C800)*'05B_가정검정'!$E$5:$E$19))</f>
        <v/>
      </c>
      <c r="AB800" s="88">
        <f>S800-AVERAGEIFS($S$2:$S$976,$B$2:$B$976,B800,$C$2:$C$976,C800)</f>
        <v/>
      </c>
    </row>
    <row r="801" ht="15" customHeight="1" s="68">
      <c r="A801" s="83" t="inlineStr">
        <is>
          <t>RPT-23</t>
        </is>
      </c>
      <c r="B801" s="83" t="inlineStr">
        <is>
          <t>claude</t>
        </is>
      </c>
      <c r="C801" s="83" t="inlineStr">
        <is>
          <t>ministral</t>
        </is>
      </c>
      <c r="D801" s="84" t="n">
        <v>0.264814814814815</v>
      </c>
      <c r="E801" s="84" t="n">
        <v>0.332594235033259</v>
      </c>
      <c r="F801" s="84" t="n">
        <v>0.0801781737193764</v>
      </c>
      <c r="G801" s="84" t="n">
        <v>0.195121951219512</v>
      </c>
      <c r="H801" s="84" t="n">
        <v>0.248338078538386</v>
      </c>
      <c r="I801" s="84" t="n">
        <v>0.199648463166654</v>
      </c>
      <c r="J801" s="84" t="n">
        <v>0.67912549767361</v>
      </c>
      <c r="K801" s="84" t="n">
        <v>0.663733480047318</v>
      </c>
      <c r="L801" s="84" t="n">
        <v>0.807145660898826</v>
      </c>
      <c r="M801" s="84" t="n">
        <v>0.494623655913979</v>
      </c>
      <c r="N801" s="84" t="n">
        <v>0.612403100775194</v>
      </c>
      <c r="O801" s="84" t="n">
        <v>1</v>
      </c>
      <c r="P801" s="85">
        <f>AVERAGE(D801:I801)</f>
        <v/>
      </c>
      <c r="Q801" s="85">
        <f>AVERAGE(J801:L801)</f>
        <v/>
      </c>
      <c r="R801" s="85">
        <f>AVERAGE(M801:O801)</f>
        <v/>
      </c>
      <c r="S801" s="85">
        <f>'02_지표정의'!$C$22*P801+'02_지표정의'!$C$23*Q801+'02_지표정의'!$C$24*R801</f>
        <v/>
      </c>
      <c r="T801" s="73">
        <f>IF(OR(AND(B801="gemini",C801="gemma"),AND(B801="qwen3_6",C801="qwen"),AND(B801="mistral",C801="ministral")),1,0)</f>
        <v/>
      </c>
      <c r="U801" s="73">
        <f>IF(LEFT(A801,3)="PAT","특허","보고서")</f>
        <v/>
      </c>
      <c r="V801" s="86">
        <f>COUNTIF($S$2:$S$976,"&lt;"&amp;S801)+(COUNTIF($S$2:$S$976,"="&amp;S801)+1)/2</f>
        <v/>
      </c>
      <c r="W801" s="73">
        <f>IF(C801="qwen",0,COUNTIFS($C$2:$C$976,"&lt;&gt;qwen",$S$2:$S$976,"&lt;"&amp;S801)+1)</f>
        <v/>
      </c>
      <c r="X801" s="73">
        <f>IF(C801="ministral",0,COUNTIFS($C$2:$C$976,"&lt;&gt;ministral",$S$2:$S$976,"&lt;"&amp;S801)+1)</f>
        <v/>
      </c>
      <c r="Y801" s="73">
        <f>IF(C801="gemma",0,COUNTIFS($C$2:$C$976,"&lt;&gt;gemma",$S$2:$S$976,"&lt;"&amp;S801)+1)</f>
        <v/>
      </c>
      <c r="Z801" s="87">
        <f>COUNTIFS($B$2:$B$976,B801,$C$2:$C$976,C801,$S$2:$S$976,"&lt;"&amp;S801)+1</f>
        <v/>
      </c>
      <c r="AA801" s="88">
        <f>ABS(S801-SUMPRODUCT(('05B_가정검정'!$A$5:$A$19=B801)*('05B_가정검정'!$B$5:$B$19=C801)*'05B_가정검정'!$E$5:$E$19))</f>
        <v/>
      </c>
      <c r="AB801" s="88">
        <f>S801-AVERAGEIFS($S$2:$S$976,$B$2:$B$976,B801,$C$2:$C$976,C801)</f>
        <v/>
      </c>
    </row>
    <row r="802" ht="15" customHeight="1" s="68">
      <c r="A802" s="83" t="inlineStr">
        <is>
          <t>RPT-23</t>
        </is>
      </c>
      <c r="B802" s="83" t="inlineStr">
        <is>
          <t>claude</t>
        </is>
      </c>
      <c r="C802" s="83" t="inlineStr">
        <is>
          <t>qwen</t>
        </is>
      </c>
      <c r="D802" s="84" t="n">
        <v>0.250384024577573</v>
      </c>
      <c r="E802" s="84" t="n">
        <v>0.395652173913044</v>
      </c>
      <c r="F802" s="84" t="n">
        <v>0.109170305676856</v>
      </c>
      <c r="G802" s="84" t="n">
        <v>0.204347826086957</v>
      </c>
      <c r="H802" s="84" t="n">
        <v>0.294975429727815</v>
      </c>
      <c r="I802" s="84" t="n">
        <v>0.251505616600476</v>
      </c>
      <c r="J802" s="84" t="n">
        <v>0.668261939603696</v>
      </c>
      <c r="K802" s="84" t="n">
        <v>0.660778500558829</v>
      </c>
      <c r="L802" s="84" t="n">
        <v>0.81145174157491</v>
      </c>
      <c r="M802" s="84" t="n">
        <v>0.679775280898876</v>
      </c>
      <c r="N802" s="84" t="n">
        <v>0.697916666666667</v>
      </c>
      <c r="O802" s="84" t="n">
        <v>1</v>
      </c>
      <c r="P802" s="85">
        <f>AVERAGE(D802:I802)</f>
        <v/>
      </c>
      <c r="Q802" s="85">
        <f>AVERAGE(J802:L802)</f>
        <v/>
      </c>
      <c r="R802" s="85">
        <f>AVERAGE(M802:O802)</f>
        <v/>
      </c>
      <c r="S802" s="85">
        <f>'02_지표정의'!$C$22*P802+'02_지표정의'!$C$23*Q802+'02_지표정의'!$C$24*R802</f>
        <v/>
      </c>
      <c r="T802" s="73">
        <f>IF(OR(AND(B802="gemini",C802="gemma"),AND(B802="qwen3_6",C802="qwen"),AND(B802="mistral",C802="ministral")),1,0)</f>
        <v/>
      </c>
      <c r="U802" s="73">
        <f>IF(LEFT(A802,3)="PAT","특허","보고서")</f>
        <v/>
      </c>
      <c r="V802" s="86">
        <f>COUNTIF($S$2:$S$976,"&lt;"&amp;S802)+(COUNTIF($S$2:$S$976,"="&amp;S802)+1)/2</f>
        <v/>
      </c>
      <c r="W802" s="73">
        <f>IF(C802="qwen",0,COUNTIFS($C$2:$C$976,"&lt;&gt;qwen",$S$2:$S$976,"&lt;"&amp;S802)+1)</f>
        <v/>
      </c>
      <c r="X802" s="73">
        <f>IF(C802="ministral",0,COUNTIFS($C$2:$C$976,"&lt;&gt;ministral",$S$2:$S$976,"&lt;"&amp;S802)+1)</f>
        <v/>
      </c>
      <c r="Y802" s="73">
        <f>IF(C802="gemma",0,COUNTIFS($C$2:$C$976,"&lt;&gt;gemma",$S$2:$S$976,"&lt;"&amp;S802)+1)</f>
        <v/>
      </c>
      <c r="Z802" s="87">
        <f>COUNTIFS($B$2:$B$976,B802,$C$2:$C$976,C802,$S$2:$S$976,"&lt;"&amp;S802)+1</f>
        <v/>
      </c>
      <c r="AA802" s="88">
        <f>ABS(S802-SUMPRODUCT(('05B_가정검정'!$A$5:$A$19=B802)*('05B_가정검정'!$B$5:$B$19=C802)*'05B_가정검정'!$E$5:$E$19))</f>
        <v/>
      </c>
      <c r="AB802" s="88">
        <f>S802-AVERAGEIFS($S$2:$S$976,$B$2:$B$976,B802,$C$2:$C$976,C802)</f>
        <v/>
      </c>
    </row>
    <row r="803" ht="15" customHeight="1" s="68">
      <c r="A803" s="83" t="inlineStr">
        <is>
          <t>RPT-23</t>
        </is>
      </c>
      <c r="B803" s="83" t="inlineStr">
        <is>
          <t>gemini</t>
        </is>
      </c>
      <c r="C803" s="83" t="inlineStr">
        <is>
          <t>gemma</t>
        </is>
      </c>
      <c r="D803" s="84" t="n">
        <v>0.24093567251462</v>
      </c>
      <c r="E803" s="84" t="n">
        <v>0.381742738589212</v>
      </c>
      <c r="F803" s="84" t="n">
        <v>0.142259414225941</v>
      </c>
      <c r="G803" s="84" t="n">
        <v>0.265560165975104</v>
      </c>
      <c r="H803" s="84" t="n">
        <v>0.300726951655935</v>
      </c>
      <c r="I803" s="84" t="n">
        <v>0.195015296533792</v>
      </c>
      <c r="J803" s="84" t="n">
        <v>0.751910248959704</v>
      </c>
      <c r="K803" s="84" t="n">
        <v>0.757343481414285</v>
      </c>
      <c r="L803" s="84" t="n">
        <v>0.88417830964276</v>
      </c>
      <c r="M803" s="84" t="n">
        <v>0.858407079646018</v>
      </c>
      <c r="N803" s="84" t="n">
        <v>0.873015873015873</v>
      </c>
      <c r="O803" s="84" t="n">
        <v>1</v>
      </c>
      <c r="P803" s="85">
        <f>AVERAGE(D803:I803)</f>
        <v/>
      </c>
      <c r="Q803" s="85">
        <f>AVERAGE(J803:L803)</f>
        <v/>
      </c>
      <c r="R803" s="85">
        <f>AVERAGE(M803:O803)</f>
        <v/>
      </c>
      <c r="S803" s="85">
        <f>'02_지표정의'!$C$22*P803+'02_지표정의'!$C$23*Q803+'02_지표정의'!$C$24*R803</f>
        <v/>
      </c>
      <c r="T803" s="73">
        <f>IF(OR(AND(B803="gemini",C803="gemma"),AND(B803="qwen3_6",C803="qwen"),AND(B803="mistral",C803="ministral")),1,0)</f>
        <v/>
      </c>
      <c r="U803" s="73">
        <f>IF(LEFT(A803,3)="PAT","특허","보고서")</f>
        <v/>
      </c>
      <c r="V803" s="86">
        <f>COUNTIF($S$2:$S$976,"&lt;"&amp;S803)+(COUNTIF($S$2:$S$976,"="&amp;S803)+1)/2</f>
        <v/>
      </c>
      <c r="W803" s="73">
        <f>IF(C803="qwen",0,COUNTIFS($C$2:$C$976,"&lt;&gt;qwen",$S$2:$S$976,"&lt;"&amp;S803)+1)</f>
        <v/>
      </c>
      <c r="X803" s="73">
        <f>IF(C803="ministral",0,COUNTIFS($C$2:$C$976,"&lt;&gt;ministral",$S$2:$S$976,"&lt;"&amp;S803)+1)</f>
        <v/>
      </c>
      <c r="Y803" s="73">
        <f>IF(C803="gemma",0,COUNTIFS($C$2:$C$976,"&lt;&gt;gemma",$S$2:$S$976,"&lt;"&amp;S803)+1)</f>
        <v/>
      </c>
      <c r="Z803" s="87">
        <f>COUNTIFS($B$2:$B$976,B803,$C$2:$C$976,C803,$S$2:$S$976,"&lt;"&amp;S803)+1</f>
        <v/>
      </c>
      <c r="AA803" s="88">
        <f>ABS(S803-SUMPRODUCT(('05B_가정검정'!$A$5:$A$19=B803)*('05B_가정검정'!$B$5:$B$19=C803)*'05B_가정검정'!$E$5:$E$19))</f>
        <v/>
      </c>
      <c r="AB803" s="88">
        <f>S803-AVERAGEIFS($S$2:$S$976,$B$2:$B$976,B803,$C$2:$C$976,C803)</f>
        <v/>
      </c>
    </row>
    <row r="804" ht="15" customHeight="1" s="68">
      <c r="A804" s="83" t="inlineStr">
        <is>
          <t>RPT-23</t>
        </is>
      </c>
      <c r="B804" s="83" t="inlineStr">
        <is>
          <t>gemini</t>
        </is>
      </c>
      <c r="C804" s="83" t="inlineStr">
        <is>
          <t>ministral</t>
        </is>
      </c>
      <c r="D804" s="84" t="n">
        <v>0.26098535286285</v>
      </c>
      <c r="E804" s="84" t="n">
        <v>0.228571428571429</v>
      </c>
      <c r="F804" s="84" t="n">
        <v>0.0862068965517241</v>
      </c>
      <c r="G804" s="84" t="n">
        <v>0.171428571428571</v>
      </c>
      <c r="H804" s="84" t="n">
        <v>0.190622449410401</v>
      </c>
      <c r="I804" s="84" t="n">
        <v>0.182337116094322</v>
      </c>
      <c r="J804" s="84" t="n">
        <v>0.736200916968035</v>
      </c>
      <c r="K804" s="84" t="n">
        <v>0.784559839874392</v>
      </c>
      <c r="L804" s="84" t="n">
        <v>0.905409505964456</v>
      </c>
      <c r="M804" s="84" t="n">
        <v>0.347670250896057</v>
      </c>
      <c r="N804" s="84" t="n">
        <v>0.426356589147287</v>
      </c>
      <c r="O804" s="84" t="n">
        <v>1</v>
      </c>
      <c r="P804" s="85">
        <f>AVERAGE(D804:I804)</f>
        <v/>
      </c>
      <c r="Q804" s="85">
        <f>AVERAGE(J804:L804)</f>
        <v/>
      </c>
      <c r="R804" s="85">
        <f>AVERAGE(M804:O804)</f>
        <v/>
      </c>
      <c r="S804" s="85">
        <f>'02_지표정의'!$C$22*P804+'02_지표정의'!$C$23*Q804+'02_지표정의'!$C$24*R804</f>
        <v/>
      </c>
      <c r="T804" s="73">
        <f>IF(OR(AND(B804="gemini",C804="gemma"),AND(B804="qwen3_6",C804="qwen"),AND(B804="mistral",C804="ministral")),1,0)</f>
        <v/>
      </c>
      <c r="U804" s="73">
        <f>IF(LEFT(A804,3)="PAT","특허","보고서")</f>
        <v/>
      </c>
      <c r="V804" s="86">
        <f>COUNTIF($S$2:$S$976,"&lt;"&amp;S804)+(COUNTIF($S$2:$S$976,"="&amp;S804)+1)/2</f>
        <v/>
      </c>
      <c r="W804" s="73">
        <f>IF(C804="qwen",0,COUNTIFS($C$2:$C$976,"&lt;&gt;qwen",$S$2:$S$976,"&lt;"&amp;S804)+1)</f>
        <v/>
      </c>
      <c r="X804" s="73">
        <f>IF(C804="ministral",0,COUNTIFS($C$2:$C$976,"&lt;&gt;ministral",$S$2:$S$976,"&lt;"&amp;S804)+1)</f>
        <v/>
      </c>
      <c r="Y804" s="73">
        <f>IF(C804="gemma",0,COUNTIFS($C$2:$C$976,"&lt;&gt;gemma",$S$2:$S$976,"&lt;"&amp;S804)+1)</f>
        <v/>
      </c>
      <c r="Z804" s="87">
        <f>COUNTIFS($B$2:$B$976,B804,$C$2:$C$976,C804,$S$2:$S$976,"&lt;"&amp;S804)+1</f>
        <v/>
      </c>
      <c r="AA804" s="88">
        <f>ABS(S804-SUMPRODUCT(('05B_가정검정'!$A$5:$A$19=B804)*('05B_가정검정'!$B$5:$B$19=C804)*'05B_가정검정'!$E$5:$E$19))</f>
        <v/>
      </c>
      <c r="AB804" s="88">
        <f>S804-AVERAGEIFS($S$2:$S$976,$B$2:$B$976,B804,$C$2:$C$976,C804)</f>
        <v/>
      </c>
    </row>
    <row r="805" ht="15" customHeight="1" s="68">
      <c r="A805" s="83" t="inlineStr">
        <is>
          <t>RPT-23</t>
        </is>
      </c>
      <c r="B805" s="83" t="inlineStr">
        <is>
          <t>gemini</t>
        </is>
      </c>
      <c r="C805" s="83" t="inlineStr">
        <is>
          <t>qwen</t>
        </is>
      </c>
      <c r="D805" s="84" t="n">
        <v>0.250770811921891</v>
      </c>
      <c r="E805" s="84" t="n">
        <v>0.345403899721449</v>
      </c>
      <c r="F805" s="84" t="n">
        <v>0.128851540616247</v>
      </c>
      <c r="G805" s="84" t="n">
        <v>0.211699164345404</v>
      </c>
      <c r="H805" s="84" t="n">
        <v>0.228957214851109</v>
      </c>
      <c r="I805" s="84" t="n">
        <v>0.296974113154089</v>
      </c>
      <c r="J805" s="84" t="n">
        <v>0.729785054313639</v>
      </c>
      <c r="K805" s="84" t="n">
        <v>0.766759592437593</v>
      </c>
      <c r="L805" s="84" t="n">
        <v>0.89101322511826</v>
      </c>
      <c r="M805" s="84" t="n">
        <v>0.544943820224719</v>
      </c>
      <c r="N805" s="84" t="n">
        <v>0.572916666666667</v>
      </c>
      <c r="O805" s="84" t="n">
        <v>1</v>
      </c>
      <c r="P805" s="85">
        <f>AVERAGE(D805:I805)</f>
        <v/>
      </c>
      <c r="Q805" s="85">
        <f>AVERAGE(J805:L805)</f>
        <v/>
      </c>
      <c r="R805" s="85">
        <f>AVERAGE(M805:O805)</f>
        <v/>
      </c>
      <c r="S805" s="85">
        <f>'02_지표정의'!$C$22*P805+'02_지표정의'!$C$23*Q805+'02_지표정의'!$C$24*R805</f>
        <v/>
      </c>
      <c r="T805" s="73">
        <f>IF(OR(AND(B805="gemini",C805="gemma"),AND(B805="qwen3_6",C805="qwen"),AND(B805="mistral",C805="ministral")),1,0)</f>
        <v/>
      </c>
      <c r="U805" s="73">
        <f>IF(LEFT(A805,3)="PAT","특허","보고서")</f>
        <v/>
      </c>
      <c r="V805" s="86">
        <f>COUNTIF($S$2:$S$976,"&lt;"&amp;S805)+(COUNTIF($S$2:$S$976,"="&amp;S805)+1)/2</f>
        <v/>
      </c>
      <c r="W805" s="73">
        <f>IF(C805="qwen",0,COUNTIFS($C$2:$C$976,"&lt;&gt;qwen",$S$2:$S$976,"&lt;"&amp;S805)+1)</f>
        <v/>
      </c>
      <c r="X805" s="73">
        <f>IF(C805="ministral",0,COUNTIFS($C$2:$C$976,"&lt;&gt;ministral",$S$2:$S$976,"&lt;"&amp;S805)+1)</f>
        <v/>
      </c>
      <c r="Y805" s="73">
        <f>IF(C805="gemma",0,COUNTIFS($C$2:$C$976,"&lt;&gt;gemma",$S$2:$S$976,"&lt;"&amp;S805)+1)</f>
        <v/>
      </c>
      <c r="Z805" s="87">
        <f>COUNTIFS($B$2:$B$976,B805,$C$2:$C$976,C805,$S$2:$S$976,"&lt;"&amp;S805)+1</f>
        <v/>
      </c>
      <c r="AA805" s="88">
        <f>ABS(S805-SUMPRODUCT(('05B_가정검정'!$A$5:$A$19=B805)*('05B_가정검정'!$B$5:$B$19=C805)*'05B_가정검정'!$E$5:$E$19))</f>
        <v/>
      </c>
      <c r="AB805" s="88">
        <f>S805-AVERAGEIFS($S$2:$S$976,$B$2:$B$976,B805,$C$2:$C$976,C805)</f>
        <v/>
      </c>
    </row>
    <row r="806" ht="15" customHeight="1" s="68">
      <c r="A806" s="83" t="inlineStr">
        <is>
          <t>RPT-23</t>
        </is>
      </c>
      <c r="B806" s="83" t="inlineStr">
        <is>
          <t>mistral</t>
        </is>
      </c>
      <c r="C806" s="83" t="inlineStr">
        <is>
          <t>gemma</t>
        </is>
      </c>
      <c r="D806" s="84" t="n">
        <v>0.273381294964029</v>
      </c>
      <c r="E806" s="84" t="n">
        <v>0.342592592592593</v>
      </c>
      <c r="F806" s="84" t="n">
        <v>0.121495327102804</v>
      </c>
      <c r="G806" s="84" t="n">
        <v>0.259259259259259</v>
      </c>
      <c r="H806" s="84" t="n">
        <v>0.314794477822418</v>
      </c>
      <c r="I806" s="84" t="n">
        <v>0.20241389633034</v>
      </c>
      <c r="J806" s="84" t="n">
        <v>0.699684366366773</v>
      </c>
      <c r="K806" s="84" t="n">
        <v>0.631426179891925</v>
      </c>
      <c r="L806" s="84" t="n">
        <v>0.826320432952483</v>
      </c>
      <c r="M806" s="84" t="n">
        <v>0.697478991596639</v>
      </c>
      <c r="N806" s="84" t="n">
        <v>0.696969696969697</v>
      </c>
      <c r="O806" s="84" t="n">
        <v>1</v>
      </c>
      <c r="P806" s="85">
        <f>AVERAGE(D806:I806)</f>
        <v/>
      </c>
      <c r="Q806" s="85">
        <f>AVERAGE(J806:L806)</f>
        <v/>
      </c>
      <c r="R806" s="85">
        <f>AVERAGE(M806:O806)</f>
        <v/>
      </c>
      <c r="S806" s="85">
        <f>'02_지표정의'!$C$22*P806+'02_지표정의'!$C$23*Q806+'02_지표정의'!$C$24*R806</f>
        <v/>
      </c>
      <c r="T806" s="73">
        <f>IF(OR(AND(B806="gemini",C806="gemma"),AND(B806="qwen3_6",C806="qwen"),AND(B806="mistral",C806="ministral")),1,0)</f>
        <v/>
      </c>
      <c r="U806" s="73">
        <f>IF(LEFT(A806,3)="PAT","특허","보고서")</f>
        <v/>
      </c>
      <c r="V806" s="86">
        <f>COUNTIF($S$2:$S$976,"&lt;"&amp;S806)+(COUNTIF($S$2:$S$976,"="&amp;S806)+1)/2</f>
        <v/>
      </c>
      <c r="W806" s="73">
        <f>IF(C806="qwen",0,COUNTIFS($C$2:$C$976,"&lt;&gt;qwen",$S$2:$S$976,"&lt;"&amp;S806)+1)</f>
        <v/>
      </c>
      <c r="X806" s="73">
        <f>IF(C806="ministral",0,COUNTIFS($C$2:$C$976,"&lt;&gt;ministral",$S$2:$S$976,"&lt;"&amp;S806)+1)</f>
        <v/>
      </c>
      <c r="Y806" s="73">
        <f>IF(C806="gemma",0,COUNTIFS($C$2:$C$976,"&lt;&gt;gemma",$S$2:$S$976,"&lt;"&amp;S806)+1)</f>
        <v/>
      </c>
      <c r="Z806" s="87">
        <f>COUNTIFS($B$2:$B$976,B806,$C$2:$C$976,C806,$S$2:$S$976,"&lt;"&amp;S806)+1</f>
        <v/>
      </c>
      <c r="AA806" s="88">
        <f>ABS(S806-SUMPRODUCT(('05B_가정검정'!$A$5:$A$19=B806)*('05B_가정검정'!$B$5:$B$19=C806)*'05B_가정검정'!$E$5:$E$19))</f>
        <v/>
      </c>
      <c r="AB806" s="88">
        <f>S806-AVERAGEIFS($S$2:$S$976,$B$2:$B$976,B806,$C$2:$C$976,C806)</f>
        <v/>
      </c>
    </row>
    <row r="807" ht="15" customHeight="1" s="68">
      <c r="A807" s="83" t="inlineStr">
        <is>
          <t>RPT-23</t>
        </is>
      </c>
      <c r="B807" s="83" t="inlineStr">
        <is>
          <t>mistral</t>
        </is>
      </c>
      <c r="C807" s="83" t="inlineStr">
        <is>
          <t>ministral</t>
        </is>
      </c>
      <c r="D807" s="84" t="n">
        <v>0.317808219178082</v>
      </c>
      <c r="E807" s="84" t="n">
        <v>0.270769230769231</v>
      </c>
      <c r="F807" s="84" t="n">
        <v>0.0743034055727554</v>
      </c>
      <c r="G807" s="84" t="n">
        <v>0.184615384615385</v>
      </c>
      <c r="H807" s="84" t="n">
        <v>0.213912819399289</v>
      </c>
      <c r="I807" s="84" t="n">
        <v>0.240217221241379</v>
      </c>
      <c r="J807" s="84" t="n">
        <v>0.6962192037093879</v>
      </c>
      <c r="K807" s="84" t="n">
        <v>0.718460737846634</v>
      </c>
      <c r="L807" s="84" t="n">
        <v>0.848717794010808</v>
      </c>
      <c r="M807" s="84" t="n">
        <v>0.383512544802867</v>
      </c>
      <c r="N807" s="84" t="n">
        <v>0.34108527131783</v>
      </c>
      <c r="O807" s="84" t="n">
        <v>1</v>
      </c>
      <c r="P807" s="85">
        <f>AVERAGE(D807:I807)</f>
        <v/>
      </c>
      <c r="Q807" s="85">
        <f>AVERAGE(J807:L807)</f>
        <v/>
      </c>
      <c r="R807" s="85">
        <f>AVERAGE(M807:O807)</f>
        <v/>
      </c>
      <c r="S807" s="85">
        <f>'02_지표정의'!$C$22*P807+'02_지표정의'!$C$23*Q807+'02_지표정의'!$C$24*R807</f>
        <v/>
      </c>
      <c r="T807" s="73">
        <f>IF(OR(AND(B807="gemini",C807="gemma"),AND(B807="qwen3_6",C807="qwen"),AND(B807="mistral",C807="ministral")),1,0)</f>
        <v/>
      </c>
      <c r="U807" s="73">
        <f>IF(LEFT(A807,3)="PAT","특허","보고서")</f>
        <v/>
      </c>
      <c r="V807" s="86">
        <f>COUNTIF($S$2:$S$976,"&lt;"&amp;S807)+(COUNTIF($S$2:$S$976,"="&amp;S807)+1)/2</f>
        <v/>
      </c>
      <c r="W807" s="73">
        <f>IF(C807="qwen",0,COUNTIFS($C$2:$C$976,"&lt;&gt;qwen",$S$2:$S$976,"&lt;"&amp;S807)+1)</f>
        <v/>
      </c>
      <c r="X807" s="73">
        <f>IF(C807="ministral",0,COUNTIFS($C$2:$C$976,"&lt;&gt;ministral",$S$2:$S$976,"&lt;"&amp;S807)+1)</f>
        <v/>
      </c>
      <c r="Y807" s="73">
        <f>IF(C807="gemma",0,COUNTIFS($C$2:$C$976,"&lt;&gt;gemma",$S$2:$S$976,"&lt;"&amp;S807)+1)</f>
        <v/>
      </c>
      <c r="Z807" s="87">
        <f>COUNTIFS($B$2:$B$976,B807,$C$2:$C$976,C807,$S$2:$S$976,"&lt;"&amp;S807)+1</f>
        <v/>
      </c>
      <c r="AA807" s="88">
        <f>ABS(S807-SUMPRODUCT(('05B_가정검정'!$A$5:$A$19=B807)*('05B_가정검정'!$B$5:$B$19=C807)*'05B_가정검정'!$E$5:$E$19))</f>
        <v/>
      </c>
      <c r="AB807" s="88">
        <f>S807-AVERAGEIFS($S$2:$S$976,$B$2:$B$976,B807,$C$2:$C$976,C807)</f>
        <v/>
      </c>
    </row>
    <row r="808" ht="15" customHeight="1" s="68">
      <c r="A808" s="83" t="inlineStr">
        <is>
          <t>RPT-23</t>
        </is>
      </c>
      <c r="B808" s="83" t="inlineStr">
        <is>
          <t>mistral</t>
        </is>
      </c>
      <c r="C808" s="83" t="inlineStr">
        <is>
          <t>qwen</t>
        </is>
      </c>
      <c r="D808" s="84" t="n">
        <v>0.289915966386555</v>
      </c>
      <c r="E808" s="84" t="n">
        <v>0.251497005988024</v>
      </c>
      <c r="F808" s="84" t="n">
        <v>0.0662650602409639</v>
      </c>
      <c r="G808" s="84" t="n">
        <v>0.18562874251497</v>
      </c>
      <c r="H808" s="84" t="n">
        <v>0.262186634472438</v>
      </c>
      <c r="I808" s="84" t="n">
        <v>0.249771784991469</v>
      </c>
      <c r="J808" s="84" t="n">
        <v>0.690027343027138</v>
      </c>
      <c r="K808" s="84" t="n">
        <v>0.692032033739009</v>
      </c>
      <c r="L808" s="84" t="n">
        <v>0.838159644728353</v>
      </c>
      <c r="M808" s="84" t="n">
        <v>0.578651685393258</v>
      </c>
      <c r="N808" s="84" t="n">
        <v>0.572916666666667</v>
      </c>
      <c r="O808" s="84" t="n">
        <v>1</v>
      </c>
      <c r="P808" s="85">
        <f>AVERAGE(D808:I808)</f>
        <v/>
      </c>
      <c r="Q808" s="85">
        <f>AVERAGE(J808:L808)</f>
        <v/>
      </c>
      <c r="R808" s="85">
        <f>AVERAGE(M808:O808)</f>
        <v/>
      </c>
      <c r="S808" s="85">
        <f>'02_지표정의'!$C$22*P808+'02_지표정의'!$C$23*Q808+'02_지표정의'!$C$24*R808</f>
        <v/>
      </c>
      <c r="T808" s="73">
        <f>IF(OR(AND(B808="gemini",C808="gemma"),AND(B808="qwen3_6",C808="qwen"),AND(B808="mistral",C808="ministral")),1,0)</f>
        <v/>
      </c>
      <c r="U808" s="73">
        <f>IF(LEFT(A808,3)="PAT","특허","보고서")</f>
        <v/>
      </c>
      <c r="V808" s="86">
        <f>COUNTIF($S$2:$S$976,"&lt;"&amp;S808)+(COUNTIF($S$2:$S$976,"="&amp;S808)+1)/2</f>
        <v/>
      </c>
      <c r="W808" s="73">
        <f>IF(C808="qwen",0,COUNTIFS($C$2:$C$976,"&lt;&gt;qwen",$S$2:$S$976,"&lt;"&amp;S808)+1)</f>
        <v/>
      </c>
      <c r="X808" s="73">
        <f>IF(C808="ministral",0,COUNTIFS($C$2:$C$976,"&lt;&gt;ministral",$S$2:$S$976,"&lt;"&amp;S808)+1)</f>
        <v/>
      </c>
      <c r="Y808" s="73">
        <f>IF(C808="gemma",0,COUNTIFS($C$2:$C$976,"&lt;&gt;gemma",$S$2:$S$976,"&lt;"&amp;S808)+1)</f>
        <v/>
      </c>
      <c r="Z808" s="87">
        <f>COUNTIFS($B$2:$B$976,B808,$C$2:$C$976,C808,$S$2:$S$976,"&lt;"&amp;S808)+1</f>
        <v/>
      </c>
      <c r="AA808" s="88">
        <f>ABS(S808-SUMPRODUCT(('05B_가정검정'!$A$5:$A$19=B808)*('05B_가정검정'!$B$5:$B$19=C808)*'05B_가정검정'!$E$5:$E$19))</f>
        <v/>
      </c>
      <c r="AB808" s="88">
        <f>S808-AVERAGEIFS($S$2:$S$976,$B$2:$B$976,B808,$C$2:$C$976,C808)</f>
        <v/>
      </c>
    </row>
    <row r="809" ht="15" customHeight="1" s="68">
      <c r="A809" s="83" t="inlineStr">
        <is>
          <t>RPT-23</t>
        </is>
      </c>
      <c r="B809" s="83" t="inlineStr">
        <is>
          <t>qwen3_6</t>
        </is>
      </c>
      <c r="C809" s="83" t="inlineStr">
        <is>
          <t>gemma</t>
        </is>
      </c>
      <c r="D809" s="84" t="n">
        <v>0.288082901554404</v>
      </c>
      <c r="E809" s="84" t="n">
        <v>0.373088685015291</v>
      </c>
      <c r="F809" s="84" t="n">
        <v>0.123076923076923</v>
      </c>
      <c r="G809" s="84" t="n">
        <v>0.232415902140673</v>
      </c>
      <c r="H809" s="84" t="n">
        <v>0.393190084757909</v>
      </c>
      <c r="I809" s="84" t="n">
        <v>0.258132973022305</v>
      </c>
      <c r="J809" s="84" t="n">
        <v>0.717714742011284</v>
      </c>
      <c r="K809" s="84" t="n">
        <v>0.6849748006244381</v>
      </c>
      <c r="L809" s="84" t="n">
        <v>0.868359052787075</v>
      </c>
      <c r="M809" s="84" t="n">
        <v>0.858407079646018</v>
      </c>
      <c r="N809" s="84" t="n">
        <v>0.873015873015873</v>
      </c>
      <c r="O809" s="84" t="n">
        <v>1</v>
      </c>
      <c r="P809" s="85">
        <f>AVERAGE(D809:I809)</f>
        <v/>
      </c>
      <c r="Q809" s="85">
        <f>AVERAGE(J809:L809)</f>
        <v/>
      </c>
      <c r="R809" s="85">
        <f>AVERAGE(M809:O809)</f>
        <v/>
      </c>
      <c r="S809" s="85">
        <f>'02_지표정의'!$C$22*P809+'02_지표정의'!$C$23*Q809+'02_지표정의'!$C$24*R809</f>
        <v/>
      </c>
      <c r="T809" s="73">
        <f>IF(OR(AND(B809="gemini",C809="gemma"),AND(B809="qwen3_6",C809="qwen"),AND(B809="mistral",C809="ministral")),1,0)</f>
        <v/>
      </c>
      <c r="U809" s="73">
        <f>IF(LEFT(A809,3)="PAT","특허","보고서")</f>
        <v/>
      </c>
      <c r="V809" s="86">
        <f>COUNTIF($S$2:$S$976,"&lt;"&amp;S809)+(COUNTIF($S$2:$S$976,"="&amp;S809)+1)/2</f>
        <v/>
      </c>
      <c r="W809" s="73">
        <f>IF(C809="qwen",0,COUNTIFS($C$2:$C$976,"&lt;&gt;qwen",$S$2:$S$976,"&lt;"&amp;S809)+1)</f>
        <v/>
      </c>
      <c r="X809" s="73">
        <f>IF(C809="ministral",0,COUNTIFS($C$2:$C$976,"&lt;&gt;ministral",$S$2:$S$976,"&lt;"&amp;S809)+1)</f>
        <v/>
      </c>
      <c r="Y809" s="73">
        <f>IF(C809="gemma",0,COUNTIFS($C$2:$C$976,"&lt;&gt;gemma",$S$2:$S$976,"&lt;"&amp;S809)+1)</f>
        <v/>
      </c>
      <c r="Z809" s="87">
        <f>COUNTIFS($B$2:$B$976,B809,$C$2:$C$976,C809,$S$2:$S$976,"&lt;"&amp;S809)+1</f>
        <v/>
      </c>
      <c r="AA809" s="88">
        <f>ABS(S809-SUMPRODUCT(('05B_가정검정'!$A$5:$A$19=B809)*('05B_가정검정'!$B$5:$B$19=C809)*'05B_가정검정'!$E$5:$E$19))</f>
        <v/>
      </c>
      <c r="AB809" s="88">
        <f>S809-AVERAGEIFS($S$2:$S$976,$B$2:$B$976,B809,$C$2:$C$976,C809)</f>
        <v/>
      </c>
    </row>
    <row r="810" ht="15" customHeight="1" s="68">
      <c r="A810" s="83" t="inlineStr">
        <is>
          <t>RPT-23</t>
        </is>
      </c>
      <c r="B810" s="83" t="inlineStr">
        <is>
          <t>qwen3_6</t>
        </is>
      </c>
      <c r="C810" s="83" t="inlineStr">
        <is>
          <t>ministral</t>
        </is>
      </c>
      <c r="D810" s="84" t="n">
        <v>0.271777003484321</v>
      </c>
      <c r="E810" s="84" t="n">
        <v>0.243119266055046</v>
      </c>
      <c r="F810" s="84" t="n">
        <v>0.0829493087557604</v>
      </c>
      <c r="G810" s="84" t="n">
        <v>0.188073394495413</v>
      </c>
      <c r="H810" s="84" t="n">
        <v>0.216740517631306</v>
      </c>
      <c r="I810" s="84" t="n">
        <v>0.19133562082358</v>
      </c>
      <c r="J810" s="84" t="n">
        <v>0.689835397719853</v>
      </c>
      <c r="K810" s="84" t="n">
        <v>0.673543294289792</v>
      </c>
      <c r="L810" s="84" t="n">
        <v>0.841754380804499</v>
      </c>
      <c r="M810" s="84" t="n">
        <v>0.347670250896057</v>
      </c>
      <c r="N810" s="84" t="n">
        <v>0.426356589147287</v>
      </c>
      <c r="O810" s="84" t="n">
        <v>1</v>
      </c>
      <c r="P810" s="85">
        <f>AVERAGE(D810:I810)</f>
        <v/>
      </c>
      <c r="Q810" s="85">
        <f>AVERAGE(J810:L810)</f>
        <v/>
      </c>
      <c r="R810" s="85">
        <f>AVERAGE(M810:O810)</f>
        <v/>
      </c>
      <c r="S810" s="85">
        <f>'02_지표정의'!$C$22*P810+'02_지표정의'!$C$23*Q810+'02_지표정의'!$C$24*R810</f>
        <v/>
      </c>
      <c r="T810" s="73">
        <f>IF(OR(AND(B810="gemini",C810="gemma"),AND(B810="qwen3_6",C810="qwen"),AND(B810="mistral",C810="ministral")),1,0)</f>
        <v/>
      </c>
      <c r="U810" s="73">
        <f>IF(LEFT(A810,3)="PAT","특허","보고서")</f>
        <v/>
      </c>
      <c r="V810" s="86">
        <f>COUNTIF($S$2:$S$976,"&lt;"&amp;S810)+(COUNTIF($S$2:$S$976,"="&amp;S810)+1)/2</f>
        <v/>
      </c>
      <c r="W810" s="73">
        <f>IF(C810="qwen",0,COUNTIFS($C$2:$C$976,"&lt;&gt;qwen",$S$2:$S$976,"&lt;"&amp;S810)+1)</f>
        <v/>
      </c>
      <c r="X810" s="73">
        <f>IF(C810="ministral",0,COUNTIFS($C$2:$C$976,"&lt;&gt;ministral",$S$2:$S$976,"&lt;"&amp;S810)+1)</f>
        <v/>
      </c>
      <c r="Y810" s="73">
        <f>IF(C810="gemma",0,COUNTIFS($C$2:$C$976,"&lt;&gt;gemma",$S$2:$S$976,"&lt;"&amp;S810)+1)</f>
        <v/>
      </c>
      <c r="Z810" s="87">
        <f>COUNTIFS($B$2:$B$976,B810,$C$2:$C$976,C810,$S$2:$S$976,"&lt;"&amp;S810)+1</f>
        <v/>
      </c>
      <c r="AA810" s="88">
        <f>ABS(S810-SUMPRODUCT(('05B_가정검정'!$A$5:$A$19=B810)*('05B_가정검정'!$B$5:$B$19=C810)*'05B_가정검정'!$E$5:$E$19))</f>
        <v/>
      </c>
      <c r="AB810" s="88">
        <f>S810-AVERAGEIFS($S$2:$S$976,$B$2:$B$976,B810,$C$2:$C$976,C810)</f>
        <v/>
      </c>
    </row>
    <row r="811" ht="15" customHeight="1" s="68">
      <c r="A811" s="83" t="inlineStr">
        <is>
          <t>RPT-23</t>
        </is>
      </c>
      <c r="B811" s="83" t="inlineStr">
        <is>
          <t>qwen3_6</t>
        </is>
      </c>
      <c r="C811" s="83" t="inlineStr">
        <is>
          <t>qwen</t>
        </is>
      </c>
      <c r="D811" s="84" t="n">
        <v>0.326869806094183</v>
      </c>
      <c r="E811" s="84" t="n">
        <v>0.476404494382023</v>
      </c>
      <c r="F811" s="84" t="n">
        <v>0.225733634311512</v>
      </c>
      <c r="G811" s="84" t="n">
        <v>0.296629213483146</v>
      </c>
      <c r="H811" s="84" t="n">
        <v>0.327504312231039</v>
      </c>
      <c r="I811" s="84" t="n">
        <v>0.414883725173912</v>
      </c>
      <c r="J811" s="84" t="n">
        <v>0.702516082991601</v>
      </c>
      <c r="K811" s="84" t="n">
        <v>0.7352589226980289</v>
      </c>
      <c r="L811" s="84" t="n">
        <v>0.86758015897885</v>
      </c>
      <c r="M811" s="84" t="n">
        <v>0.544943820224719</v>
      </c>
      <c r="N811" s="84" t="n">
        <v>0.572916666666667</v>
      </c>
      <c r="O811" s="84" t="n">
        <v>1</v>
      </c>
      <c r="P811" s="85">
        <f>AVERAGE(D811:I811)</f>
        <v/>
      </c>
      <c r="Q811" s="85">
        <f>AVERAGE(J811:L811)</f>
        <v/>
      </c>
      <c r="R811" s="85">
        <f>AVERAGE(M811:O811)</f>
        <v/>
      </c>
      <c r="S811" s="85">
        <f>'02_지표정의'!$C$22*P811+'02_지표정의'!$C$23*Q811+'02_지표정의'!$C$24*R811</f>
        <v/>
      </c>
      <c r="T811" s="73">
        <f>IF(OR(AND(B811="gemini",C811="gemma"),AND(B811="qwen3_6",C811="qwen"),AND(B811="mistral",C811="ministral")),1,0)</f>
        <v/>
      </c>
      <c r="U811" s="73">
        <f>IF(LEFT(A811,3)="PAT","특허","보고서")</f>
        <v/>
      </c>
      <c r="V811" s="86">
        <f>COUNTIF($S$2:$S$976,"&lt;"&amp;S811)+(COUNTIF($S$2:$S$976,"="&amp;S811)+1)/2</f>
        <v/>
      </c>
      <c r="W811" s="73">
        <f>IF(C811="qwen",0,COUNTIFS($C$2:$C$976,"&lt;&gt;qwen",$S$2:$S$976,"&lt;"&amp;S811)+1)</f>
        <v/>
      </c>
      <c r="X811" s="73">
        <f>IF(C811="ministral",0,COUNTIFS($C$2:$C$976,"&lt;&gt;ministral",$S$2:$S$976,"&lt;"&amp;S811)+1)</f>
        <v/>
      </c>
      <c r="Y811" s="73">
        <f>IF(C811="gemma",0,COUNTIFS($C$2:$C$976,"&lt;&gt;gemma",$S$2:$S$976,"&lt;"&amp;S811)+1)</f>
        <v/>
      </c>
      <c r="Z811" s="87">
        <f>COUNTIFS($B$2:$B$976,B811,$C$2:$C$976,C811,$S$2:$S$976,"&lt;"&amp;S811)+1</f>
        <v/>
      </c>
      <c r="AA811" s="88">
        <f>ABS(S811-SUMPRODUCT(('05B_가정검정'!$A$5:$A$19=B811)*('05B_가정검정'!$B$5:$B$19=C811)*'05B_가정검정'!$E$5:$E$19))</f>
        <v/>
      </c>
      <c r="AB811" s="88">
        <f>S811-AVERAGEIFS($S$2:$S$976,$B$2:$B$976,B811,$C$2:$C$976,C811)</f>
        <v/>
      </c>
    </row>
    <row r="812" ht="15" customHeight="1" s="68">
      <c r="A812" s="83" t="inlineStr">
        <is>
          <t>RPT-24</t>
        </is>
      </c>
      <c r="B812" s="83" t="inlineStr">
        <is>
          <t>chatgpt</t>
        </is>
      </c>
      <c r="C812" s="83" t="inlineStr">
        <is>
          <t>gemma</t>
        </is>
      </c>
      <c r="D812" s="84" t="n">
        <v>0.233632862644416</v>
      </c>
      <c r="E812" s="84" t="n">
        <v>0.311111111111111</v>
      </c>
      <c r="F812" s="84" t="n">
        <v>0.134328358208955</v>
      </c>
      <c r="G812" s="84" t="n">
        <v>0.237037037037037</v>
      </c>
      <c r="H812" s="84" t="n">
        <v>0.236734518679616</v>
      </c>
      <c r="I812" s="84" t="n">
        <v>0.246413637831062</v>
      </c>
      <c r="J812" s="84" t="n">
        <v>0.66775023481399</v>
      </c>
      <c r="K812" s="84" t="n">
        <v>0.613064534230939</v>
      </c>
      <c r="L812" s="84" t="n">
        <v>0.802197932644158</v>
      </c>
      <c r="M812" s="84" t="n">
        <v>0.515151515151515</v>
      </c>
      <c r="N812" s="84" t="n">
        <v>0.213483146067416</v>
      </c>
      <c r="O812" s="84" t="n">
        <v>1</v>
      </c>
      <c r="P812" s="85">
        <f>AVERAGE(D812:I812)</f>
        <v/>
      </c>
      <c r="Q812" s="85">
        <f>AVERAGE(J812:L812)</f>
        <v/>
      </c>
      <c r="R812" s="85">
        <f>AVERAGE(M812:O812)</f>
        <v/>
      </c>
      <c r="S812" s="85">
        <f>'02_지표정의'!$C$22*P812+'02_지표정의'!$C$23*Q812+'02_지표정의'!$C$24*R812</f>
        <v/>
      </c>
      <c r="T812" s="73">
        <f>IF(OR(AND(B812="gemini",C812="gemma"),AND(B812="qwen3_6",C812="qwen"),AND(B812="mistral",C812="ministral")),1,0)</f>
        <v/>
      </c>
      <c r="U812" s="73">
        <f>IF(LEFT(A812,3)="PAT","특허","보고서")</f>
        <v/>
      </c>
      <c r="V812" s="86">
        <f>COUNTIF($S$2:$S$976,"&lt;"&amp;S812)+(COUNTIF($S$2:$S$976,"="&amp;S812)+1)/2</f>
        <v/>
      </c>
      <c r="W812" s="73">
        <f>IF(C812="qwen",0,COUNTIFS($C$2:$C$976,"&lt;&gt;qwen",$S$2:$S$976,"&lt;"&amp;S812)+1)</f>
        <v/>
      </c>
      <c r="X812" s="73">
        <f>IF(C812="ministral",0,COUNTIFS($C$2:$C$976,"&lt;&gt;ministral",$S$2:$S$976,"&lt;"&amp;S812)+1)</f>
        <v/>
      </c>
      <c r="Y812" s="73">
        <f>IF(C812="gemma",0,COUNTIFS($C$2:$C$976,"&lt;&gt;gemma",$S$2:$S$976,"&lt;"&amp;S812)+1)</f>
        <v/>
      </c>
      <c r="Z812" s="87">
        <f>COUNTIFS($B$2:$B$976,B812,$C$2:$C$976,C812,$S$2:$S$976,"&lt;"&amp;S812)+1</f>
        <v/>
      </c>
      <c r="AA812" s="88">
        <f>ABS(S812-SUMPRODUCT(('05B_가정검정'!$A$5:$A$19=B812)*('05B_가정검정'!$B$5:$B$19=C812)*'05B_가정검정'!$E$5:$E$19))</f>
        <v/>
      </c>
      <c r="AB812" s="88">
        <f>S812-AVERAGEIFS($S$2:$S$976,$B$2:$B$976,B812,$C$2:$C$976,C812)</f>
        <v/>
      </c>
    </row>
    <row r="813" ht="15" customHeight="1" s="68">
      <c r="A813" s="83" t="inlineStr">
        <is>
          <t>RPT-24</t>
        </is>
      </c>
      <c r="B813" s="83" t="inlineStr">
        <is>
          <t>chatgpt</t>
        </is>
      </c>
      <c r="C813" s="83" t="inlineStr">
        <is>
          <t>ministral</t>
        </is>
      </c>
      <c r="D813" s="84" t="n">
        <v>0.373205741626794</v>
      </c>
      <c r="E813" s="84" t="n">
        <v>0.409893992932862</v>
      </c>
      <c r="F813" s="84" t="n">
        <v>0.263345195729537</v>
      </c>
      <c r="G813" s="84" t="n">
        <v>0.303886925795053</v>
      </c>
      <c r="H813" s="84" t="n">
        <v>0.201167171094386</v>
      </c>
      <c r="I813" s="84" t="n">
        <v>0.480151601748583</v>
      </c>
      <c r="J813" s="84" t="n">
        <v>0.729814106657494</v>
      </c>
      <c r="K813" s="84" t="n">
        <v>0.6980453684569869</v>
      </c>
      <c r="L813" s="84" t="n">
        <v>0.834296781114884</v>
      </c>
      <c r="M813" s="84" t="n">
        <v>0.404011461318052</v>
      </c>
      <c r="N813" s="84" t="n">
        <v>0</v>
      </c>
      <c r="O813" s="84" t="n">
        <v>0.526315789473684</v>
      </c>
      <c r="P813" s="85">
        <f>AVERAGE(D813:I813)</f>
        <v/>
      </c>
      <c r="Q813" s="85">
        <f>AVERAGE(J813:L813)</f>
        <v/>
      </c>
      <c r="R813" s="85">
        <f>AVERAGE(M813:O813)</f>
        <v/>
      </c>
      <c r="S813" s="85">
        <f>'02_지표정의'!$C$22*P813+'02_지표정의'!$C$23*Q813+'02_지표정의'!$C$24*R813</f>
        <v/>
      </c>
      <c r="T813" s="73">
        <f>IF(OR(AND(B813="gemini",C813="gemma"),AND(B813="qwen3_6",C813="qwen"),AND(B813="mistral",C813="ministral")),1,0)</f>
        <v/>
      </c>
      <c r="U813" s="73">
        <f>IF(LEFT(A813,3)="PAT","특허","보고서")</f>
        <v/>
      </c>
      <c r="V813" s="86">
        <f>COUNTIF($S$2:$S$976,"&lt;"&amp;S813)+(COUNTIF($S$2:$S$976,"="&amp;S813)+1)/2</f>
        <v/>
      </c>
      <c r="W813" s="73">
        <f>IF(C813="qwen",0,COUNTIFS($C$2:$C$976,"&lt;&gt;qwen",$S$2:$S$976,"&lt;"&amp;S813)+1)</f>
        <v/>
      </c>
      <c r="X813" s="73">
        <f>IF(C813="ministral",0,COUNTIFS($C$2:$C$976,"&lt;&gt;ministral",$S$2:$S$976,"&lt;"&amp;S813)+1)</f>
        <v/>
      </c>
      <c r="Y813" s="73">
        <f>IF(C813="gemma",0,COUNTIFS($C$2:$C$976,"&lt;&gt;gemma",$S$2:$S$976,"&lt;"&amp;S813)+1)</f>
        <v/>
      </c>
      <c r="Z813" s="87">
        <f>COUNTIFS($B$2:$B$976,B813,$C$2:$C$976,C813,$S$2:$S$976,"&lt;"&amp;S813)+1</f>
        <v/>
      </c>
      <c r="AA813" s="88">
        <f>ABS(S813-SUMPRODUCT(('05B_가정검정'!$A$5:$A$19=B813)*('05B_가정검정'!$B$5:$B$19=C813)*'05B_가정검정'!$E$5:$E$19))</f>
        <v/>
      </c>
      <c r="AB813" s="88">
        <f>S813-AVERAGEIFS($S$2:$S$976,$B$2:$B$976,B813,$C$2:$C$976,C813)</f>
        <v/>
      </c>
    </row>
    <row r="814" ht="15" customHeight="1" s="68">
      <c r="A814" s="83" t="inlineStr">
        <is>
          <t>RPT-24</t>
        </is>
      </c>
      <c r="B814" s="83" t="inlineStr">
        <is>
          <t>chatgpt</t>
        </is>
      </c>
      <c r="C814" s="83" t="inlineStr">
        <is>
          <t>qwen</t>
        </is>
      </c>
      <c r="D814" s="84" t="n">
        <v>0.291878172588833</v>
      </c>
      <c r="E814" s="84" t="n">
        <v>0.354430379746835</v>
      </c>
      <c r="F814" s="84" t="n">
        <v>0.165605095541401</v>
      </c>
      <c r="G814" s="84" t="n">
        <v>0.234177215189873</v>
      </c>
      <c r="H814" s="84" t="n">
        <v>0.202662011119633</v>
      </c>
      <c r="I814" s="84" t="n">
        <v>0.371822317119955</v>
      </c>
      <c r="J814" s="84" t="n">
        <v>0.691836969044714</v>
      </c>
      <c r="K814" s="84" t="n">
        <v>0.602237919788746</v>
      </c>
      <c r="L814" s="84" t="n">
        <v>0.802534249461393</v>
      </c>
      <c r="M814" s="84" t="n">
        <v>0.410628019323672</v>
      </c>
      <c r="N814" s="84" t="n">
        <v>0.0458715596330275</v>
      </c>
      <c r="O814" s="84" t="n">
        <v>0.921052631578947</v>
      </c>
      <c r="P814" s="85">
        <f>AVERAGE(D814:I814)</f>
        <v/>
      </c>
      <c r="Q814" s="85">
        <f>AVERAGE(J814:L814)</f>
        <v/>
      </c>
      <c r="R814" s="85">
        <f>AVERAGE(M814:O814)</f>
        <v/>
      </c>
      <c r="S814" s="85">
        <f>'02_지표정의'!$C$22*P814+'02_지표정의'!$C$23*Q814+'02_지표정의'!$C$24*R814</f>
        <v/>
      </c>
      <c r="T814" s="73">
        <f>IF(OR(AND(B814="gemini",C814="gemma"),AND(B814="qwen3_6",C814="qwen"),AND(B814="mistral",C814="ministral")),1,0)</f>
        <v/>
      </c>
      <c r="U814" s="73">
        <f>IF(LEFT(A814,3)="PAT","특허","보고서")</f>
        <v/>
      </c>
      <c r="V814" s="86">
        <f>COUNTIF($S$2:$S$976,"&lt;"&amp;S814)+(COUNTIF($S$2:$S$976,"="&amp;S814)+1)/2</f>
        <v/>
      </c>
      <c r="W814" s="73">
        <f>IF(C814="qwen",0,COUNTIFS($C$2:$C$976,"&lt;&gt;qwen",$S$2:$S$976,"&lt;"&amp;S814)+1)</f>
        <v/>
      </c>
      <c r="X814" s="73">
        <f>IF(C814="ministral",0,COUNTIFS($C$2:$C$976,"&lt;&gt;ministral",$S$2:$S$976,"&lt;"&amp;S814)+1)</f>
        <v/>
      </c>
      <c r="Y814" s="73">
        <f>IF(C814="gemma",0,COUNTIFS($C$2:$C$976,"&lt;&gt;gemma",$S$2:$S$976,"&lt;"&amp;S814)+1)</f>
        <v/>
      </c>
      <c r="Z814" s="87">
        <f>COUNTIFS($B$2:$B$976,B814,$C$2:$C$976,C814,$S$2:$S$976,"&lt;"&amp;S814)+1</f>
        <v/>
      </c>
      <c r="AA814" s="88">
        <f>ABS(S814-SUMPRODUCT(('05B_가정검정'!$A$5:$A$19=B814)*('05B_가정검정'!$B$5:$B$19=C814)*'05B_가정검정'!$E$5:$E$19))</f>
        <v/>
      </c>
      <c r="AB814" s="88">
        <f>S814-AVERAGEIFS($S$2:$S$976,$B$2:$B$976,B814,$C$2:$C$976,C814)</f>
        <v/>
      </c>
    </row>
    <row r="815" ht="15" customHeight="1" s="68">
      <c r="A815" s="83" t="inlineStr">
        <is>
          <t>RPT-24</t>
        </is>
      </c>
      <c r="B815" s="83" t="inlineStr">
        <is>
          <t>claude</t>
        </is>
      </c>
      <c r="C815" s="83" t="inlineStr">
        <is>
          <t>gemma</t>
        </is>
      </c>
      <c r="D815" s="84" t="n">
        <v>0.230552952202437</v>
      </c>
      <c r="E815" s="84" t="n">
        <v>0.341346153846154</v>
      </c>
      <c r="F815" s="84" t="n">
        <v>0.144927536231884</v>
      </c>
      <c r="G815" s="84" t="n">
        <v>0.221153846153846</v>
      </c>
      <c r="H815" s="84" t="n">
        <v>0.333740558431333</v>
      </c>
      <c r="I815" s="84" t="n">
        <v>0.20223218257046</v>
      </c>
      <c r="J815" s="84" t="n">
        <v>0.66714228887979</v>
      </c>
      <c r="K815" s="84" t="n">
        <v>0.649136966966926</v>
      </c>
      <c r="L815" s="84" t="n">
        <v>0.831289941413995</v>
      </c>
      <c r="M815" s="84" t="n">
        <v>0.567073170731707</v>
      </c>
      <c r="N815" s="84" t="n">
        <v>0.521276595744681</v>
      </c>
      <c r="O815" s="84" t="n">
        <v>1</v>
      </c>
      <c r="P815" s="85">
        <f>AVERAGE(D815:I815)</f>
        <v/>
      </c>
      <c r="Q815" s="85">
        <f>AVERAGE(J815:L815)</f>
        <v/>
      </c>
      <c r="R815" s="85">
        <f>AVERAGE(M815:O815)</f>
        <v/>
      </c>
      <c r="S815" s="85">
        <f>'02_지표정의'!$C$22*P815+'02_지표정의'!$C$23*Q815+'02_지표정의'!$C$24*R815</f>
        <v/>
      </c>
      <c r="T815" s="73">
        <f>IF(OR(AND(B815="gemini",C815="gemma"),AND(B815="qwen3_6",C815="qwen"),AND(B815="mistral",C815="ministral")),1,0)</f>
        <v/>
      </c>
      <c r="U815" s="73">
        <f>IF(LEFT(A815,3)="PAT","특허","보고서")</f>
        <v/>
      </c>
      <c r="V815" s="86">
        <f>COUNTIF($S$2:$S$976,"&lt;"&amp;S815)+(COUNTIF($S$2:$S$976,"="&amp;S815)+1)/2</f>
        <v/>
      </c>
      <c r="W815" s="73">
        <f>IF(C815="qwen",0,COUNTIFS($C$2:$C$976,"&lt;&gt;qwen",$S$2:$S$976,"&lt;"&amp;S815)+1)</f>
        <v/>
      </c>
      <c r="X815" s="73">
        <f>IF(C815="ministral",0,COUNTIFS($C$2:$C$976,"&lt;&gt;ministral",$S$2:$S$976,"&lt;"&amp;S815)+1)</f>
        <v/>
      </c>
      <c r="Y815" s="73">
        <f>IF(C815="gemma",0,COUNTIFS($C$2:$C$976,"&lt;&gt;gemma",$S$2:$S$976,"&lt;"&amp;S815)+1)</f>
        <v/>
      </c>
      <c r="Z815" s="87">
        <f>COUNTIFS($B$2:$B$976,B815,$C$2:$C$976,C815,$S$2:$S$976,"&lt;"&amp;S815)+1</f>
        <v/>
      </c>
      <c r="AA815" s="88">
        <f>ABS(S815-SUMPRODUCT(('05B_가정검정'!$A$5:$A$19=B815)*('05B_가정검정'!$B$5:$B$19=C815)*'05B_가정검정'!$E$5:$E$19))</f>
        <v/>
      </c>
      <c r="AB815" s="88">
        <f>S815-AVERAGEIFS($S$2:$S$976,$B$2:$B$976,B815,$C$2:$C$976,C815)</f>
        <v/>
      </c>
    </row>
    <row r="816" ht="15" customHeight="1" s="68">
      <c r="A816" s="83" t="inlineStr">
        <is>
          <t>RPT-24</t>
        </is>
      </c>
      <c r="B816" s="83" t="inlineStr">
        <is>
          <t>claude</t>
        </is>
      </c>
      <c r="C816" s="83" t="inlineStr">
        <is>
          <t>ministral</t>
        </is>
      </c>
      <c r="D816" s="84" t="n">
        <v>0.279781420765027</v>
      </c>
      <c r="E816" s="84" t="n">
        <v>0.470862470862471</v>
      </c>
      <c r="F816" s="84" t="n">
        <v>0.281030444964871</v>
      </c>
      <c r="G816" s="84" t="n">
        <v>0.335664335664336</v>
      </c>
      <c r="H816" s="84" t="n">
        <v>0.294452892314037</v>
      </c>
      <c r="I816" s="84" t="n">
        <v>0.34520862932731</v>
      </c>
      <c r="J816" s="84" t="n">
        <v>0.710162178860312</v>
      </c>
      <c r="K816" s="84" t="n">
        <v>0.656244200259075</v>
      </c>
      <c r="L816" s="84" t="n">
        <v>0.842012881215611</v>
      </c>
      <c r="M816" s="84" t="n">
        <v>0.429799426934098</v>
      </c>
      <c r="N816" s="84" t="n">
        <v>0.206896551724138</v>
      </c>
      <c r="O816" s="84" t="n">
        <v>0.526315789473684</v>
      </c>
      <c r="P816" s="85">
        <f>AVERAGE(D816:I816)</f>
        <v/>
      </c>
      <c r="Q816" s="85">
        <f>AVERAGE(J816:L816)</f>
        <v/>
      </c>
      <c r="R816" s="85">
        <f>AVERAGE(M816:O816)</f>
        <v/>
      </c>
      <c r="S816" s="85">
        <f>'02_지표정의'!$C$22*P816+'02_지표정의'!$C$23*Q816+'02_지표정의'!$C$24*R816</f>
        <v/>
      </c>
      <c r="T816" s="73">
        <f>IF(OR(AND(B816="gemini",C816="gemma"),AND(B816="qwen3_6",C816="qwen"),AND(B816="mistral",C816="ministral")),1,0)</f>
        <v/>
      </c>
      <c r="U816" s="73">
        <f>IF(LEFT(A816,3)="PAT","특허","보고서")</f>
        <v/>
      </c>
      <c r="V816" s="86">
        <f>COUNTIF($S$2:$S$976,"&lt;"&amp;S816)+(COUNTIF($S$2:$S$976,"="&amp;S816)+1)/2</f>
        <v/>
      </c>
      <c r="W816" s="73">
        <f>IF(C816="qwen",0,COUNTIFS($C$2:$C$976,"&lt;&gt;qwen",$S$2:$S$976,"&lt;"&amp;S816)+1)</f>
        <v/>
      </c>
      <c r="X816" s="73">
        <f>IF(C816="ministral",0,COUNTIFS($C$2:$C$976,"&lt;&gt;ministral",$S$2:$S$976,"&lt;"&amp;S816)+1)</f>
        <v/>
      </c>
      <c r="Y816" s="73">
        <f>IF(C816="gemma",0,COUNTIFS($C$2:$C$976,"&lt;&gt;gemma",$S$2:$S$976,"&lt;"&amp;S816)+1)</f>
        <v/>
      </c>
      <c r="Z816" s="87">
        <f>COUNTIFS($B$2:$B$976,B816,$C$2:$C$976,C816,$S$2:$S$976,"&lt;"&amp;S816)+1</f>
        <v/>
      </c>
      <c r="AA816" s="88">
        <f>ABS(S816-SUMPRODUCT(('05B_가정검정'!$A$5:$A$19=B816)*('05B_가정검정'!$B$5:$B$19=C816)*'05B_가정검정'!$E$5:$E$19))</f>
        <v/>
      </c>
      <c r="AB816" s="88">
        <f>S816-AVERAGEIFS($S$2:$S$976,$B$2:$B$976,B816,$C$2:$C$976,C816)</f>
        <v/>
      </c>
    </row>
    <row r="817" ht="15" customHeight="1" s="68">
      <c r="A817" s="83" t="inlineStr">
        <is>
          <t>RPT-24</t>
        </is>
      </c>
      <c r="B817" s="83" t="inlineStr">
        <is>
          <t>claude</t>
        </is>
      </c>
      <c r="C817" s="83" t="inlineStr">
        <is>
          <t>qwen</t>
        </is>
      </c>
      <c r="D817" s="84" t="n">
        <v>0.262081784386617</v>
      </c>
      <c r="E817" s="84" t="n">
        <v>0.545454545454545</v>
      </c>
      <c r="F817" s="84" t="n">
        <v>0.260869565217391</v>
      </c>
      <c r="G817" s="84" t="n">
        <v>0.29004329004329</v>
      </c>
      <c r="H817" s="84" t="n">
        <v>0.329430248506454</v>
      </c>
      <c r="I817" s="84" t="n">
        <v>0.331886029261121</v>
      </c>
      <c r="J817" s="84" t="n">
        <v>0.712171925221586</v>
      </c>
      <c r="K817" s="84" t="n">
        <v>0.647482107975763</v>
      </c>
      <c r="L817" s="84" t="n">
        <v>0.818694245579357</v>
      </c>
      <c r="M817" s="84" t="n">
        <v>0.608695652173913</v>
      </c>
      <c r="N817" s="84" t="n">
        <v>0.596330275229358</v>
      </c>
      <c r="O817" s="84" t="n">
        <v>0.936842105263158</v>
      </c>
      <c r="P817" s="85">
        <f>AVERAGE(D817:I817)</f>
        <v/>
      </c>
      <c r="Q817" s="85">
        <f>AVERAGE(J817:L817)</f>
        <v/>
      </c>
      <c r="R817" s="85">
        <f>AVERAGE(M817:O817)</f>
        <v/>
      </c>
      <c r="S817" s="85">
        <f>'02_지표정의'!$C$22*P817+'02_지표정의'!$C$23*Q817+'02_지표정의'!$C$24*R817</f>
        <v/>
      </c>
      <c r="T817" s="73">
        <f>IF(OR(AND(B817="gemini",C817="gemma"),AND(B817="qwen3_6",C817="qwen"),AND(B817="mistral",C817="ministral")),1,0)</f>
        <v/>
      </c>
      <c r="U817" s="73">
        <f>IF(LEFT(A817,3)="PAT","특허","보고서")</f>
        <v/>
      </c>
      <c r="V817" s="86">
        <f>COUNTIF($S$2:$S$976,"&lt;"&amp;S817)+(COUNTIF($S$2:$S$976,"="&amp;S817)+1)/2</f>
        <v/>
      </c>
      <c r="W817" s="73">
        <f>IF(C817="qwen",0,COUNTIFS($C$2:$C$976,"&lt;&gt;qwen",$S$2:$S$976,"&lt;"&amp;S817)+1)</f>
        <v/>
      </c>
      <c r="X817" s="73">
        <f>IF(C817="ministral",0,COUNTIFS($C$2:$C$976,"&lt;&gt;ministral",$S$2:$S$976,"&lt;"&amp;S817)+1)</f>
        <v/>
      </c>
      <c r="Y817" s="73">
        <f>IF(C817="gemma",0,COUNTIFS($C$2:$C$976,"&lt;&gt;gemma",$S$2:$S$976,"&lt;"&amp;S817)+1)</f>
        <v/>
      </c>
      <c r="Z817" s="87">
        <f>COUNTIFS($B$2:$B$976,B817,$C$2:$C$976,C817,$S$2:$S$976,"&lt;"&amp;S817)+1</f>
        <v/>
      </c>
      <c r="AA817" s="88">
        <f>ABS(S817-SUMPRODUCT(('05B_가정검정'!$A$5:$A$19=B817)*('05B_가정검정'!$B$5:$B$19=C817)*'05B_가정검정'!$E$5:$E$19))</f>
        <v/>
      </c>
      <c r="AB817" s="88">
        <f>S817-AVERAGEIFS($S$2:$S$976,$B$2:$B$976,B817,$C$2:$C$976,C817)</f>
        <v/>
      </c>
    </row>
    <row r="818" ht="15" customHeight="1" s="68">
      <c r="A818" s="83" t="inlineStr">
        <is>
          <t>RPT-24</t>
        </is>
      </c>
      <c r="B818" s="83" t="inlineStr">
        <is>
          <t>gemini</t>
        </is>
      </c>
      <c r="C818" s="83" t="inlineStr">
        <is>
          <t>gemma</t>
        </is>
      </c>
      <c r="D818" s="84" t="n">
        <v>0.208078335373317</v>
      </c>
      <c r="E818" s="84" t="n">
        <v>0.352112676056338</v>
      </c>
      <c r="F818" s="84" t="n">
        <v>0.148936170212766</v>
      </c>
      <c r="G818" s="84" t="n">
        <v>0.253521126760563</v>
      </c>
      <c r="H818" s="84" t="n">
        <v>0.283117843621976</v>
      </c>
      <c r="I818" s="84" t="n">
        <v>0.229924070588405</v>
      </c>
      <c r="J818" s="84" t="n">
        <v>0.732491630903182</v>
      </c>
      <c r="K818" s="84" t="n">
        <v>0.770384574944885</v>
      </c>
      <c r="L818" s="84" t="n">
        <v>0.889539417781477</v>
      </c>
      <c r="M818" s="84" t="n">
        <v>0.906542056074766</v>
      </c>
      <c r="N818" s="84" t="n">
        <v>0.916666666666667</v>
      </c>
      <c r="O818" s="84" t="n">
        <v>1</v>
      </c>
      <c r="P818" s="85">
        <f>AVERAGE(D818:I818)</f>
        <v/>
      </c>
      <c r="Q818" s="85">
        <f>AVERAGE(J818:L818)</f>
        <v/>
      </c>
      <c r="R818" s="85">
        <f>AVERAGE(M818:O818)</f>
        <v/>
      </c>
      <c r="S818" s="85">
        <f>'02_지표정의'!$C$22*P818+'02_지표정의'!$C$23*Q818+'02_지표정의'!$C$24*R818</f>
        <v/>
      </c>
      <c r="T818" s="73">
        <f>IF(OR(AND(B818="gemini",C818="gemma"),AND(B818="qwen3_6",C818="qwen"),AND(B818="mistral",C818="ministral")),1,0)</f>
        <v/>
      </c>
      <c r="U818" s="73">
        <f>IF(LEFT(A818,3)="PAT","특허","보고서")</f>
        <v/>
      </c>
      <c r="V818" s="86">
        <f>COUNTIF($S$2:$S$976,"&lt;"&amp;S818)+(COUNTIF($S$2:$S$976,"="&amp;S818)+1)/2</f>
        <v/>
      </c>
      <c r="W818" s="73">
        <f>IF(C818="qwen",0,COUNTIFS($C$2:$C$976,"&lt;&gt;qwen",$S$2:$S$976,"&lt;"&amp;S818)+1)</f>
        <v/>
      </c>
      <c r="X818" s="73">
        <f>IF(C818="ministral",0,COUNTIFS($C$2:$C$976,"&lt;&gt;ministral",$S$2:$S$976,"&lt;"&amp;S818)+1)</f>
        <v/>
      </c>
      <c r="Y818" s="73">
        <f>IF(C818="gemma",0,COUNTIFS($C$2:$C$976,"&lt;&gt;gemma",$S$2:$S$976,"&lt;"&amp;S818)+1)</f>
        <v/>
      </c>
      <c r="Z818" s="87">
        <f>COUNTIFS($B$2:$B$976,B818,$C$2:$C$976,C818,$S$2:$S$976,"&lt;"&amp;S818)+1</f>
        <v/>
      </c>
      <c r="AA818" s="88">
        <f>ABS(S818-SUMPRODUCT(('05B_가정검정'!$A$5:$A$19=B818)*('05B_가정검정'!$B$5:$B$19=C818)*'05B_가정검정'!$E$5:$E$19))</f>
        <v/>
      </c>
      <c r="AB818" s="88">
        <f>S818-AVERAGEIFS($S$2:$S$976,$B$2:$B$976,B818,$C$2:$C$976,C818)</f>
        <v/>
      </c>
    </row>
    <row r="819" ht="15" customHeight="1" s="68">
      <c r="A819" s="83" t="inlineStr">
        <is>
          <t>RPT-24</t>
        </is>
      </c>
      <c r="B819" s="83" t="inlineStr">
        <is>
          <t>gemini</t>
        </is>
      </c>
      <c r="C819" s="83" t="inlineStr">
        <is>
          <t>ministral</t>
        </is>
      </c>
      <c r="D819" s="84" t="n">
        <v>0.264661654135338</v>
      </c>
      <c r="E819" s="84" t="n">
        <v>0.430976430976431</v>
      </c>
      <c r="F819" s="84" t="n">
        <v>0.257627118644068</v>
      </c>
      <c r="G819" s="84" t="n">
        <v>0.28956228956229</v>
      </c>
      <c r="H819" s="84" t="n">
        <v>0.223134145153513</v>
      </c>
      <c r="I819" s="84" t="n">
        <v>0.386551006717993</v>
      </c>
      <c r="J819" s="84" t="n">
        <v>0.763441920455345</v>
      </c>
      <c r="K819" s="84" t="n">
        <v>0.777735474362095</v>
      </c>
      <c r="L819" s="84" t="n">
        <v>0.888022129101746</v>
      </c>
      <c r="M819" s="84" t="n">
        <v>0.277936962750716</v>
      </c>
      <c r="N819" s="84" t="n">
        <v>0.255172413793103</v>
      </c>
      <c r="O819" s="84" t="n">
        <v>0.526315789473684</v>
      </c>
      <c r="P819" s="85">
        <f>AVERAGE(D819:I819)</f>
        <v/>
      </c>
      <c r="Q819" s="85">
        <f>AVERAGE(J819:L819)</f>
        <v/>
      </c>
      <c r="R819" s="85">
        <f>AVERAGE(M819:O819)</f>
        <v/>
      </c>
      <c r="S819" s="85">
        <f>'02_지표정의'!$C$22*P819+'02_지표정의'!$C$23*Q819+'02_지표정의'!$C$24*R819</f>
        <v/>
      </c>
      <c r="T819" s="73">
        <f>IF(OR(AND(B819="gemini",C819="gemma"),AND(B819="qwen3_6",C819="qwen"),AND(B819="mistral",C819="ministral")),1,0)</f>
        <v/>
      </c>
      <c r="U819" s="73">
        <f>IF(LEFT(A819,3)="PAT","특허","보고서")</f>
        <v/>
      </c>
      <c r="V819" s="86">
        <f>COUNTIF($S$2:$S$976,"&lt;"&amp;S819)+(COUNTIF($S$2:$S$976,"="&amp;S819)+1)/2</f>
        <v/>
      </c>
      <c r="W819" s="73">
        <f>IF(C819="qwen",0,COUNTIFS($C$2:$C$976,"&lt;&gt;qwen",$S$2:$S$976,"&lt;"&amp;S819)+1)</f>
        <v/>
      </c>
      <c r="X819" s="73">
        <f>IF(C819="ministral",0,COUNTIFS($C$2:$C$976,"&lt;&gt;ministral",$S$2:$S$976,"&lt;"&amp;S819)+1)</f>
        <v/>
      </c>
      <c r="Y819" s="73">
        <f>IF(C819="gemma",0,COUNTIFS($C$2:$C$976,"&lt;&gt;gemma",$S$2:$S$976,"&lt;"&amp;S819)+1)</f>
        <v/>
      </c>
      <c r="Z819" s="87">
        <f>COUNTIFS($B$2:$B$976,B819,$C$2:$C$976,C819,$S$2:$S$976,"&lt;"&amp;S819)+1</f>
        <v/>
      </c>
      <c r="AA819" s="88">
        <f>ABS(S819-SUMPRODUCT(('05B_가정검정'!$A$5:$A$19=B819)*('05B_가정검정'!$B$5:$B$19=C819)*'05B_가정검정'!$E$5:$E$19))</f>
        <v/>
      </c>
      <c r="AB819" s="88">
        <f>S819-AVERAGEIFS($S$2:$S$976,$B$2:$B$976,B819,$C$2:$C$976,C819)</f>
        <v/>
      </c>
    </row>
    <row r="820" ht="15" customHeight="1" s="68">
      <c r="A820" s="83" t="inlineStr">
        <is>
          <t>RPT-24</t>
        </is>
      </c>
      <c r="B820" s="83" t="inlineStr">
        <is>
          <t>gemini</t>
        </is>
      </c>
      <c r="C820" s="83" t="inlineStr">
        <is>
          <t>qwen</t>
        </is>
      </c>
      <c r="D820" s="84" t="n">
        <v>0.256658595641647</v>
      </c>
      <c r="E820" s="84" t="n">
        <v>0.424242424242424</v>
      </c>
      <c r="F820" s="84" t="n">
        <v>0.201219512195122</v>
      </c>
      <c r="G820" s="84" t="n">
        <v>0.260606060606061</v>
      </c>
      <c r="H820" s="84" t="n">
        <v>0.250243261105876</v>
      </c>
      <c r="I820" s="84" t="n">
        <v>0.450526307252347</v>
      </c>
      <c r="J820" s="84" t="n">
        <v>0.7687353993803659</v>
      </c>
      <c r="K820" s="84" t="n">
        <v>0.736530775996173</v>
      </c>
      <c r="L820" s="84" t="n">
        <v>0.858734833308186</v>
      </c>
      <c r="M820" s="84" t="n">
        <v>0.468599033816425</v>
      </c>
      <c r="N820" s="84" t="n">
        <v>0.5045871559633029</v>
      </c>
      <c r="O820" s="84" t="n">
        <v>0.921052631578947</v>
      </c>
      <c r="P820" s="85">
        <f>AVERAGE(D820:I820)</f>
        <v/>
      </c>
      <c r="Q820" s="85">
        <f>AVERAGE(J820:L820)</f>
        <v/>
      </c>
      <c r="R820" s="85">
        <f>AVERAGE(M820:O820)</f>
        <v/>
      </c>
      <c r="S820" s="85">
        <f>'02_지표정의'!$C$22*P820+'02_지표정의'!$C$23*Q820+'02_지표정의'!$C$24*R820</f>
        <v/>
      </c>
      <c r="T820" s="73">
        <f>IF(OR(AND(B820="gemini",C820="gemma"),AND(B820="qwen3_6",C820="qwen"),AND(B820="mistral",C820="ministral")),1,0)</f>
        <v/>
      </c>
      <c r="U820" s="73">
        <f>IF(LEFT(A820,3)="PAT","특허","보고서")</f>
        <v/>
      </c>
      <c r="V820" s="86">
        <f>COUNTIF($S$2:$S$976,"&lt;"&amp;S820)+(COUNTIF($S$2:$S$976,"="&amp;S820)+1)/2</f>
        <v/>
      </c>
      <c r="W820" s="73">
        <f>IF(C820="qwen",0,COUNTIFS($C$2:$C$976,"&lt;&gt;qwen",$S$2:$S$976,"&lt;"&amp;S820)+1)</f>
        <v/>
      </c>
      <c r="X820" s="73">
        <f>IF(C820="ministral",0,COUNTIFS($C$2:$C$976,"&lt;&gt;ministral",$S$2:$S$976,"&lt;"&amp;S820)+1)</f>
        <v/>
      </c>
      <c r="Y820" s="73">
        <f>IF(C820="gemma",0,COUNTIFS($C$2:$C$976,"&lt;&gt;gemma",$S$2:$S$976,"&lt;"&amp;S820)+1)</f>
        <v/>
      </c>
      <c r="Z820" s="87">
        <f>COUNTIFS($B$2:$B$976,B820,$C$2:$C$976,C820,$S$2:$S$976,"&lt;"&amp;S820)+1</f>
        <v/>
      </c>
      <c r="AA820" s="88">
        <f>ABS(S820-SUMPRODUCT(('05B_가정검정'!$A$5:$A$19=B820)*('05B_가정검정'!$B$5:$B$19=C820)*'05B_가정검정'!$E$5:$E$19))</f>
        <v/>
      </c>
      <c r="AB820" s="88">
        <f>S820-AVERAGEIFS($S$2:$S$976,$B$2:$B$976,B820,$C$2:$C$976,C820)</f>
        <v/>
      </c>
    </row>
    <row r="821" ht="15" customHeight="1" s="68">
      <c r="A821" s="83" t="inlineStr">
        <is>
          <t>RPT-24</t>
        </is>
      </c>
      <c r="B821" s="83" t="inlineStr">
        <is>
          <t>mistral</t>
        </is>
      </c>
      <c r="C821" s="83" t="inlineStr">
        <is>
          <t>gemma</t>
        </is>
      </c>
      <c r="D821" s="84" t="n">
        <v>0.238251366120219</v>
      </c>
      <c r="E821" s="84" t="n">
        <v>0.353887399463807</v>
      </c>
      <c r="F821" s="84" t="n">
        <v>0.150943396226415</v>
      </c>
      <c r="G821" s="84" t="n">
        <v>0.241286863270777</v>
      </c>
      <c r="H821" s="84" t="n">
        <v>0.328316470037523</v>
      </c>
      <c r="I821" s="84" t="n">
        <v>0.242551723290553</v>
      </c>
      <c r="J821" s="84" t="n">
        <v>0.649257417072165</v>
      </c>
      <c r="K821" s="84" t="n">
        <v>0.583787354468682</v>
      </c>
      <c r="L821" s="84" t="n">
        <v>0.783813475181644</v>
      </c>
      <c r="M821" s="84" t="n">
        <v>0.389121338912134</v>
      </c>
      <c r="N821" s="84" t="n">
        <v>0.374045801526718</v>
      </c>
      <c r="O821" s="84" t="n">
        <v>1</v>
      </c>
      <c r="P821" s="85">
        <f>AVERAGE(D821:I821)</f>
        <v/>
      </c>
      <c r="Q821" s="85">
        <f>AVERAGE(J821:L821)</f>
        <v/>
      </c>
      <c r="R821" s="85">
        <f>AVERAGE(M821:O821)</f>
        <v/>
      </c>
      <c r="S821" s="85">
        <f>'02_지표정의'!$C$22*P821+'02_지표정의'!$C$23*Q821+'02_지표정의'!$C$24*R821</f>
        <v/>
      </c>
      <c r="T821" s="73">
        <f>IF(OR(AND(B821="gemini",C821="gemma"),AND(B821="qwen3_6",C821="qwen"),AND(B821="mistral",C821="ministral")),1,0)</f>
        <v/>
      </c>
      <c r="U821" s="73">
        <f>IF(LEFT(A821,3)="PAT","특허","보고서")</f>
        <v/>
      </c>
      <c r="V821" s="86">
        <f>COUNTIF($S$2:$S$976,"&lt;"&amp;S821)+(COUNTIF($S$2:$S$976,"="&amp;S821)+1)/2</f>
        <v/>
      </c>
      <c r="W821" s="73">
        <f>IF(C821="qwen",0,COUNTIFS($C$2:$C$976,"&lt;&gt;qwen",$S$2:$S$976,"&lt;"&amp;S821)+1)</f>
        <v/>
      </c>
      <c r="X821" s="73">
        <f>IF(C821="ministral",0,COUNTIFS($C$2:$C$976,"&lt;&gt;ministral",$S$2:$S$976,"&lt;"&amp;S821)+1)</f>
        <v/>
      </c>
      <c r="Y821" s="73">
        <f>IF(C821="gemma",0,COUNTIFS($C$2:$C$976,"&lt;&gt;gemma",$S$2:$S$976,"&lt;"&amp;S821)+1)</f>
        <v/>
      </c>
      <c r="Z821" s="87">
        <f>COUNTIFS($B$2:$B$976,B821,$C$2:$C$976,C821,$S$2:$S$976,"&lt;"&amp;S821)+1</f>
        <v/>
      </c>
      <c r="AA821" s="88">
        <f>ABS(S821-SUMPRODUCT(('05B_가정검정'!$A$5:$A$19=B821)*('05B_가정검정'!$B$5:$B$19=C821)*'05B_가정검정'!$E$5:$E$19))</f>
        <v/>
      </c>
      <c r="AB821" s="88">
        <f>S821-AVERAGEIFS($S$2:$S$976,$B$2:$B$976,B821,$C$2:$C$976,C821)</f>
        <v/>
      </c>
    </row>
    <row r="822" ht="15" customHeight="1" s="68">
      <c r="A822" s="83" t="inlineStr">
        <is>
          <t>RPT-24</t>
        </is>
      </c>
      <c r="B822" s="83" t="inlineStr">
        <is>
          <t>mistral</t>
        </is>
      </c>
      <c r="C822" s="83" t="inlineStr">
        <is>
          <t>ministral</t>
        </is>
      </c>
      <c r="D822" s="84" t="n">
        <v>0.36173001310616</v>
      </c>
      <c r="E822" s="84" t="n">
        <v>0.5803108808290161</v>
      </c>
      <c r="F822" s="84" t="n">
        <v>0.322916666666667</v>
      </c>
      <c r="G822" s="84" t="n">
        <v>0.336787564766839</v>
      </c>
      <c r="H822" s="84" t="n">
        <v>0.417941713321931</v>
      </c>
      <c r="I822" s="84" t="n">
        <v>0.460019025446143</v>
      </c>
      <c r="J822" s="84" t="n">
        <v>0.712702844143059</v>
      </c>
      <c r="K822" s="84" t="n">
        <v>0.664384710690414</v>
      </c>
      <c r="L822" s="84" t="n">
        <v>0.857964179847199</v>
      </c>
      <c r="M822" s="84" t="n">
        <v>0.492836676217765</v>
      </c>
      <c r="N822" s="84" t="n">
        <v>0.275862068965517</v>
      </c>
      <c r="O822" s="84" t="n">
        <v>0.526315789473684</v>
      </c>
      <c r="P822" s="85">
        <f>AVERAGE(D822:I822)</f>
        <v/>
      </c>
      <c r="Q822" s="85">
        <f>AVERAGE(J822:L822)</f>
        <v/>
      </c>
      <c r="R822" s="85">
        <f>AVERAGE(M822:O822)</f>
        <v/>
      </c>
      <c r="S822" s="85">
        <f>'02_지표정의'!$C$22*P822+'02_지표정의'!$C$23*Q822+'02_지표정의'!$C$24*R822</f>
        <v/>
      </c>
      <c r="T822" s="73">
        <f>IF(OR(AND(B822="gemini",C822="gemma"),AND(B822="qwen3_6",C822="qwen"),AND(B822="mistral",C822="ministral")),1,0)</f>
        <v/>
      </c>
      <c r="U822" s="73">
        <f>IF(LEFT(A822,3)="PAT","특허","보고서")</f>
        <v/>
      </c>
      <c r="V822" s="86">
        <f>COUNTIF($S$2:$S$976,"&lt;"&amp;S822)+(COUNTIF($S$2:$S$976,"="&amp;S822)+1)/2</f>
        <v/>
      </c>
      <c r="W822" s="73">
        <f>IF(C822="qwen",0,COUNTIFS($C$2:$C$976,"&lt;&gt;qwen",$S$2:$S$976,"&lt;"&amp;S822)+1)</f>
        <v/>
      </c>
      <c r="X822" s="73">
        <f>IF(C822="ministral",0,COUNTIFS($C$2:$C$976,"&lt;&gt;ministral",$S$2:$S$976,"&lt;"&amp;S822)+1)</f>
        <v/>
      </c>
      <c r="Y822" s="73">
        <f>IF(C822="gemma",0,COUNTIFS($C$2:$C$976,"&lt;&gt;gemma",$S$2:$S$976,"&lt;"&amp;S822)+1)</f>
        <v/>
      </c>
      <c r="Z822" s="87">
        <f>COUNTIFS($B$2:$B$976,B822,$C$2:$C$976,C822,$S$2:$S$976,"&lt;"&amp;S822)+1</f>
        <v/>
      </c>
      <c r="AA822" s="88">
        <f>ABS(S822-SUMPRODUCT(('05B_가정검정'!$A$5:$A$19=B822)*('05B_가정검정'!$B$5:$B$19=C822)*'05B_가정검정'!$E$5:$E$19))</f>
        <v/>
      </c>
      <c r="AB822" s="88">
        <f>S822-AVERAGEIFS($S$2:$S$976,$B$2:$B$976,B822,$C$2:$C$976,C822)</f>
        <v/>
      </c>
    </row>
    <row r="823" ht="15" customHeight="1" s="68">
      <c r="A823" s="83" t="inlineStr">
        <is>
          <t>RPT-24</t>
        </is>
      </c>
      <c r="B823" s="83" t="inlineStr">
        <is>
          <t>mistral</t>
        </is>
      </c>
      <c r="C823" s="83" t="inlineStr">
        <is>
          <t>qwen</t>
        </is>
      </c>
      <c r="D823" s="84" t="n">
        <v>0.279220779220779</v>
      </c>
      <c r="E823" s="84" t="n">
        <v>0.601431980906921</v>
      </c>
      <c r="F823" s="84" t="n">
        <v>0.311750599520384</v>
      </c>
      <c r="G823" s="84" t="n">
        <v>0.367541766109785</v>
      </c>
      <c r="H823" s="84" t="n">
        <v>0.382098630427525</v>
      </c>
      <c r="I823" s="84" t="n">
        <v>0.477390078016874</v>
      </c>
      <c r="J823" s="84" t="n">
        <v>0.697643447203555</v>
      </c>
      <c r="K823" s="84" t="n">
        <v>0.59772387781804</v>
      </c>
      <c r="L823" s="84" t="n">
        <v>0.797855378543921</v>
      </c>
      <c r="M823" s="84" t="n">
        <v>0.631799163179916</v>
      </c>
      <c r="N823" s="84" t="n">
        <v>0.648854961832061</v>
      </c>
      <c r="O823" s="84" t="n">
        <v>0.947368421052632</v>
      </c>
      <c r="P823" s="85">
        <f>AVERAGE(D823:I823)</f>
        <v/>
      </c>
      <c r="Q823" s="85">
        <f>AVERAGE(J823:L823)</f>
        <v/>
      </c>
      <c r="R823" s="85">
        <f>AVERAGE(M823:O823)</f>
        <v/>
      </c>
      <c r="S823" s="85">
        <f>'02_지표정의'!$C$22*P823+'02_지표정의'!$C$23*Q823+'02_지표정의'!$C$24*R823</f>
        <v/>
      </c>
      <c r="T823" s="73">
        <f>IF(OR(AND(B823="gemini",C823="gemma"),AND(B823="qwen3_6",C823="qwen"),AND(B823="mistral",C823="ministral")),1,0)</f>
        <v/>
      </c>
      <c r="U823" s="73">
        <f>IF(LEFT(A823,3)="PAT","특허","보고서")</f>
        <v/>
      </c>
      <c r="V823" s="86">
        <f>COUNTIF($S$2:$S$976,"&lt;"&amp;S823)+(COUNTIF($S$2:$S$976,"="&amp;S823)+1)/2</f>
        <v/>
      </c>
      <c r="W823" s="73">
        <f>IF(C823="qwen",0,COUNTIFS($C$2:$C$976,"&lt;&gt;qwen",$S$2:$S$976,"&lt;"&amp;S823)+1)</f>
        <v/>
      </c>
      <c r="X823" s="73">
        <f>IF(C823="ministral",0,COUNTIFS($C$2:$C$976,"&lt;&gt;ministral",$S$2:$S$976,"&lt;"&amp;S823)+1)</f>
        <v/>
      </c>
      <c r="Y823" s="73">
        <f>IF(C823="gemma",0,COUNTIFS($C$2:$C$976,"&lt;&gt;gemma",$S$2:$S$976,"&lt;"&amp;S823)+1)</f>
        <v/>
      </c>
      <c r="Z823" s="87">
        <f>COUNTIFS($B$2:$B$976,B823,$C$2:$C$976,C823,$S$2:$S$976,"&lt;"&amp;S823)+1</f>
        <v/>
      </c>
      <c r="AA823" s="88">
        <f>ABS(S823-SUMPRODUCT(('05B_가정검정'!$A$5:$A$19=B823)*('05B_가정검정'!$B$5:$B$19=C823)*'05B_가정검정'!$E$5:$E$19))</f>
        <v/>
      </c>
      <c r="AB823" s="88">
        <f>S823-AVERAGEIFS($S$2:$S$976,$B$2:$B$976,B823,$C$2:$C$976,C823)</f>
        <v/>
      </c>
    </row>
    <row r="824" ht="15" customHeight="1" s="68">
      <c r="A824" s="83" t="inlineStr">
        <is>
          <t>RPT-24</t>
        </is>
      </c>
      <c r="B824" s="83" t="inlineStr">
        <is>
          <t>qwen3_6</t>
        </is>
      </c>
      <c r="C824" s="83" t="inlineStr">
        <is>
          <t>gemma</t>
        </is>
      </c>
      <c r="D824" s="84" t="n">
        <v>0.254545454545455</v>
      </c>
      <c r="E824" s="84" t="n">
        <v>0.405405405405405</v>
      </c>
      <c r="F824" s="84" t="n">
        <v>0.152173913043478</v>
      </c>
      <c r="G824" s="84" t="n">
        <v>0.243243243243243</v>
      </c>
      <c r="H824" s="84" t="n">
        <v>0.318222868044143</v>
      </c>
      <c r="I824" s="84" t="n">
        <v>0.250755000795637</v>
      </c>
      <c r="J824" s="84" t="n">
        <v>0.714078145912013</v>
      </c>
      <c r="K824" s="84" t="n">
        <v>0.661632005918347</v>
      </c>
      <c r="L824" s="84" t="n">
        <v>0.815236117893176</v>
      </c>
      <c r="M824" s="84" t="n">
        <v>0.869158878504673</v>
      </c>
      <c r="N824" s="84" t="n">
        <v>0.883333333333333</v>
      </c>
      <c r="O824" s="84" t="n">
        <v>1</v>
      </c>
      <c r="P824" s="85">
        <f>AVERAGE(D824:I824)</f>
        <v/>
      </c>
      <c r="Q824" s="85">
        <f>AVERAGE(J824:L824)</f>
        <v/>
      </c>
      <c r="R824" s="85">
        <f>AVERAGE(M824:O824)</f>
        <v/>
      </c>
      <c r="S824" s="85">
        <f>'02_지표정의'!$C$22*P824+'02_지표정의'!$C$23*Q824+'02_지표정의'!$C$24*R824</f>
        <v/>
      </c>
      <c r="T824" s="73">
        <f>IF(OR(AND(B824="gemini",C824="gemma"),AND(B824="qwen3_6",C824="qwen"),AND(B824="mistral",C824="ministral")),1,0)</f>
        <v/>
      </c>
      <c r="U824" s="73">
        <f>IF(LEFT(A824,3)="PAT","특허","보고서")</f>
        <v/>
      </c>
      <c r="V824" s="86">
        <f>COUNTIF($S$2:$S$976,"&lt;"&amp;S824)+(COUNTIF($S$2:$S$976,"="&amp;S824)+1)/2</f>
        <v/>
      </c>
      <c r="W824" s="73">
        <f>IF(C824="qwen",0,COUNTIFS($C$2:$C$976,"&lt;&gt;qwen",$S$2:$S$976,"&lt;"&amp;S824)+1)</f>
        <v/>
      </c>
      <c r="X824" s="73">
        <f>IF(C824="ministral",0,COUNTIFS($C$2:$C$976,"&lt;&gt;ministral",$S$2:$S$976,"&lt;"&amp;S824)+1)</f>
        <v/>
      </c>
      <c r="Y824" s="73">
        <f>IF(C824="gemma",0,COUNTIFS($C$2:$C$976,"&lt;&gt;gemma",$S$2:$S$976,"&lt;"&amp;S824)+1)</f>
        <v/>
      </c>
      <c r="Z824" s="87">
        <f>COUNTIFS($B$2:$B$976,B824,$C$2:$C$976,C824,$S$2:$S$976,"&lt;"&amp;S824)+1</f>
        <v/>
      </c>
      <c r="AA824" s="88">
        <f>ABS(S824-SUMPRODUCT(('05B_가정검정'!$A$5:$A$19=B824)*('05B_가정검정'!$B$5:$B$19=C824)*'05B_가정검정'!$E$5:$E$19))</f>
        <v/>
      </c>
      <c r="AB824" s="88">
        <f>S824-AVERAGEIFS($S$2:$S$976,$B$2:$B$976,B824,$C$2:$C$976,C824)</f>
        <v/>
      </c>
    </row>
    <row r="825" ht="15" customHeight="1" s="68">
      <c r="A825" s="83" t="inlineStr">
        <is>
          <t>RPT-24</t>
        </is>
      </c>
      <c r="B825" s="83" t="inlineStr">
        <is>
          <t>qwen3_6</t>
        </is>
      </c>
      <c r="C825" s="83" t="inlineStr">
        <is>
          <t>ministral</t>
        </is>
      </c>
      <c r="D825" s="84" t="n">
        <v>0.312649164677804</v>
      </c>
      <c r="E825" s="84" t="n">
        <v>0.459530026109661</v>
      </c>
      <c r="F825" s="84" t="n">
        <v>0.236220472440945</v>
      </c>
      <c r="G825" s="84" t="n">
        <v>0.297650130548303</v>
      </c>
      <c r="H825" s="84" t="n">
        <v>0.292783113339698</v>
      </c>
      <c r="I825" s="84" t="n">
        <v>0.374275818535874</v>
      </c>
      <c r="J825" s="84" t="n">
        <v>0.7152898832528189</v>
      </c>
      <c r="K825" s="84" t="n">
        <v>0.653881509608414</v>
      </c>
      <c r="L825" s="84" t="n">
        <v>0.838005458306171</v>
      </c>
      <c r="M825" s="84" t="n">
        <v>0.283667621776504</v>
      </c>
      <c r="N825" s="84" t="n">
        <v>0.262068965517241</v>
      </c>
      <c r="O825" s="84" t="n">
        <v>0.526315789473684</v>
      </c>
      <c r="P825" s="85">
        <f>AVERAGE(D825:I825)</f>
        <v/>
      </c>
      <c r="Q825" s="85">
        <f>AVERAGE(J825:L825)</f>
        <v/>
      </c>
      <c r="R825" s="85">
        <f>AVERAGE(M825:O825)</f>
        <v/>
      </c>
      <c r="S825" s="85">
        <f>'02_지표정의'!$C$22*P825+'02_지표정의'!$C$23*Q825+'02_지표정의'!$C$24*R825</f>
        <v/>
      </c>
      <c r="T825" s="73">
        <f>IF(OR(AND(B825="gemini",C825="gemma"),AND(B825="qwen3_6",C825="qwen"),AND(B825="mistral",C825="ministral")),1,0)</f>
        <v/>
      </c>
      <c r="U825" s="73">
        <f>IF(LEFT(A825,3)="PAT","특허","보고서")</f>
        <v/>
      </c>
      <c r="V825" s="86">
        <f>COUNTIF($S$2:$S$976,"&lt;"&amp;S825)+(COUNTIF($S$2:$S$976,"="&amp;S825)+1)/2</f>
        <v/>
      </c>
      <c r="W825" s="73">
        <f>IF(C825="qwen",0,COUNTIFS($C$2:$C$976,"&lt;&gt;qwen",$S$2:$S$976,"&lt;"&amp;S825)+1)</f>
        <v/>
      </c>
      <c r="X825" s="73">
        <f>IF(C825="ministral",0,COUNTIFS($C$2:$C$976,"&lt;&gt;ministral",$S$2:$S$976,"&lt;"&amp;S825)+1)</f>
        <v/>
      </c>
      <c r="Y825" s="73">
        <f>IF(C825="gemma",0,COUNTIFS($C$2:$C$976,"&lt;&gt;gemma",$S$2:$S$976,"&lt;"&amp;S825)+1)</f>
        <v/>
      </c>
      <c r="Z825" s="87">
        <f>COUNTIFS($B$2:$B$976,B825,$C$2:$C$976,C825,$S$2:$S$976,"&lt;"&amp;S825)+1</f>
        <v/>
      </c>
      <c r="AA825" s="88">
        <f>ABS(S825-SUMPRODUCT(('05B_가정검정'!$A$5:$A$19=B825)*('05B_가정검정'!$B$5:$B$19=C825)*'05B_가정검정'!$E$5:$E$19))</f>
        <v/>
      </c>
      <c r="AB825" s="88">
        <f>S825-AVERAGEIFS($S$2:$S$976,$B$2:$B$976,B825,$C$2:$C$976,C825)</f>
        <v/>
      </c>
    </row>
    <row r="826" ht="15" customHeight="1" s="68">
      <c r="A826" s="83" t="inlineStr">
        <is>
          <t>RPT-24</t>
        </is>
      </c>
      <c r="B826" s="83" t="inlineStr">
        <is>
          <t>qwen3_6</t>
        </is>
      </c>
      <c r="C826" s="83" t="inlineStr">
        <is>
          <t>qwen</t>
        </is>
      </c>
      <c r="D826" s="84" t="n">
        <v>0.264264264264264</v>
      </c>
      <c r="E826" s="84" t="n">
        <v>0.509615384615385</v>
      </c>
      <c r="F826" s="84" t="n">
        <v>0.231884057971015</v>
      </c>
      <c r="G826" s="84" t="n">
        <v>0.307692307692308</v>
      </c>
      <c r="H826" s="84" t="n">
        <v>0.300141173805044</v>
      </c>
      <c r="I826" s="84" t="n">
        <v>0.45538555371071</v>
      </c>
      <c r="J826" s="84" t="n">
        <v>0.719365150653582</v>
      </c>
      <c r="K826" s="84" t="n">
        <v>0.648246044925138</v>
      </c>
      <c r="L826" s="84" t="n">
        <v>0.823506461932573</v>
      </c>
      <c r="M826" s="84" t="n">
        <v>0.458937198067633</v>
      </c>
      <c r="N826" s="84" t="n">
        <v>0.486238532110092</v>
      </c>
      <c r="O826" s="84" t="n">
        <v>0.921052631578947</v>
      </c>
      <c r="P826" s="85">
        <f>AVERAGE(D826:I826)</f>
        <v/>
      </c>
      <c r="Q826" s="85">
        <f>AVERAGE(J826:L826)</f>
        <v/>
      </c>
      <c r="R826" s="85">
        <f>AVERAGE(M826:O826)</f>
        <v/>
      </c>
      <c r="S826" s="85">
        <f>'02_지표정의'!$C$22*P826+'02_지표정의'!$C$23*Q826+'02_지표정의'!$C$24*R826</f>
        <v/>
      </c>
      <c r="T826" s="73">
        <f>IF(OR(AND(B826="gemini",C826="gemma"),AND(B826="qwen3_6",C826="qwen"),AND(B826="mistral",C826="ministral")),1,0)</f>
        <v/>
      </c>
      <c r="U826" s="73">
        <f>IF(LEFT(A826,3)="PAT","특허","보고서")</f>
        <v/>
      </c>
      <c r="V826" s="86">
        <f>COUNTIF($S$2:$S$976,"&lt;"&amp;S826)+(COUNTIF($S$2:$S$976,"="&amp;S826)+1)/2</f>
        <v/>
      </c>
      <c r="W826" s="73">
        <f>IF(C826="qwen",0,COUNTIFS($C$2:$C$976,"&lt;&gt;qwen",$S$2:$S$976,"&lt;"&amp;S826)+1)</f>
        <v/>
      </c>
      <c r="X826" s="73">
        <f>IF(C826="ministral",0,COUNTIFS($C$2:$C$976,"&lt;&gt;ministral",$S$2:$S$976,"&lt;"&amp;S826)+1)</f>
        <v/>
      </c>
      <c r="Y826" s="73">
        <f>IF(C826="gemma",0,COUNTIFS($C$2:$C$976,"&lt;&gt;gemma",$S$2:$S$976,"&lt;"&amp;S826)+1)</f>
        <v/>
      </c>
      <c r="Z826" s="87">
        <f>COUNTIFS($B$2:$B$976,B826,$C$2:$C$976,C826,$S$2:$S$976,"&lt;"&amp;S826)+1</f>
        <v/>
      </c>
      <c r="AA826" s="88">
        <f>ABS(S826-SUMPRODUCT(('05B_가정검정'!$A$5:$A$19=B826)*('05B_가정검정'!$B$5:$B$19=C826)*'05B_가정검정'!$E$5:$E$19))</f>
        <v/>
      </c>
      <c r="AB826" s="88">
        <f>S826-AVERAGEIFS($S$2:$S$976,$B$2:$B$976,B826,$C$2:$C$976,C826)</f>
        <v/>
      </c>
    </row>
    <row r="827" ht="15" customHeight="1" s="68">
      <c r="A827" s="83" t="inlineStr">
        <is>
          <t>RPT-25</t>
        </is>
      </c>
      <c r="B827" s="83" t="inlineStr">
        <is>
          <t>chatgpt</t>
        </is>
      </c>
      <c r="C827" s="83" t="inlineStr">
        <is>
          <t>gemma</t>
        </is>
      </c>
      <c r="D827" s="84" t="n">
        <v>0.264294790343075</v>
      </c>
      <c r="E827" s="84" t="n">
        <v>0.353413654618474</v>
      </c>
      <c r="F827" s="84" t="n">
        <v>0.145748987854251</v>
      </c>
      <c r="G827" s="84" t="n">
        <v>0.273092369477912</v>
      </c>
      <c r="H827" s="84" t="n">
        <v>0.331666424361241</v>
      </c>
      <c r="I827" s="84" t="n">
        <v>0.334039929877265</v>
      </c>
      <c r="J827" s="84" t="n">
        <v>0.675687987619493</v>
      </c>
      <c r="K827" s="84" t="n">
        <v>0.632392220182986</v>
      </c>
      <c r="L827" s="84" t="n">
        <v>0.822665558519995</v>
      </c>
      <c r="M827" s="84" t="n">
        <v>0.392405063291139</v>
      </c>
      <c r="N827" s="84" t="n">
        <v>0.139705882352941</v>
      </c>
      <c r="O827" s="84" t="n">
        <v>1</v>
      </c>
      <c r="P827" s="85">
        <f>AVERAGE(D827:I827)</f>
        <v/>
      </c>
      <c r="Q827" s="85">
        <f>AVERAGE(J827:L827)</f>
        <v/>
      </c>
      <c r="R827" s="85">
        <f>AVERAGE(M827:O827)</f>
        <v/>
      </c>
      <c r="S827" s="85">
        <f>'02_지표정의'!$C$22*P827+'02_지표정의'!$C$23*Q827+'02_지표정의'!$C$24*R827</f>
        <v/>
      </c>
      <c r="T827" s="73">
        <f>IF(OR(AND(B827="gemini",C827="gemma"),AND(B827="qwen3_6",C827="qwen"),AND(B827="mistral",C827="ministral")),1,0)</f>
        <v/>
      </c>
      <c r="U827" s="73">
        <f>IF(LEFT(A827,3)="PAT","특허","보고서")</f>
        <v/>
      </c>
      <c r="V827" s="86">
        <f>COUNTIF($S$2:$S$976,"&lt;"&amp;S827)+(COUNTIF($S$2:$S$976,"="&amp;S827)+1)/2</f>
        <v/>
      </c>
      <c r="W827" s="73">
        <f>IF(C827="qwen",0,COUNTIFS($C$2:$C$976,"&lt;&gt;qwen",$S$2:$S$976,"&lt;"&amp;S827)+1)</f>
        <v/>
      </c>
      <c r="X827" s="73">
        <f>IF(C827="ministral",0,COUNTIFS($C$2:$C$976,"&lt;&gt;ministral",$S$2:$S$976,"&lt;"&amp;S827)+1)</f>
        <v/>
      </c>
      <c r="Y827" s="73">
        <f>IF(C827="gemma",0,COUNTIFS($C$2:$C$976,"&lt;&gt;gemma",$S$2:$S$976,"&lt;"&amp;S827)+1)</f>
        <v/>
      </c>
      <c r="Z827" s="87">
        <f>COUNTIFS($B$2:$B$976,B827,$C$2:$C$976,C827,$S$2:$S$976,"&lt;"&amp;S827)+1</f>
        <v/>
      </c>
      <c r="AA827" s="88">
        <f>ABS(S827-SUMPRODUCT(('05B_가정검정'!$A$5:$A$19=B827)*('05B_가정검정'!$B$5:$B$19=C827)*'05B_가정검정'!$E$5:$E$19))</f>
        <v/>
      </c>
      <c r="AB827" s="88">
        <f>S827-AVERAGEIFS($S$2:$S$976,$B$2:$B$976,B827,$C$2:$C$976,C827)</f>
        <v/>
      </c>
    </row>
    <row r="828" ht="15" customHeight="1" s="68">
      <c r="A828" s="83" t="inlineStr">
        <is>
          <t>RPT-25</t>
        </is>
      </c>
      <c r="B828" s="83" t="inlineStr">
        <is>
          <t>chatgpt</t>
        </is>
      </c>
      <c r="C828" s="83" t="inlineStr">
        <is>
          <t>ministral</t>
        </is>
      </c>
      <c r="D828" s="84" t="n">
        <v>0.352395672333849</v>
      </c>
      <c r="E828" s="84" t="n">
        <v>0.368852459016393</v>
      </c>
      <c r="F828" s="84" t="n">
        <v>0.165289256198347</v>
      </c>
      <c r="G828" s="84" t="n">
        <v>0.336065573770492</v>
      </c>
      <c r="H828" s="84" t="n">
        <v>0.2970307175518</v>
      </c>
      <c r="I828" s="84" t="n">
        <v>0.43840804820361</v>
      </c>
      <c r="J828" s="84" t="n">
        <v>0.71247463211114</v>
      </c>
      <c r="K828" s="84" t="n">
        <v>0.664182172257364</v>
      </c>
      <c r="L828" s="84" t="n">
        <v>0.862126237958511</v>
      </c>
      <c r="M828" s="84" t="n">
        <v>0.60337552742616</v>
      </c>
      <c r="N828" s="84" t="n">
        <v>0.161764705882353</v>
      </c>
      <c r="O828" s="84" t="n">
        <v>1</v>
      </c>
      <c r="P828" s="85">
        <f>AVERAGE(D828:I828)</f>
        <v/>
      </c>
      <c r="Q828" s="85">
        <f>AVERAGE(J828:L828)</f>
        <v/>
      </c>
      <c r="R828" s="85">
        <f>AVERAGE(M828:O828)</f>
        <v/>
      </c>
      <c r="S828" s="85">
        <f>'02_지표정의'!$C$22*P828+'02_지표정의'!$C$23*Q828+'02_지표정의'!$C$24*R828</f>
        <v/>
      </c>
      <c r="T828" s="73">
        <f>IF(OR(AND(B828="gemini",C828="gemma"),AND(B828="qwen3_6",C828="qwen"),AND(B828="mistral",C828="ministral")),1,0)</f>
        <v/>
      </c>
      <c r="U828" s="73">
        <f>IF(LEFT(A828,3)="PAT","특허","보고서")</f>
        <v/>
      </c>
      <c r="V828" s="86">
        <f>COUNTIF($S$2:$S$976,"&lt;"&amp;S828)+(COUNTIF($S$2:$S$976,"="&amp;S828)+1)/2</f>
        <v/>
      </c>
      <c r="W828" s="73">
        <f>IF(C828="qwen",0,COUNTIFS($C$2:$C$976,"&lt;&gt;qwen",$S$2:$S$976,"&lt;"&amp;S828)+1)</f>
        <v/>
      </c>
      <c r="X828" s="73">
        <f>IF(C828="ministral",0,COUNTIFS($C$2:$C$976,"&lt;&gt;ministral",$S$2:$S$976,"&lt;"&amp;S828)+1)</f>
        <v/>
      </c>
      <c r="Y828" s="73">
        <f>IF(C828="gemma",0,COUNTIFS($C$2:$C$976,"&lt;&gt;gemma",$S$2:$S$976,"&lt;"&amp;S828)+1)</f>
        <v/>
      </c>
      <c r="Z828" s="87">
        <f>COUNTIFS($B$2:$B$976,B828,$C$2:$C$976,C828,$S$2:$S$976,"&lt;"&amp;S828)+1</f>
        <v/>
      </c>
      <c r="AA828" s="88">
        <f>ABS(S828-SUMPRODUCT(('05B_가정검정'!$A$5:$A$19=B828)*('05B_가정검정'!$B$5:$B$19=C828)*'05B_가정검정'!$E$5:$E$19))</f>
        <v/>
      </c>
      <c r="AB828" s="88">
        <f>S828-AVERAGEIFS($S$2:$S$976,$B$2:$B$976,B828,$C$2:$C$976,C828)</f>
        <v/>
      </c>
    </row>
    <row r="829" ht="15" customHeight="1" s="68">
      <c r="A829" s="83" t="inlineStr">
        <is>
          <t>RPT-25</t>
        </is>
      </c>
      <c r="B829" s="83" t="inlineStr">
        <is>
          <t>chatgpt</t>
        </is>
      </c>
      <c r="C829" s="83" t="inlineStr">
        <is>
          <t>qwen</t>
        </is>
      </c>
      <c r="D829" s="84" t="n">
        <v>0.297635605006954</v>
      </c>
      <c r="E829" s="84" t="n">
        <v>0.327402135231317</v>
      </c>
      <c r="F829" s="84" t="n">
        <v>0.100358422939068</v>
      </c>
      <c r="G829" s="84" t="n">
        <v>0.234875444839858</v>
      </c>
      <c r="H829" s="84" t="n">
        <v>0.315291324715589</v>
      </c>
      <c r="I829" s="84" t="n">
        <v>0.273412969901043</v>
      </c>
      <c r="J829" s="84" t="n">
        <v>0.669656934966901</v>
      </c>
      <c r="K829" s="84" t="n">
        <v>0.6328011785876581</v>
      </c>
      <c r="L829" s="84" t="n">
        <v>0.807524425998894</v>
      </c>
      <c r="M829" s="84" t="n">
        <v>0.451476793248945</v>
      </c>
      <c r="N829" s="84" t="n">
        <v>0.06617647058823529</v>
      </c>
      <c r="O829" s="84" t="n">
        <v>1</v>
      </c>
      <c r="P829" s="85">
        <f>AVERAGE(D829:I829)</f>
        <v/>
      </c>
      <c r="Q829" s="85">
        <f>AVERAGE(J829:L829)</f>
        <v/>
      </c>
      <c r="R829" s="85">
        <f>AVERAGE(M829:O829)</f>
        <v/>
      </c>
      <c r="S829" s="85">
        <f>'02_지표정의'!$C$22*P829+'02_지표정의'!$C$23*Q829+'02_지표정의'!$C$24*R829</f>
        <v/>
      </c>
      <c r="T829" s="73">
        <f>IF(OR(AND(B829="gemini",C829="gemma"),AND(B829="qwen3_6",C829="qwen"),AND(B829="mistral",C829="ministral")),1,0)</f>
        <v/>
      </c>
      <c r="U829" s="73">
        <f>IF(LEFT(A829,3)="PAT","특허","보고서")</f>
        <v/>
      </c>
      <c r="V829" s="86">
        <f>COUNTIF($S$2:$S$976,"&lt;"&amp;S829)+(COUNTIF($S$2:$S$976,"="&amp;S829)+1)/2</f>
        <v/>
      </c>
      <c r="W829" s="73">
        <f>IF(C829="qwen",0,COUNTIFS($C$2:$C$976,"&lt;&gt;qwen",$S$2:$S$976,"&lt;"&amp;S829)+1)</f>
        <v/>
      </c>
      <c r="X829" s="73">
        <f>IF(C829="ministral",0,COUNTIFS($C$2:$C$976,"&lt;&gt;ministral",$S$2:$S$976,"&lt;"&amp;S829)+1)</f>
        <v/>
      </c>
      <c r="Y829" s="73">
        <f>IF(C829="gemma",0,COUNTIFS($C$2:$C$976,"&lt;&gt;gemma",$S$2:$S$976,"&lt;"&amp;S829)+1)</f>
        <v/>
      </c>
      <c r="Z829" s="87">
        <f>COUNTIFS($B$2:$B$976,B829,$C$2:$C$976,C829,$S$2:$S$976,"&lt;"&amp;S829)+1</f>
        <v/>
      </c>
      <c r="AA829" s="88">
        <f>ABS(S829-SUMPRODUCT(('05B_가정검정'!$A$5:$A$19=B829)*('05B_가정검정'!$B$5:$B$19=C829)*'05B_가정검정'!$E$5:$E$19))</f>
        <v/>
      </c>
      <c r="AB829" s="88">
        <f>S829-AVERAGEIFS($S$2:$S$976,$B$2:$B$976,B829,$C$2:$C$976,C829)</f>
        <v/>
      </c>
    </row>
    <row r="830" ht="15" customHeight="1" s="68">
      <c r="A830" s="83" t="inlineStr">
        <is>
          <t>RPT-25</t>
        </is>
      </c>
      <c r="B830" s="83" t="inlineStr">
        <is>
          <t>claude</t>
        </is>
      </c>
      <c r="C830" s="83" t="inlineStr">
        <is>
          <t>gemma</t>
        </is>
      </c>
      <c r="D830" s="84" t="n">
        <v>0.250236966824645</v>
      </c>
      <c r="E830" s="84" t="n">
        <v>0.343980343980344</v>
      </c>
      <c r="F830" s="84" t="n">
        <v>0.103703703703704</v>
      </c>
      <c r="G830" s="84" t="n">
        <v>0.226044226044226</v>
      </c>
      <c r="H830" s="84" t="n">
        <v>0.310778734902687</v>
      </c>
      <c r="I830" s="84" t="n">
        <v>0.301896389413937</v>
      </c>
      <c r="J830" s="84" t="n">
        <v>0.667500459983305</v>
      </c>
      <c r="K830" s="84" t="n">
        <v>0.651374858342011</v>
      </c>
      <c r="L830" s="84" t="n">
        <v>0.839141236795092</v>
      </c>
      <c r="M830" s="84" t="n">
        <v>0.550295857988166</v>
      </c>
      <c r="N830" s="84" t="n">
        <v>0.480392156862745</v>
      </c>
      <c r="O830" s="84" t="n">
        <v>1</v>
      </c>
      <c r="P830" s="85">
        <f>AVERAGE(D830:I830)</f>
        <v/>
      </c>
      <c r="Q830" s="85">
        <f>AVERAGE(J830:L830)</f>
        <v/>
      </c>
      <c r="R830" s="85">
        <f>AVERAGE(M830:O830)</f>
        <v/>
      </c>
      <c r="S830" s="85">
        <f>'02_지표정의'!$C$22*P830+'02_지표정의'!$C$23*Q830+'02_지표정의'!$C$24*R830</f>
        <v/>
      </c>
      <c r="T830" s="73">
        <f>IF(OR(AND(B830="gemini",C830="gemma"),AND(B830="qwen3_6",C830="qwen"),AND(B830="mistral",C830="ministral")),1,0)</f>
        <v/>
      </c>
      <c r="U830" s="73">
        <f>IF(LEFT(A830,3)="PAT","특허","보고서")</f>
        <v/>
      </c>
      <c r="V830" s="86">
        <f>COUNTIF($S$2:$S$976,"&lt;"&amp;S830)+(COUNTIF($S$2:$S$976,"="&amp;S830)+1)/2</f>
        <v/>
      </c>
      <c r="W830" s="73">
        <f>IF(C830="qwen",0,COUNTIFS($C$2:$C$976,"&lt;&gt;qwen",$S$2:$S$976,"&lt;"&amp;S830)+1)</f>
        <v/>
      </c>
      <c r="X830" s="73">
        <f>IF(C830="ministral",0,COUNTIFS($C$2:$C$976,"&lt;&gt;ministral",$S$2:$S$976,"&lt;"&amp;S830)+1)</f>
        <v/>
      </c>
      <c r="Y830" s="73">
        <f>IF(C830="gemma",0,COUNTIFS($C$2:$C$976,"&lt;&gt;gemma",$S$2:$S$976,"&lt;"&amp;S830)+1)</f>
        <v/>
      </c>
      <c r="Z830" s="87">
        <f>COUNTIFS($B$2:$B$976,B830,$C$2:$C$976,C830,$S$2:$S$976,"&lt;"&amp;S830)+1</f>
        <v/>
      </c>
      <c r="AA830" s="88">
        <f>ABS(S830-SUMPRODUCT(('05B_가정검정'!$A$5:$A$19=B830)*('05B_가정검정'!$B$5:$B$19=C830)*'05B_가정검정'!$E$5:$E$19))</f>
        <v/>
      </c>
      <c r="AB830" s="88">
        <f>S830-AVERAGEIFS($S$2:$S$976,$B$2:$B$976,B830,$C$2:$C$976,C830)</f>
        <v/>
      </c>
    </row>
    <row r="831" ht="15" customHeight="1" s="68">
      <c r="A831" s="83" t="inlineStr">
        <is>
          <t>RPT-25</t>
        </is>
      </c>
      <c r="B831" s="83" t="inlineStr">
        <is>
          <t>claude</t>
        </is>
      </c>
      <c r="C831" s="83" t="inlineStr">
        <is>
          <t>ministral</t>
        </is>
      </c>
      <c r="D831" s="84" t="n">
        <v>0.286338797814208</v>
      </c>
      <c r="E831" s="84" t="n">
        <v>0.427860696517413</v>
      </c>
      <c r="F831" s="84" t="n">
        <v>0.25</v>
      </c>
      <c r="G831" s="84" t="n">
        <v>0.343283582089552</v>
      </c>
      <c r="H831" s="84" t="n">
        <v>0.260768045367086</v>
      </c>
      <c r="I831" s="84" t="n">
        <v>0.463048663140095</v>
      </c>
      <c r="J831" s="84" t="n">
        <v>0.716454248157102</v>
      </c>
      <c r="K831" s="84" t="n">
        <v>0.649411881380425</v>
      </c>
      <c r="L831" s="84" t="n">
        <v>0.850452344852453</v>
      </c>
      <c r="M831" s="84" t="n">
        <v>0.61340206185567</v>
      </c>
      <c r="N831" s="84" t="n">
        <v>0.451923076923077</v>
      </c>
      <c r="O831" s="84" t="n">
        <v>1</v>
      </c>
      <c r="P831" s="85">
        <f>AVERAGE(D831:I831)</f>
        <v/>
      </c>
      <c r="Q831" s="85">
        <f>AVERAGE(J831:L831)</f>
        <v/>
      </c>
      <c r="R831" s="85">
        <f>AVERAGE(M831:O831)</f>
        <v/>
      </c>
      <c r="S831" s="85">
        <f>'02_지표정의'!$C$22*P831+'02_지표정의'!$C$23*Q831+'02_지표정의'!$C$24*R831</f>
        <v/>
      </c>
      <c r="T831" s="73">
        <f>IF(OR(AND(B831="gemini",C831="gemma"),AND(B831="qwen3_6",C831="qwen"),AND(B831="mistral",C831="ministral")),1,0)</f>
        <v/>
      </c>
      <c r="U831" s="73">
        <f>IF(LEFT(A831,3)="PAT","특허","보고서")</f>
        <v/>
      </c>
      <c r="V831" s="86">
        <f>COUNTIF($S$2:$S$976,"&lt;"&amp;S831)+(COUNTIF($S$2:$S$976,"="&amp;S831)+1)/2</f>
        <v/>
      </c>
      <c r="W831" s="73">
        <f>IF(C831="qwen",0,COUNTIFS($C$2:$C$976,"&lt;&gt;qwen",$S$2:$S$976,"&lt;"&amp;S831)+1)</f>
        <v/>
      </c>
      <c r="X831" s="73">
        <f>IF(C831="ministral",0,COUNTIFS($C$2:$C$976,"&lt;&gt;ministral",$S$2:$S$976,"&lt;"&amp;S831)+1)</f>
        <v/>
      </c>
      <c r="Y831" s="73">
        <f>IF(C831="gemma",0,COUNTIFS($C$2:$C$976,"&lt;&gt;gemma",$S$2:$S$976,"&lt;"&amp;S831)+1)</f>
        <v/>
      </c>
      <c r="Z831" s="87">
        <f>COUNTIFS($B$2:$B$976,B831,$C$2:$C$976,C831,$S$2:$S$976,"&lt;"&amp;S831)+1</f>
        <v/>
      </c>
      <c r="AA831" s="88">
        <f>ABS(S831-SUMPRODUCT(('05B_가정검정'!$A$5:$A$19=B831)*('05B_가정검정'!$B$5:$B$19=C831)*'05B_가정검정'!$E$5:$E$19))</f>
        <v/>
      </c>
      <c r="AB831" s="88">
        <f>S831-AVERAGEIFS($S$2:$S$976,$B$2:$B$976,B831,$C$2:$C$976,C831)</f>
        <v/>
      </c>
    </row>
    <row r="832" ht="15" customHeight="1" s="68">
      <c r="A832" s="83" t="inlineStr">
        <is>
          <t>RPT-25</t>
        </is>
      </c>
      <c r="B832" s="83" t="inlineStr">
        <is>
          <t>claude</t>
        </is>
      </c>
      <c r="C832" s="83" t="inlineStr">
        <is>
          <t>qwen</t>
        </is>
      </c>
      <c r="D832" s="84" t="n">
        <v>0.28774062816616</v>
      </c>
      <c r="E832" s="84" t="n">
        <v>0.4874715261959</v>
      </c>
      <c r="F832" s="84" t="n">
        <v>0.237986270022883</v>
      </c>
      <c r="G832" s="84" t="n">
        <v>0.305239179954442</v>
      </c>
      <c r="H832" s="84" t="n">
        <v>0.314596043702845</v>
      </c>
      <c r="I832" s="84" t="n">
        <v>0.481010753822498</v>
      </c>
      <c r="J832" s="84" t="n">
        <v>0.673042629450738</v>
      </c>
      <c r="K832" s="84" t="n">
        <v>0.678626611105658</v>
      </c>
      <c r="L832" s="84" t="n">
        <v>0.849683033841062</v>
      </c>
      <c r="M832" s="84" t="n">
        <v>0.467455621301775</v>
      </c>
      <c r="N832" s="84" t="n">
        <v>0.382352941176471</v>
      </c>
      <c r="O832" s="84" t="n">
        <v>1</v>
      </c>
      <c r="P832" s="85">
        <f>AVERAGE(D832:I832)</f>
        <v/>
      </c>
      <c r="Q832" s="85">
        <f>AVERAGE(J832:L832)</f>
        <v/>
      </c>
      <c r="R832" s="85">
        <f>AVERAGE(M832:O832)</f>
        <v/>
      </c>
      <c r="S832" s="85">
        <f>'02_지표정의'!$C$22*P832+'02_지표정의'!$C$23*Q832+'02_지표정의'!$C$24*R832</f>
        <v/>
      </c>
      <c r="T832" s="73">
        <f>IF(OR(AND(B832="gemini",C832="gemma"),AND(B832="qwen3_6",C832="qwen"),AND(B832="mistral",C832="ministral")),1,0)</f>
        <v/>
      </c>
      <c r="U832" s="73">
        <f>IF(LEFT(A832,3)="PAT","특허","보고서")</f>
        <v/>
      </c>
      <c r="V832" s="86">
        <f>COUNTIF($S$2:$S$976,"&lt;"&amp;S832)+(COUNTIF($S$2:$S$976,"="&amp;S832)+1)/2</f>
        <v/>
      </c>
      <c r="W832" s="73">
        <f>IF(C832="qwen",0,COUNTIFS($C$2:$C$976,"&lt;&gt;qwen",$S$2:$S$976,"&lt;"&amp;S832)+1)</f>
        <v/>
      </c>
      <c r="X832" s="73">
        <f>IF(C832="ministral",0,COUNTIFS($C$2:$C$976,"&lt;&gt;ministral",$S$2:$S$976,"&lt;"&amp;S832)+1)</f>
        <v/>
      </c>
      <c r="Y832" s="73">
        <f>IF(C832="gemma",0,COUNTIFS($C$2:$C$976,"&lt;&gt;gemma",$S$2:$S$976,"&lt;"&amp;S832)+1)</f>
        <v/>
      </c>
      <c r="Z832" s="87">
        <f>COUNTIFS($B$2:$B$976,B832,$C$2:$C$976,C832,$S$2:$S$976,"&lt;"&amp;S832)+1</f>
        <v/>
      </c>
      <c r="AA832" s="88">
        <f>ABS(S832-SUMPRODUCT(('05B_가정검정'!$A$5:$A$19=B832)*('05B_가정검정'!$B$5:$B$19=C832)*'05B_가정검정'!$E$5:$E$19))</f>
        <v/>
      </c>
      <c r="AB832" s="88">
        <f>S832-AVERAGEIFS($S$2:$S$976,$B$2:$B$976,B832,$C$2:$C$976,C832)</f>
        <v/>
      </c>
    </row>
    <row r="833" ht="15" customHeight="1" s="68">
      <c r="A833" s="83" t="inlineStr">
        <is>
          <t>RPT-25</t>
        </is>
      </c>
      <c r="B833" s="83" t="inlineStr">
        <is>
          <t>gemini</t>
        </is>
      </c>
      <c r="C833" s="83" t="inlineStr">
        <is>
          <t>gemma</t>
        </is>
      </c>
      <c r="D833" s="84" t="n">
        <v>0.264339152119701</v>
      </c>
      <c r="E833" s="84" t="n">
        <v>0.390977443609023</v>
      </c>
      <c r="F833" s="84" t="n">
        <v>0.136363636363636</v>
      </c>
      <c r="G833" s="84" t="n">
        <v>0.255639097744361</v>
      </c>
      <c r="H833" s="84" t="n">
        <v>0.302880423531584</v>
      </c>
      <c r="I833" s="84" t="n">
        <v>0.282648140992174</v>
      </c>
      <c r="J833" s="84" t="n">
        <v>0.744034110126377</v>
      </c>
      <c r="K833" s="84" t="n">
        <v>0.765015608679813</v>
      </c>
      <c r="L833" s="84" t="n">
        <v>0.884574127568537</v>
      </c>
      <c r="M833" s="84" t="n">
        <v>0.906542056074766</v>
      </c>
      <c r="N833" s="84" t="n">
        <v>0.916666666666667</v>
      </c>
      <c r="O833" s="84" t="n">
        <v>1</v>
      </c>
      <c r="P833" s="85">
        <f>AVERAGE(D833:I833)</f>
        <v/>
      </c>
      <c r="Q833" s="85">
        <f>AVERAGE(J833:L833)</f>
        <v/>
      </c>
      <c r="R833" s="85">
        <f>AVERAGE(M833:O833)</f>
        <v/>
      </c>
      <c r="S833" s="85">
        <f>'02_지표정의'!$C$22*P833+'02_지표정의'!$C$23*Q833+'02_지표정의'!$C$24*R833</f>
        <v/>
      </c>
      <c r="T833" s="73">
        <f>IF(OR(AND(B833="gemini",C833="gemma"),AND(B833="qwen3_6",C833="qwen"),AND(B833="mistral",C833="ministral")),1,0)</f>
        <v/>
      </c>
      <c r="U833" s="73">
        <f>IF(LEFT(A833,3)="PAT","특허","보고서")</f>
        <v/>
      </c>
      <c r="V833" s="86">
        <f>COUNTIF($S$2:$S$976,"&lt;"&amp;S833)+(COUNTIF($S$2:$S$976,"="&amp;S833)+1)/2</f>
        <v/>
      </c>
      <c r="W833" s="73">
        <f>IF(C833="qwen",0,COUNTIFS($C$2:$C$976,"&lt;&gt;qwen",$S$2:$S$976,"&lt;"&amp;S833)+1)</f>
        <v/>
      </c>
      <c r="X833" s="73">
        <f>IF(C833="ministral",0,COUNTIFS($C$2:$C$976,"&lt;&gt;ministral",$S$2:$S$976,"&lt;"&amp;S833)+1)</f>
        <v/>
      </c>
      <c r="Y833" s="73">
        <f>IF(C833="gemma",0,COUNTIFS($C$2:$C$976,"&lt;&gt;gemma",$S$2:$S$976,"&lt;"&amp;S833)+1)</f>
        <v/>
      </c>
      <c r="Z833" s="87">
        <f>COUNTIFS($B$2:$B$976,B833,$C$2:$C$976,C833,$S$2:$S$976,"&lt;"&amp;S833)+1</f>
        <v/>
      </c>
      <c r="AA833" s="88">
        <f>ABS(S833-SUMPRODUCT(('05B_가정검정'!$A$5:$A$19=B833)*('05B_가정검정'!$B$5:$B$19=C833)*'05B_가정검정'!$E$5:$E$19))</f>
        <v/>
      </c>
      <c r="AB833" s="88">
        <f>S833-AVERAGEIFS($S$2:$S$976,$B$2:$B$976,B833,$C$2:$C$976,C833)</f>
        <v/>
      </c>
    </row>
    <row r="834" ht="15" customHeight="1" s="68">
      <c r="A834" s="83" t="inlineStr">
        <is>
          <t>RPT-25</t>
        </is>
      </c>
      <c r="B834" s="83" t="inlineStr">
        <is>
          <t>gemini</t>
        </is>
      </c>
      <c r="C834" s="83" t="inlineStr">
        <is>
          <t>ministral</t>
        </is>
      </c>
      <c r="D834" s="84" t="n">
        <v>0.29607250755287</v>
      </c>
      <c r="E834" s="84" t="n">
        <v>0.406130268199234</v>
      </c>
      <c r="F834" s="84" t="n">
        <v>0.185328185328185</v>
      </c>
      <c r="G834" s="84" t="n">
        <v>0.298850574712644</v>
      </c>
      <c r="H834" s="84" t="n">
        <v>0.261406919735991</v>
      </c>
      <c r="I834" s="84" t="n">
        <v>0.388376013675555</v>
      </c>
      <c r="J834" s="84" t="n">
        <v>0.774397233680214</v>
      </c>
      <c r="K834" s="84" t="n">
        <v>0.79861491575084</v>
      </c>
      <c r="L834" s="84" t="n">
        <v>0.906142340149625</v>
      </c>
      <c r="M834" s="84" t="n">
        <v>0.5</v>
      </c>
      <c r="N834" s="84" t="n">
        <v>0.528846153846154</v>
      </c>
      <c r="O834" s="84" t="n">
        <v>1</v>
      </c>
      <c r="P834" s="85">
        <f>AVERAGE(D834:I834)</f>
        <v/>
      </c>
      <c r="Q834" s="85">
        <f>AVERAGE(J834:L834)</f>
        <v/>
      </c>
      <c r="R834" s="85">
        <f>AVERAGE(M834:O834)</f>
        <v/>
      </c>
      <c r="S834" s="85">
        <f>'02_지표정의'!$C$22*P834+'02_지표정의'!$C$23*Q834+'02_지표정의'!$C$24*R834</f>
        <v/>
      </c>
      <c r="T834" s="73">
        <f>IF(OR(AND(B834="gemini",C834="gemma"),AND(B834="qwen3_6",C834="qwen"),AND(B834="mistral",C834="ministral")),1,0)</f>
        <v/>
      </c>
      <c r="U834" s="73">
        <f>IF(LEFT(A834,3)="PAT","특허","보고서")</f>
        <v/>
      </c>
      <c r="V834" s="86">
        <f>COUNTIF($S$2:$S$976,"&lt;"&amp;S834)+(COUNTIF($S$2:$S$976,"="&amp;S834)+1)/2</f>
        <v/>
      </c>
      <c r="W834" s="73">
        <f>IF(C834="qwen",0,COUNTIFS($C$2:$C$976,"&lt;&gt;qwen",$S$2:$S$976,"&lt;"&amp;S834)+1)</f>
        <v/>
      </c>
      <c r="X834" s="73">
        <f>IF(C834="ministral",0,COUNTIFS($C$2:$C$976,"&lt;&gt;ministral",$S$2:$S$976,"&lt;"&amp;S834)+1)</f>
        <v/>
      </c>
      <c r="Y834" s="73">
        <f>IF(C834="gemma",0,COUNTIFS($C$2:$C$976,"&lt;&gt;gemma",$S$2:$S$976,"&lt;"&amp;S834)+1)</f>
        <v/>
      </c>
      <c r="Z834" s="87">
        <f>COUNTIFS($B$2:$B$976,B834,$C$2:$C$976,C834,$S$2:$S$976,"&lt;"&amp;S834)+1</f>
        <v/>
      </c>
      <c r="AA834" s="88">
        <f>ABS(S834-SUMPRODUCT(('05B_가정검정'!$A$5:$A$19=B834)*('05B_가정검정'!$B$5:$B$19=C834)*'05B_가정검정'!$E$5:$E$19))</f>
        <v/>
      </c>
      <c r="AB834" s="88">
        <f>S834-AVERAGEIFS($S$2:$S$976,$B$2:$B$976,B834,$C$2:$C$976,C834)</f>
        <v/>
      </c>
    </row>
    <row r="835" ht="15" customHeight="1" s="68">
      <c r="A835" s="83" t="inlineStr">
        <is>
          <t>RPT-25</t>
        </is>
      </c>
      <c r="B835" s="83" t="inlineStr">
        <is>
          <t>gemini</t>
        </is>
      </c>
      <c r="C835" s="83" t="inlineStr">
        <is>
          <t>qwen</t>
        </is>
      </c>
      <c r="D835" s="84" t="n">
        <v>0.277929155313352</v>
      </c>
      <c r="E835" s="84" t="n">
        <v>0.402684563758389</v>
      </c>
      <c r="F835" s="84" t="n">
        <v>0.155405405405405</v>
      </c>
      <c r="G835" s="84" t="n">
        <v>0.275167785234899</v>
      </c>
      <c r="H835" s="84" t="n">
        <v>0.297377943916861</v>
      </c>
      <c r="I835" s="84" t="n">
        <v>0.37292221043573</v>
      </c>
      <c r="J835" s="84" t="n">
        <v>0.738423940230968</v>
      </c>
      <c r="K835" s="84" t="n">
        <v>0.749351669189196</v>
      </c>
      <c r="L835" s="84" t="n">
        <v>0.876880400730359</v>
      </c>
      <c r="M835" s="84" t="n">
        <v>0.659863945578231</v>
      </c>
      <c r="N835" s="84" t="n">
        <v>0.785714285714286</v>
      </c>
      <c r="O835" s="84" t="n">
        <v>1</v>
      </c>
      <c r="P835" s="85">
        <f>AVERAGE(D835:I835)</f>
        <v/>
      </c>
      <c r="Q835" s="85">
        <f>AVERAGE(J835:L835)</f>
        <v/>
      </c>
      <c r="R835" s="85">
        <f>AVERAGE(M835:O835)</f>
        <v/>
      </c>
      <c r="S835" s="85">
        <f>'02_지표정의'!$C$22*P835+'02_지표정의'!$C$23*Q835+'02_지표정의'!$C$24*R835</f>
        <v/>
      </c>
      <c r="T835" s="73">
        <f>IF(OR(AND(B835="gemini",C835="gemma"),AND(B835="qwen3_6",C835="qwen"),AND(B835="mistral",C835="ministral")),1,0)</f>
        <v/>
      </c>
      <c r="U835" s="73">
        <f>IF(LEFT(A835,3)="PAT","특허","보고서")</f>
        <v/>
      </c>
      <c r="V835" s="86">
        <f>COUNTIF($S$2:$S$976,"&lt;"&amp;S835)+(COUNTIF($S$2:$S$976,"="&amp;S835)+1)/2</f>
        <v/>
      </c>
      <c r="W835" s="73">
        <f>IF(C835="qwen",0,COUNTIFS($C$2:$C$976,"&lt;&gt;qwen",$S$2:$S$976,"&lt;"&amp;S835)+1)</f>
        <v/>
      </c>
      <c r="X835" s="73">
        <f>IF(C835="ministral",0,COUNTIFS($C$2:$C$976,"&lt;&gt;ministral",$S$2:$S$976,"&lt;"&amp;S835)+1)</f>
        <v/>
      </c>
      <c r="Y835" s="73">
        <f>IF(C835="gemma",0,COUNTIFS($C$2:$C$976,"&lt;&gt;gemma",$S$2:$S$976,"&lt;"&amp;S835)+1)</f>
        <v/>
      </c>
      <c r="Z835" s="87">
        <f>COUNTIFS($B$2:$B$976,B835,$C$2:$C$976,C835,$S$2:$S$976,"&lt;"&amp;S835)+1</f>
        <v/>
      </c>
      <c r="AA835" s="88">
        <f>ABS(S835-SUMPRODUCT(('05B_가정검정'!$A$5:$A$19=B835)*('05B_가정검정'!$B$5:$B$19=C835)*'05B_가정검정'!$E$5:$E$19))</f>
        <v/>
      </c>
      <c r="AB835" s="88">
        <f>S835-AVERAGEIFS($S$2:$S$976,$B$2:$B$976,B835,$C$2:$C$976,C835)</f>
        <v/>
      </c>
    </row>
    <row r="836" ht="15" customHeight="1" s="68">
      <c r="A836" s="83" t="inlineStr">
        <is>
          <t>RPT-25</t>
        </is>
      </c>
      <c r="B836" s="83" t="inlineStr">
        <is>
          <t>mistral</t>
        </is>
      </c>
      <c r="C836" s="83" t="inlineStr">
        <is>
          <t>gemma</t>
        </is>
      </c>
      <c r="D836" s="84" t="n">
        <v>0.286821705426357</v>
      </c>
      <c r="E836" s="84" t="n">
        <v>0.37593984962406</v>
      </c>
      <c r="F836" s="84" t="n">
        <v>0.121212121212121</v>
      </c>
      <c r="G836" s="84" t="n">
        <v>0.24812030075188</v>
      </c>
      <c r="H836" s="84" t="n">
        <v>0.306511238608037</v>
      </c>
      <c r="I836" s="84" t="n">
        <v>0.297544129717217</v>
      </c>
      <c r="J836" s="84" t="n">
        <v>0.687676605122338</v>
      </c>
      <c r="K836" s="84" t="n">
        <v>0.663913893301292</v>
      </c>
      <c r="L836" s="84" t="n">
        <v>0.843249327562</v>
      </c>
      <c r="M836" s="84" t="n">
        <v>0.659259259259259</v>
      </c>
      <c r="N836" s="84" t="n">
        <v>0.6621621621621619</v>
      </c>
      <c r="O836" s="84" t="n">
        <v>1</v>
      </c>
      <c r="P836" s="85">
        <f>AVERAGE(D836:I836)</f>
        <v/>
      </c>
      <c r="Q836" s="85">
        <f>AVERAGE(J836:L836)</f>
        <v/>
      </c>
      <c r="R836" s="85">
        <f>AVERAGE(M836:O836)</f>
        <v/>
      </c>
      <c r="S836" s="85">
        <f>'02_지표정의'!$C$22*P836+'02_지표정의'!$C$23*Q836+'02_지표정의'!$C$24*R836</f>
        <v/>
      </c>
      <c r="T836" s="73">
        <f>IF(OR(AND(B836="gemini",C836="gemma"),AND(B836="qwen3_6",C836="qwen"),AND(B836="mistral",C836="ministral")),1,0)</f>
        <v/>
      </c>
      <c r="U836" s="73">
        <f>IF(LEFT(A836,3)="PAT","특허","보고서")</f>
        <v/>
      </c>
      <c r="V836" s="86">
        <f>COUNTIF($S$2:$S$976,"&lt;"&amp;S836)+(COUNTIF($S$2:$S$976,"="&amp;S836)+1)/2</f>
        <v/>
      </c>
      <c r="W836" s="73">
        <f>IF(C836="qwen",0,COUNTIFS($C$2:$C$976,"&lt;&gt;qwen",$S$2:$S$976,"&lt;"&amp;S836)+1)</f>
        <v/>
      </c>
      <c r="X836" s="73">
        <f>IF(C836="ministral",0,COUNTIFS($C$2:$C$976,"&lt;&gt;ministral",$S$2:$S$976,"&lt;"&amp;S836)+1)</f>
        <v/>
      </c>
      <c r="Y836" s="73">
        <f>IF(C836="gemma",0,COUNTIFS($C$2:$C$976,"&lt;&gt;gemma",$S$2:$S$976,"&lt;"&amp;S836)+1)</f>
        <v/>
      </c>
      <c r="Z836" s="87">
        <f>COUNTIFS($B$2:$B$976,B836,$C$2:$C$976,C836,$S$2:$S$976,"&lt;"&amp;S836)+1</f>
        <v/>
      </c>
      <c r="AA836" s="88">
        <f>ABS(S836-SUMPRODUCT(('05B_가정검정'!$A$5:$A$19=B836)*('05B_가정검정'!$B$5:$B$19=C836)*'05B_가정검정'!$E$5:$E$19))</f>
        <v/>
      </c>
      <c r="AB836" s="88">
        <f>S836-AVERAGEIFS($S$2:$S$976,$B$2:$B$976,B836,$C$2:$C$976,C836)</f>
        <v/>
      </c>
    </row>
    <row r="837" ht="15" customHeight="1" s="68">
      <c r="A837" s="83" t="inlineStr">
        <is>
          <t>RPT-25</t>
        </is>
      </c>
      <c r="B837" s="83" t="inlineStr">
        <is>
          <t>mistral</t>
        </is>
      </c>
      <c r="C837" s="83" t="inlineStr">
        <is>
          <t>ministral</t>
        </is>
      </c>
      <c r="D837" s="84" t="n">
        <v>0.391167192429022</v>
      </c>
      <c r="E837" s="84" t="n">
        <v>0.444444444444444</v>
      </c>
      <c r="F837" s="84" t="n">
        <v>0.254826254826255</v>
      </c>
      <c r="G837" s="84" t="n">
        <v>0.352490421455939</v>
      </c>
      <c r="H837" s="84" t="n">
        <v>0.288521264895716</v>
      </c>
      <c r="I837" s="84" t="n">
        <v>0.499958847198302</v>
      </c>
      <c r="J837" s="84" t="n">
        <v>0.721849425834164</v>
      </c>
      <c r="K837" s="84" t="n">
        <v>0.720146075873064</v>
      </c>
      <c r="L837" s="84" t="n">
        <v>0.883940121974693</v>
      </c>
      <c r="M837" s="84" t="n">
        <v>0.592783505154639</v>
      </c>
      <c r="N837" s="84" t="n">
        <v>0.384615384615385</v>
      </c>
      <c r="O837" s="84" t="n">
        <v>1</v>
      </c>
      <c r="P837" s="85">
        <f>AVERAGE(D837:I837)</f>
        <v/>
      </c>
      <c r="Q837" s="85">
        <f>AVERAGE(J837:L837)</f>
        <v/>
      </c>
      <c r="R837" s="85">
        <f>AVERAGE(M837:O837)</f>
        <v/>
      </c>
      <c r="S837" s="85">
        <f>'02_지표정의'!$C$22*P837+'02_지표정의'!$C$23*Q837+'02_지표정의'!$C$24*R837</f>
        <v/>
      </c>
      <c r="T837" s="73">
        <f>IF(OR(AND(B837="gemini",C837="gemma"),AND(B837="qwen3_6",C837="qwen"),AND(B837="mistral",C837="ministral")),1,0)</f>
        <v/>
      </c>
      <c r="U837" s="73">
        <f>IF(LEFT(A837,3)="PAT","특허","보고서")</f>
        <v/>
      </c>
      <c r="V837" s="86">
        <f>COUNTIF($S$2:$S$976,"&lt;"&amp;S837)+(COUNTIF($S$2:$S$976,"="&amp;S837)+1)/2</f>
        <v/>
      </c>
      <c r="W837" s="73">
        <f>IF(C837="qwen",0,COUNTIFS($C$2:$C$976,"&lt;&gt;qwen",$S$2:$S$976,"&lt;"&amp;S837)+1)</f>
        <v/>
      </c>
      <c r="X837" s="73">
        <f>IF(C837="ministral",0,COUNTIFS($C$2:$C$976,"&lt;&gt;ministral",$S$2:$S$976,"&lt;"&amp;S837)+1)</f>
        <v/>
      </c>
      <c r="Y837" s="73">
        <f>IF(C837="gemma",0,COUNTIFS($C$2:$C$976,"&lt;&gt;gemma",$S$2:$S$976,"&lt;"&amp;S837)+1)</f>
        <v/>
      </c>
      <c r="Z837" s="87">
        <f>COUNTIFS($B$2:$B$976,B837,$C$2:$C$976,C837,$S$2:$S$976,"&lt;"&amp;S837)+1</f>
        <v/>
      </c>
      <c r="AA837" s="88">
        <f>ABS(S837-SUMPRODUCT(('05B_가정검정'!$A$5:$A$19=B837)*('05B_가정검정'!$B$5:$B$19=C837)*'05B_가정검정'!$E$5:$E$19))</f>
        <v/>
      </c>
      <c r="AB837" s="88">
        <f>S837-AVERAGEIFS($S$2:$S$976,$B$2:$B$976,B837,$C$2:$C$976,C837)</f>
        <v/>
      </c>
    </row>
    <row r="838" ht="15" customHeight="1" s="68">
      <c r="A838" s="83" t="inlineStr">
        <is>
          <t>RPT-25</t>
        </is>
      </c>
      <c r="B838" s="83" t="inlineStr">
        <is>
          <t>mistral</t>
        </is>
      </c>
      <c r="C838" s="83" t="inlineStr">
        <is>
          <t>qwen</t>
        </is>
      </c>
      <c r="D838" s="84" t="n">
        <v>0.297450424929178</v>
      </c>
      <c r="E838" s="84" t="n">
        <v>0.416107382550336</v>
      </c>
      <c r="F838" s="84" t="n">
        <v>0.182432432432432</v>
      </c>
      <c r="G838" s="84" t="n">
        <v>0.275167785234899</v>
      </c>
      <c r="H838" s="84" t="n">
        <v>0.301707073975519</v>
      </c>
      <c r="I838" s="84" t="n">
        <v>0.366847394139097</v>
      </c>
      <c r="J838" s="84" t="n">
        <v>0.694007270105903</v>
      </c>
      <c r="K838" s="84" t="n">
        <v>0.7193762409205871</v>
      </c>
      <c r="L838" s="84" t="n">
        <v>0.852414017867175</v>
      </c>
      <c r="M838" s="84" t="n">
        <v>0.700680272108844</v>
      </c>
      <c r="N838" s="84" t="n">
        <v>0.527027027027027</v>
      </c>
      <c r="O838" s="84" t="n">
        <v>1</v>
      </c>
      <c r="P838" s="85">
        <f>AVERAGE(D838:I838)</f>
        <v/>
      </c>
      <c r="Q838" s="85">
        <f>AVERAGE(J838:L838)</f>
        <v/>
      </c>
      <c r="R838" s="85">
        <f>AVERAGE(M838:O838)</f>
        <v/>
      </c>
      <c r="S838" s="85">
        <f>'02_지표정의'!$C$22*P838+'02_지표정의'!$C$23*Q838+'02_지표정의'!$C$24*R838</f>
        <v/>
      </c>
      <c r="T838" s="73">
        <f>IF(OR(AND(B838="gemini",C838="gemma"),AND(B838="qwen3_6",C838="qwen"),AND(B838="mistral",C838="ministral")),1,0)</f>
        <v/>
      </c>
      <c r="U838" s="73">
        <f>IF(LEFT(A838,3)="PAT","특허","보고서")</f>
        <v/>
      </c>
      <c r="V838" s="86">
        <f>COUNTIF($S$2:$S$976,"&lt;"&amp;S838)+(COUNTIF($S$2:$S$976,"="&amp;S838)+1)/2</f>
        <v/>
      </c>
      <c r="W838" s="73">
        <f>IF(C838="qwen",0,COUNTIFS($C$2:$C$976,"&lt;&gt;qwen",$S$2:$S$976,"&lt;"&amp;S838)+1)</f>
        <v/>
      </c>
      <c r="X838" s="73">
        <f>IF(C838="ministral",0,COUNTIFS($C$2:$C$976,"&lt;&gt;ministral",$S$2:$S$976,"&lt;"&amp;S838)+1)</f>
        <v/>
      </c>
      <c r="Y838" s="73">
        <f>IF(C838="gemma",0,COUNTIFS($C$2:$C$976,"&lt;&gt;gemma",$S$2:$S$976,"&lt;"&amp;S838)+1)</f>
        <v/>
      </c>
      <c r="Z838" s="87">
        <f>COUNTIFS($B$2:$B$976,B838,$C$2:$C$976,C838,$S$2:$S$976,"&lt;"&amp;S838)+1</f>
        <v/>
      </c>
      <c r="AA838" s="88">
        <f>ABS(S838-SUMPRODUCT(('05B_가정검정'!$A$5:$A$19=B838)*('05B_가정검정'!$B$5:$B$19=C838)*'05B_가정검정'!$E$5:$E$19))</f>
        <v/>
      </c>
      <c r="AB838" s="88">
        <f>S838-AVERAGEIFS($S$2:$S$976,$B$2:$B$976,B838,$C$2:$C$976,C838)</f>
        <v/>
      </c>
    </row>
    <row r="839" ht="15" customHeight="1" s="68">
      <c r="A839" s="83" t="inlineStr">
        <is>
          <t>RPT-25</t>
        </is>
      </c>
      <c r="B839" s="83" t="inlineStr">
        <is>
          <t>qwen3_6</t>
        </is>
      </c>
      <c r="C839" s="83" t="inlineStr">
        <is>
          <t>gemma</t>
        </is>
      </c>
      <c r="D839" s="84" t="n">
        <v>0.275784753363229</v>
      </c>
      <c r="E839" s="84" t="n">
        <v>0.404984423676013</v>
      </c>
      <c r="F839" s="84" t="n">
        <v>0.144200626959248</v>
      </c>
      <c r="G839" s="84" t="n">
        <v>0.255451713395639</v>
      </c>
      <c r="H839" s="84" t="n">
        <v>0.403138677376649</v>
      </c>
      <c r="I839" s="84" t="n">
        <v>0.288965511818719</v>
      </c>
      <c r="J839" s="84" t="n">
        <v>0.70951514419589</v>
      </c>
      <c r="K839" s="84" t="n">
        <v>0.726516426292538</v>
      </c>
      <c r="L839" s="84" t="n">
        <v>0.890355574637516</v>
      </c>
      <c r="M839" s="84" t="n">
        <v>0.906542056074766</v>
      </c>
      <c r="N839" s="84" t="n">
        <v>0.916666666666667</v>
      </c>
      <c r="O839" s="84" t="n">
        <v>1</v>
      </c>
      <c r="P839" s="85">
        <f>AVERAGE(D839:I839)</f>
        <v/>
      </c>
      <c r="Q839" s="85">
        <f>AVERAGE(J839:L839)</f>
        <v/>
      </c>
      <c r="R839" s="85">
        <f>AVERAGE(M839:O839)</f>
        <v/>
      </c>
      <c r="S839" s="85">
        <f>'02_지표정의'!$C$22*P839+'02_지표정의'!$C$23*Q839+'02_지표정의'!$C$24*R839</f>
        <v/>
      </c>
      <c r="T839" s="73">
        <f>IF(OR(AND(B839="gemini",C839="gemma"),AND(B839="qwen3_6",C839="qwen"),AND(B839="mistral",C839="ministral")),1,0)</f>
        <v/>
      </c>
      <c r="U839" s="73">
        <f>IF(LEFT(A839,3)="PAT","특허","보고서")</f>
        <v/>
      </c>
      <c r="V839" s="86">
        <f>COUNTIF($S$2:$S$976,"&lt;"&amp;S839)+(COUNTIF($S$2:$S$976,"="&amp;S839)+1)/2</f>
        <v/>
      </c>
      <c r="W839" s="73">
        <f>IF(C839="qwen",0,COUNTIFS($C$2:$C$976,"&lt;&gt;qwen",$S$2:$S$976,"&lt;"&amp;S839)+1)</f>
        <v/>
      </c>
      <c r="X839" s="73">
        <f>IF(C839="ministral",0,COUNTIFS($C$2:$C$976,"&lt;&gt;ministral",$S$2:$S$976,"&lt;"&amp;S839)+1)</f>
        <v/>
      </c>
      <c r="Y839" s="73">
        <f>IF(C839="gemma",0,COUNTIFS($C$2:$C$976,"&lt;&gt;gemma",$S$2:$S$976,"&lt;"&amp;S839)+1)</f>
        <v/>
      </c>
      <c r="Z839" s="87">
        <f>COUNTIFS($B$2:$B$976,B839,$C$2:$C$976,C839,$S$2:$S$976,"&lt;"&amp;S839)+1</f>
        <v/>
      </c>
      <c r="AA839" s="88">
        <f>ABS(S839-SUMPRODUCT(('05B_가정검정'!$A$5:$A$19=B839)*('05B_가정검정'!$B$5:$B$19=C839)*'05B_가정검정'!$E$5:$E$19))</f>
        <v/>
      </c>
      <c r="AB839" s="88">
        <f>S839-AVERAGEIFS($S$2:$S$976,$B$2:$B$976,B839,$C$2:$C$976,C839)</f>
        <v/>
      </c>
    </row>
    <row r="840" ht="15" customHeight="1" s="68">
      <c r="A840" s="83" t="inlineStr">
        <is>
          <t>RPT-25</t>
        </is>
      </c>
      <c r="B840" s="83" t="inlineStr">
        <is>
          <t>qwen3_6</t>
        </is>
      </c>
      <c r="C840" s="83" t="inlineStr">
        <is>
          <t>ministral</t>
        </is>
      </c>
      <c r="D840" s="84" t="n">
        <v>0.284574468085106</v>
      </c>
      <c r="E840" s="84" t="n">
        <v>0.392405063291139</v>
      </c>
      <c r="F840" s="84" t="n">
        <v>0.203821656050955</v>
      </c>
      <c r="G840" s="84" t="n">
        <v>0.29746835443038</v>
      </c>
      <c r="H840" s="84" t="n">
        <v>0.318299886238097</v>
      </c>
      <c r="I840" s="84" t="n">
        <v>0.337615834865186</v>
      </c>
      <c r="J840" s="84" t="n">
        <v>0.724346259152137</v>
      </c>
      <c r="K840" s="84" t="n">
        <v>0.740135871131162</v>
      </c>
      <c r="L840" s="84" t="n">
        <v>0.897931216138775</v>
      </c>
      <c r="M840" s="84" t="n">
        <v>0.5</v>
      </c>
      <c r="N840" s="84" t="n">
        <v>0.528846153846154</v>
      </c>
      <c r="O840" s="84" t="n">
        <v>1</v>
      </c>
      <c r="P840" s="85">
        <f>AVERAGE(D840:I840)</f>
        <v/>
      </c>
      <c r="Q840" s="85">
        <f>AVERAGE(J840:L840)</f>
        <v/>
      </c>
      <c r="R840" s="85">
        <f>AVERAGE(M840:O840)</f>
        <v/>
      </c>
      <c r="S840" s="85">
        <f>'02_지표정의'!$C$22*P840+'02_지표정의'!$C$23*Q840+'02_지표정의'!$C$24*R840</f>
        <v/>
      </c>
      <c r="T840" s="73">
        <f>IF(OR(AND(B840="gemini",C840="gemma"),AND(B840="qwen3_6",C840="qwen"),AND(B840="mistral",C840="ministral")),1,0)</f>
        <v/>
      </c>
      <c r="U840" s="73">
        <f>IF(LEFT(A840,3)="PAT","특허","보고서")</f>
        <v/>
      </c>
      <c r="V840" s="86">
        <f>COUNTIF($S$2:$S$976,"&lt;"&amp;S840)+(COUNTIF($S$2:$S$976,"="&amp;S840)+1)/2</f>
        <v/>
      </c>
      <c r="W840" s="73">
        <f>IF(C840="qwen",0,COUNTIFS($C$2:$C$976,"&lt;&gt;qwen",$S$2:$S$976,"&lt;"&amp;S840)+1)</f>
        <v/>
      </c>
      <c r="X840" s="73">
        <f>IF(C840="ministral",0,COUNTIFS($C$2:$C$976,"&lt;&gt;ministral",$S$2:$S$976,"&lt;"&amp;S840)+1)</f>
        <v/>
      </c>
      <c r="Y840" s="73">
        <f>IF(C840="gemma",0,COUNTIFS($C$2:$C$976,"&lt;&gt;gemma",$S$2:$S$976,"&lt;"&amp;S840)+1)</f>
        <v/>
      </c>
      <c r="Z840" s="87">
        <f>COUNTIFS($B$2:$B$976,B840,$C$2:$C$976,C840,$S$2:$S$976,"&lt;"&amp;S840)+1</f>
        <v/>
      </c>
      <c r="AA840" s="88">
        <f>ABS(S840-SUMPRODUCT(('05B_가정검정'!$A$5:$A$19=B840)*('05B_가정검정'!$B$5:$B$19=C840)*'05B_가정검정'!$E$5:$E$19))</f>
        <v/>
      </c>
      <c r="AB840" s="88">
        <f>S840-AVERAGEIFS($S$2:$S$976,$B$2:$B$976,B840,$C$2:$C$976,C840)</f>
        <v/>
      </c>
    </row>
    <row r="841" ht="15" customHeight="1" s="68">
      <c r="A841" s="83" t="inlineStr">
        <is>
          <t>RPT-25</t>
        </is>
      </c>
      <c r="B841" s="83" t="inlineStr">
        <is>
          <t>qwen3_6</t>
        </is>
      </c>
      <c r="C841" s="83" t="inlineStr">
        <is>
          <t>qwen</t>
        </is>
      </c>
      <c r="D841" s="84" t="n">
        <v>0.342233009708738</v>
      </c>
      <c r="E841" s="84" t="n">
        <v>0.498583569405099</v>
      </c>
      <c r="F841" s="84" t="n">
        <v>0.210826210826211</v>
      </c>
      <c r="G841" s="84" t="n">
        <v>0.31728045325779</v>
      </c>
      <c r="H841" s="84" t="n">
        <v>0.434193235433078</v>
      </c>
      <c r="I841" s="84" t="n">
        <v>0.428370698501417</v>
      </c>
      <c r="J841" s="84" t="n">
        <v>0.7269763475298781</v>
      </c>
      <c r="K841" s="84" t="n">
        <v>0.757459610449981</v>
      </c>
      <c r="L841" s="84" t="n">
        <v>0.8990470728022359</v>
      </c>
      <c r="M841" s="84" t="n">
        <v>0.659863945578231</v>
      </c>
      <c r="N841" s="84" t="n">
        <v>0.785714285714286</v>
      </c>
      <c r="O841" s="84" t="n">
        <v>1</v>
      </c>
      <c r="P841" s="85">
        <f>AVERAGE(D841:I841)</f>
        <v/>
      </c>
      <c r="Q841" s="85">
        <f>AVERAGE(J841:L841)</f>
        <v/>
      </c>
      <c r="R841" s="85">
        <f>AVERAGE(M841:O841)</f>
        <v/>
      </c>
      <c r="S841" s="85">
        <f>'02_지표정의'!$C$22*P841+'02_지표정의'!$C$23*Q841+'02_지표정의'!$C$24*R841</f>
        <v/>
      </c>
      <c r="T841" s="73">
        <f>IF(OR(AND(B841="gemini",C841="gemma"),AND(B841="qwen3_6",C841="qwen"),AND(B841="mistral",C841="ministral")),1,0)</f>
        <v/>
      </c>
      <c r="U841" s="73">
        <f>IF(LEFT(A841,3)="PAT","특허","보고서")</f>
        <v/>
      </c>
      <c r="V841" s="86">
        <f>COUNTIF($S$2:$S$976,"&lt;"&amp;S841)+(COUNTIF($S$2:$S$976,"="&amp;S841)+1)/2</f>
        <v/>
      </c>
      <c r="W841" s="73">
        <f>IF(C841="qwen",0,COUNTIFS($C$2:$C$976,"&lt;&gt;qwen",$S$2:$S$976,"&lt;"&amp;S841)+1)</f>
        <v/>
      </c>
      <c r="X841" s="73">
        <f>IF(C841="ministral",0,COUNTIFS($C$2:$C$976,"&lt;&gt;ministral",$S$2:$S$976,"&lt;"&amp;S841)+1)</f>
        <v/>
      </c>
      <c r="Y841" s="73">
        <f>IF(C841="gemma",0,COUNTIFS($C$2:$C$976,"&lt;&gt;gemma",$S$2:$S$976,"&lt;"&amp;S841)+1)</f>
        <v/>
      </c>
      <c r="Z841" s="87">
        <f>COUNTIFS($B$2:$B$976,B841,$C$2:$C$976,C841,$S$2:$S$976,"&lt;"&amp;S841)+1</f>
        <v/>
      </c>
      <c r="AA841" s="88">
        <f>ABS(S841-SUMPRODUCT(('05B_가정검정'!$A$5:$A$19=B841)*('05B_가정검정'!$B$5:$B$19=C841)*'05B_가정검정'!$E$5:$E$19))</f>
        <v/>
      </c>
      <c r="AB841" s="88">
        <f>S841-AVERAGEIFS($S$2:$S$976,$B$2:$B$976,B841,$C$2:$C$976,C841)</f>
        <v/>
      </c>
    </row>
    <row r="842" ht="15" customHeight="1" s="68">
      <c r="A842" s="83" t="inlineStr">
        <is>
          <t>RPT-26</t>
        </is>
      </c>
      <c r="B842" s="83" t="inlineStr">
        <is>
          <t>chatgpt</t>
        </is>
      </c>
      <c r="C842" s="83" t="inlineStr">
        <is>
          <t>gemma</t>
        </is>
      </c>
      <c r="D842" s="84" t="n">
        <v>0.238153098420413</v>
      </c>
      <c r="E842" s="84" t="n">
        <v>0.336448598130841</v>
      </c>
      <c r="F842" s="84" t="n">
        <v>0.113207547169811</v>
      </c>
      <c r="G842" s="84" t="n">
        <v>0.271028037383178</v>
      </c>
      <c r="H842" s="84" t="n">
        <v>0.304313707368691</v>
      </c>
      <c r="I842" s="84" t="n">
        <v>0.14797328444315</v>
      </c>
      <c r="J842" s="84" t="n">
        <v>0.639337458941691</v>
      </c>
      <c r="K842" s="84" t="n">
        <v>0.582875920762472</v>
      </c>
      <c r="L842" s="84" t="n">
        <v>0.774217875029766</v>
      </c>
      <c r="M842" s="84" t="n">
        <v>0.392405063291139</v>
      </c>
      <c r="N842" s="84" t="n">
        <v>0.139705882352941</v>
      </c>
      <c r="O842" s="84" t="n">
        <v>1</v>
      </c>
      <c r="P842" s="85">
        <f>AVERAGE(D842:I842)</f>
        <v/>
      </c>
      <c r="Q842" s="85">
        <f>AVERAGE(J842:L842)</f>
        <v/>
      </c>
      <c r="R842" s="85">
        <f>AVERAGE(M842:O842)</f>
        <v/>
      </c>
      <c r="S842" s="85">
        <f>'02_지표정의'!$C$22*P842+'02_지표정의'!$C$23*Q842+'02_지표정의'!$C$24*R842</f>
        <v/>
      </c>
      <c r="T842" s="73">
        <f>IF(OR(AND(B842="gemini",C842="gemma"),AND(B842="qwen3_6",C842="qwen"),AND(B842="mistral",C842="ministral")),1,0)</f>
        <v/>
      </c>
      <c r="U842" s="73">
        <f>IF(LEFT(A842,3)="PAT","특허","보고서")</f>
        <v/>
      </c>
      <c r="V842" s="86">
        <f>COUNTIF($S$2:$S$976,"&lt;"&amp;S842)+(COUNTIF($S$2:$S$976,"="&amp;S842)+1)/2</f>
        <v/>
      </c>
      <c r="W842" s="73">
        <f>IF(C842="qwen",0,COUNTIFS($C$2:$C$976,"&lt;&gt;qwen",$S$2:$S$976,"&lt;"&amp;S842)+1)</f>
        <v/>
      </c>
      <c r="X842" s="73">
        <f>IF(C842="ministral",0,COUNTIFS($C$2:$C$976,"&lt;&gt;ministral",$S$2:$S$976,"&lt;"&amp;S842)+1)</f>
        <v/>
      </c>
      <c r="Y842" s="73">
        <f>IF(C842="gemma",0,COUNTIFS($C$2:$C$976,"&lt;&gt;gemma",$S$2:$S$976,"&lt;"&amp;S842)+1)</f>
        <v/>
      </c>
      <c r="Z842" s="87">
        <f>COUNTIFS($B$2:$B$976,B842,$C$2:$C$976,C842,$S$2:$S$976,"&lt;"&amp;S842)+1</f>
        <v/>
      </c>
      <c r="AA842" s="88">
        <f>ABS(S842-SUMPRODUCT(('05B_가정검정'!$A$5:$A$19=B842)*('05B_가정검정'!$B$5:$B$19=C842)*'05B_가정검정'!$E$5:$E$19))</f>
        <v/>
      </c>
      <c r="AB842" s="88">
        <f>S842-AVERAGEIFS($S$2:$S$976,$B$2:$B$976,B842,$C$2:$C$976,C842)</f>
        <v/>
      </c>
    </row>
    <row r="843" ht="15" customHeight="1" s="68">
      <c r="A843" s="83" t="inlineStr">
        <is>
          <t>RPT-26</t>
        </is>
      </c>
      <c r="B843" s="83" t="inlineStr">
        <is>
          <t>chatgpt</t>
        </is>
      </c>
      <c r="C843" s="83" t="inlineStr">
        <is>
          <t>ministral</t>
        </is>
      </c>
      <c r="D843" s="84" t="n">
        <v>0.307888040712468</v>
      </c>
      <c r="E843" s="84" t="n">
        <v>0.422018348623853</v>
      </c>
      <c r="F843" s="84" t="n">
        <v>0.231481481481482</v>
      </c>
      <c r="G843" s="84" t="n">
        <v>0.385321100917431</v>
      </c>
      <c r="H843" s="84" t="n">
        <v>0.245571441689034</v>
      </c>
      <c r="I843" s="84" t="n">
        <v>0.286353977615515</v>
      </c>
      <c r="J843" s="84" t="n">
        <v>0.6986956371208169</v>
      </c>
      <c r="K843" s="84" t="n">
        <v>0.632073016470127</v>
      </c>
      <c r="L843" s="84" t="n">
        <v>0.789396388421865</v>
      </c>
      <c r="M843" s="84" t="n">
        <v>0.536231884057971</v>
      </c>
      <c r="N843" s="84" t="n">
        <v>0</v>
      </c>
      <c r="O843" s="84" t="n">
        <v>0.526315789473684</v>
      </c>
      <c r="P843" s="85">
        <f>AVERAGE(D843:I843)</f>
        <v/>
      </c>
      <c r="Q843" s="85">
        <f>AVERAGE(J843:L843)</f>
        <v/>
      </c>
      <c r="R843" s="85">
        <f>AVERAGE(M843:O843)</f>
        <v/>
      </c>
      <c r="S843" s="85">
        <f>'02_지표정의'!$C$22*P843+'02_지표정의'!$C$23*Q843+'02_지표정의'!$C$24*R843</f>
        <v/>
      </c>
      <c r="T843" s="73">
        <f>IF(OR(AND(B843="gemini",C843="gemma"),AND(B843="qwen3_6",C843="qwen"),AND(B843="mistral",C843="ministral")),1,0)</f>
        <v/>
      </c>
      <c r="U843" s="73">
        <f>IF(LEFT(A843,3)="PAT","특허","보고서")</f>
        <v/>
      </c>
      <c r="V843" s="86">
        <f>COUNTIF($S$2:$S$976,"&lt;"&amp;S843)+(COUNTIF($S$2:$S$976,"="&amp;S843)+1)/2</f>
        <v/>
      </c>
      <c r="W843" s="73">
        <f>IF(C843="qwen",0,COUNTIFS($C$2:$C$976,"&lt;&gt;qwen",$S$2:$S$976,"&lt;"&amp;S843)+1)</f>
        <v/>
      </c>
      <c r="X843" s="73">
        <f>IF(C843="ministral",0,COUNTIFS($C$2:$C$976,"&lt;&gt;ministral",$S$2:$S$976,"&lt;"&amp;S843)+1)</f>
        <v/>
      </c>
      <c r="Y843" s="73">
        <f>IF(C843="gemma",0,COUNTIFS($C$2:$C$976,"&lt;&gt;gemma",$S$2:$S$976,"&lt;"&amp;S843)+1)</f>
        <v/>
      </c>
      <c r="Z843" s="87">
        <f>COUNTIFS($B$2:$B$976,B843,$C$2:$C$976,C843,$S$2:$S$976,"&lt;"&amp;S843)+1</f>
        <v/>
      </c>
      <c r="AA843" s="88">
        <f>ABS(S843-SUMPRODUCT(('05B_가정검정'!$A$5:$A$19=B843)*('05B_가정검정'!$B$5:$B$19=C843)*'05B_가정검정'!$E$5:$E$19))</f>
        <v/>
      </c>
      <c r="AB843" s="88">
        <f>S843-AVERAGEIFS($S$2:$S$976,$B$2:$B$976,B843,$C$2:$C$976,C843)</f>
        <v/>
      </c>
    </row>
    <row r="844" ht="15" customHeight="1" s="68">
      <c r="A844" s="83" t="inlineStr">
        <is>
          <t>RPT-26</t>
        </is>
      </c>
      <c r="B844" s="83" t="inlineStr">
        <is>
          <t>chatgpt</t>
        </is>
      </c>
      <c r="C844" s="83" t="inlineStr">
        <is>
          <t>qwen</t>
        </is>
      </c>
      <c r="D844" s="84" t="n">
        <v>0.308074534161491</v>
      </c>
      <c r="E844" s="84" t="n">
        <v>0.330645161290323</v>
      </c>
      <c r="F844" s="84" t="n">
        <v>0.113821138211382</v>
      </c>
      <c r="G844" s="84" t="n">
        <v>0.241935483870968</v>
      </c>
      <c r="H844" s="84" t="n">
        <v>0.309870044547179</v>
      </c>
      <c r="I844" s="84" t="n">
        <v>0.277211949102004</v>
      </c>
      <c r="J844" s="84" t="n">
        <v>0.685216663627636</v>
      </c>
      <c r="K844" s="84" t="n">
        <v>0.601449970348176</v>
      </c>
      <c r="L844" s="84" t="n">
        <v>0.798669569706253</v>
      </c>
      <c r="M844" s="84" t="n">
        <v>0.573839662447257</v>
      </c>
      <c r="N844" s="84" t="n">
        <v>0.191176470588235</v>
      </c>
      <c r="O844" s="84" t="n">
        <v>1</v>
      </c>
      <c r="P844" s="85">
        <f>AVERAGE(D844:I844)</f>
        <v/>
      </c>
      <c r="Q844" s="85">
        <f>AVERAGE(J844:L844)</f>
        <v/>
      </c>
      <c r="R844" s="85">
        <f>AVERAGE(M844:O844)</f>
        <v/>
      </c>
      <c r="S844" s="85">
        <f>'02_지표정의'!$C$22*P844+'02_지표정의'!$C$23*Q844+'02_지표정의'!$C$24*R844</f>
        <v/>
      </c>
      <c r="T844" s="73">
        <f>IF(OR(AND(B844="gemini",C844="gemma"),AND(B844="qwen3_6",C844="qwen"),AND(B844="mistral",C844="ministral")),1,0)</f>
        <v/>
      </c>
      <c r="U844" s="73">
        <f>IF(LEFT(A844,3)="PAT","특허","보고서")</f>
        <v/>
      </c>
      <c r="V844" s="86">
        <f>COUNTIF($S$2:$S$976,"&lt;"&amp;S844)+(COUNTIF($S$2:$S$976,"="&amp;S844)+1)/2</f>
        <v/>
      </c>
      <c r="W844" s="73">
        <f>IF(C844="qwen",0,COUNTIFS($C$2:$C$976,"&lt;&gt;qwen",$S$2:$S$976,"&lt;"&amp;S844)+1)</f>
        <v/>
      </c>
      <c r="X844" s="73">
        <f>IF(C844="ministral",0,COUNTIFS($C$2:$C$976,"&lt;&gt;ministral",$S$2:$S$976,"&lt;"&amp;S844)+1)</f>
        <v/>
      </c>
      <c r="Y844" s="73">
        <f>IF(C844="gemma",0,COUNTIFS($C$2:$C$976,"&lt;&gt;gemma",$S$2:$S$976,"&lt;"&amp;S844)+1)</f>
        <v/>
      </c>
      <c r="Z844" s="87">
        <f>COUNTIFS($B$2:$B$976,B844,$C$2:$C$976,C844,$S$2:$S$976,"&lt;"&amp;S844)+1</f>
        <v/>
      </c>
      <c r="AA844" s="88">
        <f>ABS(S844-SUMPRODUCT(('05B_가정검정'!$A$5:$A$19=B844)*('05B_가정검정'!$B$5:$B$19=C844)*'05B_가정검정'!$E$5:$E$19))</f>
        <v/>
      </c>
      <c r="AB844" s="88">
        <f>S844-AVERAGEIFS($S$2:$S$976,$B$2:$B$976,B844,$C$2:$C$976,C844)</f>
        <v/>
      </c>
    </row>
    <row r="845" ht="15" customHeight="1" s="68">
      <c r="A845" s="83" t="inlineStr">
        <is>
          <t>RPT-26</t>
        </is>
      </c>
      <c r="B845" s="83" t="inlineStr">
        <is>
          <t>claude</t>
        </is>
      </c>
      <c r="C845" s="83" t="inlineStr">
        <is>
          <t>gemma</t>
        </is>
      </c>
      <c r="D845" s="84" t="n">
        <v>0.21864406779661</v>
      </c>
      <c r="E845" s="84" t="n">
        <v>0.293333333333333</v>
      </c>
      <c r="F845" s="84" t="n">
        <v>0.0738255033557047</v>
      </c>
      <c r="G845" s="84" t="n">
        <v>0.186666666666667</v>
      </c>
      <c r="H845" s="84" t="n">
        <v>0.279156154434368</v>
      </c>
      <c r="I845" s="84" t="n">
        <v>0.136650180476102</v>
      </c>
      <c r="J845" s="84" t="n">
        <v>0.701095236624361</v>
      </c>
      <c r="K845" s="84" t="n">
        <v>0.66889528880336</v>
      </c>
      <c r="L845" s="84" t="n">
        <v>0.852199885127187</v>
      </c>
      <c r="M845" s="84" t="n">
        <v>0.567073170731707</v>
      </c>
      <c r="N845" s="84" t="n">
        <v>0.521276595744681</v>
      </c>
      <c r="O845" s="84" t="n">
        <v>1</v>
      </c>
      <c r="P845" s="85">
        <f>AVERAGE(D845:I845)</f>
        <v/>
      </c>
      <c r="Q845" s="85">
        <f>AVERAGE(J845:L845)</f>
        <v/>
      </c>
      <c r="R845" s="85">
        <f>AVERAGE(M845:O845)</f>
        <v/>
      </c>
      <c r="S845" s="85">
        <f>'02_지표정의'!$C$22*P845+'02_지표정의'!$C$23*Q845+'02_지표정의'!$C$24*R845</f>
        <v/>
      </c>
      <c r="T845" s="73">
        <f>IF(OR(AND(B845="gemini",C845="gemma"),AND(B845="qwen3_6",C845="qwen"),AND(B845="mistral",C845="ministral")),1,0)</f>
        <v/>
      </c>
      <c r="U845" s="73">
        <f>IF(LEFT(A845,3)="PAT","특허","보고서")</f>
        <v/>
      </c>
      <c r="V845" s="86">
        <f>COUNTIF($S$2:$S$976,"&lt;"&amp;S845)+(COUNTIF($S$2:$S$976,"="&amp;S845)+1)/2</f>
        <v/>
      </c>
      <c r="W845" s="73">
        <f>IF(C845="qwen",0,COUNTIFS($C$2:$C$976,"&lt;&gt;qwen",$S$2:$S$976,"&lt;"&amp;S845)+1)</f>
        <v/>
      </c>
      <c r="X845" s="73">
        <f>IF(C845="ministral",0,COUNTIFS($C$2:$C$976,"&lt;&gt;ministral",$S$2:$S$976,"&lt;"&amp;S845)+1)</f>
        <v/>
      </c>
      <c r="Y845" s="73">
        <f>IF(C845="gemma",0,COUNTIFS($C$2:$C$976,"&lt;&gt;gemma",$S$2:$S$976,"&lt;"&amp;S845)+1)</f>
        <v/>
      </c>
      <c r="Z845" s="87">
        <f>COUNTIFS($B$2:$B$976,B845,$C$2:$C$976,C845,$S$2:$S$976,"&lt;"&amp;S845)+1</f>
        <v/>
      </c>
      <c r="AA845" s="88">
        <f>ABS(S845-SUMPRODUCT(('05B_가정검정'!$A$5:$A$19=B845)*('05B_가정검정'!$B$5:$B$19=C845)*'05B_가정검정'!$E$5:$E$19))</f>
        <v/>
      </c>
      <c r="AB845" s="88">
        <f>S845-AVERAGEIFS($S$2:$S$976,$B$2:$B$976,B845,$C$2:$C$976,C845)</f>
        <v/>
      </c>
    </row>
    <row r="846" ht="15" customHeight="1" s="68">
      <c r="A846" s="83" t="inlineStr">
        <is>
          <t>RPT-26</t>
        </is>
      </c>
      <c r="B846" s="83" t="inlineStr">
        <is>
          <t>claude</t>
        </is>
      </c>
      <c r="C846" s="83" t="inlineStr">
        <is>
          <t>ministral</t>
        </is>
      </c>
      <c r="D846" s="84" t="n">
        <v>0.251968503937008</v>
      </c>
      <c r="E846" s="84" t="n">
        <v>0.342105263157895</v>
      </c>
      <c r="F846" s="84" t="n">
        <v>0.112582781456954</v>
      </c>
      <c r="G846" s="84" t="n">
        <v>0.236842105263158</v>
      </c>
      <c r="H846" s="84" t="n">
        <v>0.23984984884347</v>
      </c>
      <c r="I846" s="84" t="n">
        <v>0.147630122341667</v>
      </c>
      <c r="J846" s="84" t="n">
        <v>0.709872111216895</v>
      </c>
      <c r="K846" s="84" t="n">
        <v>0.683258557348231</v>
      </c>
      <c r="L846" s="84" t="n">
        <v>0.855139043668524</v>
      </c>
      <c r="M846" s="84" t="n">
        <v>0.455072463768116</v>
      </c>
      <c r="N846" s="84" t="n">
        <v>0.243589743589744</v>
      </c>
      <c r="O846" s="84" t="n">
        <v>0.526315789473684</v>
      </c>
      <c r="P846" s="85">
        <f>AVERAGE(D846:I846)</f>
        <v/>
      </c>
      <c r="Q846" s="85">
        <f>AVERAGE(J846:L846)</f>
        <v/>
      </c>
      <c r="R846" s="85">
        <f>AVERAGE(M846:O846)</f>
        <v/>
      </c>
      <c r="S846" s="85">
        <f>'02_지표정의'!$C$22*P846+'02_지표정의'!$C$23*Q846+'02_지표정의'!$C$24*R846</f>
        <v/>
      </c>
      <c r="T846" s="73">
        <f>IF(OR(AND(B846="gemini",C846="gemma"),AND(B846="qwen3_6",C846="qwen"),AND(B846="mistral",C846="ministral")),1,0)</f>
        <v/>
      </c>
      <c r="U846" s="73">
        <f>IF(LEFT(A846,3)="PAT","특허","보고서")</f>
        <v/>
      </c>
      <c r="V846" s="86">
        <f>COUNTIF($S$2:$S$976,"&lt;"&amp;S846)+(COUNTIF($S$2:$S$976,"="&amp;S846)+1)/2</f>
        <v/>
      </c>
      <c r="W846" s="73">
        <f>IF(C846="qwen",0,COUNTIFS($C$2:$C$976,"&lt;&gt;qwen",$S$2:$S$976,"&lt;"&amp;S846)+1)</f>
        <v/>
      </c>
      <c r="X846" s="73">
        <f>IF(C846="ministral",0,COUNTIFS($C$2:$C$976,"&lt;&gt;ministral",$S$2:$S$976,"&lt;"&amp;S846)+1)</f>
        <v/>
      </c>
      <c r="Y846" s="73">
        <f>IF(C846="gemma",0,COUNTIFS($C$2:$C$976,"&lt;&gt;gemma",$S$2:$S$976,"&lt;"&amp;S846)+1)</f>
        <v/>
      </c>
      <c r="Z846" s="87">
        <f>COUNTIFS($B$2:$B$976,B846,$C$2:$C$976,C846,$S$2:$S$976,"&lt;"&amp;S846)+1</f>
        <v/>
      </c>
      <c r="AA846" s="88">
        <f>ABS(S846-SUMPRODUCT(('05B_가정검정'!$A$5:$A$19=B846)*('05B_가정검정'!$B$5:$B$19=C846)*'05B_가정검정'!$E$5:$E$19))</f>
        <v/>
      </c>
      <c r="AB846" s="88">
        <f>S846-AVERAGEIFS($S$2:$S$976,$B$2:$B$976,B846,$C$2:$C$976,C846)</f>
        <v/>
      </c>
    </row>
    <row r="847" ht="15" customHeight="1" s="68">
      <c r="A847" s="83" t="inlineStr">
        <is>
          <t>RPT-26</t>
        </is>
      </c>
      <c r="B847" s="83" t="inlineStr">
        <is>
          <t>claude</t>
        </is>
      </c>
      <c r="C847" s="83" t="inlineStr">
        <is>
          <t>qwen</t>
        </is>
      </c>
      <c r="D847" s="84" t="n">
        <v>0.258175559380379</v>
      </c>
      <c r="E847" s="84" t="n">
        <v>0.323353293413174</v>
      </c>
      <c r="F847" s="84" t="n">
        <v>0.102409638554217</v>
      </c>
      <c r="G847" s="84" t="n">
        <v>0.227544910179641</v>
      </c>
      <c r="H847" s="84" t="n">
        <v>0.306315936694243</v>
      </c>
      <c r="I847" s="84" t="n">
        <v>0.164082223642537</v>
      </c>
      <c r="J847" s="84" t="n">
        <v>0.7072284683350391</v>
      </c>
      <c r="K847" s="84" t="n">
        <v>0.675090218212507</v>
      </c>
      <c r="L847" s="84" t="n">
        <v>0.857294675343637</v>
      </c>
      <c r="M847" s="84" t="n">
        <v>0.728260869565217</v>
      </c>
      <c r="N847" s="84" t="n">
        <v>0.595744680851064</v>
      </c>
      <c r="O847" s="84" t="n">
        <v>1</v>
      </c>
      <c r="P847" s="85">
        <f>AVERAGE(D847:I847)</f>
        <v/>
      </c>
      <c r="Q847" s="85">
        <f>AVERAGE(J847:L847)</f>
        <v/>
      </c>
      <c r="R847" s="85">
        <f>AVERAGE(M847:O847)</f>
        <v/>
      </c>
      <c r="S847" s="85">
        <f>'02_지표정의'!$C$22*P847+'02_지표정의'!$C$23*Q847+'02_지표정의'!$C$24*R847</f>
        <v/>
      </c>
      <c r="T847" s="73">
        <f>IF(OR(AND(B847="gemini",C847="gemma"),AND(B847="qwen3_6",C847="qwen"),AND(B847="mistral",C847="ministral")),1,0)</f>
        <v/>
      </c>
      <c r="U847" s="73">
        <f>IF(LEFT(A847,3)="PAT","특허","보고서")</f>
        <v/>
      </c>
      <c r="V847" s="86">
        <f>COUNTIF($S$2:$S$976,"&lt;"&amp;S847)+(COUNTIF($S$2:$S$976,"="&amp;S847)+1)/2</f>
        <v/>
      </c>
      <c r="W847" s="73">
        <f>IF(C847="qwen",0,COUNTIFS($C$2:$C$976,"&lt;&gt;qwen",$S$2:$S$976,"&lt;"&amp;S847)+1)</f>
        <v/>
      </c>
      <c r="X847" s="73">
        <f>IF(C847="ministral",0,COUNTIFS($C$2:$C$976,"&lt;&gt;ministral",$S$2:$S$976,"&lt;"&amp;S847)+1)</f>
        <v/>
      </c>
      <c r="Y847" s="73">
        <f>IF(C847="gemma",0,COUNTIFS($C$2:$C$976,"&lt;&gt;gemma",$S$2:$S$976,"&lt;"&amp;S847)+1)</f>
        <v/>
      </c>
      <c r="Z847" s="87">
        <f>COUNTIFS($B$2:$B$976,B847,$C$2:$C$976,C847,$S$2:$S$976,"&lt;"&amp;S847)+1</f>
        <v/>
      </c>
      <c r="AA847" s="88">
        <f>ABS(S847-SUMPRODUCT(('05B_가정검정'!$A$5:$A$19=B847)*('05B_가정검정'!$B$5:$B$19=C847)*'05B_가정검정'!$E$5:$E$19))</f>
        <v/>
      </c>
      <c r="AB847" s="88">
        <f>S847-AVERAGEIFS($S$2:$S$976,$B$2:$B$976,B847,$C$2:$C$976,C847)</f>
        <v/>
      </c>
    </row>
    <row r="848" ht="15" customHeight="1" s="68">
      <c r="A848" s="83" t="inlineStr">
        <is>
          <t>RPT-26</t>
        </is>
      </c>
      <c r="B848" s="83" t="inlineStr">
        <is>
          <t>gemini</t>
        </is>
      </c>
      <c r="C848" s="83" t="inlineStr">
        <is>
          <t>gemma</t>
        </is>
      </c>
      <c r="D848" s="84" t="n">
        <v>0.227932960893855</v>
      </c>
      <c r="E848" s="84" t="n">
        <v>0.277310924369748</v>
      </c>
      <c r="F848" s="84" t="n">
        <v>0.0508474576271187</v>
      </c>
      <c r="G848" s="84" t="n">
        <v>0.201680672268908</v>
      </c>
      <c r="H848" s="84" t="n">
        <v>0.274924415443452</v>
      </c>
      <c r="I848" s="84" t="n">
        <v>0.113128658853191</v>
      </c>
      <c r="J848" s="84" t="n">
        <v>0.717855780489175</v>
      </c>
      <c r="K848" s="84" t="n">
        <v>0.68080210720025</v>
      </c>
      <c r="L848" s="84" t="n">
        <v>0.846431074371375</v>
      </c>
      <c r="M848" s="84" t="n">
        <v>0.560747663551402</v>
      </c>
      <c r="N848" s="84" t="n">
        <v>0</v>
      </c>
      <c r="O848" s="84" t="n">
        <v>0</v>
      </c>
      <c r="P848" s="85">
        <f>AVERAGE(D848:I848)</f>
        <v/>
      </c>
      <c r="Q848" s="85">
        <f>AVERAGE(J848:L848)</f>
        <v/>
      </c>
      <c r="R848" s="85">
        <f>AVERAGE(M848:O848)</f>
        <v/>
      </c>
      <c r="S848" s="85">
        <f>'02_지표정의'!$C$22*P848+'02_지표정의'!$C$23*Q848+'02_지표정의'!$C$24*R848</f>
        <v/>
      </c>
      <c r="T848" s="73">
        <f>IF(OR(AND(B848="gemini",C848="gemma"),AND(B848="qwen3_6",C848="qwen"),AND(B848="mistral",C848="ministral")),1,0)</f>
        <v/>
      </c>
      <c r="U848" s="73">
        <f>IF(LEFT(A848,3)="PAT","특허","보고서")</f>
        <v/>
      </c>
      <c r="V848" s="86">
        <f>COUNTIF($S$2:$S$976,"&lt;"&amp;S848)+(COUNTIF($S$2:$S$976,"="&amp;S848)+1)/2</f>
        <v/>
      </c>
      <c r="W848" s="73">
        <f>IF(C848="qwen",0,COUNTIFS($C$2:$C$976,"&lt;&gt;qwen",$S$2:$S$976,"&lt;"&amp;S848)+1)</f>
        <v/>
      </c>
      <c r="X848" s="73">
        <f>IF(C848="ministral",0,COUNTIFS($C$2:$C$976,"&lt;&gt;ministral",$S$2:$S$976,"&lt;"&amp;S848)+1)</f>
        <v/>
      </c>
      <c r="Y848" s="73">
        <f>IF(C848="gemma",0,COUNTIFS($C$2:$C$976,"&lt;&gt;gemma",$S$2:$S$976,"&lt;"&amp;S848)+1)</f>
        <v/>
      </c>
      <c r="Z848" s="87">
        <f>COUNTIFS($B$2:$B$976,B848,$C$2:$C$976,C848,$S$2:$S$976,"&lt;"&amp;S848)+1</f>
        <v/>
      </c>
      <c r="AA848" s="88">
        <f>ABS(S848-SUMPRODUCT(('05B_가정검정'!$A$5:$A$19=B848)*('05B_가정검정'!$B$5:$B$19=C848)*'05B_가정검정'!$E$5:$E$19))</f>
        <v/>
      </c>
      <c r="AB848" s="88">
        <f>S848-AVERAGEIFS($S$2:$S$976,$B$2:$B$976,B848,$C$2:$C$976,C848)</f>
        <v/>
      </c>
    </row>
    <row r="849" ht="15" customHeight="1" s="68">
      <c r="A849" s="83" t="inlineStr">
        <is>
          <t>RPT-26</t>
        </is>
      </c>
      <c r="B849" s="83" t="inlineStr">
        <is>
          <t>gemini</t>
        </is>
      </c>
      <c r="C849" s="83" t="inlineStr">
        <is>
          <t>ministral</t>
        </is>
      </c>
      <c r="D849" s="84" t="n">
        <v>0.221445221445221</v>
      </c>
      <c r="E849" s="84" t="n">
        <v>0.305785123966942</v>
      </c>
      <c r="F849" s="84" t="n">
        <v>0.0833333333333333</v>
      </c>
      <c r="G849" s="84" t="n">
        <v>0.247933884297521</v>
      </c>
      <c r="H849" s="84" t="n">
        <v>0.177680169420232</v>
      </c>
      <c r="I849" s="84" t="n">
        <v>0.139035307719057</v>
      </c>
      <c r="J849" s="84" t="n">
        <v>0.728713328900724</v>
      </c>
      <c r="K849" s="84" t="n">
        <v>0.697229241357887</v>
      </c>
      <c r="L849" s="84" t="n">
        <v>0.8566383402923889</v>
      </c>
      <c r="M849" s="84" t="n">
        <v>0.214492753623188</v>
      </c>
      <c r="N849" s="84" t="n">
        <v>0</v>
      </c>
      <c r="O849" s="84" t="n">
        <v>0</v>
      </c>
      <c r="P849" s="85">
        <f>AVERAGE(D849:I849)</f>
        <v/>
      </c>
      <c r="Q849" s="85">
        <f>AVERAGE(J849:L849)</f>
        <v/>
      </c>
      <c r="R849" s="85">
        <f>AVERAGE(M849:O849)</f>
        <v/>
      </c>
      <c r="S849" s="85">
        <f>'02_지표정의'!$C$22*P849+'02_지표정의'!$C$23*Q849+'02_지표정의'!$C$24*R849</f>
        <v/>
      </c>
      <c r="T849" s="73">
        <f>IF(OR(AND(B849="gemini",C849="gemma"),AND(B849="qwen3_6",C849="qwen"),AND(B849="mistral",C849="ministral")),1,0)</f>
        <v/>
      </c>
      <c r="U849" s="73">
        <f>IF(LEFT(A849,3)="PAT","특허","보고서")</f>
        <v/>
      </c>
      <c r="V849" s="86">
        <f>COUNTIF($S$2:$S$976,"&lt;"&amp;S849)+(COUNTIF($S$2:$S$976,"="&amp;S849)+1)/2</f>
        <v/>
      </c>
      <c r="W849" s="73">
        <f>IF(C849="qwen",0,COUNTIFS($C$2:$C$976,"&lt;&gt;qwen",$S$2:$S$976,"&lt;"&amp;S849)+1)</f>
        <v/>
      </c>
      <c r="X849" s="73">
        <f>IF(C849="ministral",0,COUNTIFS($C$2:$C$976,"&lt;&gt;ministral",$S$2:$S$976,"&lt;"&amp;S849)+1)</f>
        <v/>
      </c>
      <c r="Y849" s="73">
        <f>IF(C849="gemma",0,COUNTIFS($C$2:$C$976,"&lt;&gt;gemma",$S$2:$S$976,"&lt;"&amp;S849)+1)</f>
        <v/>
      </c>
      <c r="Z849" s="87">
        <f>COUNTIFS($B$2:$B$976,B849,$C$2:$C$976,C849,$S$2:$S$976,"&lt;"&amp;S849)+1</f>
        <v/>
      </c>
      <c r="AA849" s="88">
        <f>ABS(S849-SUMPRODUCT(('05B_가정검정'!$A$5:$A$19=B849)*('05B_가정검정'!$B$5:$B$19=C849)*'05B_가정검정'!$E$5:$E$19))</f>
        <v/>
      </c>
      <c r="AB849" s="88">
        <f>S849-AVERAGEIFS($S$2:$S$976,$B$2:$B$976,B849,$C$2:$C$976,C849)</f>
        <v/>
      </c>
    </row>
    <row r="850" ht="15" customHeight="1" s="68">
      <c r="A850" s="83" t="inlineStr">
        <is>
          <t>RPT-26</t>
        </is>
      </c>
      <c r="B850" s="83" t="inlineStr">
        <is>
          <t>gemini</t>
        </is>
      </c>
      <c r="C850" s="83" t="inlineStr">
        <is>
          <t>qwen</t>
        </is>
      </c>
      <c r="D850" s="84" t="n">
        <v>0.244013683010262</v>
      </c>
      <c r="E850" s="84" t="n">
        <v>0.330882352941177</v>
      </c>
      <c r="F850" s="84" t="n">
        <v>0.08888888888888891</v>
      </c>
      <c r="G850" s="84" t="n">
        <v>0.257352941176471</v>
      </c>
      <c r="H850" s="84" t="n">
        <v>0.2546244509789</v>
      </c>
      <c r="I850" s="84" t="n">
        <v>0.164922162322288</v>
      </c>
      <c r="J850" s="84" t="n">
        <v>0.723816681859894</v>
      </c>
      <c r="K850" s="84" t="n">
        <v>0.714536310367087</v>
      </c>
      <c r="L850" s="84" t="n">
        <v>0.857553109651027</v>
      </c>
      <c r="M850" s="84" t="n">
        <v>0.347826086956522</v>
      </c>
      <c r="N850" s="84" t="n">
        <v>0</v>
      </c>
      <c r="O850" s="84" t="n">
        <v>0</v>
      </c>
      <c r="P850" s="85">
        <f>AVERAGE(D850:I850)</f>
        <v/>
      </c>
      <c r="Q850" s="85">
        <f>AVERAGE(J850:L850)</f>
        <v/>
      </c>
      <c r="R850" s="85">
        <f>AVERAGE(M850:O850)</f>
        <v/>
      </c>
      <c r="S850" s="85">
        <f>'02_지표정의'!$C$22*P850+'02_지표정의'!$C$23*Q850+'02_지표정의'!$C$24*R850</f>
        <v/>
      </c>
      <c r="T850" s="73">
        <f>IF(OR(AND(B850="gemini",C850="gemma"),AND(B850="qwen3_6",C850="qwen"),AND(B850="mistral",C850="ministral")),1,0)</f>
        <v/>
      </c>
      <c r="U850" s="73">
        <f>IF(LEFT(A850,3)="PAT","특허","보고서")</f>
        <v/>
      </c>
      <c r="V850" s="86">
        <f>COUNTIF($S$2:$S$976,"&lt;"&amp;S850)+(COUNTIF($S$2:$S$976,"="&amp;S850)+1)/2</f>
        <v/>
      </c>
      <c r="W850" s="73">
        <f>IF(C850="qwen",0,COUNTIFS($C$2:$C$976,"&lt;&gt;qwen",$S$2:$S$976,"&lt;"&amp;S850)+1)</f>
        <v/>
      </c>
      <c r="X850" s="73">
        <f>IF(C850="ministral",0,COUNTIFS($C$2:$C$976,"&lt;&gt;ministral",$S$2:$S$976,"&lt;"&amp;S850)+1)</f>
        <v/>
      </c>
      <c r="Y850" s="73">
        <f>IF(C850="gemma",0,COUNTIFS($C$2:$C$976,"&lt;&gt;gemma",$S$2:$S$976,"&lt;"&amp;S850)+1)</f>
        <v/>
      </c>
      <c r="Z850" s="87">
        <f>COUNTIFS($B$2:$B$976,B850,$C$2:$C$976,C850,$S$2:$S$976,"&lt;"&amp;S850)+1</f>
        <v/>
      </c>
      <c r="AA850" s="88">
        <f>ABS(S850-SUMPRODUCT(('05B_가정검정'!$A$5:$A$19=B850)*('05B_가정검정'!$B$5:$B$19=C850)*'05B_가정검정'!$E$5:$E$19))</f>
        <v/>
      </c>
      <c r="AB850" s="88">
        <f>S850-AVERAGEIFS($S$2:$S$976,$B$2:$B$976,B850,$C$2:$C$976,C850)</f>
        <v/>
      </c>
    </row>
    <row r="851" ht="15" customHeight="1" s="68">
      <c r="A851" s="83" t="inlineStr">
        <is>
          <t>RPT-26</t>
        </is>
      </c>
      <c r="B851" s="83" t="inlineStr">
        <is>
          <t>mistral</t>
        </is>
      </c>
      <c r="C851" s="83" t="inlineStr">
        <is>
          <t>gemma</t>
        </is>
      </c>
      <c r="D851" s="84" t="n">
        <v>0.236442516268981</v>
      </c>
      <c r="E851" s="84" t="n">
        <v>0.285714285714286</v>
      </c>
      <c r="F851" s="84" t="n">
        <v>0.089041095890411</v>
      </c>
      <c r="G851" s="84" t="n">
        <v>0.224489795918367</v>
      </c>
      <c r="H851" s="84" t="n">
        <v>0.26321813166227</v>
      </c>
      <c r="I851" s="84" t="n">
        <v>0.148055276337496</v>
      </c>
      <c r="J851" s="84" t="n">
        <v>0.697588070085691</v>
      </c>
      <c r="K851" s="84" t="n">
        <v>0.605042139964681</v>
      </c>
      <c r="L851" s="84" t="n">
        <v>0.848914174486644</v>
      </c>
      <c r="M851" s="84" t="n">
        <v>0.329787234042553</v>
      </c>
      <c r="N851" s="84" t="n">
        <v>0.310126582278481</v>
      </c>
      <c r="O851" s="84" t="n">
        <v>1</v>
      </c>
      <c r="P851" s="85">
        <f>AVERAGE(D851:I851)</f>
        <v/>
      </c>
      <c r="Q851" s="85">
        <f>AVERAGE(J851:L851)</f>
        <v/>
      </c>
      <c r="R851" s="85">
        <f>AVERAGE(M851:O851)</f>
        <v/>
      </c>
      <c r="S851" s="85">
        <f>'02_지표정의'!$C$22*P851+'02_지표정의'!$C$23*Q851+'02_지표정의'!$C$24*R851</f>
        <v/>
      </c>
      <c r="T851" s="73">
        <f>IF(OR(AND(B851="gemini",C851="gemma"),AND(B851="qwen3_6",C851="qwen"),AND(B851="mistral",C851="ministral")),1,0)</f>
        <v/>
      </c>
      <c r="U851" s="73">
        <f>IF(LEFT(A851,3)="PAT","특허","보고서")</f>
        <v/>
      </c>
      <c r="V851" s="86">
        <f>COUNTIF($S$2:$S$976,"&lt;"&amp;S851)+(COUNTIF($S$2:$S$976,"="&amp;S851)+1)/2</f>
        <v/>
      </c>
      <c r="W851" s="73">
        <f>IF(C851="qwen",0,COUNTIFS($C$2:$C$976,"&lt;&gt;qwen",$S$2:$S$976,"&lt;"&amp;S851)+1)</f>
        <v/>
      </c>
      <c r="X851" s="73">
        <f>IF(C851="ministral",0,COUNTIFS($C$2:$C$976,"&lt;&gt;ministral",$S$2:$S$976,"&lt;"&amp;S851)+1)</f>
        <v/>
      </c>
      <c r="Y851" s="73">
        <f>IF(C851="gemma",0,COUNTIFS($C$2:$C$976,"&lt;&gt;gemma",$S$2:$S$976,"&lt;"&amp;S851)+1)</f>
        <v/>
      </c>
      <c r="Z851" s="87">
        <f>COUNTIFS($B$2:$B$976,B851,$C$2:$C$976,C851,$S$2:$S$976,"&lt;"&amp;S851)+1</f>
        <v/>
      </c>
      <c r="AA851" s="88">
        <f>ABS(S851-SUMPRODUCT(('05B_가정검정'!$A$5:$A$19=B851)*('05B_가정검정'!$B$5:$B$19=C851)*'05B_가정검정'!$E$5:$E$19))</f>
        <v/>
      </c>
      <c r="AB851" s="88">
        <f>S851-AVERAGEIFS($S$2:$S$976,$B$2:$B$976,B851,$C$2:$C$976,C851)</f>
        <v/>
      </c>
    </row>
    <row r="852" ht="15" customHeight="1" s="68">
      <c r="A852" s="83" t="inlineStr">
        <is>
          <t>RPT-26</t>
        </is>
      </c>
      <c r="B852" s="83" t="inlineStr">
        <is>
          <t>mistral</t>
        </is>
      </c>
      <c r="C852" s="83" t="inlineStr">
        <is>
          <t>ministral</t>
        </is>
      </c>
      <c r="D852" s="84" t="n">
        <v>0.338983050847458</v>
      </c>
      <c r="E852" s="84" t="n">
        <v>0.476510067114094</v>
      </c>
      <c r="F852" s="84" t="n">
        <v>0.175675675675676</v>
      </c>
      <c r="G852" s="84" t="n">
        <v>0.342281879194631</v>
      </c>
      <c r="H852" s="84" t="n">
        <v>0.330581745506383</v>
      </c>
      <c r="I852" s="84" t="n">
        <v>0.323388526986557</v>
      </c>
      <c r="J852" s="84" t="n">
        <v>0.73472120498311</v>
      </c>
      <c r="K852" s="84" t="n">
        <v>0.6428947947136689</v>
      </c>
      <c r="L852" s="84" t="n">
        <v>0.8514893774605991</v>
      </c>
      <c r="M852" s="84" t="n">
        <v>0.623188405797101</v>
      </c>
      <c r="N852" s="84" t="n">
        <v>0.246835443037975</v>
      </c>
      <c r="O852" s="84" t="n">
        <v>0.526315789473684</v>
      </c>
      <c r="P852" s="85">
        <f>AVERAGE(D852:I852)</f>
        <v/>
      </c>
      <c r="Q852" s="85">
        <f>AVERAGE(J852:L852)</f>
        <v/>
      </c>
      <c r="R852" s="85">
        <f>AVERAGE(M852:O852)</f>
        <v/>
      </c>
      <c r="S852" s="85">
        <f>'02_지표정의'!$C$22*P852+'02_지표정의'!$C$23*Q852+'02_지표정의'!$C$24*R852</f>
        <v/>
      </c>
      <c r="T852" s="73">
        <f>IF(OR(AND(B852="gemini",C852="gemma"),AND(B852="qwen3_6",C852="qwen"),AND(B852="mistral",C852="ministral")),1,0)</f>
        <v/>
      </c>
      <c r="U852" s="73">
        <f>IF(LEFT(A852,3)="PAT","특허","보고서")</f>
        <v/>
      </c>
      <c r="V852" s="86">
        <f>COUNTIF($S$2:$S$976,"&lt;"&amp;S852)+(COUNTIF($S$2:$S$976,"="&amp;S852)+1)/2</f>
        <v/>
      </c>
      <c r="W852" s="73">
        <f>IF(C852="qwen",0,COUNTIFS($C$2:$C$976,"&lt;&gt;qwen",$S$2:$S$976,"&lt;"&amp;S852)+1)</f>
        <v/>
      </c>
      <c r="X852" s="73">
        <f>IF(C852="ministral",0,COUNTIFS($C$2:$C$976,"&lt;&gt;ministral",$S$2:$S$976,"&lt;"&amp;S852)+1)</f>
        <v/>
      </c>
      <c r="Y852" s="73">
        <f>IF(C852="gemma",0,COUNTIFS($C$2:$C$976,"&lt;&gt;gemma",$S$2:$S$976,"&lt;"&amp;S852)+1)</f>
        <v/>
      </c>
      <c r="Z852" s="87">
        <f>COUNTIFS($B$2:$B$976,B852,$C$2:$C$976,C852,$S$2:$S$976,"&lt;"&amp;S852)+1</f>
        <v/>
      </c>
      <c r="AA852" s="88">
        <f>ABS(S852-SUMPRODUCT(('05B_가정검정'!$A$5:$A$19=B852)*('05B_가정검정'!$B$5:$B$19=C852)*'05B_가정검정'!$E$5:$E$19))</f>
        <v/>
      </c>
      <c r="AB852" s="88">
        <f>S852-AVERAGEIFS($S$2:$S$976,$B$2:$B$976,B852,$C$2:$C$976,C852)</f>
        <v/>
      </c>
    </row>
    <row r="853" ht="15" customHeight="1" s="68">
      <c r="A853" s="83" t="inlineStr">
        <is>
          <t>RPT-26</t>
        </is>
      </c>
      <c r="B853" s="83" t="inlineStr">
        <is>
          <t>mistral</t>
        </is>
      </c>
      <c r="C853" s="83" t="inlineStr">
        <is>
          <t>qwen</t>
        </is>
      </c>
      <c r="D853" s="84" t="n">
        <v>0.311946902654867</v>
      </c>
      <c r="E853" s="84" t="n">
        <v>0.384146341463415</v>
      </c>
      <c r="F853" s="84" t="n">
        <v>0.104294478527607</v>
      </c>
      <c r="G853" s="84" t="n">
        <v>0.237804878048781</v>
      </c>
      <c r="H853" s="84" t="n">
        <v>0.333699044445698</v>
      </c>
      <c r="I853" s="84" t="n">
        <v>0.279595096987301</v>
      </c>
      <c r="J853" s="84" t="n">
        <v>0.708539508845221</v>
      </c>
      <c r="K853" s="84" t="n">
        <v>0.622141524241696</v>
      </c>
      <c r="L853" s="84" t="n">
        <v>0.861778244106478</v>
      </c>
      <c r="M853" s="84" t="n">
        <v>0.5709219858156031</v>
      </c>
      <c r="N853" s="84" t="n">
        <v>0.518987341772152</v>
      </c>
      <c r="O853" s="84" t="n">
        <v>1</v>
      </c>
      <c r="P853" s="85">
        <f>AVERAGE(D853:I853)</f>
        <v/>
      </c>
      <c r="Q853" s="85">
        <f>AVERAGE(J853:L853)</f>
        <v/>
      </c>
      <c r="R853" s="85">
        <f>AVERAGE(M853:O853)</f>
        <v/>
      </c>
      <c r="S853" s="85">
        <f>'02_지표정의'!$C$22*P853+'02_지표정의'!$C$23*Q853+'02_지표정의'!$C$24*R853</f>
        <v/>
      </c>
      <c r="T853" s="73">
        <f>IF(OR(AND(B853="gemini",C853="gemma"),AND(B853="qwen3_6",C853="qwen"),AND(B853="mistral",C853="ministral")),1,0)</f>
        <v/>
      </c>
      <c r="U853" s="73">
        <f>IF(LEFT(A853,3)="PAT","특허","보고서")</f>
        <v/>
      </c>
      <c r="V853" s="86">
        <f>COUNTIF($S$2:$S$976,"&lt;"&amp;S853)+(COUNTIF($S$2:$S$976,"="&amp;S853)+1)/2</f>
        <v/>
      </c>
      <c r="W853" s="73">
        <f>IF(C853="qwen",0,COUNTIFS($C$2:$C$976,"&lt;&gt;qwen",$S$2:$S$976,"&lt;"&amp;S853)+1)</f>
        <v/>
      </c>
      <c r="X853" s="73">
        <f>IF(C853="ministral",0,COUNTIFS($C$2:$C$976,"&lt;&gt;ministral",$S$2:$S$976,"&lt;"&amp;S853)+1)</f>
        <v/>
      </c>
      <c r="Y853" s="73">
        <f>IF(C853="gemma",0,COUNTIFS($C$2:$C$976,"&lt;&gt;gemma",$S$2:$S$976,"&lt;"&amp;S853)+1)</f>
        <v/>
      </c>
      <c r="Z853" s="87">
        <f>COUNTIFS($B$2:$B$976,B853,$C$2:$C$976,C853,$S$2:$S$976,"&lt;"&amp;S853)+1</f>
        <v/>
      </c>
      <c r="AA853" s="88">
        <f>ABS(S853-SUMPRODUCT(('05B_가정검정'!$A$5:$A$19=B853)*('05B_가정검정'!$B$5:$B$19=C853)*'05B_가정검정'!$E$5:$E$19))</f>
        <v/>
      </c>
      <c r="AB853" s="88">
        <f>S853-AVERAGEIFS($S$2:$S$976,$B$2:$B$976,B853,$C$2:$C$976,C853)</f>
        <v/>
      </c>
    </row>
    <row r="854" ht="15" customHeight="1" s="68">
      <c r="A854" s="83" t="inlineStr">
        <is>
          <t>RPT-26</t>
        </is>
      </c>
      <c r="B854" s="83" t="inlineStr">
        <is>
          <t>qwen3_6</t>
        </is>
      </c>
      <c r="C854" s="83" t="inlineStr">
        <is>
          <t>gemma</t>
        </is>
      </c>
      <c r="D854" s="84" t="n">
        <v>0.24945295404814</v>
      </c>
      <c r="E854" s="84" t="n">
        <v>0.348178137651822</v>
      </c>
      <c r="F854" s="84" t="n">
        <v>0.0979591836734694</v>
      </c>
      <c r="G854" s="84" t="n">
        <v>0.226720647773279</v>
      </c>
      <c r="H854" s="84" t="n">
        <v>0.367890725546846</v>
      </c>
      <c r="I854" s="84" t="n">
        <v>0.125585907677133</v>
      </c>
      <c r="J854" s="84" t="n">
        <v>0.697023613502279</v>
      </c>
      <c r="K854" s="84" t="n">
        <v>0.677252884622026</v>
      </c>
      <c r="L854" s="84" t="n">
        <v>0.865922836017778</v>
      </c>
      <c r="M854" s="84" t="n">
        <v>0.906542056074766</v>
      </c>
      <c r="N854" s="84" t="n">
        <v>0.916666666666667</v>
      </c>
      <c r="O854" s="84" t="n">
        <v>1</v>
      </c>
      <c r="P854" s="85">
        <f>AVERAGE(D854:I854)</f>
        <v/>
      </c>
      <c r="Q854" s="85">
        <f>AVERAGE(J854:L854)</f>
        <v/>
      </c>
      <c r="R854" s="85">
        <f>AVERAGE(M854:O854)</f>
        <v/>
      </c>
      <c r="S854" s="85">
        <f>'02_지표정의'!$C$22*P854+'02_지표정의'!$C$23*Q854+'02_지표정의'!$C$24*R854</f>
        <v/>
      </c>
      <c r="T854" s="73">
        <f>IF(OR(AND(B854="gemini",C854="gemma"),AND(B854="qwen3_6",C854="qwen"),AND(B854="mistral",C854="ministral")),1,0)</f>
        <v/>
      </c>
      <c r="U854" s="73">
        <f>IF(LEFT(A854,3)="PAT","특허","보고서")</f>
        <v/>
      </c>
      <c r="V854" s="86">
        <f>COUNTIF($S$2:$S$976,"&lt;"&amp;S854)+(COUNTIF($S$2:$S$976,"="&amp;S854)+1)/2</f>
        <v/>
      </c>
      <c r="W854" s="73">
        <f>IF(C854="qwen",0,COUNTIFS($C$2:$C$976,"&lt;&gt;qwen",$S$2:$S$976,"&lt;"&amp;S854)+1)</f>
        <v/>
      </c>
      <c r="X854" s="73">
        <f>IF(C854="ministral",0,COUNTIFS($C$2:$C$976,"&lt;&gt;ministral",$S$2:$S$976,"&lt;"&amp;S854)+1)</f>
        <v/>
      </c>
      <c r="Y854" s="73">
        <f>IF(C854="gemma",0,COUNTIFS($C$2:$C$976,"&lt;&gt;gemma",$S$2:$S$976,"&lt;"&amp;S854)+1)</f>
        <v/>
      </c>
      <c r="Z854" s="87">
        <f>COUNTIFS($B$2:$B$976,B854,$C$2:$C$976,C854,$S$2:$S$976,"&lt;"&amp;S854)+1</f>
        <v/>
      </c>
      <c r="AA854" s="88">
        <f>ABS(S854-SUMPRODUCT(('05B_가정검정'!$A$5:$A$19=B854)*('05B_가정검정'!$B$5:$B$19=C854)*'05B_가정검정'!$E$5:$E$19))</f>
        <v/>
      </c>
      <c r="AB854" s="88">
        <f>S854-AVERAGEIFS($S$2:$S$976,$B$2:$B$976,B854,$C$2:$C$976,C854)</f>
        <v/>
      </c>
    </row>
    <row r="855" ht="15" customHeight="1" s="68">
      <c r="A855" s="83" t="inlineStr">
        <is>
          <t>RPT-26</t>
        </is>
      </c>
      <c r="B855" s="83" t="inlineStr">
        <is>
          <t>qwen3_6</t>
        </is>
      </c>
      <c r="C855" s="83" t="inlineStr">
        <is>
          <t>ministral</t>
        </is>
      </c>
      <c r="D855" s="84" t="n">
        <v>0.264538198403649</v>
      </c>
      <c r="E855" s="84" t="n">
        <v>0.294820717131474</v>
      </c>
      <c r="F855" s="84" t="n">
        <v>0.120481927710843</v>
      </c>
      <c r="G855" s="84" t="n">
        <v>0.239043824701195</v>
      </c>
      <c r="H855" s="84" t="n">
        <v>0.215581458021498</v>
      </c>
      <c r="I855" s="84" t="n">
        <v>0.245293105033672</v>
      </c>
      <c r="J855" s="84" t="n">
        <v>0.717410887603834</v>
      </c>
      <c r="K855" s="84" t="n">
        <v>0.689016568725664</v>
      </c>
      <c r="L855" s="84" t="n">
        <v>0.841589434976688</v>
      </c>
      <c r="M855" s="84" t="n">
        <v>0.281159420289855</v>
      </c>
      <c r="N855" s="84" t="n">
        <v>0.237179487179487</v>
      </c>
      <c r="O855" s="84" t="n">
        <v>0.526315789473684</v>
      </c>
      <c r="P855" s="85">
        <f>AVERAGE(D855:I855)</f>
        <v/>
      </c>
      <c r="Q855" s="85">
        <f>AVERAGE(J855:L855)</f>
        <v/>
      </c>
      <c r="R855" s="85">
        <f>AVERAGE(M855:O855)</f>
        <v/>
      </c>
      <c r="S855" s="85">
        <f>'02_지표정의'!$C$22*P855+'02_지표정의'!$C$23*Q855+'02_지표정의'!$C$24*R855</f>
        <v/>
      </c>
      <c r="T855" s="73">
        <f>IF(OR(AND(B855="gemini",C855="gemma"),AND(B855="qwen3_6",C855="qwen"),AND(B855="mistral",C855="ministral")),1,0)</f>
        <v/>
      </c>
      <c r="U855" s="73">
        <f>IF(LEFT(A855,3)="PAT","특허","보고서")</f>
        <v/>
      </c>
      <c r="V855" s="86">
        <f>COUNTIF($S$2:$S$976,"&lt;"&amp;S855)+(COUNTIF($S$2:$S$976,"="&amp;S855)+1)/2</f>
        <v/>
      </c>
      <c r="W855" s="73">
        <f>IF(C855="qwen",0,COUNTIFS($C$2:$C$976,"&lt;&gt;qwen",$S$2:$S$976,"&lt;"&amp;S855)+1)</f>
        <v/>
      </c>
      <c r="X855" s="73">
        <f>IF(C855="ministral",0,COUNTIFS($C$2:$C$976,"&lt;&gt;ministral",$S$2:$S$976,"&lt;"&amp;S855)+1)</f>
        <v/>
      </c>
      <c r="Y855" s="73">
        <f>IF(C855="gemma",0,COUNTIFS($C$2:$C$976,"&lt;&gt;gemma",$S$2:$S$976,"&lt;"&amp;S855)+1)</f>
        <v/>
      </c>
      <c r="Z855" s="87">
        <f>COUNTIFS($B$2:$B$976,B855,$C$2:$C$976,C855,$S$2:$S$976,"&lt;"&amp;S855)+1</f>
        <v/>
      </c>
      <c r="AA855" s="88">
        <f>ABS(S855-SUMPRODUCT(('05B_가정검정'!$A$5:$A$19=B855)*('05B_가정검정'!$B$5:$B$19=C855)*'05B_가정검정'!$E$5:$E$19))</f>
        <v/>
      </c>
      <c r="AB855" s="88">
        <f>S855-AVERAGEIFS($S$2:$S$976,$B$2:$B$976,B855,$C$2:$C$976,C855)</f>
        <v/>
      </c>
    </row>
    <row r="856" ht="15" customHeight="1" s="68">
      <c r="A856" s="83" t="inlineStr">
        <is>
          <t>RPT-26</t>
        </is>
      </c>
      <c r="B856" s="83" t="inlineStr">
        <is>
          <t>qwen3_6</t>
        </is>
      </c>
      <c r="C856" s="83" t="inlineStr">
        <is>
          <t>qwen</t>
        </is>
      </c>
      <c r="D856" s="84" t="n">
        <v>0.272321428571429</v>
      </c>
      <c r="E856" s="84" t="n">
        <v>0.327402135231317</v>
      </c>
      <c r="F856" s="84" t="n">
        <v>0.121863799283154</v>
      </c>
      <c r="G856" s="84" t="n">
        <v>0.234875444839858</v>
      </c>
      <c r="H856" s="84" t="n">
        <v>0.341847171830723</v>
      </c>
      <c r="I856" s="84" t="n">
        <v>0.270626525326223</v>
      </c>
      <c r="J856" s="84" t="n">
        <v>0.727192916829659</v>
      </c>
      <c r="K856" s="84" t="n">
        <v>0.69952407246991</v>
      </c>
      <c r="L856" s="84" t="n">
        <v>0.8690706695628631</v>
      </c>
      <c r="M856" s="84" t="n">
        <v>0.527173913043478</v>
      </c>
      <c r="N856" s="84" t="n">
        <v>0.585106382978723</v>
      </c>
      <c r="O856" s="84" t="n">
        <v>1</v>
      </c>
      <c r="P856" s="85">
        <f>AVERAGE(D856:I856)</f>
        <v/>
      </c>
      <c r="Q856" s="85">
        <f>AVERAGE(J856:L856)</f>
        <v/>
      </c>
      <c r="R856" s="85">
        <f>AVERAGE(M856:O856)</f>
        <v/>
      </c>
      <c r="S856" s="85">
        <f>'02_지표정의'!$C$22*P856+'02_지표정의'!$C$23*Q856+'02_지표정의'!$C$24*R856</f>
        <v/>
      </c>
      <c r="T856" s="73">
        <f>IF(OR(AND(B856="gemini",C856="gemma"),AND(B856="qwen3_6",C856="qwen"),AND(B856="mistral",C856="ministral")),1,0)</f>
        <v/>
      </c>
      <c r="U856" s="73">
        <f>IF(LEFT(A856,3)="PAT","특허","보고서")</f>
        <v/>
      </c>
      <c r="V856" s="86">
        <f>COUNTIF($S$2:$S$976,"&lt;"&amp;S856)+(COUNTIF($S$2:$S$976,"="&amp;S856)+1)/2</f>
        <v/>
      </c>
      <c r="W856" s="73">
        <f>IF(C856="qwen",0,COUNTIFS($C$2:$C$976,"&lt;&gt;qwen",$S$2:$S$976,"&lt;"&amp;S856)+1)</f>
        <v/>
      </c>
      <c r="X856" s="73">
        <f>IF(C856="ministral",0,COUNTIFS($C$2:$C$976,"&lt;&gt;ministral",$S$2:$S$976,"&lt;"&amp;S856)+1)</f>
        <v/>
      </c>
      <c r="Y856" s="73">
        <f>IF(C856="gemma",0,COUNTIFS($C$2:$C$976,"&lt;&gt;gemma",$S$2:$S$976,"&lt;"&amp;S856)+1)</f>
        <v/>
      </c>
      <c r="Z856" s="87">
        <f>COUNTIFS($B$2:$B$976,B856,$C$2:$C$976,C856,$S$2:$S$976,"&lt;"&amp;S856)+1</f>
        <v/>
      </c>
      <c r="AA856" s="88">
        <f>ABS(S856-SUMPRODUCT(('05B_가정검정'!$A$5:$A$19=B856)*('05B_가정검정'!$B$5:$B$19=C856)*'05B_가정검정'!$E$5:$E$19))</f>
        <v/>
      </c>
      <c r="AB856" s="88">
        <f>S856-AVERAGEIFS($S$2:$S$976,$B$2:$B$976,B856,$C$2:$C$976,C856)</f>
        <v/>
      </c>
    </row>
    <row r="857" ht="15" customHeight="1" s="68">
      <c r="A857" s="83" t="inlineStr">
        <is>
          <t>RPT-27</t>
        </is>
      </c>
      <c r="B857" s="83" t="inlineStr">
        <is>
          <t>chatgpt</t>
        </is>
      </c>
      <c r="C857" s="83" t="inlineStr">
        <is>
          <t>gemma</t>
        </is>
      </c>
      <c r="D857" s="84" t="n">
        <v>0.255483870967742</v>
      </c>
      <c r="E857" s="84" t="n">
        <v>0.394495412844037</v>
      </c>
      <c r="F857" s="84" t="n">
        <v>0.212962962962963</v>
      </c>
      <c r="G857" s="84" t="n">
        <v>0.339449541284404</v>
      </c>
      <c r="H857" s="84" t="n">
        <v>0.230251019384348</v>
      </c>
      <c r="I857" s="84" t="n">
        <v>0.190591343477192</v>
      </c>
      <c r="J857" s="84" t="n">
        <v>0.663591010029715</v>
      </c>
      <c r="K857" s="84" t="n">
        <v>0.585112275120506</v>
      </c>
      <c r="L857" s="84" t="n">
        <v>0.777714497359053</v>
      </c>
      <c r="M857" s="84" t="n">
        <v>0.5575757575757579</v>
      </c>
      <c r="N857" s="84" t="n">
        <v>0.101123595505618</v>
      </c>
      <c r="O857" s="84" t="n">
        <v>1</v>
      </c>
      <c r="P857" s="85">
        <f>AVERAGE(D857:I857)</f>
        <v/>
      </c>
      <c r="Q857" s="85">
        <f>AVERAGE(J857:L857)</f>
        <v/>
      </c>
      <c r="R857" s="85">
        <f>AVERAGE(M857:O857)</f>
        <v/>
      </c>
      <c r="S857" s="85">
        <f>'02_지표정의'!$C$22*P857+'02_지표정의'!$C$23*Q857+'02_지표정의'!$C$24*R857</f>
        <v/>
      </c>
      <c r="T857" s="73">
        <f>IF(OR(AND(B857="gemini",C857="gemma"),AND(B857="qwen3_6",C857="qwen"),AND(B857="mistral",C857="ministral")),1,0)</f>
        <v/>
      </c>
      <c r="U857" s="73">
        <f>IF(LEFT(A857,3)="PAT","특허","보고서")</f>
        <v/>
      </c>
      <c r="V857" s="86">
        <f>COUNTIF($S$2:$S$976,"&lt;"&amp;S857)+(COUNTIF($S$2:$S$976,"="&amp;S857)+1)/2</f>
        <v/>
      </c>
      <c r="W857" s="73">
        <f>IF(C857="qwen",0,COUNTIFS($C$2:$C$976,"&lt;&gt;qwen",$S$2:$S$976,"&lt;"&amp;S857)+1)</f>
        <v/>
      </c>
      <c r="X857" s="73">
        <f>IF(C857="ministral",0,COUNTIFS($C$2:$C$976,"&lt;&gt;ministral",$S$2:$S$976,"&lt;"&amp;S857)+1)</f>
        <v/>
      </c>
      <c r="Y857" s="73">
        <f>IF(C857="gemma",0,COUNTIFS($C$2:$C$976,"&lt;&gt;gemma",$S$2:$S$976,"&lt;"&amp;S857)+1)</f>
        <v/>
      </c>
      <c r="Z857" s="87">
        <f>COUNTIFS($B$2:$B$976,B857,$C$2:$C$976,C857,$S$2:$S$976,"&lt;"&amp;S857)+1</f>
        <v/>
      </c>
      <c r="AA857" s="88">
        <f>ABS(S857-SUMPRODUCT(('05B_가정검정'!$A$5:$A$19=B857)*('05B_가정검정'!$B$5:$B$19=C857)*'05B_가정검정'!$E$5:$E$19))</f>
        <v/>
      </c>
      <c r="AB857" s="88">
        <f>S857-AVERAGEIFS($S$2:$S$976,$B$2:$B$976,B857,$C$2:$C$976,C857)</f>
        <v/>
      </c>
    </row>
    <row r="858" ht="15" customHeight="1" s="68">
      <c r="A858" s="83" t="inlineStr">
        <is>
          <t>RPT-27</t>
        </is>
      </c>
      <c r="B858" s="83" t="inlineStr">
        <is>
          <t>chatgpt</t>
        </is>
      </c>
      <c r="C858" s="83" t="inlineStr">
        <is>
          <t>ministral</t>
        </is>
      </c>
      <c r="D858" s="84" t="n">
        <v>0.254098360655738</v>
      </c>
      <c r="E858" s="84" t="n">
        <v>0.274626865671642</v>
      </c>
      <c r="F858" s="84" t="n">
        <v>0.126126126126126</v>
      </c>
      <c r="G858" s="84" t="n">
        <v>0.232835820895522</v>
      </c>
      <c r="H858" s="84" t="n">
        <v>0.127379027875384</v>
      </c>
      <c r="I858" s="84" t="n">
        <v>0.244094872463206</v>
      </c>
      <c r="J858" s="84" t="n">
        <v>0.688891153411158</v>
      </c>
      <c r="K858" s="84" t="n">
        <v>0.701263844390685</v>
      </c>
      <c r="L858" s="84" t="n">
        <v>0.827598279990289</v>
      </c>
      <c r="M858" s="84" t="n">
        <v>0.469964664310954</v>
      </c>
      <c r="N858" s="84" t="n">
        <v>0.0305343511450382</v>
      </c>
      <c r="O858" s="84" t="n">
        <v>1</v>
      </c>
      <c r="P858" s="85">
        <f>AVERAGE(D858:I858)</f>
        <v/>
      </c>
      <c r="Q858" s="85">
        <f>AVERAGE(J858:L858)</f>
        <v/>
      </c>
      <c r="R858" s="85">
        <f>AVERAGE(M858:O858)</f>
        <v/>
      </c>
      <c r="S858" s="85">
        <f>'02_지표정의'!$C$22*P858+'02_지표정의'!$C$23*Q858+'02_지표정의'!$C$24*R858</f>
        <v/>
      </c>
      <c r="T858" s="73">
        <f>IF(OR(AND(B858="gemini",C858="gemma"),AND(B858="qwen3_6",C858="qwen"),AND(B858="mistral",C858="ministral")),1,0)</f>
        <v/>
      </c>
      <c r="U858" s="73">
        <f>IF(LEFT(A858,3)="PAT","특허","보고서")</f>
        <v/>
      </c>
      <c r="V858" s="86">
        <f>COUNTIF($S$2:$S$976,"&lt;"&amp;S858)+(COUNTIF($S$2:$S$976,"="&amp;S858)+1)/2</f>
        <v/>
      </c>
      <c r="W858" s="73">
        <f>IF(C858="qwen",0,COUNTIFS($C$2:$C$976,"&lt;&gt;qwen",$S$2:$S$976,"&lt;"&amp;S858)+1)</f>
        <v/>
      </c>
      <c r="X858" s="73">
        <f>IF(C858="ministral",0,COUNTIFS($C$2:$C$976,"&lt;&gt;ministral",$S$2:$S$976,"&lt;"&amp;S858)+1)</f>
        <v/>
      </c>
      <c r="Y858" s="73">
        <f>IF(C858="gemma",0,COUNTIFS($C$2:$C$976,"&lt;&gt;gemma",$S$2:$S$976,"&lt;"&amp;S858)+1)</f>
        <v/>
      </c>
      <c r="Z858" s="87">
        <f>COUNTIFS($B$2:$B$976,B858,$C$2:$C$976,C858,$S$2:$S$976,"&lt;"&amp;S858)+1</f>
        <v/>
      </c>
      <c r="AA858" s="88">
        <f>ABS(S858-SUMPRODUCT(('05B_가정검정'!$A$5:$A$19=B858)*('05B_가정검정'!$B$5:$B$19=C858)*'05B_가정검정'!$E$5:$E$19))</f>
        <v/>
      </c>
      <c r="AB858" s="88">
        <f>S858-AVERAGEIFS($S$2:$S$976,$B$2:$B$976,B858,$C$2:$C$976,C858)</f>
        <v/>
      </c>
    </row>
    <row r="859" ht="15" customHeight="1" s="68">
      <c r="A859" s="83" t="inlineStr">
        <is>
          <t>RPT-27</t>
        </is>
      </c>
      <c r="B859" s="83" t="inlineStr">
        <is>
          <t>chatgpt</t>
        </is>
      </c>
      <c r="C859" s="83" t="inlineStr">
        <is>
          <t>qwen</t>
        </is>
      </c>
      <c r="D859" s="84" t="n">
        <v>0.298682284040996</v>
      </c>
      <c r="E859" s="84" t="n">
        <v>0.353982300884956</v>
      </c>
      <c r="F859" s="84" t="n">
        <v>0.169642857142857</v>
      </c>
      <c r="G859" s="84" t="n">
        <v>0.300884955752212</v>
      </c>
      <c r="H859" s="84" t="n">
        <v>0.23104512809591</v>
      </c>
      <c r="I859" s="84" t="n">
        <v>0.28811380934275</v>
      </c>
      <c r="J859" s="84" t="n">
        <v>0.68176784190388</v>
      </c>
      <c r="K859" s="84" t="n">
        <v>0.626247851932632</v>
      </c>
      <c r="L859" s="84" t="n">
        <v>0.801527800270267</v>
      </c>
      <c r="M859" s="84" t="n">
        <v>0.515151515151515</v>
      </c>
      <c r="N859" s="84" t="n">
        <v>0</v>
      </c>
      <c r="O859" s="84" t="n">
        <v>1</v>
      </c>
      <c r="P859" s="85">
        <f>AVERAGE(D859:I859)</f>
        <v/>
      </c>
      <c r="Q859" s="85">
        <f>AVERAGE(J859:L859)</f>
        <v/>
      </c>
      <c r="R859" s="85">
        <f>AVERAGE(M859:O859)</f>
        <v/>
      </c>
      <c r="S859" s="85">
        <f>'02_지표정의'!$C$22*P859+'02_지표정의'!$C$23*Q859+'02_지표정의'!$C$24*R859</f>
        <v/>
      </c>
      <c r="T859" s="73">
        <f>IF(OR(AND(B859="gemini",C859="gemma"),AND(B859="qwen3_6",C859="qwen"),AND(B859="mistral",C859="ministral")),1,0)</f>
        <v/>
      </c>
      <c r="U859" s="73">
        <f>IF(LEFT(A859,3)="PAT","특허","보고서")</f>
        <v/>
      </c>
      <c r="V859" s="86">
        <f>COUNTIF($S$2:$S$976,"&lt;"&amp;S859)+(COUNTIF($S$2:$S$976,"="&amp;S859)+1)/2</f>
        <v/>
      </c>
      <c r="W859" s="73">
        <f>IF(C859="qwen",0,COUNTIFS($C$2:$C$976,"&lt;&gt;qwen",$S$2:$S$976,"&lt;"&amp;S859)+1)</f>
        <v/>
      </c>
      <c r="X859" s="73">
        <f>IF(C859="ministral",0,COUNTIFS($C$2:$C$976,"&lt;&gt;ministral",$S$2:$S$976,"&lt;"&amp;S859)+1)</f>
        <v/>
      </c>
      <c r="Y859" s="73">
        <f>IF(C859="gemma",0,COUNTIFS($C$2:$C$976,"&lt;&gt;gemma",$S$2:$S$976,"&lt;"&amp;S859)+1)</f>
        <v/>
      </c>
      <c r="Z859" s="87">
        <f>COUNTIFS($B$2:$B$976,B859,$C$2:$C$976,C859,$S$2:$S$976,"&lt;"&amp;S859)+1</f>
        <v/>
      </c>
      <c r="AA859" s="88">
        <f>ABS(S859-SUMPRODUCT(('05B_가정검정'!$A$5:$A$19=B859)*('05B_가정검정'!$B$5:$B$19=C859)*'05B_가정검정'!$E$5:$E$19))</f>
        <v/>
      </c>
      <c r="AB859" s="88">
        <f>S859-AVERAGEIFS($S$2:$S$976,$B$2:$B$976,B859,$C$2:$C$976,C859)</f>
        <v/>
      </c>
    </row>
    <row r="860" ht="15" customHeight="1" s="68">
      <c r="A860" s="83" t="inlineStr">
        <is>
          <t>RPT-27</t>
        </is>
      </c>
      <c r="B860" s="83" t="inlineStr">
        <is>
          <t>claude</t>
        </is>
      </c>
      <c r="C860" s="83" t="inlineStr">
        <is>
          <t>gemma</t>
        </is>
      </c>
      <c r="D860" s="84" t="n">
        <v>0.240786240786241</v>
      </c>
      <c r="E860" s="84" t="n">
        <v>0.368715083798883</v>
      </c>
      <c r="F860" s="84" t="n">
        <v>0.101123595505618</v>
      </c>
      <c r="G860" s="84" t="n">
        <v>0.206703910614525</v>
      </c>
      <c r="H860" s="84" t="n">
        <v>0.302271732700636</v>
      </c>
      <c r="I860" s="84" t="n">
        <v>0.139378472946054</v>
      </c>
      <c r="J860" s="84" t="n">
        <v>0.704608289604816</v>
      </c>
      <c r="K860" s="84" t="n">
        <v>0.6620942765575339</v>
      </c>
      <c r="L860" s="84" t="n">
        <v>0.861542578986872</v>
      </c>
      <c r="M860" s="84" t="n">
        <v>0.530612244897959</v>
      </c>
      <c r="N860" s="84" t="n">
        <v>0.475609756097561</v>
      </c>
      <c r="O860" s="84" t="n">
        <v>1</v>
      </c>
      <c r="P860" s="85">
        <f>AVERAGE(D860:I860)</f>
        <v/>
      </c>
      <c r="Q860" s="85">
        <f>AVERAGE(J860:L860)</f>
        <v/>
      </c>
      <c r="R860" s="85">
        <f>AVERAGE(M860:O860)</f>
        <v/>
      </c>
      <c r="S860" s="85">
        <f>'02_지표정의'!$C$22*P860+'02_지표정의'!$C$23*Q860+'02_지표정의'!$C$24*R860</f>
        <v/>
      </c>
      <c r="T860" s="73">
        <f>IF(OR(AND(B860="gemini",C860="gemma"),AND(B860="qwen3_6",C860="qwen"),AND(B860="mistral",C860="ministral")),1,0)</f>
        <v/>
      </c>
      <c r="U860" s="73">
        <f>IF(LEFT(A860,3)="PAT","특허","보고서")</f>
        <v/>
      </c>
      <c r="V860" s="86">
        <f>COUNTIF($S$2:$S$976,"&lt;"&amp;S860)+(COUNTIF($S$2:$S$976,"="&amp;S860)+1)/2</f>
        <v/>
      </c>
      <c r="W860" s="73">
        <f>IF(C860="qwen",0,COUNTIFS($C$2:$C$976,"&lt;&gt;qwen",$S$2:$S$976,"&lt;"&amp;S860)+1)</f>
        <v/>
      </c>
      <c r="X860" s="73">
        <f>IF(C860="ministral",0,COUNTIFS($C$2:$C$976,"&lt;&gt;ministral",$S$2:$S$976,"&lt;"&amp;S860)+1)</f>
        <v/>
      </c>
      <c r="Y860" s="73">
        <f>IF(C860="gemma",0,COUNTIFS($C$2:$C$976,"&lt;&gt;gemma",$S$2:$S$976,"&lt;"&amp;S860)+1)</f>
        <v/>
      </c>
      <c r="Z860" s="87">
        <f>COUNTIFS($B$2:$B$976,B860,$C$2:$C$976,C860,$S$2:$S$976,"&lt;"&amp;S860)+1</f>
        <v/>
      </c>
      <c r="AA860" s="88">
        <f>ABS(S860-SUMPRODUCT(('05B_가정검정'!$A$5:$A$19=B860)*('05B_가정검정'!$B$5:$B$19=C860)*'05B_가정검정'!$E$5:$E$19))</f>
        <v/>
      </c>
      <c r="AB860" s="88">
        <f>S860-AVERAGEIFS($S$2:$S$976,$B$2:$B$976,B860,$C$2:$C$976,C860)</f>
        <v/>
      </c>
    </row>
    <row r="861" ht="15" customHeight="1" s="68">
      <c r="A861" s="83" t="inlineStr">
        <is>
          <t>RPT-27</t>
        </is>
      </c>
      <c r="B861" s="83" t="inlineStr">
        <is>
          <t>claude</t>
        </is>
      </c>
      <c r="C861" s="83" t="inlineStr">
        <is>
          <t>ministral</t>
        </is>
      </c>
      <c r="D861" s="84" t="n">
        <v>0.235993208828523</v>
      </c>
      <c r="E861" s="84" t="n">
        <v>0.298947368421053</v>
      </c>
      <c r="F861" s="84" t="n">
        <v>0.09725158562367869</v>
      </c>
      <c r="G861" s="84" t="n">
        <v>0.214736842105263</v>
      </c>
      <c r="H861" s="84" t="n">
        <v>0.214275499705786</v>
      </c>
      <c r="I861" s="84" t="n">
        <v>0.137049004013572</v>
      </c>
      <c r="J861" s="84" t="n">
        <v>0.719064076627515</v>
      </c>
      <c r="K861" s="84" t="n">
        <v>0.685703418080849</v>
      </c>
      <c r="L861" s="84" t="n">
        <v>0.82256800161565</v>
      </c>
      <c r="M861" s="84" t="n">
        <v>0.487632508833922</v>
      </c>
      <c r="N861" s="84" t="n">
        <v>0.603053435114504</v>
      </c>
      <c r="O861" s="84" t="n">
        <v>1</v>
      </c>
      <c r="P861" s="85">
        <f>AVERAGE(D861:I861)</f>
        <v/>
      </c>
      <c r="Q861" s="85">
        <f>AVERAGE(J861:L861)</f>
        <v/>
      </c>
      <c r="R861" s="85">
        <f>AVERAGE(M861:O861)</f>
        <v/>
      </c>
      <c r="S861" s="85">
        <f>'02_지표정의'!$C$22*P861+'02_지표정의'!$C$23*Q861+'02_지표정의'!$C$24*R861</f>
        <v/>
      </c>
      <c r="T861" s="73">
        <f>IF(OR(AND(B861="gemini",C861="gemma"),AND(B861="qwen3_6",C861="qwen"),AND(B861="mistral",C861="ministral")),1,0)</f>
        <v/>
      </c>
      <c r="U861" s="73">
        <f>IF(LEFT(A861,3)="PAT","특허","보고서")</f>
        <v/>
      </c>
      <c r="V861" s="86">
        <f>COUNTIF($S$2:$S$976,"&lt;"&amp;S861)+(COUNTIF($S$2:$S$976,"="&amp;S861)+1)/2</f>
        <v/>
      </c>
      <c r="W861" s="73">
        <f>IF(C861="qwen",0,COUNTIFS($C$2:$C$976,"&lt;&gt;qwen",$S$2:$S$976,"&lt;"&amp;S861)+1)</f>
        <v/>
      </c>
      <c r="X861" s="73">
        <f>IF(C861="ministral",0,COUNTIFS($C$2:$C$976,"&lt;&gt;ministral",$S$2:$S$976,"&lt;"&amp;S861)+1)</f>
        <v/>
      </c>
      <c r="Y861" s="73">
        <f>IF(C861="gemma",0,COUNTIFS($C$2:$C$976,"&lt;&gt;gemma",$S$2:$S$976,"&lt;"&amp;S861)+1)</f>
        <v/>
      </c>
      <c r="Z861" s="87">
        <f>COUNTIFS($B$2:$B$976,B861,$C$2:$C$976,C861,$S$2:$S$976,"&lt;"&amp;S861)+1</f>
        <v/>
      </c>
      <c r="AA861" s="88">
        <f>ABS(S861-SUMPRODUCT(('05B_가정검정'!$A$5:$A$19=B861)*('05B_가정검정'!$B$5:$B$19=C861)*'05B_가정검정'!$E$5:$E$19))</f>
        <v/>
      </c>
      <c r="AB861" s="88">
        <f>S861-AVERAGEIFS($S$2:$S$976,$B$2:$B$976,B861,$C$2:$C$976,C861)</f>
        <v/>
      </c>
    </row>
    <row r="862" ht="15" customHeight="1" s="68">
      <c r="A862" s="83" t="inlineStr">
        <is>
          <t>RPT-27</t>
        </is>
      </c>
      <c r="B862" s="83" t="inlineStr">
        <is>
          <t>claude</t>
        </is>
      </c>
      <c r="C862" s="83" t="inlineStr">
        <is>
          <t>qwen</t>
        </is>
      </c>
      <c r="D862" s="84" t="n">
        <v>0.272807794508415</v>
      </c>
      <c r="E862" s="84" t="n">
        <v>0.426229508196721</v>
      </c>
      <c r="F862" s="84" t="n">
        <v>0.115384615384615</v>
      </c>
      <c r="G862" s="84" t="n">
        <v>0.240437158469945</v>
      </c>
      <c r="H862" s="84" t="n">
        <v>0.309388223868105</v>
      </c>
      <c r="I862" s="84" t="n">
        <v>0.18994904351597</v>
      </c>
      <c r="J862" s="84" t="n">
        <v>0.706011373548843</v>
      </c>
      <c r="K862" s="84" t="n">
        <v>0.682446929215489</v>
      </c>
      <c r="L862" s="84" t="n">
        <v>0.853644280936747</v>
      </c>
      <c r="M862" s="84" t="n">
        <v>0.8</v>
      </c>
      <c r="N862" s="84" t="n">
        <v>0.829268292682927</v>
      </c>
      <c r="O862" s="84" t="n">
        <v>1</v>
      </c>
      <c r="P862" s="85">
        <f>AVERAGE(D862:I862)</f>
        <v/>
      </c>
      <c r="Q862" s="85">
        <f>AVERAGE(J862:L862)</f>
        <v/>
      </c>
      <c r="R862" s="85">
        <f>AVERAGE(M862:O862)</f>
        <v/>
      </c>
      <c r="S862" s="85">
        <f>'02_지표정의'!$C$22*P862+'02_지표정의'!$C$23*Q862+'02_지표정의'!$C$24*R862</f>
        <v/>
      </c>
      <c r="T862" s="73">
        <f>IF(OR(AND(B862="gemini",C862="gemma"),AND(B862="qwen3_6",C862="qwen"),AND(B862="mistral",C862="ministral")),1,0)</f>
        <v/>
      </c>
      <c r="U862" s="73">
        <f>IF(LEFT(A862,3)="PAT","특허","보고서")</f>
        <v/>
      </c>
      <c r="V862" s="86">
        <f>COUNTIF($S$2:$S$976,"&lt;"&amp;S862)+(COUNTIF($S$2:$S$976,"="&amp;S862)+1)/2</f>
        <v/>
      </c>
      <c r="W862" s="73">
        <f>IF(C862="qwen",0,COUNTIFS($C$2:$C$976,"&lt;&gt;qwen",$S$2:$S$976,"&lt;"&amp;S862)+1)</f>
        <v/>
      </c>
      <c r="X862" s="73">
        <f>IF(C862="ministral",0,COUNTIFS($C$2:$C$976,"&lt;&gt;ministral",$S$2:$S$976,"&lt;"&amp;S862)+1)</f>
        <v/>
      </c>
      <c r="Y862" s="73">
        <f>IF(C862="gemma",0,COUNTIFS($C$2:$C$976,"&lt;&gt;gemma",$S$2:$S$976,"&lt;"&amp;S862)+1)</f>
        <v/>
      </c>
      <c r="Z862" s="87">
        <f>COUNTIFS($B$2:$B$976,B862,$C$2:$C$976,C862,$S$2:$S$976,"&lt;"&amp;S862)+1</f>
        <v/>
      </c>
      <c r="AA862" s="88">
        <f>ABS(S862-SUMPRODUCT(('05B_가정검정'!$A$5:$A$19=B862)*('05B_가정검정'!$B$5:$B$19=C862)*'05B_가정검정'!$E$5:$E$19))</f>
        <v/>
      </c>
      <c r="AB862" s="88">
        <f>S862-AVERAGEIFS($S$2:$S$976,$B$2:$B$976,B862,$C$2:$C$976,C862)</f>
        <v/>
      </c>
    </row>
    <row r="863" ht="15" customHeight="1" s="68">
      <c r="A863" s="83" t="inlineStr">
        <is>
          <t>RPT-27</t>
        </is>
      </c>
      <c r="B863" s="83" t="inlineStr">
        <is>
          <t>gemini</t>
        </is>
      </c>
      <c r="C863" s="83" t="inlineStr">
        <is>
          <t>gemma</t>
        </is>
      </c>
      <c r="D863" s="84" t="n">
        <v>0.213723284589426</v>
      </c>
      <c r="E863" s="84" t="n">
        <v>0.388185654008439</v>
      </c>
      <c r="F863" s="84" t="n">
        <v>0.119148936170213</v>
      </c>
      <c r="G863" s="84" t="n">
        <v>0.253164556962025</v>
      </c>
      <c r="H863" s="84" t="n">
        <v>0.264736804924321</v>
      </c>
      <c r="I863" s="84" t="n">
        <v>0.11854542630427</v>
      </c>
      <c r="J863" s="84" t="n">
        <v>0.732447937292604</v>
      </c>
      <c r="K863" s="84" t="n">
        <v>0.703023980151966</v>
      </c>
      <c r="L863" s="84" t="n">
        <v>0.864793266556238</v>
      </c>
      <c r="M863" s="84" t="n">
        <v>0.659863945578231</v>
      </c>
      <c r="N863" s="84" t="n">
        <v>0.785714285714286</v>
      </c>
      <c r="O863" s="84" t="n">
        <v>1</v>
      </c>
      <c r="P863" s="85">
        <f>AVERAGE(D863:I863)</f>
        <v/>
      </c>
      <c r="Q863" s="85">
        <f>AVERAGE(J863:L863)</f>
        <v/>
      </c>
      <c r="R863" s="85">
        <f>AVERAGE(M863:O863)</f>
        <v/>
      </c>
      <c r="S863" s="85">
        <f>'02_지표정의'!$C$22*P863+'02_지표정의'!$C$23*Q863+'02_지표정의'!$C$24*R863</f>
        <v/>
      </c>
      <c r="T863" s="73">
        <f>IF(OR(AND(B863="gemini",C863="gemma"),AND(B863="qwen3_6",C863="qwen"),AND(B863="mistral",C863="ministral")),1,0)</f>
        <v/>
      </c>
      <c r="U863" s="73">
        <f>IF(LEFT(A863,3)="PAT","특허","보고서")</f>
        <v/>
      </c>
      <c r="V863" s="86">
        <f>COUNTIF($S$2:$S$976,"&lt;"&amp;S863)+(COUNTIF($S$2:$S$976,"="&amp;S863)+1)/2</f>
        <v/>
      </c>
      <c r="W863" s="73">
        <f>IF(C863="qwen",0,COUNTIFS($C$2:$C$976,"&lt;&gt;qwen",$S$2:$S$976,"&lt;"&amp;S863)+1)</f>
        <v/>
      </c>
      <c r="X863" s="73">
        <f>IF(C863="ministral",0,COUNTIFS($C$2:$C$976,"&lt;&gt;ministral",$S$2:$S$976,"&lt;"&amp;S863)+1)</f>
        <v/>
      </c>
      <c r="Y863" s="73">
        <f>IF(C863="gemma",0,COUNTIFS($C$2:$C$976,"&lt;&gt;gemma",$S$2:$S$976,"&lt;"&amp;S863)+1)</f>
        <v/>
      </c>
      <c r="Z863" s="87">
        <f>COUNTIFS($B$2:$B$976,B863,$C$2:$C$976,C863,$S$2:$S$976,"&lt;"&amp;S863)+1</f>
        <v/>
      </c>
      <c r="AA863" s="88">
        <f>ABS(S863-SUMPRODUCT(('05B_가정검정'!$A$5:$A$19=B863)*('05B_가정검정'!$B$5:$B$19=C863)*'05B_가정검정'!$E$5:$E$19))</f>
        <v/>
      </c>
      <c r="AB863" s="88">
        <f>S863-AVERAGEIFS($S$2:$S$976,$B$2:$B$976,B863,$C$2:$C$976,C863)</f>
        <v/>
      </c>
    </row>
    <row r="864" ht="15" customHeight="1" s="68">
      <c r="A864" s="83" t="inlineStr">
        <is>
          <t>RPT-27</t>
        </is>
      </c>
      <c r="B864" s="83" t="inlineStr">
        <is>
          <t>gemini</t>
        </is>
      </c>
      <c r="C864" s="83" t="inlineStr">
        <is>
          <t>ministral</t>
        </is>
      </c>
      <c r="D864" s="84" t="n">
        <v>0.234042553191489</v>
      </c>
      <c r="E864" s="84" t="n">
        <v>0.259887005649718</v>
      </c>
      <c r="F864" s="84" t="n">
        <v>0.102272727272727</v>
      </c>
      <c r="G864" s="84" t="n">
        <v>0.192090395480226</v>
      </c>
      <c r="H864" s="84" t="n">
        <v>0.143117064270516</v>
      </c>
      <c r="I864" s="84" t="n">
        <v>0.139052391576863</v>
      </c>
      <c r="J864" s="84" t="n">
        <v>0.728693874015876</v>
      </c>
      <c r="K864" s="84" t="n">
        <v>0.76130405571547</v>
      </c>
      <c r="L864" s="84" t="n">
        <v>0.891737687069323</v>
      </c>
      <c r="M864" s="84" t="n">
        <v>0.342756183745583</v>
      </c>
      <c r="N864" s="84" t="n">
        <v>0.419847328244275</v>
      </c>
      <c r="O864" s="84" t="n">
        <v>1</v>
      </c>
      <c r="P864" s="85">
        <f>AVERAGE(D864:I864)</f>
        <v/>
      </c>
      <c r="Q864" s="85">
        <f>AVERAGE(J864:L864)</f>
        <v/>
      </c>
      <c r="R864" s="85">
        <f>AVERAGE(M864:O864)</f>
        <v/>
      </c>
      <c r="S864" s="85">
        <f>'02_지표정의'!$C$22*P864+'02_지표정의'!$C$23*Q864+'02_지표정의'!$C$24*R864</f>
        <v/>
      </c>
      <c r="T864" s="73">
        <f>IF(OR(AND(B864="gemini",C864="gemma"),AND(B864="qwen3_6",C864="qwen"),AND(B864="mistral",C864="ministral")),1,0)</f>
        <v/>
      </c>
      <c r="U864" s="73">
        <f>IF(LEFT(A864,3)="PAT","특허","보고서")</f>
        <v/>
      </c>
      <c r="V864" s="86">
        <f>COUNTIF($S$2:$S$976,"&lt;"&amp;S864)+(COUNTIF($S$2:$S$976,"="&amp;S864)+1)/2</f>
        <v/>
      </c>
      <c r="W864" s="73">
        <f>IF(C864="qwen",0,COUNTIFS($C$2:$C$976,"&lt;&gt;qwen",$S$2:$S$976,"&lt;"&amp;S864)+1)</f>
        <v/>
      </c>
      <c r="X864" s="73">
        <f>IF(C864="ministral",0,COUNTIFS($C$2:$C$976,"&lt;&gt;ministral",$S$2:$S$976,"&lt;"&amp;S864)+1)</f>
        <v/>
      </c>
      <c r="Y864" s="73">
        <f>IF(C864="gemma",0,COUNTIFS($C$2:$C$976,"&lt;&gt;gemma",$S$2:$S$976,"&lt;"&amp;S864)+1)</f>
        <v/>
      </c>
      <c r="Z864" s="87">
        <f>COUNTIFS($B$2:$B$976,B864,$C$2:$C$976,C864,$S$2:$S$976,"&lt;"&amp;S864)+1</f>
        <v/>
      </c>
      <c r="AA864" s="88">
        <f>ABS(S864-SUMPRODUCT(('05B_가정검정'!$A$5:$A$19=B864)*('05B_가정검정'!$B$5:$B$19=C864)*'05B_가정검정'!$E$5:$E$19))</f>
        <v/>
      </c>
      <c r="AB864" s="88">
        <f>S864-AVERAGEIFS($S$2:$S$976,$B$2:$B$976,B864,$C$2:$C$976,C864)</f>
        <v/>
      </c>
    </row>
    <row r="865" ht="15" customHeight="1" s="68">
      <c r="A865" s="83" t="inlineStr">
        <is>
          <t>RPT-27</t>
        </is>
      </c>
      <c r="B865" s="83" t="inlineStr">
        <is>
          <t>gemini</t>
        </is>
      </c>
      <c r="C865" s="83" t="inlineStr">
        <is>
          <t>qwen</t>
        </is>
      </c>
      <c r="D865" s="84" t="n">
        <v>0.268506900878294</v>
      </c>
      <c r="E865" s="84" t="n">
        <v>0.424489795918367</v>
      </c>
      <c r="F865" s="84" t="n">
        <v>0.123456790123457</v>
      </c>
      <c r="G865" s="84" t="n">
        <v>0.285714285714286</v>
      </c>
      <c r="H865" s="84" t="n">
        <v>0.292178102787755</v>
      </c>
      <c r="I865" s="84" t="n">
        <v>0.201516510799085</v>
      </c>
      <c r="J865" s="84" t="n">
        <v>0.750504979891769</v>
      </c>
      <c r="K865" s="84" t="n">
        <v>0.743967695874293</v>
      </c>
      <c r="L865" s="84" t="n">
        <v>0.879947206961068</v>
      </c>
      <c r="M865" s="84" t="n">
        <v>0.702898550724638</v>
      </c>
      <c r="N865" s="84" t="n">
        <v>0.679012345679012</v>
      </c>
      <c r="O865" s="84" t="n">
        <v>1</v>
      </c>
      <c r="P865" s="85">
        <f>AVERAGE(D865:I865)</f>
        <v/>
      </c>
      <c r="Q865" s="85">
        <f>AVERAGE(J865:L865)</f>
        <v/>
      </c>
      <c r="R865" s="85">
        <f>AVERAGE(M865:O865)</f>
        <v/>
      </c>
      <c r="S865" s="85">
        <f>'02_지표정의'!$C$22*P865+'02_지표정의'!$C$23*Q865+'02_지표정의'!$C$24*R865</f>
        <v/>
      </c>
      <c r="T865" s="73">
        <f>IF(OR(AND(B865="gemini",C865="gemma"),AND(B865="qwen3_6",C865="qwen"),AND(B865="mistral",C865="ministral")),1,0)</f>
        <v/>
      </c>
      <c r="U865" s="73">
        <f>IF(LEFT(A865,3)="PAT","특허","보고서")</f>
        <v/>
      </c>
      <c r="V865" s="86">
        <f>COUNTIF($S$2:$S$976,"&lt;"&amp;S865)+(COUNTIF($S$2:$S$976,"="&amp;S865)+1)/2</f>
        <v/>
      </c>
      <c r="W865" s="73">
        <f>IF(C865="qwen",0,COUNTIFS($C$2:$C$976,"&lt;&gt;qwen",$S$2:$S$976,"&lt;"&amp;S865)+1)</f>
        <v/>
      </c>
      <c r="X865" s="73">
        <f>IF(C865="ministral",0,COUNTIFS($C$2:$C$976,"&lt;&gt;ministral",$S$2:$S$976,"&lt;"&amp;S865)+1)</f>
        <v/>
      </c>
      <c r="Y865" s="73">
        <f>IF(C865="gemma",0,COUNTIFS($C$2:$C$976,"&lt;&gt;gemma",$S$2:$S$976,"&lt;"&amp;S865)+1)</f>
        <v/>
      </c>
      <c r="Z865" s="87">
        <f>COUNTIFS($B$2:$B$976,B865,$C$2:$C$976,C865,$S$2:$S$976,"&lt;"&amp;S865)+1</f>
        <v/>
      </c>
      <c r="AA865" s="88">
        <f>ABS(S865-SUMPRODUCT(('05B_가정검정'!$A$5:$A$19=B865)*('05B_가정검정'!$B$5:$B$19=C865)*'05B_가정검정'!$E$5:$E$19))</f>
        <v/>
      </c>
      <c r="AB865" s="88">
        <f>S865-AVERAGEIFS($S$2:$S$976,$B$2:$B$976,B865,$C$2:$C$976,C865)</f>
        <v/>
      </c>
    </row>
    <row r="866" ht="15" customHeight="1" s="68">
      <c r="A866" s="83" t="inlineStr">
        <is>
          <t>RPT-27</t>
        </is>
      </c>
      <c r="B866" s="83" t="inlineStr">
        <is>
          <t>mistral</t>
        </is>
      </c>
      <c r="C866" s="83" t="inlineStr">
        <is>
          <t>gemma</t>
        </is>
      </c>
      <c r="D866" s="84" t="n">
        <v>0.266349583828775</v>
      </c>
      <c r="E866" s="84" t="n">
        <v>0.301158301158301</v>
      </c>
      <c r="F866" s="84" t="n">
        <v>0.116731517509728</v>
      </c>
      <c r="G866" s="84" t="n">
        <v>0.247104247104247</v>
      </c>
      <c r="H866" s="84" t="n">
        <v>0.30115787359806</v>
      </c>
      <c r="I866" s="84" t="n">
        <v>0.141065785260024</v>
      </c>
      <c r="J866" s="84" t="n">
        <v>0.675377813045165</v>
      </c>
      <c r="K866" s="84" t="n">
        <v>0.625996543558067</v>
      </c>
      <c r="L866" s="84" t="n">
        <v>0.792067391919631</v>
      </c>
      <c r="M866" s="84" t="n">
        <v>0.700680272108844</v>
      </c>
      <c r="N866" s="84" t="n">
        <v>0.527027027027027</v>
      </c>
      <c r="O866" s="84" t="n">
        <v>1</v>
      </c>
      <c r="P866" s="85">
        <f>AVERAGE(D866:I866)</f>
        <v/>
      </c>
      <c r="Q866" s="85">
        <f>AVERAGE(J866:L866)</f>
        <v/>
      </c>
      <c r="R866" s="85">
        <f>AVERAGE(M866:O866)</f>
        <v/>
      </c>
      <c r="S866" s="85">
        <f>'02_지표정의'!$C$22*P866+'02_지표정의'!$C$23*Q866+'02_지표정의'!$C$24*R866</f>
        <v/>
      </c>
      <c r="T866" s="73">
        <f>IF(OR(AND(B866="gemini",C866="gemma"),AND(B866="qwen3_6",C866="qwen"),AND(B866="mistral",C866="ministral")),1,0)</f>
        <v/>
      </c>
      <c r="U866" s="73">
        <f>IF(LEFT(A866,3)="PAT","특허","보고서")</f>
        <v/>
      </c>
      <c r="V866" s="86">
        <f>COUNTIF($S$2:$S$976,"&lt;"&amp;S866)+(COUNTIF($S$2:$S$976,"="&amp;S866)+1)/2</f>
        <v/>
      </c>
      <c r="W866" s="73">
        <f>IF(C866="qwen",0,COUNTIFS($C$2:$C$976,"&lt;&gt;qwen",$S$2:$S$976,"&lt;"&amp;S866)+1)</f>
        <v/>
      </c>
      <c r="X866" s="73">
        <f>IF(C866="ministral",0,COUNTIFS($C$2:$C$976,"&lt;&gt;ministral",$S$2:$S$976,"&lt;"&amp;S866)+1)</f>
        <v/>
      </c>
      <c r="Y866" s="73">
        <f>IF(C866="gemma",0,COUNTIFS($C$2:$C$976,"&lt;&gt;gemma",$S$2:$S$976,"&lt;"&amp;S866)+1)</f>
        <v/>
      </c>
      <c r="Z866" s="87">
        <f>COUNTIFS($B$2:$B$976,B866,$C$2:$C$976,C866,$S$2:$S$976,"&lt;"&amp;S866)+1</f>
        <v/>
      </c>
      <c r="AA866" s="88">
        <f>ABS(S866-SUMPRODUCT(('05B_가정검정'!$A$5:$A$19=B866)*('05B_가정검정'!$B$5:$B$19=C866)*'05B_가정검정'!$E$5:$E$19))</f>
        <v/>
      </c>
      <c r="AB866" s="88">
        <f>S866-AVERAGEIFS($S$2:$S$976,$B$2:$B$976,B866,$C$2:$C$976,C866)</f>
        <v/>
      </c>
    </row>
    <row r="867" ht="15" customHeight="1" s="68">
      <c r="A867" s="83" t="inlineStr">
        <is>
          <t>RPT-27</t>
        </is>
      </c>
      <c r="B867" s="83" t="inlineStr">
        <is>
          <t>mistral</t>
        </is>
      </c>
      <c r="C867" s="83" t="inlineStr">
        <is>
          <t>ministral</t>
        </is>
      </c>
      <c r="D867" s="84" t="n">
        <v>0.263157894736842</v>
      </c>
      <c r="E867" s="84" t="n">
        <v>0.452127659574468</v>
      </c>
      <c r="F867" s="84" t="n">
        <v>0.18716577540107</v>
      </c>
      <c r="G867" s="84" t="n">
        <v>0.351063829787234</v>
      </c>
      <c r="H867" s="84" t="n">
        <v>0.207789830723558</v>
      </c>
      <c r="I867" s="84" t="n">
        <v>0.478370748052926</v>
      </c>
      <c r="J867" s="84" t="n">
        <v>0.724494794557492</v>
      </c>
      <c r="K867" s="84" t="n">
        <v>0.730921594782815</v>
      </c>
      <c r="L867" s="84" t="n">
        <v>0.843865293825263</v>
      </c>
      <c r="M867" s="84" t="n">
        <v>0.420494699646643</v>
      </c>
      <c r="N867" s="84" t="n">
        <v>0.366412213740458</v>
      </c>
      <c r="O867" s="84" t="n">
        <v>1</v>
      </c>
      <c r="P867" s="85">
        <f>AVERAGE(D867:I867)</f>
        <v/>
      </c>
      <c r="Q867" s="85">
        <f>AVERAGE(J867:L867)</f>
        <v/>
      </c>
      <c r="R867" s="85">
        <f>AVERAGE(M867:O867)</f>
        <v/>
      </c>
      <c r="S867" s="85">
        <f>'02_지표정의'!$C$22*P867+'02_지표정의'!$C$23*Q867+'02_지표정의'!$C$24*R867</f>
        <v/>
      </c>
      <c r="T867" s="73">
        <f>IF(OR(AND(B867="gemini",C867="gemma"),AND(B867="qwen3_6",C867="qwen"),AND(B867="mistral",C867="ministral")),1,0)</f>
        <v/>
      </c>
      <c r="U867" s="73">
        <f>IF(LEFT(A867,3)="PAT","특허","보고서")</f>
        <v/>
      </c>
      <c r="V867" s="86">
        <f>COUNTIF($S$2:$S$976,"&lt;"&amp;S867)+(COUNTIF($S$2:$S$976,"="&amp;S867)+1)/2</f>
        <v/>
      </c>
      <c r="W867" s="73">
        <f>IF(C867="qwen",0,COUNTIFS($C$2:$C$976,"&lt;&gt;qwen",$S$2:$S$976,"&lt;"&amp;S867)+1)</f>
        <v/>
      </c>
      <c r="X867" s="73">
        <f>IF(C867="ministral",0,COUNTIFS($C$2:$C$976,"&lt;&gt;ministral",$S$2:$S$976,"&lt;"&amp;S867)+1)</f>
        <v/>
      </c>
      <c r="Y867" s="73">
        <f>IF(C867="gemma",0,COUNTIFS($C$2:$C$976,"&lt;&gt;gemma",$S$2:$S$976,"&lt;"&amp;S867)+1)</f>
        <v/>
      </c>
      <c r="Z867" s="87">
        <f>COUNTIFS($B$2:$B$976,B867,$C$2:$C$976,C867,$S$2:$S$976,"&lt;"&amp;S867)+1</f>
        <v/>
      </c>
      <c r="AA867" s="88">
        <f>ABS(S867-SUMPRODUCT(('05B_가정검정'!$A$5:$A$19=B867)*('05B_가정검정'!$B$5:$B$19=C867)*'05B_가정검정'!$E$5:$E$19))</f>
        <v/>
      </c>
      <c r="AB867" s="88">
        <f>S867-AVERAGEIFS($S$2:$S$976,$B$2:$B$976,B867,$C$2:$C$976,C867)</f>
        <v/>
      </c>
    </row>
    <row r="868" ht="15" customHeight="1" s="68">
      <c r="A868" s="83" t="inlineStr">
        <is>
          <t>RPT-27</t>
        </is>
      </c>
      <c r="B868" s="83" t="inlineStr">
        <is>
          <t>mistral</t>
        </is>
      </c>
      <c r="C868" s="83" t="inlineStr">
        <is>
          <t>qwen</t>
        </is>
      </c>
      <c r="D868" s="84" t="n">
        <v>0.331108144192256</v>
      </c>
      <c r="E868" s="84" t="n">
        <v>0.359550561797753</v>
      </c>
      <c r="F868" s="84" t="n">
        <v>0.135849056603774</v>
      </c>
      <c r="G868" s="84" t="n">
        <v>0.269662921348315</v>
      </c>
      <c r="H868" s="84" t="n">
        <v>0.326141717285455</v>
      </c>
      <c r="I868" s="84" t="n">
        <v>0.261848614862169</v>
      </c>
      <c r="J868" s="84" t="n">
        <v>0.692015648336774</v>
      </c>
      <c r="K868" s="84" t="n">
        <v>0.683704560996145</v>
      </c>
      <c r="L868" s="84" t="n">
        <v>0.815477568440405</v>
      </c>
      <c r="M868" s="84" t="n">
        <v>0.557971014492754</v>
      </c>
      <c r="N868" s="84" t="n">
        <v>0.432098765432099</v>
      </c>
      <c r="O868" s="84" t="n">
        <v>1</v>
      </c>
      <c r="P868" s="85">
        <f>AVERAGE(D868:I868)</f>
        <v/>
      </c>
      <c r="Q868" s="85">
        <f>AVERAGE(J868:L868)</f>
        <v/>
      </c>
      <c r="R868" s="85">
        <f>AVERAGE(M868:O868)</f>
        <v/>
      </c>
      <c r="S868" s="85">
        <f>'02_지표정의'!$C$22*P868+'02_지표정의'!$C$23*Q868+'02_지표정의'!$C$24*R868</f>
        <v/>
      </c>
      <c r="T868" s="73">
        <f>IF(OR(AND(B868="gemini",C868="gemma"),AND(B868="qwen3_6",C868="qwen"),AND(B868="mistral",C868="ministral")),1,0)</f>
        <v/>
      </c>
      <c r="U868" s="73">
        <f>IF(LEFT(A868,3)="PAT","특허","보고서")</f>
        <v/>
      </c>
      <c r="V868" s="86">
        <f>COUNTIF($S$2:$S$976,"&lt;"&amp;S868)+(COUNTIF($S$2:$S$976,"="&amp;S868)+1)/2</f>
        <v/>
      </c>
      <c r="W868" s="73">
        <f>IF(C868="qwen",0,COUNTIFS($C$2:$C$976,"&lt;&gt;qwen",$S$2:$S$976,"&lt;"&amp;S868)+1)</f>
        <v/>
      </c>
      <c r="X868" s="73">
        <f>IF(C868="ministral",0,COUNTIFS($C$2:$C$976,"&lt;&gt;ministral",$S$2:$S$976,"&lt;"&amp;S868)+1)</f>
        <v/>
      </c>
      <c r="Y868" s="73">
        <f>IF(C868="gemma",0,COUNTIFS($C$2:$C$976,"&lt;&gt;gemma",$S$2:$S$976,"&lt;"&amp;S868)+1)</f>
        <v/>
      </c>
      <c r="Z868" s="87">
        <f>COUNTIFS($B$2:$B$976,B868,$C$2:$C$976,C868,$S$2:$S$976,"&lt;"&amp;S868)+1</f>
        <v/>
      </c>
      <c r="AA868" s="88">
        <f>ABS(S868-SUMPRODUCT(('05B_가정검정'!$A$5:$A$19=B868)*('05B_가정검정'!$B$5:$B$19=C868)*'05B_가정검정'!$E$5:$E$19))</f>
        <v/>
      </c>
      <c r="AB868" s="88">
        <f>S868-AVERAGEIFS($S$2:$S$976,$B$2:$B$976,B868,$C$2:$C$976,C868)</f>
        <v/>
      </c>
    </row>
    <row r="869" ht="15" customHeight="1" s="68">
      <c r="A869" s="83" t="inlineStr">
        <is>
          <t>RPT-27</t>
        </is>
      </c>
      <c r="B869" s="83" t="inlineStr">
        <is>
          <t>qwen3_6</t>
        </is>
      </c>
      <c r="C869" s="83" t="inlineStr">
        <is>
          <t>gemma</t>
        </is>
      </c>
      <c r="D869" s="84" t="n">
        <v>0.233261339092873</v>
      </c>
      <c r="E869" s="84" t="n">
        <v>0.317567567567568</v>
      </c>
      <c r="F869" s="84" t="n">
        <v>0.115646258503401</v>
      </c>
      <c r="G869" s="84" t="n">
        <v>0.25</v>
      </c>
      <c r="H869" s="84" t="n">
        <v>0.360303291020612</v>
      </c>
      <c r="I869" s="84" t="n">
        <v>0.210312692555657</v>
      </c>
      <c r="J869" s="84" t="n">
        <v>0.721320096913903</v>
      </c>
      <c r="K869" s="84" t="n">
        <v>0.664570070870149</v>
      </c>
      <c r="L869" s="84" t="n">
        <v>0.8568869990283841</v>
      </c>
      <c r="M869" s="84" t="n">
        <v>0.659863945578231</v>
      </c>
      <c r="N869" s="84" t="n">
        <v>0.785714285714286</v>
      </c>
      <c r="O869" s="84" t="n">
        <v>1</v>
      </c>
      <c r="P869" s="85">
        <f>AVERAGE(D869:I869)</f>
        <v/>
      </c>
      <c r="Q869" s="85">
        <f>AVERAGE(J869:L869)</f>
        <v/>
      </c>
      <c r="R869" s="85">
        <f>AVERAGE(M869:O869)</f>
        <v/>
      </c>
      <c r="S869" s="85">
        <f>'02_지표정의'!$C$22*P869+'02_지표정의'!$C$23*Q869+'02_지표정의'!$C$24*R869</f>
        <v/>
      </c>
      <c r="T869" s="73">
        <f>IF(OR(AND(B869="gemini",C869="gemma"),AND(B869="qwen3_6",C869="qwen"),AND(B869="mistral",C869="ministral")),1,0)</f>
        <v/>
      </c>
      <c r="U869" s="73">
        <f>IF(LEFT(A869,3)="PAT","특허","보고서")</f>
        <v/>
      </c>
      <c r="V869" s="86">
        <f>COUNTIF($S$2:$S$976,"&lt;"&amp;S869)+(COUNTIF($S$2:$S$976,"="&amp;S869)+1)/2</f>
        <v/>
      </c>
      <c r="W869" s="73">
        <f>IF(C869="qwen",0,COUNTIFS($C$2:$C$976,"&lt;&gt;qwen",$S$2:$S$976,"&lt;"&amp;S869)+1)</f>
        <v/>
      </c>
      <c r="X869" s="73">
        <f>IF(C869="ministral",0,COUNTIFS($C$2:$C$976,"&lt;&gt;ministral",$S$2:$S$976,"&lt;"&amp;S869)+1)</f>
        <v/>
      </c>
      <c r="Y869" s="73">
        <f>IF(C869="gemma",0,COUNTIFS($C$2:$C$976,"&lt;&gt;gemma",$S$2:$S$976,"&lt;"&amp;S869)+1)</f>
        <v/>
      </c>
      <c r="Z869" s="87">
        <f>COUNTIFS($B$2:$B$976,B869,$C$2:$C$976,C869,$S$2:$S$976,"&lt;"&amp;S869)+1</f>
        <v/>
      </c>
      <c r="AA869" s="88">
        <f>ABS(S869-SUMPRODUCT(('05B_가정검정'!$A$5:$A$19=B869)*('05B_가정검정'!$B$5:$B$19=C869)*'05B_가정검정'!$E$5:$E$19))</f>
        <v/>
      </c>
      <c r="AB869" s="88">
        <f>S869-AVERAGEIFS($S$2:$S$976,$B$2:$B$976,B869,$C$2:$C$976,C869)</f>
        <v/>
      </c>
    </row>
    <row r="870" ht="15" customHeight="1" s="68">
      <c r="A870" s="83" t="inlineStr">
        <is>
          <t>RPT-27</t>
        </is>
      </c>
      <c r="B870" s="83" t="inlineStr">
        <is>
          <t>qwen3_6</t>
        </is>
      </c>
      <c r="C870" s="83" t="inlineStr">
        <is>
          <t>ministral</t>
        </is>
      </c>
      <c r="D870" s="84" t="n">
        <v>0.217440543601359</v>
      </c>
      <c r="E870" s="84" t="n">
        <v>0.256658595641647</v>
      </c>
      <c r="F870" s="84" t="n">
        <v>0.0875912408759124</v>
      </c>
      <c r="G870" s="84" t="n">
        <v>0.208232445520581</v>
      </c>
      <c r="H870" s="84" t="n">
        <v>0.18630519424539</v>
      </c>
      <c r="I870" s="84" t="n">
        <v>0.162394779191984</v>
      </c>
      <c r="J870" s="84" t="n">
        <v>0.718030845793684</v>
      </c>
      <c r="K870" s="84" t="n">
        <v>0.694096731296455</v>
      </c>
      <c r="L870" s="84" t="n">
        <v>0.847100817436989</v>
      </c>
      <c r="M870" s="84" t="n">
        <v>0.342756183745583</v>
      </c>
      <c r="N870" s="84" t="n">
        <v>0.419847328244275</v>
      </c>
      <c r="O870" s="84" t="n">
        <v>1</v>
      </c>
      <c r="P870" s="85">
        <f>AVERAGE(D870:I870)</f>
        <v/>
      </c>
      <c r="Q870" s="85">
        <f>AVERAGE(J870:L870)</f>
        <v/>
      </c>
      <c r="R870" s="85">
        <f>AVERAGE(M870:O870)</f>
        <v/>
      </c>
      <c r="S870" s="85">
        <f>'02_지표정의'!$C$22*P870+'02_지표정의'!$C$23*Q870+'02_지표정의'!$C$24*R870</f>
        <v/>
      </c>
      <c r="T870" s="73">
        <f>IF(OR(AND(B870="gemini",C870="gemma"),AND(B870="qwen3_6",C870="qwen"),AND(B870="mistral",C870="ministral")),1,0)</f>
        <v/>
      </c>
      <c r="U870" s="73">
        <f>IF(LEFT(A870,3)="PAT","특허","보고서")</f>
        <v/>
      </c>
      <c r="V870" s="86">
        <f>COUNTIF($S$2:$S$976,"&lt;"&amp;S870)+(COUNTIF($S$2:$S$976,"="&amp;S870)+1)/2</f>
        <v/>
      </c>
      <c r="W870" s="73">
        <f>IF(C870="qwen",0,COUNTIFS($C$2:$C$976,"&lt;&gt;qwen",$S$2:$S$976,"&lt;"&amp;S870)+1)</f>
        <v/>
      </c>
      <c r="X870" s="73">
        <f>IF(C870="ministral",0,COUNTIFS($C$2:$C$976,"&lt;&gt;ministral",$S$2:$S$976,"&lt;"&amp;S870)+1)</f>
        <v/>
      </c>
      <c r="Y870" s="73">
        <f>IF(C870="gemma",0,COUNTIFS($C$2:$C$976,"&lt;&gt;gemma",$S$2:$S$976,"&lt;"&amp;S870)+1)</f>
        <v/>
      </c>
      <c r="Z870" s="87">
        <f>COUNTIFS($B$2:$B$976,B870,$C$2:$C$976,C870,$S$2:$S$976,"&lt;"&amp;S870)+1</f>
        <v/>
      </c>
      <c r="AA870" s="88">
        <f>ABS(S870-SUMPRODUCT(('05B_가정검정'!$A$5:$A$19=B870)*('05B_가정검정'!$B$5:$B$19=C870)*'05B_가정검정'!$E$5:$E$19))</f>
        <v/>
      </c>
      <c r="AB870" s="88">
        <f>S870-AVERAGEIFS($S$2:$S$976,$B$2:$B$976,B870,$C$2:$C$976,C870)</f>
        <v/>
      </c>
    </row>
    <row r="871" ht="15" customHeight="1" s="68">
      <c r="A871" s="83" t="inlineStr">
        <is>
          <t>RPT-27</t>
        </is>
      </c>
      <c r="B871" s="83" t="inlineStr">
        <is>
          <t>qwen3_6</t>
        </is>
      </c>
      <c r="C871" s="83" t="inlineStr">
        <is>
          <t>qwen</t>
        </is>
      </c>
      <c r="D871" s="84" t="n">
        <v>0.282973621103118</v>
      </c>
      <c r="E871" s="84" t="n">
        <v>0.460526315789474</v>
      </c>
      <c r="F871" s="84" t="n">
        <v>0.211920529801325</v>
      </c>
      <c r="G871" s="84" t="n">
        <v>0.348684210526316</v>
      </c>
      <c r="H871" s="84" t="n">
        <v>0.366927139191975</v>
      </c>
      <c r="I871" s="84" t="n">
        <v>0.332931782140349</v>
      </c>
      <c r="J871" s="84" t="n">
        <v>0.722181035306369</v>
      </c>
      <c r="K871" s="84" t="n">
        <v>0.7039694048365051</v>
      </c>
      <c r="L871" s="84" t="n">
        <v>0.869283036804859</v>
      </c>
      <c r="M871" s="84" t="n">
        <v>0.702898550724638</v>
      </c>
      <c r="N871" s="84" t="n">
        <v>0.679012345679012</v>
      </c>
      <c r="O871" s="84" t="n">
        <v>1</v>
      </c>
      <c r="P871" s="85">
        <f>AVERAGE(D871:I871)</f>
        <v/>
      </c>
      <c r="Q871" s="85">
        <f>AVERAGE(J871:L871)</f>
        <v/>
      </c>
      <c r="R871" s="85">
        <f>AVERAGE(M871:O871)</f>
        <v/>
      </c>
      <c r="S871" s="85">
        <f>'02_지표정의'!$C$22*P871+'02_지표정의'!$C$23*Q871+'02_지표정의'!$C$24*R871</f>
        <v/>
      </c>
      <c r="T871" s="73">
        <f>IF(OR(AND(B871="gemini",C871="gemma"),AND(B871="qwen3_6",C871="qwen"),AND(B871="mistral",C871="ministral")),1,0)</f>
        <v/>
      </c>
      <c r="U871" s="73">
        <f>IF(LEFT(A871,3)="PAT","특허","보고서")</f>
        <v/>
      </c>
      <c r="V871" s="86">
        <f>COUNTIF($S$2:$S$976,"&lt;"&amp;S871)+(COUNTIF($S$2:$S$976,"="&amp;S871)+1)/2</f>
        <v/>
      </c>
      <c r="W871" s="73">
        <f>IF(C871="qwen",0,COUNTIFS($C$2:$C$976,"&lt;&gt;qwen",$S$2:$S$976,"&lt;"&amp;S871)+1)</f>
        <v/>
      </c>
      <c r="X871" s="73">
        <f>IF(C871="ministral",0,COUNTIFS($C$2:$C$976,"&lt;&gt;ministral",$S$2:$S$976,"&lt;"&amp;S871)+1)</f>
        <v/>
      </c>
      <c r="Y871" s="73">
        <f>IF(C871="gemma",0,COUNTIFS($C$2:$C$976,"&lt;&gt;gemma",$S$2:$S$976,"&lt;"&amp;S871)+1)</f>
        <v/>
      </c>
      <c r="Z871" s="87">
        <f>COUNTIFS($B$2:$B$976,B871,$C$2:$C$976,C871,$S$2:$S$976,"&lt;"&amp;S871)+1</f>
        <v/>
      </c>
      <c r="AA871" s="88">
        <f>ABS(S871-SUMPRODUCT(('05B_가정검정'!$A$5:$A$19=B871)*('05B_가정검정'!$B$5:$B$19=C871)*'05B_가정검정'!$E$5:$E$19))</f>
        <v/>
      </c>
      <c r="AB871" s="88">
        <f>S871-AVERAGEIFS($S$2:$S$976,$B$2:$B$976,B871,$C$2:$C$976,C871)</f>
        <v/>
      </c>
    </row>
    <row r="872" ht="15" customHeight="1" s="68">
      <c r="A872" s="83" t="inlineStr">
        <is>
          <t>RPT-28</t>
        </is>
      </c>
      <c r="B872" s="83" t="inlineStr">
        <is>
          <t>chatgpt</t>
        </is>
      </c>
      <c r="C872" s="83" t="inlineStr">
        <is>
          <t>gemma</t>
        </is>
      </c>
      <c r="D872" s="84" t="n">
        <v>0.237673830594185</v>
      </c>
      <c r="E872" s="84" t="n">
        <v>0.323886639676113</v>
      </c>
      <c r="F872" s="84" t="n">
        <v>0.122448979591837</v>
      </c>
      <c r="G872" s="84" t="n">
        <v>0.259109311740891</v>
      </c>
      <c r="H872" s="84" t="n">
        <v>0.236369632773748</v>
      </c>
      <c r="I872" s="84" t="n">
        <v>0.1985083719684</v>
      </c>
      <c r="J872" s="84" t="n">
        <v>0.633913842393912</v>
      </c>
      <c r="K872" s="84" t="n">
        <v>0.573104145085129</v>
      </c>
      <c r="L872" s="84" t="n">
        <v>0.731041705648644</v>
      </c>
      <c r="M872" s="84" t="n">
        <v>0.515151515151515</v>
      </c>
      <c r="N872" s="84" t="n">
        <v>0.213483146067416</v>
      </c>
      <c r="O872" s="84" t="n">
        <v>1</v>
      </c>
      <c r="P872" s="85">
        <f>AVERAGE(D872:I872)</f>
        <v/>
      </c>
      <c r="Q872" s="85">
        <f>AVERAGE(J872:L872)</f>
        <v/>
      </c>
      <c r="R872" s="85">
        <f>AVERAGE(M872:O872)</f>
        <v/>
      </c>
      <c r="S872" s="85">
        <f>'02_지표정의'!$C$22*P872+'02_지표정의'!$C$23*Q872+'02_지표정의'!$C$24*R872</f>
        <v/>
      </c>
      <c r="T872" s="73">
        <f>IF(OR(AND(B872="gemini",C872="gemma"),AND(B872="qwen3_6",C872="qwen"),AND(B872="mistral",C872="ministral")),1,0)</f>
        <v/>
      </c>
      <c r="U872" s="73">
        <f>IF(LEFT(A872,3)="PAT","특허","보고서")</f>
        <v/>
      </c>
      <c r="V872" s="86">
        <f>COUNTIF($S$2:$S$976,"&lt;"&amp;S872)+(COUNTIF($S$2:$S$976,"="&amp;S872)+1)/2</f>
        <v/>
      </c>
      <c r="W872" s="73">
        <f>IF(C872="qwen",0,COUNTIFS($C$2:$C$976,"&lt;&gt;qwen",$S$2:$S$976,"&lt;"&amp;S872)+1)</f>
        <v/>
      </c>
      <c r="X872" s="73">
        <f>IF(C872="ministral",0,COUNTIFS($C$2:$C$976,"&lt;&gt;ministral",$S$2:$S$976,"&lt;"&amp;S872)+1)</f>
        <v/>
      </c>
      <c r="Y872" s="73">
        <f>IF(C872="gemma",0,COUNTIFS($C$2:$C$976,"&lt;&gt;gemma",$S$2:$S$976,"&lt;"&amp;S872)+1)</f>
        <v/>
      </c>
      <c r="Z872" s="87">
        <f>COUNTIFS($B$2:$B$976,B872,$C$2:$C$976,C872,$S$2:$S$976,"&lt;"&amp;S872)+1</f>
        <v/>
      </c>
      <c r="AA872" s="88">
        <f>ABS(S872-SUMPRODUCT(('05B_가정검정'!$A$5:$A$19=B872)*('05B_가정검정'!$B$5:$B$19=C872)*'05B_가정검정'!$E$5:$E$19))</f>
        <v/>
      </c>
      <c r="AB872" s="88">
        <f>S872-AVERAGEIFS($S$2:$S$976,$B$2:$B$976,B872,$C$2:$C$976,C872)</f>
        <v/>
      </c>
    </row>
    <row r="873" ht="15" customHeight="1" s="68">
      <c r="A873" s="83" t="inlineStr">
        <is>
          <t>RPT-28</t>
        </is>
      </c>
      <c r="B873" s="83" t="inlineStr">
        <is>
          <t>chatgpt</t>
        </is>
      </c>
      <c r="C873" s="83" t="inlineStr">
        <is>
          <t>ministral</t>
        </is>
      </c>
      <c r="D873" s="84" t="n">
        <v>0.250574712643678</v>
      </c>
      <c r="E873" s="84" t="n">
        <v>0.31023102310231</v>
      </c>
      <c r="F873" s="84" t="n">
        <v>0.112956810631229</v>
      </c>
      <c r="G873" s="84" t="n">
        <v>0.217821782178218</v>
      </c>
      <c r="H873" s="84" t="n">
        <v>0.142838276084307</v>
      </c>
      <c r="I873" s="84" t="n">
        <v>0.238398258378839</v>
      </c>
      <c r="J873" s="84" t="n">
        <v>0.634002234349224</v>
      </c>
      <c r="K873" s="84" t="n">
        <v>0.672420942679391</v>
      </c>
      <c r="L873" s="84" t="n">
        <v>0.784867190212621</v>
      </c>
      <c r="M873" s="84" t="n">
        <v>0.446640316205534</v>
      </c>
      <c r="N873" s="84" t="n">
        <v>0.00724637681159424</v>
      </c>
      <c r="O873" s="84" t="n">
        <v>1</v>
      </c>
      <c r="P873" s="85">
        <f>AVERAGE(D873:I873)</f>
        <v/>
      </c>
      <c r="Q873" s="85">
        <f>AVERAGE(J873:L873)</f>
        <v/>
      </c>
      <c r="R873" s="85">
        <f>AVERAGE(M873:O873)</f>
        <v/>
      </c>
      <c r="S873" s="85">
        <f>'02_지표정의'!$C$22*P873+'02_지표정의'!$C$23*Q873+'02_지표정의'!$C$24*R873</f>
        <v/>
      </c>
      <c r="T873" s="73">
        <f>IF(OR(AND(B873="gemini",C873="gemma"),AND(B873="qwen3_6",C873="qwen"),AND(B873="mistral",C873="ministral")),1,0)</f>
        <v/>
      </c>
      <c r="U873" s="73">
        <f>IF(LEFT(A873,3)="PAT","특허","보고서")</f>
        <v/>
      </c>
      <c r="V873" s="86">
        <f>COUNTIF($S$2:$S$976,"&lt;"&amp;S873)+(COUNTIF($S$2:$S$976,"="&amp;S873)+1)/2</f>
        <v/>
      </c>
      <c r="W873" s="73">
        <f>IF(C873="qwen",0,COUNTIFS($C$2:$C$976,"&lt;&gt;qwen",$S$2:$S$976,"&lt;"&amp;S873)+1)</f>
        <v/>
      </c>
      <c r="X873" s="73">
        <f>IF(C873="ministral",0,COUNTIFS($C$2:$C$976,"&lt;&gt;ministral",$S$2:$S$976,"&lt;"&amp;S873)+1)</f>
        <v/>
      </c>
      <c r="Y873" s="73">
        <f>IF(C873="gemma",0,COUNTIFS($C$2:$C$976,"&lt;&gt;gemma",$S$2:$S$976,"&lt;"&amp;S873)+1)</f>
        <v/>
      </c>
      <c r="Z873" s="87">
        <f>COUNTIFS($B$2:$B$976,B873,$C$2:$C$976,C873,$S$2:$S$976,"&lt;"&amp;S873)+1</f>
        <v/>
      </c>
      <c r="AA873" s="88">
        <f>ABS(S873-SUMPRODUCT(('05B_가정검정'!$A$5:$A$19=B873)*('05B_가정검정'!$B$5:$B$19=C873)*'05B_가정검정'!$E$5:$E$19))</f>
        <v/>
      </c>
      <c r="AB873" s="88">
        <f>S873-AVERAGEIFS($S$2:$S$976,$B$2:$B$976,B873,$C$2:$C$976,C873)</f>
        <v/>
      </c>
    </row>
    <row r="874" ht="15" customHeight="1" s="68">
      <c r="A874" s="83" t="inlineStr">
        <is>
          <t>RPT-28</t>
        </is>
      </c>
      <c r="B874" s="83" t="inlineStr">
        <is>
          <t>chatgpt</t>
        </is>
      </c>
      <c r="C874" s="83" t="inlineStr">
        <is>
          <t>qwen</t>
        </is>
      </c>
      <c r="D874" s="84" t="n">
        <v>0.324786324786325</v>
      </c>
      <c r="E874" s="84" t="n">
        <v>0.412955465587045</v>
      </c>
      <c r="F874" s="84" t="n">
        <v>0.195918367346939</v>
      </c>
      <c r="G874" s="84" t="n">
        <v>0.315789473684211</v>
      </c>
      <c r="H874" s="84" t="n">
        <v>0.275287309101466</v>
      </c>
      <c r="I874" s="84" t="n">
        <v>0.236222087467135</v>
      </c>
      <c r="J874" s="84" t="n">
        <v>0.691764742653065</v>
      </c>
      <c r="K874" s="84" t="n">
        <v>0.642425875643566</v>
      </c>
      <c r="L874" s="84" t="n">
        <v>0.801427309152185</v>
      </c>
      <c r="M874" s="84" t="n">
        <v>0.515151515151515</v>
      </c>
      <c r="N874" s="84" t="n">
        <v>0</v>
      </c>
      <c r="O874" s="84" t="n">
        <v>1</v>
      </c>
      <c r="P874" s="85">
        <f>AVERAGE(D874:I874)</f>
        <v/>
      </c>
      <c r="Q874" s="85">
        <f>AVERAGE(J874:L874)</f>
        <v/>
      </c>
      <c r="R874" s="85">
        <f>AVERAGE(M874:O874)</f>
        <v/>
      </c>
      <c r="S874" s="85">
        <f>'02_지표정의'!$C$22*P874+'02_지표정의'!$C$23*Q874+'02_지표정의'!$C$24*R874</f>
        <v/>
      </c>
      <c r="T874" s="73">
        <f>IF(OR(AND(B874="gemini",C874="gemma"),AND(B874="qwen3_6",C874="qwen"),AND(B874="mistral",C874="ministral")),1,0)</f>
        <v/>
      </c>
      <c r="U874" s="73">
        <f>IF(LEFT(A874,3)="PAT","특허","보고서")</f>
        <v/>
      </c>
      <c r="V874" s="86">
        <f>COUNTIF($S$2:$S$976,"&lt;"&amp;S874)+(COUNTIF($S$2:$S$976,"="&amp;S874)+1)/2</f>
        <v/>
      </c>
      <c r="W874" s="73">
        <f>IF(C874="qwen",0,COUNTIFS($C$2:$C$976,"&lt;&gt;qwen",$S$2:$S$976,"&lt;"&amp;S874)+1)</f>
        <v/>
      </c>
      <c r="X874" s="73">
        <f>IF(C874="ministral",0,COUNTIFS($C$2:$C$976,"&lt;&gt;ministral",$S$2:$S$976,"&lt;"&amp;S874)+1)</f>
        <v/>
      </c>
      <c r="Y874" s="73">
        <f>IF(C874="gemma",0,COUNTIFS($C$2:$C$976,"&lt;&gt;gemma",$S$2:$S$976,"&lt;"&amp;S874)+1)</f>
        <v/>
      </c>
      <c r="Z874" s="87">
        <f>COUNTIFS($B$2:$B$976,B874,$C$2:$C$976,C874,$S$2:$S$976,"&lt;"&amp;S874)+1</f>
        <v/>
      </c>
      <c r="AA874" s="88">
        <f>ABS(S874-SUMPRODUCT(('05B_가정검정'!$A$5:$A$19=B874)*('05B_가정검정'!$B$5:$B$19=C874)*'05B_가정검정'!$E$5:$E$19))</f>
        <v/>
      </c>
      <c r="AB874" s="88">
        <f>S874-AVERAGEIFS($S$2:$S$976,$B$2:$B$976,B874,$C$2:$C$976,C874)</f>
        <v/>
      </c>
    </row>
    <row r="875" ht="15" customHeight="1" s="68">
      <c r="A875" s="83" t="inlineStr">
        <is>
          <t>RPT-28</t>
        </is>
      </c>
      <c r="B875" s="83" t="inlineStr">
        <is>
          <t>claude</t>
        </is>
      </c>
      <c r="C875" s="83" t="inlineStr">
        <is>
          <t>gemma</t>
        </is>
      </c>
      <c r="D875" s="84" t="n">
        <v>0.262230919765166</v>
      </c>
      <c r="E875" s="84" t="n">
        <v>0.351585014409222</v>
      </c>
      <c r="F875" s="84" t="n">
        <v>0.09855072463768121</v>
      </c>
      <c r="G875" s="84" t="n">
        <v>0.195965417867435</v>
      </c>
      <c r="H875" s="84" t="n">
        <v>0.313722430065005</v>
      </c>
      <c r="I875" s="84" t="n">
        <v>0.224682159276638</v>
      </c>
      <c r="J875" s="84" t="n">
        <v>0.699247179330432</v>
      </c>
      <c r="K875" s="84" t="n">
        <v>0.667605616562985</v>
      </c>
      <c r="L875" s="84" t="n">
        <v>0.86190942444985</v>
      </c>
      <c r="M875" s="84" t="n">
        <v>0.765765765765766</v>
      </c>
      <c r="N875" s="84" t="n">
        <v>0.790322580645161</v>
      </c>
      <c r="O875" s="84" t="n">
        <v>1</v>
      </c>
      <c r="P875" s="85">
        <f>AVERAGE(D875:I875)</f>
        <v/>
      </c>
      <c r="Q875" s="85">
        <f>AVERAGE(J875:L875)</f>
        <v/>
      </c>
      <c r="R875" s="85">
        <f>AVERAGE(M875:O875)</f>
        <v/>
      </c>
      <c r="S875" s="85">
        <f>'02_지표정의'!$C$22*P875+'02_지표정의'!$C$23*Q875+'02_지표정의'!$C$24*R875</f>
        <v/>
      </c>
      <c r="T875" s="73">
        <f>IF(OR(AND(B875="gemini",C875="gemma"),AND(B875="qwen3_6",C875="qwen"),AND(B875="mistral",C875="ministral")),1,0)</f>
        <v/>
      </c>
      <c r="U875" s="73">
        <f>IF(LEFT(A875,3)="PAT","특허","보고서")</f>
        <v/>
      </c>
      <c r="V875" s="86">
        <f>COUNTIF($S$2:$S$976,"&lt;"&amp;S875)+(COUNTIF($S$2:$S$976,"="&amp;S875)+1)/2</f>
        <v/>
      </c>
      <c r="W875" s="73">
        <f>IF(C875="qwen",0,COUNTIFS($C$2:$C$976,"&lt;&gt;qwen",$S$2:$S$976,"&lt;"&amp;S875)+1)</f>
        <v/>
      </c>
      <c r="X875" s="73">
        <f>IF(C875="ministral",0,COUNTIFS($C$2:$C$976,"&lt;&gt;ministral",$S$2:$S$976,"&lt;"&amp;S875)+1)</f>
        <v/>
      </c>
      <c r="Y875" s="73">
        <f>IF(C875="gemma",0,COUNTIFS($C$2:$C$976,"&lt;&gt;gemma",$S$2:$S$976,"&lt;"&amp;S875)+1)</f>
        <v/>
      </c>
      <c r="Z875" s="87">
        <f>COUNTIFS($B$2:$B$976,B875,$C$2:$C$976,C875,$S$2:$S$976,"&lt;"&amp;S875)+1</f>
        <v/>
      </c>
      <c r="AA875" s="88">
        <f>ABS(S875-SUMPRODUCT(('05B_가정검정'!$A$5:$A$19=B875)*('05B_가정검정'!$B$5:$B$19=C875)*'05B_가정검정'!$E$5:$E$19))</f>
        <v/>
      </c>
      <c r="AB875" s="88">
        <f>S875-AVERAGEIFS($S$2:$S$976,$B$2:$B$976,B875,$C$2:$C$976,C875)</f>
        <v/>
      </c>
    </row>
    <row r="876" ht="15" customHeight="1" s="68">
      <c r="A876" s="83" t="inlineStr">
        <is>
          <t>RPT-28</t>
        </is>
      </c>
      <c r="B876" s="83" t="inlineStr">
        <is>
          <t>claude</t>
        </is>
      </c>
      <c r="C876" s="83" t="inlineStr">
        <is>
          <t>ministral</t>
        </is>
      </c>
      <c r="D876" s="84" t="n">
        <v>0.268846503178928</v>
      </c>
      <c r="E876" s="84" t="n">
        <v>0.297766749379653</v>
      </c>
      <c r="F876" s="84" t="n">
        <v>0.119700748129676</v>
      </c>
      <c r="G876" s="84" t="n">
        <v>0.22332506203474</v>
      </c>
      <c r="H876" s="84" t="n">
        <v>0.199115397357383</v>
      </c>
      <c r="I876" s="84" t="n">
        <v>0.267080378608471</v>
      </c>
      <c r="J876" s="84" t="n">
        <v>0.708054771214003</v>
      </c>
      <c r="K876" s="84" t="n">
        <v>0.713762051036152</v>
      </c>
      <c r="L876" s="84" t="n">
        <v>0.8418659402508309</v>
      </c>
      <c r="M876" s="84" t="n">
        <v>0.422924901185771</v>
      </c>
      <c r="N876" s="84" t="n">
        <v>0.427536231884058</v>
      </c>
      <c r="O876" s="84" t="n">
        <v>1</v>
      </c>
      <c r="P876" s="85">
        <f>AVERAGE(D876:I876)</f>
        <v/>
      </c>
      <c r="Q876" s="85">
        <f>AVERAGE(J876:L876)</f>
        <v/>
      </c>
      <c r="R876" s="85">
        <f>AVERAGE(M876:O876)</f>
        <v/>
      </c>
      <c r="S876" s="85">
        <f>'02_지표정의'!$C$22*P876+'02_지표정의'!$C$23*Q876+'02_지표정의'!$C$24*R876</f>
        <v/>
      </c>
      <c r="T876" s="73">
        <f>IF(OR(AND(B876="gemini",C876="gemma"),AND(B876="qwen3_6",C876="qwen"),AND(B876="mistral",C876="ministral")),1,0)</f>
        <v/>
      </c>
      <c r="U876" s="73">
        <f>IF(LEFT(A876,3)="PAT","특허","보고서")</f>
        <v/>
      </c>
      <c r="V876" s="86">
        <f>COUNTIF($S$2:$S$976,"&lt;"&amp;S876)+(COUNTIF($S$2:$S$976,"="&amp;S876)+1)/2</f>
        <v/>
      </c>
      <c r="W876" s="73">
        <f>IF(C876="qwen",0,COUNTIFS($C$2:$C$976,"&lt;&gt;qwen",$S$2:$S$976,"&lt;"&amp;S876)+1)</f>
        <v/>
      </c>
      <c r="X876" s="73">
        <f>IF(C876="ministral",0,COUNTIFS($C$2:$C$976,"&lt;&gt;ministral",$S$2:$S$976,"&lt;"&amp;S876)+1)</f>
        <v/>
      </c>
      <c r="Y876" s="73">
        <f>IF(C876="gemma",0,COUNTIFS($C$2:$C$976,"&lt;&gt;gemma",$S$2:$S$976,"&lt;"&amp;S876)+1)</f>
        <v/>
      </c>
      <c r="Z876" s="87">
        <f>COUNTIFS($B$2:$B$976,B876,$C$2:$C$976,C876,$S$2:$S$976,"&lt;"&amp;S876)+1</f>
        <v/>
      </c>
      <c r="AA876" s="88">
        <f>ABS(S876-SUMPRODUCT(('05B_가정검정'!$A$5:$A$19=B876)*('05B_가정검정'!$B$5:$B$19=C876)*'05B_가정검정'!$E$5:$E$19))</f>
        <v/>
      </c>
      <c r="AB876" s="88">
        <f>S876-AVERAGEIFS($S$2:$S$976,$B$2:$B$976,B876,$C$2:$C$976,C876)</f>
        <v/>
      </c>
    </row>
    <row r="877" ht="15" customHeight="1" s="68">
      <c r="A877" s="83" t="inlineStr">
        <is>
          <t>RPT-28</t>
        </is>
      </c>
      <c r="B877" s="83" t="inlineStr">
        <is>
          <t>claude</t>
        </is>
      </c>
      <c r="C877" s="83" t="inlineStr">
        <is>
          <t>qwen</t>
        </is>
      </c>
      <c r="D877" s="84" t="n">
        <v>0.336548767416935</v>
      </c>
      <c r="E877" s="84" t="n">
        <v>0.426512968299712</v>
      </c>
      <c r="F877" s="84" t="n">
        <v>0.191304347826087</v>
      </c>
      <c r="G877" s="84" t="n">
        <v>0.29971181556196</v>
      </c>
      <c r="H877" s="84" t="n">
        <v>0.36071720766296</v>
      </c>
      <c r="I877" s="84" t="n">
        <v>0.23277085940573</v>
      </c>
      <c r="J877" s="84" t="n">
        <v>0.723513880788336</v>
      </c>
      <c r="K877" s="84" t="n">
        <v>0.679685225156739</v>
      </c>
      <c r="L877" s="84" t="n">
        <v>0.8575106004023531</v>
      </c>
      <c r="M877" s="84" t="n">
        <v>0.673913043478261</v>
      </c>
      <c r="N877" s="84" t="n">
        <v>0.580246913580247</v>
      </c>
      <c r="O877" s="84" t="n">
        <v>1</v>
      </c>
      <c r="P877" s="85">
        <f>AVERAGE(D877:I877)</f>
        <v/>
      </c>
      <c r="Q877" s="85">
        <f>AVERAGE(J877:L877)</f>
        <v/>
      </c>
      <c r="R877" s="85">
        <f>AVERAGE(M877:O877)</f>
        <v/>
      </c>
      <c r="S877" s="85">
        <f>'02_지표정의'!$C$22*P877+'02_지표정의'!$C$23*Q877+'02_지표정의'!$C$24*R877</f>
        <v/>
      </c>
      <c r="T877" s="73">
        <f>IF(OR(AND(B877="gemini",C877="gemma"),AND(B877="qwen3_6",C877="qwen"),AND(B877="mistral",C877="ministral")),1,0)</f>
        <v/>
      </c>
      <c r="U877" s="73">
        <f>IF(LEFT(A877,3)="PAT","특허","보고서")</f>
        <v/>
      </c>
      <c r="V877" s="86">
        <f>COUNTIF($S$2:$S$976,"&lt;"&amp;S877)+(COUNTIF($S$2:$S$976,"="&amp;S877)+1)/2</f>
        <v/>
      </c>
      <c r="W877" s="73">
        <f>IF(C877="qwen",0,COUNTIFS($C$2:$C$976,"&lt;&gt;qwen",$S$2:$S$976,"&lt;"&amp;S877)+1)</f>
        <v/>
      </c>
      <c r="X877" s="73">
        <f>IF(C877="ministral",0,COUNTIFS($C$2:$C$976,"&lt;&gt;ministral",$S$2:$S$976,"&lt;"&amp;S877)+1)</f>
        <v/>
      </c>
      <c r="Y877" s="73">
        <f>IF(C877="gemma",0,COUNTIFS($C$2:$C$976,"&lt;&gt;gemma",$S$2:$S$976,"&lt;"&amp;S877)+1)</f>
        <v/>
      </c>
      <c r="Z877" s="87">
        <f>COUNTIFS($B$2:$B$976,B877,$C$2:$C$976,C877,$S$2:$S$976,"&lt;"&amp;S877)+1</f>
        <v/>
      </c>
      <c r="AA877" s="88">
        <f>ABS(S877-SUMPRODUCT(('05B_가정검정'!$A$5:$A$19=B877)*('05B_가정검정'!$B$5:$B$19=C877)*'05B_가정검정'!$E$5:$E$19))</f>
        <v/>
      </c>
      <c r="AB877" s="88">
        <f>S877-AVERAGEIFS($S$2:$S$976,$B$2:$B$976,B877,$C$2:$C$976,C877)</f>
        <v/>
      </c>
    </row>
    <row r="878" ht="15" customHeight="1" s="68">
      <c r="A878" s="83" t="inlineStr">
        <is>
          <t>RPT-28</t>
        </is>
      </c>
      <c r="B878" s="83" t="inlineStr">
        <is>
          <t>gemini</t>
        </is>
      </c>
      <c r="C878" s="83" t="inlineStr">
        <is>
          <t>gemma</t>
        </is>
      </c>
      <c r="D878" s="84" t="n">
        <v>0.235705950991832</v>
      </c>
      <c r="E878" s="84" t="n">
        <v>0.346153846153846</v>
      </c>
      <c r="F878" s="84" t="n">
        <v>0.124031007751938</v>
      </c>
      <c r="G878" s="84" t="n">
        <v>0.253846153846154</v>
      </c>
      <c r="H878" s="84" t="n">
        <v>0.300498005240844</v>
      </c>
      <c r="I878" s="84" t="n">
        <v>0.182033756202807</v>
      </c>
      <c r="J878" s="84" t="n">
        <v>0.738725838241407</v>
      </c>
      <c r="K878" s="84" t="n">
        <v>0.681990379305853</v>
      </c>
      <c r="L878" s="84" t="n">
        <v>0.837597743601789</v>
      </c>
      <c r="M878" s="84" t="n">
        <v>0.906542056074766</v>
      </c>
      <c r="N878" s="84" t="n">
        <v>0.916666666666667</v>
      </c>
      <c r="O878" s="84" t="n">
        <v>1</v>
      </c>
      <c r="P878" s="85">
        <f>AVERAGE(D878:I878)</f>
        <v/>
      </c>
      <c r="Q878" s="85">
        <f>AVERAGE(J878:L878)</f>
        <v/>
      </c>
      <c r="R878" s="85">
        <f>AVERAGE(M878:O878)</f>
        <v/>
      </c>
      <c r="S878" s="85">
        <f>'02_지표정의'!$C$22*P878+'02_지표정의'!$C$23*Q878+'02_지표정의'!$C$24*R878</f>
        <v/>
      </c>
      <c r="T878" s="73">
        <f>IF(OR(AND(B878="gemini",C878="gemma"),AND(B878="qwen3_6",C878="qwen"),AND(B878="mistral",C878="ministral")),1,0)</f>
        <v/>
      </c>
      <c r="U878" s="73">
        <f>IF(LEFT(A878,3)="PAT","특허","보고서")</f>
        <v/>
      </c>
      <c r="V878" s="86">
        <f>COUNTIF($S$2:$S$976,"&lt;"&amp;S878)+(COUNTIF($S$2:$S$976,"="&amp;S878)+1)/2</f>
        <v/>
      </c>
      <c r="W878" s="73">
        <f>IF(C878="qwen",0,COUNTIFS($C$2:$C$976,"&lt;&gt;qwen",$S$2:$S$976,"&lt;"&amp;S878)+1)</f>
        <v/>
      </c>
      <c r="X878" s="73">
        <f>IF(C878="ministral",0,COUNTIFS($C$2:$C$976,"&lt;&gt;ministral",$S$2:$S$976,"&lt;"&amp;S878)+1)</f>
        <v/>
      </c>
      <c r="Y878" s="73">
        <f>IF(C878="gemma",0,COUNTIFS($C$2:$C$976,"&lt;&gt;gemma",$S$2:$S$976,"&lt;"&amp;S878)+1)</f>
        <v/>
      </c>
      <c r="Z878" s="87">
        <f>COUNTIFS($B$2:$B$976,B878,$C$2:$C$976,C878,$S$2:$S$976,"&lt;"&amp;S878)+1</f>
        <v/>
      </c>
      <c r="AA878" s="88">
        <f>ABS(S878-SUMPRODUCT(('05B_가정검정'!$A$5:$A$19=B878)*('05B_가정검정'!$B$5:$B$19=C878)*'05B_가정검정'!$E$5:$E$19))</f>
        <v/>
      </c>
      <c r="AB878" s="88">
        <f>S878-AVERAGEIFS($S$2:$S$976,$B$2:$B$976,B878,$C$2:$C$976,C878)</f>
        <v/>
      </c>
    </row>
    <row r="879" ht="15" customHeight="1" s="68">
      <c r="A879" s="83" t="inlineStr">
        <is>
          <t>RPT-28</t>
        </is>
      </c>
      <c r="B879" s="83" t="inlineStr">
        <is>
          <t>gemini</t>
        </is>
      </c>
      <c r="C879" s="83" t="inlineStr">
        <is>
          <t>ministral</t>
        </is>
      </c>
      <c r="D879" s="84" t="n">
        <v>0.258547008547009</v>
      </c>
      <c r="E879" s="84" t="n">
        <v>0.246835443037975</v>
      </c>
      <c r="F879" s="84" t="n">
        <v>0.10828025477707</v>
      </c>
      <c r="G879" s="84" t="n">
        <v>0.240506329113924</v>
      </c>
      <c r="H879" s="84" t="n">
        <v>0.173544956787218</v>
      </c>
      <c r="I879" s="84" t="n">
        <v>0.224464153343676</v>
      </c>
      <c r="J879" s="84" t="n">
        <v>0.745441768550234</v>
      </c>
      <c r="K879" s="84" t="n">
        <v>0.746411853506734</v>
      </c>
      <c r="L879" s="84" t="n">
        <v>0.8776836126077669</v>
      </c>
      <c r="M879" s="84" t="n">
        <v>0.383399209486166</v>
      </c>
      <c r="N879" s="84" t="n">
        <v>0.398550724637681</v>
      </c>
      <c r="O879" s="84" t="n">
        <v>1</v>
      </c>
      <c r="P879" s="85">
        <f>AVERAGE(D879:I879)</f>
        <v/>
      </c>
      <c r="Q879" s="85">
        <f>AVERAGE(J879:L879)</f>
        <v/>
      </c>
      <c r="R879" s="85">
        <f>AVERAGE(M879:O879)</f>
        <v/>
      </c>
      <c r="S879" s="85">
        <f>'02_지표정의'!$C$22*P879+'02_지표정의'!$C$23*Q879+'02_지표정의'!$C$24*R879</f>
        <v/>
      </c>
      <c r="T879" s="73">
        <f>IF(OR(AND(B879="gemini",C879="gemma"),AND(B879="qwen3_6",C879="qwen"),AND(B879="mistral",C879="ministral")),1,0)</f>
        <v/>
      </c>
      <c r="U879" s="73">
        <f>IF(LEFT(A879,3)="PAT","특허","보고서")</f>
        <v/>
      </c>
      <c r="V879" s="86">
        <f>COUNTIF($S$2:$S$976,"&lt;"&amp;S879)+(COUNTIF($S$2:$S$976,"="&amp;S879)+1)/2</f>
        <v/>
      </c>
      <c r="W879" s="73">
        <f>IF(C879="qwen",0,COUNTIFS($C$2:$C$976,"&lt;&gt;qwen",$S$2:$S$976,"&lt;"&amp;S879)+1)</f>
        <v/>
      </c>
      <c r="X879" s="73">
        <f>IF(C879="ministral",0,COUNTIFS($C$2:$C$976,"&lt;&gt;ministral",$S$2:$S$976,"&lt;"&amp;S879)+1)</f>
        <v/>
      </c>
      <c r="Y879" s="73">
        <f>IF(C879="gemma",0,COUNTIFS($C$2:$C$976,"&lt;&gt;gemma",$S$2:$S$976,"&lt;"&amp;S879)+1)</f>
        <v/>
      </c>
      <c r="Z879" s="87">
        <f>COUNTIFS($B$2:$B$976,B879,$C$2:$C$976,C879,$S$2:$S$976,"&lt;"&amp;S879)+1</f>
        <v/>
      </c>
      <c r="AA879" s="88">
        <f>ABS(S879-SUMPRODUCT(('05B_가정검정'!$A$5:$A$19=B879)*('05B_가정검정'!$B$5:$B$19=C879)*'05B_가정검정'!$E$5:$E$19))</f>
        <v/>
      </c>
      <c r="AB879" s="88">
        <f>S879-AVERAGEIFS($S$2:$S$976,$B$2:$B$976,B879,$C$2:$C$976,C879)</f>
        <v/>
      </c>
    </row>
    <row r="880" ht="15" customHeight="1" s="68">
      <c r="A880" s="83" t="inlineStr">
        <is>
          <t>RPT-28</t>
        </is>
      </c>
      <c r="B880" s="83" t="inlineStr">
        <is>
          <t>gemini</t>
        </is>
      </c>
      <c r="C880" s="83" t="inlineStr">
        <is>
          <t>qwen</t>
        </is>
      </c>
      <c r="D880" s="84" t="n">
        <v>0.359375</v>
      </c>
      <c r="E880" s="84" t="n">
        <v>0.438461538461539</v>
      </c>
      <c r="F880" s="84" t="n">
        <v>0.209302325581395</v>
      </c>
      <c r="G880" s="84" t="n">
        <v>0.307692307692308</v>
      </c>
      <c r="H880" s="84" t="n">
        <v>0.362824682201928</v>
      </c>
      <c r="I880" s="84" t="n">
        <v>0.237859425794993</v>
      </c>
      <c r="J880" s="84" t="n">
        <v>0.786399931965813</v>
      </c>
      <c r="K880" s="84" t="n">
        <v>0.742039336081234</v>
      </c>
      <c r="L880" s="84" t="n">
        <v>0.879165050760915</v>
      </c>
      <c r="M880" s="84" t="n">
        <v>0.702898550724638</v>
      </c>
      <c r="N880" s="84" t="n">
        <v>0.679012345679012</v>
      </c>
      <c r="O880" s="84" t="n">
        <v>1</v>
      </c>
      <c r="P880" s="85">
        <f>AVERAGE(D880:I880)</f>
        <v/>
      </c>
      <c r="Q880" s="85">
        <f>AVERAGE(J880:L880)</f>
        <v/>
      </c>
      <c r="R880" s="85">
        <f>AVERAGE(M880:O880)</f>
        <v/>
      </c>
      <c r="S880" s="85">
        <f>'02_지표정의'!$C$22*P880+'02_지표정의'!$C$23*Q880+'02_지표정의'!$C$24*R880</f>
        <v/>
      </c>
      <c r="T880" s="73">
        <f>IF(OR(AND(B880="gemini",C880="gemma"),AND(B880="qwen3_6",C880="qwen"),AND(B880="mistral",C880="ministral")),1,0)</f>
        <v/>
      </c>
      <c r="U880" s="73">
        <f>IF(LEFT(A880,3)="PAT","특허","보고서")</f>
        <v/>
      </c>
      <c r="V880" s="86">
        <f>COUNTIF($S$2:$S$976,"&lt;"&amp;S880)+(COUNTIF($S$2:$S$976,"="&amp;S880)+1)/2</f>
        <v/>
      </c>
      <c r="W880" s="73">
        <f>IF(C880="qwen",0,COUNTIFS($C$2:$C$976,"&lt;&gt;qwen",$S$2:$S$976,"&lt;"&amp;S880)+1)</f>
        <v/>
      </c>
      <c r="X880" s="73">
        <f>IF(C880="ministral",0,COUNTIFS($C$2:$C$976,"&lt;&gt;ministral",$S$2:$S$976,"&lt;"&amp;S880)+1)</f>
        <v/>
      </c>
      <c r="Y880" s="73">
        <f>IF(C880="gemma",0,COUNTIFS($C$2:$C$976,"&lt;&gt;gemma",$S$2:$S$976,"&lt;"&amp;S880)+1)</f>
        <v/>
      </c>
      <c r="Z880" s="87">
        <f>COUNTIFS($B$2:$B$976,B880,$C$2:$C$976,C880,$S$2:$S$976,"&lt;"&amp;S880)+1</f>
        <v/>
      </c>
      <c r="AA880" s="88">
        <f>ABS(S880-SUMPRODUCT(('05B_가정검정'!$A$5:$A$19=B880)*('05B_가정검정'!$B$5:$B$19=C880)*'05B_가정검정'!$E$5:$E$19))</f>
        <v/>
      </c>
      <c r="AB880" s="88">
        <f>S880-AVERAGEIFS($S$2:$S$976,$B$2:$B$976,B880,$C$2:$C$976,C880)</f>
        <v/>
      </c>
    </row>
    <row r="881" ht="15" customHeight="1" s="68">
      <c r="A881" s="83" t="inlineStr">
        <is>
          <t>RPT-28</t>
        </is>
      </c>
      <c r="B881" s="83" t="inlineStr">
        <is>
          <t>mistral</t>
        </is>
      </c>
      <c r="C881" s="83" t="inlineStr">
        <is>
          <t>gemma</t>
        </is>
      </c>
      <c r="D881" s="84" t="n">
        <v>0.248837209302326</v>
      </c>
      <c r="E881" s="84" t="n">
        <v>0.29757785467128</v>
      </c>
      <c r="F881" s="84" t="n">
        <v>0.06968641114982579</v>
      </c>
      <c r="G881" s="84" t="n">
        <v>0.207612456747405</v>
      </c>
      <c r="H881" s="84" t="n">
        <v>0.277498371355132</v>
      </c>
      <c r="I881" s="84" t="n">
        <v>0.173959889647319</v>
      </c>
      <c r="J881" s="84" t="n">
        <v>0.722799088669243</v>
      </c>
      <c r="K881" s="84" t="n">
        <v>0.644507128215549</v>
      </c>
      <c r="L881" s="84" t="n">
        <v>0.845427675921491</v>
      </c>
      <c r="M881" s="84" t="n">
        <v>0.747899159663866</v>
      </c>
      <c r="N881" s="84" t="n">
        <v>0.742424242424242</v>
      </c>
      <c r="O881" s="84" t="n">
        <v>1</v>
      </c>
      <c r="P881" s="85">
        <f>AVERAGE(D881:I881)</f>
        <v/>
      </c>
      <c r="Q881" s="85">
        <f>AVERAGE(J881:L881)</f>
        <v/>
      </c>
      <c r="R881" s="85">
        <f>AVERAGE(M881:O881)</f>
        <v/>
      </c>
      <c r="S881" s="85">
        <f>'02_지표정의'!$C$22*P881+'02_지표정의'!$C$23*Q881+'02_지표정의'!$C$24*R881</f>
        <v/>
      </c>
      <c r="T881" s="73">
        <f>IF(OR(AND(B881="gemini",C881="gemma"),AND(B881="qwen3_6",C881="qwen"),AND(B881="mistral",C881="ministral")),1,0)</f>
        <v/>
      </c>
      <c r="U881" s="73">
        <f>IF(LEFT(A881,3)="PAT","특허","보고서")</f>
        <v/>
      </c>
      <c r="V881" s="86">
        <f>COUNTIF($S$2:$S$976,"&lt;"&amp;S881)+(COUNTIF($S$2:$S$976,"="&amp;S881)+1)/2</f>
        <v/>
      </c>
      <c r="W881" s="73">
        <f>IF(C881="qwen",0,COUNTIFS($C$2:$C$976,"&lt;&gt;qwen",$S$2:$S$976,"&lt;"&amp;S881)+1)</f>
        <v/>
      </c>
      <c r="X881" s="73">
        <f>IF(C881="ministral",0,COUNTIFS($C$2:$C$976,"&lt;&gt;ministral",$S$2:$S$976,"&lt;"&amp;S881)+1)</f>
        <v/>
      </c>
      <c r="Y881" s="73">
        <f>IF(C881="gemma",0,COUNTIFS($C$2:$C$976,"&lt;&gt;gemma",$S$2:$S$976,"&lt;"&amp;S881)+1)</f>
        <v/>
      </c>
      <c r="Z881" s="87">
        <f>COUNTIFS($B$2:$B$976,B881,$C$2:$C$976,C881,$S$2:$S$976,"&lt;"&amp;S881)+1</f>
        <v/>
      </c>
      <c r="AA881" s="88">
        <f>ABS(S881-SUMPRODUCT(('05B_가정검정'!$A$5:$A$19=B881)*('05B_가정검정'!$B$5:$B$19=C881)*'05B_가정검정'!$E$5:$E$19))</f>
        <v/>
      </c>
      <c r="AB881" s="88">
        <f>S881-AVERAGEIFS($S$2:$S$976,$B$2:$B$976,B881,$C$2:$C$976,C881)</f>
        <v/>
      </c>
    </row>
    <row r="882" ht="15" customHeight="1" s="68">
      <c r="A882" s="83" t="inlineStr">
        <is>
          <t>RPT-28</t>
        </is>
      </c>
      <c r="B882" s="83" t="inlineStr">
        <is>
          <t>mistral</t>
        </is>
      </c>
      <c r="C882" s="83" t="inlineStr">
        <is>
          <t>ministral</t>
        </is>
      </c>
      <c r="D882" s="84" t="n">
        <v>0.302449414270501</v>
      </c>
      <c r="E882" s="84" t="n">
        <v>0.301449275362319</v>
      </c>
      <c r="F882" s="84" t="n">
        <v>0.122448979591837</v>
      </c>
      <c r="G882" s="84" t="n">
        <v>0.243478260869565</v>
      </c>
      <c r="H882" s="84" t="n">
        <v>0.179232057095301</v>
      </c>
      <c r="I882" s="84" t="n">
        <v>0.26415348012337</v>
      </c>
      <c r="J882" s="84" t="n">
        <v>0.721360005934269</v>
      </c>
      <c r="K882" s="84" t="n">
        <v>0.713837087604013</v>
      </c>
      <c r="L882" s="84" t="n">
        <v>0.84625399424409</v>
      </c>
      <c r="M882" s="84" t="n">
        <v>0.41501976284585</v>
      </c>
      <c r="N882" s="84" t="n">
        <v>0.347826086956522</v>
      </c>
      <c r="O882" s="84" t="n">
        <v>1</v>
      </c>
      <c r="P882" s="85">
        <f>AVERAGE(D882:I882)</f>
        <v/>
      </c>
      <c r="Q882" s="85">
        <f>AVERAGE(J882:L882)</f>
        <v/>
      </c>
      <c r="R882" s="85">
        <f>AVERAGE(M882:O882)</f>
        <v/>
      </c>
      <c r="S882" s="85">
        <f>'02_지표정의'!$C$22*P882+'02_지표정의'!$C$23*Q882+'02_지표정의'!$C$24*R882</f>
        <v/>
      </c>
      <c r="T882" s="73">
        <f>IF(OR(AND(B882="gemini",C882="gemma"),AND(B882="qwen3_6",C882="qwen"),AND(B882="mistral",C882="ministral")),1,0)</f>
        <v/>
      </c>
      <c r="U882" s="73">
        <f>IF(LEFT(A882,3)="PAT","특허","보고서")</f>
        <v/>
      </c>
      <c r="V882" s="86">
        <f>COUNTIF($S$2:$S$976,"&lt;"&amp;S882)+(COUNTIF($S$2:$S$976,"="&amp;S882)+1)/2</f>
        <v/>
      </c>
      <c r="W882" s="73">
        <f>IF(C882="qwen",0,COUNTIFS($C$2:$C$976,"&lt;&gt;qwen",$S$2:$S$976,"&lt;"&amp;S882)+1)</f>
        <v/>
      </c>
      <c r="X882" s="73">
        <f>IF(C882="ministral",0,COUNTIFS($C$2:$C$976,"&lt;&gt;ministral",$S$2:$S$976,"&lt;"&amp;S882)+1)</f>
        <v/>
      </c>
      <c r="Y882" s="73">
        <f>IF(C882="gemma",0,COUNTIFS($C$2:$C$976,"&lt;&gt;gemma",$S$2:$S$976,"&lt;"&amp;S882)+1)</f>
        <v/>
      </c>
      <c r="Z882" s="87">
        <f>COUNTIFS($B$2:$B$976,B882,$C$2:$C$976,C882,$S$2:$S$976,"&lt;"&amp;S882)+1</f>
        <v/>
      </c>
      <c r="AA882" s="88">
        <f>ABS(S882-SUMPRODUCT(('05B_가정검정'!$A$5:$A$19=B882)*('05B_가정검정'!$B$5:$B$19=C882)*'05B_가정검정'!$E$5:$E$19))</f>
        <v/>
      </c>
      <c r="AB882" s="88">
        <f>S882-AVERAGEIFS($S$2:$S$976,$B$2:$B$976,B882,$C$2:$C$976,C882)</f>
        <v/>
      </c>
    </row>
    <row r="883" ht="15" customHeight="1" s="68">
      <c r="A883" s="83" t="inlineStr">
        <is>
          <t>RPT-28</t>
        </is>
      </c>
      <c r="B883" s="83" t="inlineStr">
        <is>
          <t>mistral</t>
        </is>
      </c>
      <c r="C883" s="83" t="inlineStr">
        <is>
          <t>qwen</t>
        </is>
      </c>
      <c r="D883" s="84" t="n">
        <v>0.337224383916991</v>
      </c>
      <c r="E883" s="84" t="n">
        <v>0.401384083044983</v>
      </c>
      <c r="F883" s="84" t="n">
        <v>0.153310104529617</v>
      </c>
      <c r="G883" s="84" t="n">
        <v>0.283737024221453</v>
      </c>
      <c r="H883" s="84" t="n">
        <v>0.327004729249794</v>
      </c>
      <c r="I883" s="84" t="n">
        <v>0.214163221963486</v>
      </c>
      <c r="J883" s="84" t="n">
        <v>0.723414983943123</v>
      </c>
      <c r="K883" s="84" t="n">
        <v>0.696210760188973</v>
      </c>
      <c r="L883" s="84" t="n">
        <v>0.8760827346159969</v>
      </c>
      <c r="M883" s="84" t="n">
        <v>0.572463768115942</v>
      </c>
      <c r="N883" s="84" t="n">
        <v>0.530864197530864</v>
      </c>
      <c r="O883" s="84" t="n">
        <v>1</v>
      </c>
      <c r="P883" s="85">
        <f>AVERAGE(D883:I883)</f>
        <v/>
      </c>
      <c r="Q883" s="85">
        <f>AVERAGE(J883:L883)</f>
        <v/>
      </c>
      <c r="R883" s="85">
        <f>AVERAGE(M883:O883)</f>
        <v/>
      </c>
      <c r="S883" s="85">
        <f>'02_지표정의'!$C$22*P883+'02_지표정의'!$C$23*Q883+'02_지표정의'!$C$24*R883</f>
        <v/>
      </c>
      <c r="T883" s="73">
        <f>IF(OR(AND(B883="gemini",C883="gemma"),AND(B883="qwen3_6",C883="qwen"),AND(B883="mistral",C883="ministral")),1,0)</f>
        <v/>
      </c>
      <c r="U883" s="73">
        <f>IF(LEFT(A883,3)="PAT","특허","보고서")</f>
        <v/>
      </c>
      <c r="V883" s="86">
        <f>COUNTIF($S$2:$S$976,"&lt;"&amp;S883)+(COUNTIF($S$2:$S$976,"="&amp;S883)+1)/2</f>
        <v/>
      </c>
      <c r="W883" s="73">
        <f>IF(C883="qwen",0,COUNTIFS($C$2:$C$976,"&lt;&gt;qwen",$S$2:$S$976,"&lt;"&amp;S883)+1)</f>
        <v/>
      </c>
      <c r="X883" s="73">
        <f>IF(C883="ministral",0,COUNTIFS($C$2:$C$976,"&lt;&gt;ministral",$S$2:$S$976,"&lt;"&amp;S883)+1)</f>
        <v/>
      </c>
      <c r="Y883" s="73">
        <f>IF(C883="gemma",0,COUNTIFS($C$2:$C$976,"&lt;&gt;gemma",$S$2:$S$976,"&lt;"&amp;S883)+1)</f>
        <v/>
      </c>
      <c r="Z883" s="87">
        <f>COUNTIFS($B$2:$B$976,B883,$C$2:$C$976,C883,$S$2:$S$976,"&lt;"&amp;S883)+1</f>
        <v/>
      </c>
      <c r="AA883" s="88">
        <f>ABS(S883-SUMPRODUCT(('05B_가정검정'!$A$5:$A$19=B883)*('05B_가정검정'!$B$5:$B$19=C883)*'05B_가정검정'!$E$5:$E$19))</f>
        <v/>
      </c>
      <c r="AB883" s="88">
        <f>S883-AVERAGEIFS($S$2:$S$976,$B$2:$B$976,B883,$C$2:$C$976,C883)</f>
        <v/>
      </c>
    </row>
    <row r="884" ht="15" customHeight="1" s="68">
      <c r="A884" s="83" t="inlineStr">
        <is>
          <t>RPT-28</t>
        </is>
      </c>
      <c r="B884" s="83" t="inlineStr">
        <is>
          <t>qwen3_6</t>
        </is>
      </c>
      <c r="C884" s="83" t="inlineStr">
        <is>
          <t>gemma</t>
        </is>
      </c>
      <c r="D884" s="84" t="n">
        <v>0.245502645502646</v>
      </c>
      <c r="E884" s="84" t="n">
        <v>0.316455696202532</v>
      </c>
      <c r="F884" s="84" t="n">
        <v>0.101910828025478</v>
      </c>
      <c r="G884" s="84" t="n">
        <v>0.183544303797468</v>
      </c>
      <c r="H884" s="84" t="n">
        <v>0.368796564764762</v>
      </c>
      <c r="I884" s="84" t="n">
        <v>0.224809007647866</v>
      </c>
      <c r="J884" s="84" t="n">
        <v>0.721427429244377</v>
      </c>
      <c r="K884" s="84" t="n">
        <v>0.680236626606269</v>
      </c>
      <c r="L884" s="84" t="n">
        <v>0.867363173891466</v>
      </c>
      <c r="M884" s="84" t="n">
        <v>0.906542056074766</v>
      </c>
      <c r="N884" s="84" t="n">
        <v>0.916666666666667</v>
      </c>
      <c r="O884" s="84" t="n">
        <v>1</v>
      </c>
      <c r="P884" s="85">
        <f>AVERAGE(D884:I884)</f>
        <v/>
      </c>
      <c r="Q884" s="85">
        <f>AVERAGE(J884:L884)</f>
        <v/>
      </c>
      <c r="R884" s="85">
        <f>AVERAGE(M884:O884)</f>
        <v/>
      </c>
      <c r="S884" s="85">
        <f>'02_지표정의'!$C$22*P884+'02_지표정의'!$C$23*Q884+'02_지표정의'!$C$24*R884</f>
        <v/>
      </c>
      <c r="T884" s="73">
        <f>IF(OR(AND(B884="gemini",C884="gemma"),AND(B884="qwen3_6",C884="qwen"),AND(B884="mistral",C884="ministral")),1,0)</f>
        <v/>
      </c>
      <c r="U884" s="73">
        <f>IF(LEFT(A884,3)="PAT","특허","보고서")</f>
        <v/>
      </c>
      <c r="V884" s="86">
        <f>COUNTIF($S$2:$S$976,"&lt;"&amp;S884)+(COUNTIF($S$2:$S$976,"="&amp;S884)+1)/2</f>
        <v/>
      </c>
      <c r="W884" s="73">
        <f>IF(C884="qwen",0,COUNTIFS($C$2:$C$976,"&lt;&gt;qwen",$S$2:$S$976,"&lt;"&amp;S884)+1)</f>
        <v/>
      </c>
      <c r="X884" s="73">
        <f>IF(C884="ministral",0,COUNTIFS($C$2:$C$976,"&lt;&gt;ministral",$S$2:$S$976,"&lt;"&amp;S884)+1)</f>
        <v/>
      </c>
      <c r="Y884" s="73">
        <f>IF(C884="gemma",0,COUNTIFS($C$2:$C$976,"&lt;&gt;gemma",$S$2:$S$976,"&lt;"&amp;S884)+1)</f>
        <v/>
      </c>
      <c r="Z884" s="87">
        <f>COUNTIFS($B$2:$B$976,B884,$C$2:$C$976,C884,$S$2:$S$976,"&lt;"&amp;S884)+1</f>
        <v/>
      </c>
      <c r="AA884" s="88">
        <f>ABS(S884-SUMPRODUCT(('05B_가정검정'!$A$5:$A$19=B884)*('05B_가정검정'!$B$5:$B$19=C884)*'05B_가정검정'!$E$5:$E$19))</f>
        <v/>
      </c>
      <c r="AB884" s="88">
        <f>S884-AVERAGEIFS($S$2:$S$976,$B$2:$B$976,B884,$C$2:$C$976,C884)</f>
        <v/>
      </c>
    </row>
    <row r="885" ht="15" customHeight="1" s="68">
      <c r="A885" s="83" t="inlineStr">
        <is>
          <t>RPT-28</t>
        </is>
      </c>
      <c r="B885" s="83" t="inlineStr">
        <is>
          <t>qwen3_6</t>
        </is>
      </c>
      <c r="C885" s="83" t="inlineStr">
        <is>
          <t>ministral</t>
        </is>
      </c>
      <c r="D885" s="84" t="n">
        <v>0.23828125</v>
      </c>
      <c r="E885" s="84" t="n">
        <v>0.311827956989247</v>
      </c>
      <c r="F885" s="84" t="n">
        <v>0.140540540540541</v>
      </c>
      <c r="G885" s="84" t="n">
        <v>0.236559139784946</v>
      </c>
      <c r="H885" s="84" t="n">
        <v>0.212270101425702</v>
      </c>
      <c r="I885" s="84" t="n">
        <v>0.222459832914801</v>
      </c>
      <c r="J885" s="84" t="n">
        <v>0.712959429621422</v>
      </c>
      <c r="K885" s="84" t="n">
        <v>0.709839285353987</v>
      </c>
      <c r="L885" s="84" t="n">
        <v>0.859713219062923</v>
      </c>
      <c r="M885" s="84" t="n">
        <v>0.383399209486166</v>
      </c>
      <c r="N885" s="84" t="n">
        <v>0.398550724637681</v>
      </c>
      <c r="O885" s="84" t="n">
        <v>1</v>
      </c>
      <c r="P885" s="85">
        <f>AVERAGE(D885:I885)</f>
        <v/>
      </c>
      <c r="Q885" s="85">
        <f>AVERAGE(J885:L885)</f>
        <v/>
      </c>
      <c r="R885" s="85">
        <f>AVERAGE(M885:O885)</f>
        <v/>
      </c>
      <c r="S885" s="85">
        <f>'02_지표정의'!$C$22*P885+'02_지표정의'!$C$23*Q885+'02_지표정의'!$C$24*R885</f>
        <v/>
      </c>
      <c r="T885" s="73">
        <f>IF(OR(AND(B885="gemini",C885="gemma"),AND(B885="qwen3_6",C885="qwen"),AND(B885="mistral",C885="ministral")),1,0)</f>
        <v/>
      </c>
      <c r="U885" s="73">
        <f>IF(LEFT(A885,3)="PAT","특허","보고서")</f>
        <v/>
      </c>
      <c r="V885" s="86">
        <f>COUNTIF($S$2:$S$976,"&lt;"&amp;S885)+(COUNTIF($S$2:$S$976,"="&amp;S885)+1)/2</f>
        <v/>
      </c>
      <c r="W885" s="73">
        <f>IF(C885="qwen",0,COUNTIFS($C$2:$C$976,"&lt;&gt;qwen",$S$2:$S$976,"&lt;"&amp;S885)+1)</f>
        <v/>
      </c>
      <c r="X885" s="73">
        <f>IF(C885="ministral",0,COUNTIFS($C$2:$C$976,"&lt;&gt;ministral",$S$2:$S$976,"&lt;"&amp;S885)+1)</f>
        <v/>
      </c>
      <c r="Y885" s="73">
        <f>IF(C885="gemma",0,COUNTIFS($C$2:$C$976,"&lt;&gt;gemma",$S$2:$S$976,"&lt;"&amp;S885)+1)</f>
        <v/>
      </c>
      <c r="Z885" s="87">
        <f>COUNTIFS($B$2:$B$976,B885,$C$2:$C$976,C885,$S$2:$S$976,"&lt;"&amp;S885)+1</f>
        <v/>
      </c>
      <c r="AA885" s="88">
        <f>ABS(S885-SUMPRODUCT(('05B_가정검정'!$A$5:$A$19=B885)*('05B_가정검정'!$B$5:$B$19=C885)*'05B_가정검정'!$E$5:$E$19))</f>
        <v/>
      </c>
      <c r="AB885" s="88">
        <f>S885-AVERAGEIFS($S$2:$S$976,$B$2:$B$976,B885,$C$2:$C$976,C885)</f>
        <v/>
      </c>
    </row>
    <row r="886" ht="15" customHeight="1" s="68">
      <c r="A886" s="83" t="inlineStr">
        <is>
          <t>RPT-28</t>
        </is>
      </c>
      <c r="B886" s="83" t="inlineStr">
        <is>
          <t>qwen3_6</t>
        </is>
      </c>
      <c r="C886" s="83" t="inlineStr">
        <is>
          <t>qwen</t>
        </is>
      </c>
      <c r="D886" s="84" t="n">
        <v>0.35981308411215</v>
      </c>
      <c r="E886" s="84" t="n">
        <v>0.474683544303798</v>
      </c>
      <c r="F886" s="84" t="n">
        <v>0.280254777070064</v>
      </c>
      <c r="G886" s="84" t="n">
        <v>0.348101265822785</v>
      </c>
      <c r="H886" s="84" t="n">
        <v>0.436083370730868</v>
      </c>
      <c r="I886" s="84" t="n">
        <v>0.278822033896216</v>
      </c>
      <c r="J886" s="84" t="n">
        <v>0.73734257975317</v>
      </c>
      <c r="K886" s="84" t="n">
        <v>0.715719433315699</v>
      </c>
      <c r="L886" s="84" t="n">
        <v>0.891343295438919</v>
      </c>
      <c r="M886" s="84" t="n">
        <v>0.702898550724638</v>
      </c>
      <c r="N886" s="84" t="n">
        <v>0.679012345679012</v>
      </c>
      <c r="O886" s="84" t="n">
        <v>1</v>
      </c>
      <c r="P886" s="85">
        <f>AVERAGE(D886:I886)</f>
        <v/>
      </c>
      <c r="Q886" s="85">
        <f>AVERAGE(J886:L886)</f>
        <v/>
      </c>
      <c r="R886" s="85">
        <f>AVERAGE(M886:O886)</f>
        <v/>
      </c>
      <c r="S886" s="85">
        <f>'02_지표정의'!$C$22*P886+'02_지표정의'!$C$23*Q886+'02_지표정의'!$C$24*R886</f>
        <v/>
      </c>
      <c r="T886" s="73">
        <f>IF(OR(AND(B886="gemini",C886="gemma"),AND(B886="qwen3_6",C886="qwen"),AND(B886="mistral",C886="ministral")),1,0)</f>
        <v/>
      </c>
      <c r="U886" s="73">
        <f>IF(LEFT(A886,3)="PAT","특허","보고서")</f>
        <v/>
      </c>
      <c r="V886" s="86">
        <f>COUNTIF($S$2:$S$976,"&lt;"&amp;S886)+(COUNTIF($S$2:$S$976,"="&amp;S886)+1)/2</f>
        <v/>
      </c>
      <c r="W886" s="73">
        <f>IF(C886="qwen",0,COUNTIFS($C$2:$C$976,"&lt;&gt;qwen",$S$2:$S$976,"&lt;"&amp;S886)+1)</f>
        <v/>
      </c>
      <c r="X886" s="73">
        <f>IF(C886="ministral",0,COUNTIFS($C$2:$C$976,"&lt;&gt;ministral",$S$2:$S$976,"&lt;"&amp;S886)+1)</f>
        <v/>
      </c>
      <c r="Y886" s="73">
        <f>IF(C886="gemma",0,COUNTIFS($C$2:$C$976,"&lt;&gt;gemma",$S$2:$S$976,"&lt;"&amp;S886)+1)</f>
        <v/>
      </c>
      <c r="Z886" s="87">
        <f>COUNTIFS($B$2:$B$976,B886,$C$2:$C$976,C886,$S$2:$S$976,"&lt;"&amp;S886)+1</f>
        <v/>
      </c>
      <c r="AA886" s="88">
        <f>ABS(S886-SUMPRODUCT(('05B_가정검정'!$A$5:$A$19=B886)*('05B_가정검정'!$B$5:$B$19=C886)*'05B_가정검정'!$E$5:$E$19))</f>
        <v/>
      </c>
      <c r="AB886" s="88">
        <f>S886-AVERAGEIFS($S$2:$S$976,$B$2:$B$976,B886,$C$2:$C$976,C886)</f>
        <v/>
      </c>
    </row>
    <row r="887" ht="15" customHeight="1" s="68">
      <c r="A887" s="83" t="inlineStr">
        <is>
          <t>RPT-29</t>
        </is>
      </c>
      <c r="B887" s="83" t="inlineStr">
        <is>
          <t>chatgpt</t>
        </is>
      </c>
      <c r="C887" s="83" t="inlineStr">
        <is>
          <t>gemma</t>
        </is>
      </c>
      <c r="D887" s="84" t="n">
        <v>0.245575221238938</v>
      </c>
      <c r="E887" s="84" t="n">
        <v>0.289752650176679</v>
      </c>
      <c r="F887" s="84" t="n">
        <v>0.0925266903914591</v>
      </c>
      <c r="G887" s="84" t="n">
        <v>0.226148409893993</v>
      </c>
      <c r="H887" s="84" t="n">
        <v>0.288062095221269</v>
      </c>
      <c r="I887" s="84" t="n">
        <v>0.205298703872299</v>
      </c>
      <c r="J887" s="84" t="n">
        <v>0.673683499570265</v>
      </c>
      <c r="K887" s="84" t="n">
        <v>0.599307323297906</v>
      </c>
      <c r="L887" s="84" t="n">
        <v>0.785686089580247</v>
      </c>
      <c r="M887" s="84" t="n">
        <v>0.392405063291139</v>
      </c>
      <c r="N887" s="84" t="n">
        <v>0.139705882352941</v>
      </c>
      <c r="O887" s="84" t="n">
        <v>1</v>
      </c>
      <c r="P887" s="85">
        <f>AVERAGE(D887:I887)</f>
        <v/>
      </c>
      <c r="Q887" s="85">
        <f>AVERAGE(J887:L887)</f>
        <v/>
      </c>
      <c r="R887" s="85">
        <f>AVERAGE(M887:O887)</f>
        <v/>
      </c>
      <c r="S887" s="85">
        <f>'02_지표정의'!$C$22*P887+'02_지표정의'!$C$23*Q887+'02_지표정의'!$C$24*R887</f>
        <v/>
      </c>
      <c r="T887" s="73">
        <f>IF(OR(AND(B887="gemini",C887="gemma"),AND(B887="qwen3_6",C887="qwen"),AND(B887="mistral",C887="ministral")),1,0)</f>
        <v/>
      </c>
      <c r="U887" s="73">
        <f>IF(LEFT(A887,3)="PAT","특허","보고서")</f>
        <v/>
      </c>
      <c r="V887" s="86">
        <f>COUNTIF($S$2:$S$976,"&lt;"&amp;S887)+(COUNTIF($S$2:$S$976,"="&amp;S887)+1)/2</f>
        <v/>
      </c>
      <c r="W887" s="73">
        <f>IF(C887="qwen",0,COUNTIFS($C$2:$C$976,"&lt;&gt;qwen",$S$2:$S$976,"&lt;"&amp;S887)+1)</f>
        <v/>
      </c>
      <c r="X887" s="73">
        <f>IF(C887="ministral",0,COUNTIFS($C$2:$C$976,"&lt;&gt;ministral",$S$2:$S$976,"&lt;"&amp;S887)+1)</f>
        <v/>
      </c>
      <c r="Y887" s="73">
        <f>IF(C887="gemma",0,COUNTIFS($C$2:$C$976,"&lt;&gt;gemma",$S$2:$S$976,"&lt;"&amp;S887)+1)</f>
        <v/>
      </c>
      <c r="Z887" s="87">
        <f>COUNTIFS($B$2:$B$976,B887,$C$2:$C$976,C887,$S$2:$S$976,"&lt;"&amp;S887)+1</f>
        <v/>
      </c>
      <c r="AA887" s="88">
        <f>ABS(S887-SUMPRODUCT(('05B_가정검정'!$A$5:$A$19=B887)*('05B_가정검정'!$B$5:$B$19=C887)*'05B_가정검정'!$E$5:$E$19))</f>
        <v/>
      </c>
      <c r="AB887" s="88">
        <f>S887-AVERAGEIFS($S$2:$S$976,$B$2:$B$976,B887,$C$2:$C$976,C887)</f>
        <v/>
      </c>
    </row>
    <row r="888" ht="15" customHeight="1" s="68">
      <c r="A888" s="83" t="inlineStr">
        <is>
          <t>RPT-29</t>
        </is>
      </c>
      <c r="B888" s="83" t="inlineStr">
        <is>
          <t>chatgpt</t>
        </is>
      </c>
      <c r="C888" s="83" t="inlineStr">
        <is>
          <t>ministral</t>
        </is>
      </c>
      <c r="D888" s="84" t="n">
        <v>0.287104622871046</v>
      </c>
      <c r="E888" s="84" t="n">
        <v>0.281329923273657</v>
      </c>
      <c r="F888" s="84" t="n">
        <v>0.0976863753213368</v>
      </c>
      <c r="G888" s="84" t="n">
        <v>0.235294117647059</v>
      </c>
      <c r="H888" s="84" t="n">
        <v>0.211924251554846</v>
      </c>
      <c r="I888" s="84" t="n">
        <v>0.215776201085206</v>
      </c>
      <c r="J888" s="84" t="n">
        <v>0.72079542903147</v>
      </c>
      <c r="K888" s="84" t="n">
        <v>0.683636136164158</v>
      </c>
      <c r="L888" s="84" t="n">
        <v>0.8229052410675221</v>
      </c>
      <c r="M888" s="84" t="n">
        <v>0.637362637362637</v>
      </c>
      <c r="N888" s="84" t="n">
        <v>0.251700680272109</v>
      </c>
      <c r="O888" s="84" t="n">
        <v>1</v>
      </c>
      <c r="P888" s="85">
        <f>AVERAGE(D888:I888)</f>
        <v/>
      </c>
      <c r="Q888" s="85">
        <f>AVERAGE(J888:L888)</f>
        <v/>
      </c>
      <c r="R888" s="85">
        <f>AVERAGE(M888:O888)</f>
        <v/>
      </c>
      <c r="S888" s="85">
        <f>'02_지표정의'!$C$22*P888+'02_지표정의'!$C$23*Q888+'02_지표정의'!$C$24*R888</f>
        <v/>
      </c>
      <c r="T888" s="73">
        <f>IF(OR(AND(B888="gemini",C888="gemma"),AND(B888="qwen3_6",C888="qwen"),AND(B888="mistral",C888="ministral")),1,0)</f>
        <v/>
      </c>
      <c r="U888" s="73">
        <f>IF(LEFT(A888,3)="PAT","특허","보고서")</f>
        <v/>
      </c>
      <c r="V888" s="86">
        <f>COUNTIF($S$2:$S$976,"&lt;"&amp;S888)+(COUNTIF($S$2:$S$976,"="&amp;S888)+1)/2</f>
        <v/>
      </c>
      <c r="W888" s="73">
        <f>IF(C888="qwen",0,COUNTIFS($C$2:$C$976,"&lt;&gt;qwen",$S$2:$S$976,"&lt;"&amp;S888)+1)</f>
        <v/>
      </c>
      <c r="X888" s="73">
        <f>IF(C888="ministral",0,COUNTIFS($C$2:$C$976,"&lt;&gt;ministral",$S$2:$S$976,"&lt;"&amp;S888)+1)</f>
        <v/>
      </c>
      <c r="Y888" s="73">
        <f>IF(C888="gemma",0,COUNTIFS($C$2:$C$976,"&lt;&gt;gemma",$S$2:$S$976,"&lt;"&amp;S888)+1)</f>
        <v/>
      </c>
      <c r="Z888" s="87">
        <f>COUNTIFS($B$2:$B$976,B888,$C$2:$C$976,C888,$S$2:$S$976,"&lt;"&amp;S888)+1</f>
        <v/>
      </c>
      <c r="AA888" s="88">
        <f>ABS(S888-SUMPRODUCT(('05B_가정검정'!$A$5:$A$19=B888)*('05B_가정검정'!$B$5:$B$19=C888)*'05B_가정검정'!$E$5:$E$19))</f>
        <v/>
      </c>
      <c r="AB888" s="88">
        <f>S888-AVERAGEIFS($S$2:$S$976,$B$2:$B$976,B888,$C$2:$C$976,C888)</f>
        <v/>
      </c>
    </row>
    <row r="889" ht="15" customHeight="1" s="68">
      <c r="A889" s="83" t="inlineStr">
        <is>
          <t>RPT-29</t>
        </is>
      </c>
      <c r="B889" s="83" t="inlineStr">
        <is>
          <t>chatgpt</t>
        </is>
      </c>
      <c r="C889" s="83" t="inlineStr">
        <is>
          <t>qwen</t>
        </is>
      </c>
      <c r="D889" s="84" t="n">
        <v>0.299386503067485</v>
      </c>
      <c r="E889" s="84" t="n">
        <v>0.390070921985816</v>
      </c>
      <c r="F889" s="84" t="n">
        <v>0.114285714285714</v>
      </c>
      <c r="G889" s="84" t="n">
        <v>0.283687943262411</v>
      </c>
      <c r="H889" s="84" t="n">
        <v>0.314967136677936</v>
      </c>
      <c r="I889" s="84" t="n">
        <v>0.236596626575562</v>
      </c>
      <c r="J889" s="84" t="n">
        <v>0.72648591092213</v>
      </c>
      <c r="K889" s="84" t="n">
        <v>0.603052425141786</v>
      </c>
      <c r="L889" s="84" t="n">
        <v>0.811494548857026</v>
      </c>
      <c r="M889" s="84" t="n">
        <v>0.662447257383966</v>
      </c>
      <c r="N889" s="84" t="n">
        <v>0.352941176470588</v>
      </c>
      <c r="O889" s="84" t="n">
        <v>1</v>
      </c>
      <c r="P889" s="85">
        <f>AVERAGE(D889:I889)</f>
        <v/>
      </c>
      <c r="Q889" s="85">
        <f>AVERAGE(J889:L889)</f>
        <v/>
      </c>
      <c r="R889" s="85">
        <f>AVERAGE(M889:O889)</f>
        <v/>
      </c>
      <c r="S889" s="85">
        <f>'02_지표정의'!$C$22*P889+'02_지표정의'!$C$23*Q889+'02_지표정의'!$C$24*R889</f>
        <v/>
      </c>
      <c r="T889" s="73">
        <f>IF(OR(AND(B889="gemini",C889="gemma"),AND(B889="qwen3_6",C889="qwen"),AND(B889="mistral",C889="ministral")),1,0)</f>
        <v/>
      </c>
      <c r="U889" s="73">
        <f>IF(LEFT(A889,3)="PAT","특허","보고서")</f>
        <v/>
      </c>
      <c r="V889" s="86">
        <f>COUNTIF($S$2:$S$976,"&lt;"&amp;S889)+(COUNTIF($S$2:$S$976,"="&amp;S889)+1)/2</f>
        <v/>
      </c>
      <c r="W889" s="73">
        <f>IF(C889="qwen",0,COUNTIFS($C$2:$C$976,"&lt;&gt;qwen",$S$2:$S$976,"&lt;"&amp;S889)+1)</f>
        <v/>
      </c>
      <c r="X889" s="73">
        <f>IF(C889="ministral",0,COUNTIFS($C$2:$C$976,"&lt;&gt;ministral",$S$2:$S$976,"&lt;"&amp;S889)+1)</f>
        <v/>
      </c>
      <c r="Y889" s="73">
        <f>IF(C889="gemma",0,COUNTIFS($C$2:$C$976,"&lt;&gt;gemma",$S$2:$S$976,"&lt;"&amp;S889)+1)</f>
        <v/>
      </c>
      <c r="Z889" s="87">
        <f>COUNTIFS($B$2:$B$976,B889,$C$2:$C$976,C889,$S$2:$S$976,"&lt;"&amp;S889)+1</f>
        <v/>
      </c>
      <c r="AA889" s="88">
        <f>ABS(S889-SUMPRODUCT(('05B_가정검정'!$A$5:$A$19=B889)*('05B_가정검정'!$B$5:$B$19=C889)*'05B_가정검정'!$E$5:$E$19))</f>
        <v/>
      </c>
      <c r="AB889" s="88">
        <f>S889-AVERAGEIFS($S$2:$S$976,$B$2:$B$976,B889,$C$2:$C$976,C889)</f>
        <v/>
      </c>
    </row>
    <row r="890" ht="15" customHeight="1" s="68">
      <c r="A890" s="83" t="inlineStr">
        <is>
          <t>RPT-29</t>
        </is>
      </c>
      <c r="B890" s="83" t="inlineStr">
        <is>
          <t>claude</t>
        </is>
      </c>
      <c r="C890" s="83" t="inlineStr">
        <is>
          <t>gemma</t>
        </is>
      </c>
      <c r="D890" s="84" t="n">
        <v>0.241409691629956</v>
      </c>
      <c r="E890" s="84" t="n">
        <v>0.267639902676399</v>
      </c>
      <c r="F890" s="84" t="n">
        <v>0.0733496332518338</v>
      </c>
      <c r="G890" s="84" t="n">
        <v>0.160583941605839</v>
      </c>
      <c r="H890" s="84" t="n">
        <v>0.315555751458368</v>
      </c>
      <c r="I890" s="84" t="n">
        <v>0.164156511462693</v>
      </c>
      <c r="J890" s="84" t="n">
        <v>0.665969742433556</v>
      </c>
      <c r="K890" s="84" t="n">
        <v>0.656735306234047</v>
      </c>
      <c r="L890" s="84" t="n">
        <v>0.821904320258779</v>
      </c>
      <c r="M890" s="84" t="n">
        <v>0.416243654822335</v>
      </c>
      <c r="N890" s="84" t="n">
        <v>0.422413793103448</v>
      </c>
      <c r="O890" s="84" t="n">
        <v>1</v>
      </c>
      <c r="P890" s="85">
        <f>AVERAGE(D890:I890)</f>
        <v/>
      </c>
      <c r="Q890" s="85">
        <f>AVERAGE(J890:L890)</f>
        <v/>
      </c>
      <c r="R890" s="85">
        <f>AVERAGE(M890:O890)</f>
        <v/>
      </c>
      <c r="S890" s="85">
        <f>'02_지표정의'!$C$22*P890+'02_지표정의'!$C$23*Q890+'02_지표정의'!$C$24*R890</f>
        <v/>
      </c>
      <c r="T890" s="73">
        <f>IF(OR(AND(B890="gemini",C890="gemma"),AND(B890="qwen3_6",C890="qwen"),AND(B890="mistral",C890="ministral")),1,0)</f>
        <v/>
      </c>
      <c r="U890" s="73">
        <f>IF(LEFT(A890,3)="PAT","특허","보고서")</f>
        <v/>
      </c>
      <c r="V890" s="86">
        <f>COUNTIF($S$2:$S$976,"&lt;"&amp;S890)+(COUNTIF($S$2:$S$976,"="&amp;S890)+1)/2</f>
        <v/>
      </c>
      <c r="W890" s="73">
        <f>IF(C890="qwen",0,COUNTIFS($C$2:$C$976,"&lt;&gt;qwen",$S$2:$S$976,"&lt;"&amp;S890)+1)</f>
        <v/>
      </c>
      <c r="X890" s="73">
        <f>IF(C890="ministral",0,COUNTIFS($C$2:$C$976,"&lt;&gt;ministral",$S$2:$S$976,"&lt;"&amp;S890)+1)</f>
        <v/>
      </c>
      <c r="Y890" s="73">
        <f>IF(C890="gemma",0,COUNTIFS($C$2:$C$976,"&lt;&gt;gemma",$S$2:$S$976,"&lt;"&amp;S890)+1)</f>
        <v/>
      </c>
      <c r="Z890" s="87">
        <f>COUNTIFS($B$2:$B$976,B890,$C$2:$C$976,C890,$S$2:$S$976,"&lt;"&amp;S890)+1</f>
        <v/>
      </c>
      <c r="AA890" s="88">
        <f>ABS(S890-SUMPRODUCT(('05B_가정검정'!$A$5:$A$19=B890)*('05B_가정검정'!$B$5:$B$19=C890)*'05B_가정검정'!$E$5:$E$19))</f>
        <v/>
      </c>
      <c r="AB890" s="88">
        <f>S890-AVERAGEIFS($S$2:$S$976,$B$2:$B$976,B890,$C$2:$C$976,C890)</f>
        <v/>
      </c>
    </row>
    <row r="891" ht="15" customHeight="1" s="68">
      <c r="A891" s="83" t="inlineStr">
        <is>
          <t>RPT-29</t>
        </is>
      </c>
      <c r="B891" s="83" t="inlineStr">
        <is>
          <t>claude</t>
        </is>
      </c>
      <c r="C891" s="83" t="inlineStr">
        <is>
          <t>ministral</t>
        </is>
      </c>
      <c r="D891" s="84" t="n">
        <v>0.250712250712251</v>
      </c>
      <c r="E891" s="84" t="n">
        <v>0.258188824662813</v>
      </c>
      <c r="F891" s="84" t="n">
        <v>0.0812379110251451</v>
      </c>
      <c r="G891" s="84" t="n">
        <v>0.192678227360308</v>
      </c>
      <c r="H891" s="84" t="n">
        <v>0.251063032735941</v>
      </c>
      <c r="I891" s="84" t="n">
        <v>0.161365242777656</v>
      </c>
      <c r="J891" s="84" t="n">
        <v>0.707618516375514</v>
      </c>
      <c r="K891" s="84" t="n">
        <v>0.640771309311836</v>
      </c>
      <c r="L891" s="84" t="n">
        <v>0.812969270711759</v>
      </c>
      <c r="M891" s="84" t="n">
        <v>0.63003663003663</v>
      </c>
      <c r="N891" s="84" t="n">
        <v>0.591836734693878</v>
      </c>
      <c r="O891" s="84" t="n">
        <v>1</v>
      </c>
      <c r="P891" s="85">
        <f>AVERAGE(D891:I891)</f>
        <v/>
      </c>
      <c r="Q891" s="85">
        <f>AVERAGE(J891:L891)</f>
        <v/>
      </c>
      <c r="R891" s="85">
        <f>AVERAGE(M891:O891)</f>
        <v/>
      </c>
      <c r="S891" s="85">
        <f>'02_지표정의'!$C$22*P891+'02_지표정의'!$C$23*Q891+'02_지표정의'!$C$24*R891</f>
        <v/>
      </c>
      <c r="T891" s="73">
        <f>IF(OR(AND(B891="gemini",C891="gemma"),AND(B891="qwen3_6",C891="qwen"),AND(B891="mistral",C891="ministral")),1,0)</f>
        <v/>
      </c>
      <c r="U891" s="73">
        <f>IF(LEFT(A891,3)="PAT","특허","보고서")</f>
        <v/>
      </c>
      <c r="V891" s="86">
        <f>COUNTIF($S$2:$S$976,"&lt;"&amp;S891)+(COUNTIF($S$2:$S$976,"="&amp;S891)+1)/2</f>
        <v/>
      </c>
      <c r="W891" s="73">
        <f>IF(C891="qwen",0,COUNTIFS($C$2:$C$976,"&lt;&gt;qwen",$S$2:$S$976,"&lt;"&amp;S891)+1)</f>
        <v/>
      </c>
      <c r="X891" s="73">
        <f>IF(C891="ministral",0,COUNTIFS($C$2:$C$976,"&lt;&gt;ministral",$S$2:$S$976,"&lt;"&amp;S891)+1)</f>
        <v/>
      </c>
      <c r="Y891" s="73">
        <f>IF(C891="gemma",0,COUNTIFS($C$2:$C$976,"&lt;&gt;gemma",$S$2:$S$976,"&lt;"&amp;S891)+1)</f>
        <v/>
      </c>
      <c r="Z891" s="87">
        <f>COUNTIFS($B$2:$B$976,B891,$C$2:$C$976,C891,$S$2:$S$976,"&lt;"&amp;S891)+1</f>
        <v/>
      </c>
      <c r="AA891" s="88">
        <f>ABS(S891-SUMPRODUCT(('05B_가정검정'!$A$5:$A$19=B891)*('05B_가정검정'!$B$5:$B$19=C891)*'05B_가정검정'!$E$5:$E$19))</f>
        <v/>
      </c>
      <c r="AB891" s="88">
        <f>S891-AVERAGEIFS($S$2:$S$976,$B$2:$B$976,B891,$C$2:$C$976,C891)</f>
        <v/>
      </c>
    </row>
    <row r="892" ht="15" customHeight="1" s="68">
      <c r="A892" s="83" t="inlineStr">
        <is>
          <t>RPT-29</t>
        </is>
      </c>
      <c r="B892" s="83" t="inlineStr">
        <is>
          <t>claude</t>
        </is>
      </c>
      <c r="C892" s="83" t="inlineStr">
        <is>
          <t>qwen</t>
        </is>
      </c>
      <c r="D892" s="84" t="n">
        <v>0.27151051625239</v>
      </c>
      <c r="E892" s="84" t="n">
        <v>0.487804878048781</v>
      </c>
      <c r="F892" s="84" t="n">
        <v>0.176470588235294</v>
      </c>
      <c r="G892" s="84" t="n">
        <v>0.326829268292683</v>
      </c>
      <c r="H892" s="84" t="n">
        <v>0.35814183261527</v>
      </c>
      <c r="I892" s="84" t="n">
        <v>0.384363687354156</v>
      </c>
      <c r="J892" s="84" t="n">
        <v>0.727333122830994</v>
      </c>
      <c r="K892" s="84" t="n">
        <v>0.638456242028588</v>
      </c>
      <c r="L892" s="84" t="n">
        <v>0.830028579490048</v>
      </c>
      <c r="M892" s="84" t="n">
        <v>0.7440758293838859</v>
      </c>
      <c r="N892" s="84" t="n">
        <v>0.672413793103448</v>
      </c>
      <c r="O892" s="84" t="n">
        <v>1</v>
      </c>
      <c r="P892" s="85">
        <f>AVERAGE(D892:I892)</f>
        <v/>
      </c>
      <c r="Q892" s="85">
        <f>AVERAGE(J892:L892)</f>
        <v/>
      </c>
      <c r="R892" s="85">
        <f>AVERAGE(M892:O892)</f>
        <v/>
      </c>
      <c r="S892" s="85">
        <f>'02_지표정의'!$C$22*P892+'02_지표정의'!$C$23*Q892+'02_지표정의'!$C$24*R892</f>
        <v/>
      </c>
      <c r="T892" s="73">
        <f>IF(OR(AND(B892="gemini",C892="gemma"),AND(B892="qwen3_6",C892="qwen"),AND(B892="mistral",C892="ministral")),1,0)</f>
        <v/>
      </c>
      <c r="U892" s="73">
        <f>IF(LEFT(A892,3)="PAT","특허","보고서")</f>
        <v/>
      </c>
      <c r="V892" s="86">
        <f>COUNTIF($S$2:$S$976,"&lt;"&amp;S892)+(COUNTIF($S$2:$S$976,"="&amp;S892)+1)/2</f>
        <v/>
      </c>
      <c r="W892" s="73">
        <f>IF(C892="qwen",0,COUNTIFS($C$2:$C$976,"&lt;&gt;qwen",$S$2:$S$976,"&lt;"&amp;S892)+1)</f>
        <v/>
      </c>
      <c r="X892" s="73">
        <f>IF(C892="ministral",0,COUNTIFS($C$2:$C$976,"&lt;&gt;ministral",$S$2:$S$976,"&lt;"&amp;S892)+1)</f>
        <v/>
      </c>
      <c r="Y892" s="73">
        <f>IF(C892="gemma",0,COUNTIFS($C$2:$C$976,"&lt;&gt;gemma",$S$2:$S$976,"&lt;"&amp;S892)+1)</f>
        <v/>
      </c>
      <c r="Z892" s="87">
        <f>COUNTIFS($B$2:$B$976,B892,$C$2:$C$976,C892,$S$2:$S$976,"&lt;"&amp;S892)+1</f>
        <v/>
      </c>
      <c r="AA892" s="88">
        <f>ABS(S892-SUMPRODUCT(('05B_가정검정'!$A$5:$A$19=B892)*('05B_가정검정'!$B$5:$B$19=C892)*'05B_가정검정'!$E$5:$E$19))</f>
        <v/>
      </c>
      <c r="AB892" s="88">
        <f>S892-AVERAGEIFS($S$2:$S$976,$B$2:$B$976,B892,$C$2:$C$976,C892)</f>
        <v/>
      </c>
    </row>
    <row r="893" ht="15" customHeight="1" s="68">
      <c r="A893" s="83" t="inlineStr">
        <is>
          <t>RPT-29</t>
        </is>
      </c>
      <c r="B893" s="83" t="inlineStr">
        <is>
          <t>gemini</t>
        </is>
      </c>
      <c r="C893" s="83" t="inlineStr">
        <is>
          <t>gemma</t>
        </is>
      </c>
      <c r="D893" s="84" t="n">
        <v>0.243243243243243</v>
      </c>
      <c r="E893" s="84" t="n">
        <v>0.265151515151515</v>
      </c>
      <c r="F893" s="84" t="n">
        <v>0.0916030534351145</v>
      </c>
      <c r="G893" s="84" t="n">
        <v>0.166666666666667</v>
      </c>
      <c r="H893" s="84" t="n">
        <v>0.274344108630623</v>
      </c>
      <c r="I893" s="84" t="n">
        <v>0.17479080963502</v>
      </c>
      <c r="J893" s="84" t="n">
        <v>0.720202275999851</v>
      </c>
      <c r="K893" s="84" t="n">
        <v>0.7682945713056269</v>
      </c>
      <c r="L893" s="84" t="n">
        <v>0.897460450093535</v>
      </c>
      <c r="M893" s="84" t="n">
        <v>0.617834394904459</v>
      </c>
      <c r="N893" s="84" t="n">
        <v>0.7333333333333329</v>
      </c>
      <c r="O893" s="84" t="n">
        <v>1</v>
      </c>
      <c r="P893" s="85">
        <f>AVERAGE(D893:I893)</f>
        <v/>
      </c>
      <c r="Q893" s="85">
        <f>AVERAGE(J893:L893)</f>
        <v/>
      </c>
      <c r="R893" s="85">
        <f>AVERAGE(M893:O893)</f>
        <v/>
      </c>
      <c r="S893" s="85">
        <f>'02_지표정의'!$C$22*P893+'02_지표정의'!$C$23*Q893+'02_지표정의'!$C$24*R893</f>
        <v/>
      </c>
      <c r="T893" s="73">
        <f>IF(OR(AND(B893="gemini",C893="gemma"),AND(B893="qwen3_6",C893="qwen"),AND(B893="mistral",C893="ministral")),1,0)</f>
        <v/>
      </c>
      <c r="U893" s="73">
        <f>IF(LEFT(A893,3)="PAT","특허","보고서")</f>
        <v/>
      </c>
      <c r="V893" s="86">
        <f>COUNTIF($S$2:$S$976,"&lt;"&amp;S893)+(COUNTIF($S$2:$S$976,"="&amp;S893)+1)/2</f>
        <v/>
      </c>
      <c r="W893" s="73">
        <f>IF(C893="qwen",0,COUNTIFS($C$2:$C$976,"&lt;&gt;qwen",$S$2:$S$976,"&lt;"&amp;S893)+1)</f>
        <v/>
      </c>
      <c r="X893" s="73">
        <f>IF(C893="ministral",0,COUNTIFS($C$2:$C$976,"&lt;&gt;ministral",$S$2:$S$976,"&lt;"&amp;S893)+1)</f>
        <v/>
      </c>
      <c r="Y893" s="73">
        <f>IF(C893="gemma",0,COUNTIFS($C$2:$C$976,"&lt;&gt;gemma",$S$2:$S$976,"&lt;"&amp;S893)+1)</f>
        <v/>
      </c>
      <c r="Z893" s="87">
        <f>COUNTIFS($B$2:$B$976,B893,$C$2:$C$976,C893,$S$2:$S$976,"&lt;"&amp;S893)+1</f>
        <v/>
      </c>
      <c r="AA893" s="88">
        <f>ABS(S893-SUMPRODUCT(('05B_가정검정'!$A$5:$A$19=B893)*('05B_가정검정'!$B$5:$B$19=C893)*'05B_가정검정'!$E$5:$E$19))</f>
        <v/>
      </c>
      <c r="AB893" s="88">
        <f>S893-AVERAGEIFS($S$2:$S$976,$B$2:$B$976,B893,$C$2:$C$976,C893)</f>
        <v/>
      </c>
    </row>
    <row r="894" ht="15" customHeight="1" s="68">
      <c r="A894" s="83" t="inlineStr">
        <is>
          <t>RPT-29</t>
        </is>
      </c>
      <c r="B894" s="83" t="inlineStr">
        <is>
          <t>gemini</t>
        </is>
      </c>
      <c r="C894" s="83" t="inlineStr">
        <is>
          <t>ministral</t>
        </is>
      </c>
      <c r="D894" s="84" t="n">
        <v>0.218362282878412</v>
      </c>
      <c r="E894" s="84" t="n">
        <v>0.166666666666667</v>
      </c>
      <c r="F894" s="84" t="n">
        <v>0.0648648648648649</v>
      </c>
      <c r="G894" s="84" t="n">
        <v>0.123655913978495</v>
      </c>
      <c r="H894" s="84" t="n">
        <v>0.149442625921082</v>
      </c>
      <c r="I894" s="84" t="n">
        <v>0.134146725818263</v>
      </c>
      <c r="J894" s="84" t="n">
        <v>0.735569006369359</v>
      </c>
      <c r="K894" s="84" t="n">
        <v>0.736452507586746</v>
      </c>
      <c r="L894" s="84" t="n">
        <v>0.875674267395892</v>
      </c>
      <c r="M894" s="84" t="n">
        <v>0.355311355311355</v>
      </c>
      <c r="N894" s="84" t="n">
        <v>0.374149659863946</v>
      </c>
      <c r="O894" s="84" t="n">
        <v>1</v>
      </c>
      <c r="P894" s="85">
        <f>AVERAGE(D894:I894)</f>
        <v/>
      </c>
      <c r="Q894" s="85">
        <f>AVERAGE(J894:L894)</f>
        <v/>
      </c>
      <c r="R894" s="85">
        <f>AVERAGE(M894:O894)</f>
        <v/>
      </c>
      <c r="S894" s="85">
        <f>'02_지표정의'!$C$22*P894+'02_지표정의'!$C$23*Q894+'02_지표정의'!$C$24*R894</f>
        <v/>
      </c>
      <c r="T894" s="73">
        <f>IF(OR(AND(B894="gemini",C894="gemma"),AND(B894="qwen3_6",C894="qwen"),AND(B894="mistral",C894="ministral")),1,0)</f>
        <v/>
      </c>
      <c r="U894" s="73">
        <f>IF(LEFT(A894,3)="PAT","특허","보고서")</f>
        <v/>
      </c>
      <c r="V894" s="86">
        <f>COUNTIF($S$2:$S$976,"&lt;"&amp;S894)+(COUNTIF($S$2:$S$976,"="&amp;S894)+1)/2</f>
        <v/>
      </c>
      <c r="W894" s="73">
        <f>IF(C894="qwen",0,COUNTIFS($C$2:$C$976,"&lt;&gt;qwen",$S$2:$S$976,"&lt;"&amp;S894)+1)</f>
        <v/>
      </c>
      <c r="X894" s="73">
        <f>IF(C894="ministral",0,COUNTIFS($C$2:$C$976,"&lt;&gt;ministral",$S$2:$S$976,"&lt;"&amp;S894)+1)</f>
        <v/>
      </c>
      <c r="Y894" s="73">
        <f>IF(C894="gemma",0,COUNTIFS($C$2:$C$976,"&lt;&gt;gemma",$S$2:$S$976,"&lt;"&amp;S894)+1)</f>
        <v/>
      </c>
      <c r="Z894" s="87">
        <f>COUNTIFS($B$2:$B$976,B894,$C$2:$C$976,C894,$S$2:$S$976,"&lt;"&amp;S894)+1</f>
        <v/>
      </c>
      <c r="AA894" s="88">
        <f>ABS(S894-SUMPRODUCT(('05B_가정검정'!$A$5:$A$19=B894)*('05B_가정검정'!$B$5:$B$19=C894)*'05B_가정검정'!$E$5:$E$19))</f>
        <v/>
      </c>
      <c r="AB894" s="88">
        <f>S894-AVERAGEIFS($S$2:$S$976,$B$2:$B$976,B894,$C$2:$C$976,C894)</f>
        <v/>
      </c>
    </row>
    <row r="895" ht="15" customHeight="1" s="68">
      <c r="A895" s="83" t="inlineStr">
        <is>
          <t>RPT-29</t>
        </is>
      </c>
      <c r="B895" s="83" t="inlineStr">
        <is>
          <t>gemini</t>
        </is>
      </c>
      <c r="C895" s="83" t="inlineStr">
        <is>
          <t>qwen</t>
        </is>
      </c>
      <c r="D895" s="84" t="n">
        <v>0.282853566958698</v>
      </c>
      <c r="E895" s="84" t="n">
        <v>0.281368821292776</v>
      </c>
      <c r="F895" s="84" t="n">
        <v>0.0996168582375479</v>
      </c>
      <c r="G895" s="84" t="n">
        <v>0.228136882129278</v>
      </c>
      <c r="H895" s="84" t="n">
        <v>0.257281417119915</v>
      </c>
      <c r="I895" s="84" t="n">
        <v>0.244623021427981</v>
      </c>
      <c r="J895" s="84" t="n">
        <v>0.763779800837286</v>
      </c>
      <c r="K895" s="84" t="n">
        <v>0.780325804297014</v>
      </c>
      <c r="L895" s="84" t="n">
        <v>0.898654260785137</v>
      </c>
      <c r="M895" s="84" t="n">
        <v>0.459715639810427</v>
      </c>
      <c r="N895" s="84" t="n">
        <v>0.486725663716814</v>
      </c>
      <c r="O895" s="84" t="n">
        <v>1</v>
      </c>
      <c r="P895" s="85">
        <f>AVERAGE(D895:I895)</f>
        <v/>
      </c>
      <c r="Q895" s="85">
        <f>AVERAGE(J895:L895)</f>
        <v/>
      </c>
      <c r="R895" s="85">
        <f>AVERAGE(M895:O895)</f>
        <v/>
      </c>
      <c r="S895" s="85">
        <f>'02_지표정의'!$C$22*P895+'02_지표정의'!$C$23*Q895+'02_지표정의'!$C$24*R895</f>
        <v/>
      </c>
      <c r="T895" s="73">
        <f>IF(OR(AND(B895="gemini",C895="gemma"),AND(B895="qwen3_6",C895="qwen"),AND(B895="mistral",C895="ministral")),1,0)</f>
        <v/>
      </c>
      <c r="U895" s="73">
        <f>IF(LEFT(A895,3)="PAT","특허","보고서")</f>
        <v/>
      </c>
      <c r="V895" s="86">
        <f>COUNTIF($S$2:$S$976,"&lt;"&amp;S895)+(COUNTIF($S$2:$S$976,"="&amp;S895)+1)/2</f>
        <v/>
      </c>
      <c r="W895" s="73">
        <f>IF(C895="qwen",0,COUNTIFS($C$2:$C$976,"&lt;&gt;qwen",$S$2:$S$976,"&lt;"&amp;S895)+1)</f>
        <v/>
      </c>
      <c r="X895" s="73">
        <f>IF(C895="ministral",0,COUNTIFS($C$2:$C$976,"&lt;&gt;ministral",$S$2:$S$976,"&lt;"&amp;S895)+1)</f>
        <v/>
      </c>
      <c r="Y895" s="73">
        <f>IF(C895="gemma",0,COUNTIFS($C$2:$C$976,"&lt;&gt;gemma",$S$2:$S$976,"&lt;"&amp;S895)+1)</f>
        <v/>
      </c>
      <c r="Z895" s="87">
        <f>COUNTIFS($B$2:$B$976,B895,$C$2:$C$976,C895,$S$2:$S$976,"&lt;"&amp;S895)+1</f>
        <v/>
      </c>
      <c r="AA895" s="88">
        <f>ABS(S895-SUMPRODUCT(('05B_가정검정'!$A$5:$A$19=B895)*('05B_가정검정'!$B$5:$B$19=C895)*'05B_가정검정'!$E$5:$E$19))</f>
        <v/>
      </c>
      <c r="AB895" s="88">
        <f>S895-AVERAGEIFS($S$2:$S$976,$B$2:$B$976,B895,$C$2:$C$976,C895)</f>
        <v/>
      </c>
    </row>
    <row r="896" ht="15" customHeight="1" s="68">
      <c r="A896" s="83" t="inlineStr">
        <is>
          <t>RPT-29</t>
        </is>
      </c>
      <c r="B896" s="83" t="inlineStr">
        <is>
          <t>mistral</t>
        </is>
      </c>
      <c r="C896" s="83" t="inlineStr">
        <is>
          <t>gemma</t>
        </is>
      </c>
      <c r="D896" s="84" t="n">
        <v>0.259685863874346</v>
      </c>
      <c r="E896" s="84" t="n">
        <v>0.344827586206897</v>
      </c>
      <c r="F896" s="84" t="n">
        <v>0.104046242774567</v>
      </c>
      <c r="G896" s="84" t="n">
        <v>0.229885057471264</v>
      </c>
      <c r="H896" s="84" t="n">
        <v>0.299370972714703</v>
      </c>
      <c r="I896" s="84" t="n">
        <v>0.194667566141868</v>
      </c>
      <c r="J896" s="84" t="n">
        <v>0.658394667916</v>
      </c>
      <c r="K896" s="84" t="n">
        <v>0.625674624012948</v>
      </c>
      <c r="L896" s="84" t="n">
        <v>0.794081928320317</v>
      </c>
      <c r="M896" s="84" t="n">
        <v>0.407960199004975</v>
      </c>
      <c r="N896" s="84" t="n">
        <v>0.415254237288136</v>
      </c>
      <c r="O896" s="84" t="n">
        <v>1</v>
      </c>
      <c r="P896" s="85">
        <f>AVERAGE(D896:I896)</f>
        <v/>
      </c>
      <c r="Q896" s="85">
        <f>AVERAGE(J896:L896)</f>
        <v/>
      </c>
      <c r="R896" s="85">
        <f>AVERAGE(M896:O896)</f>
        <v/>
      </c>
      <c r="S896" s="85">
        <f>'02_지표정의'!$C$22*P896+'02_지표정의'!$C$23*Q896+'02_지표정의'!$C$24*R896</f>
        <v/>
      </c>
      <c r="T896" s="73">
        <f>IF(OR(AND(B896="gemini",C896="gemma"),AND(B896="qwen3_6",C896="qwen"),AND(B896="mistral",C896="ministral")),1,0)</f>
        <v/>
      </c>
      <c r="U896" s="73">
        <f>IF(LEFT(A896,3)="PAT","특허","보고서")</f>
        <v/>
      </c>
      <c r="V896" s="86">
        <f>COUNTIF($S$2:$S$976,"&lt;"&amp;S896)+(COUNTIF($S$2:$S$976,"="&amp;S896)+1)/2</f>
        <v/>
      </c>
      <c r="W896" s="73">
        <f>IF(C896="qwen",0,COUNTIFS($C$2:$C$976,"&lt;&gt;qwen",$S$2:$S$976,"&lt;"&amp;S896)+1)</f>
        <v/>
      </c>
      <c r="X896" s="73">
        <f>IF(C896="ministral",0,COUNTIFS($C$2:$C$976,"&lt;&gt;ministral",$S$2:$S$976,"&lt;"&amp;S896)+1)</f>
        <v/>
      </c>
      <c r="Y896" s="73">
        <f>IF(C896="gemma",0,COUNTIFS($C$2:$C$976,"&lt;&gt;gemma",$S$2:$S$976,"&lt;"&amp;S896)+1)</f>
        <v/>
      </c>
      <c r="Z896" s="87">
        <f>COUNTIFS($B$2:$B$976,B896,$C$2:$C$976,C896,$S$2:$S$976,"&lt;"&amp;S896)+1</f>
        <v/>
      </c>
      <c r="AA896" s="88">
        <f>ABS(S896-SUMPRODUCT(('05B_가정검정'!$A$5:$A$19=B896)*('05B_가정검정'!$B$5:$B$19=C896)*'05B_가정검정'!$E$5:$E$19))</f>
        <v/>
      </c>
      <c r="AB896" s="88">
        <f>S896-AVERAGEIFS($S$2:$S$976,$B$2:$B$976,B896,$C$2:$C$976,C896)</f>
        <v/>
      </c>
    </row>
    <row r="897" ht="15" customHeight="1" s="68">
      <c r="A897" s="83" t="inlineStr">
        <is>
          <t>RPT-29</t>
        </is>
      </c>
      <c r="B897" s="83" t="inlineStr">
        <is>
          <t>mistral</t>
        </is>
      </c>
      <c r="C897" s="83" t="inlineStr">
        <is>
          <t>ministral</t>
        </is>
      </c>
      <c r="D897" s="84" t="n">
        <v>0.336769759450172</v>
      </c>
      <c r="E897" s="84" t="n">
        <v>0.368421052631579</v>
      </c>
      <c r="F897" s="84" t="n">
        <v>0.118942731277533</v>
      </c>
      <c r="G897" s="84" t="n">
        <v>0.228070175438597</v>
      </c>
      <c r="H897" s="84" t="n">
        <v>0.288736749129269</v>
      </c>
      <c r="I897" s="84" t="n">
        <v>0.252403375445083</v>
      </c>
      <c r="J897" s="84" t="n">
        <v>0.73467830969203</v>
      </c>
      <c r="K897" s="84" t="n">
        <v>0.678232931533007</v>
      </c>
      <c r="L897" s="84" t="n">
        <v>0.819866641354654</v>
      </c>
      <c r="M897" s="84" t="n">
        <v>0.63003663003663</v>
      </c>
      <c r="N897" s="84" t="n">
        <v>0.585034013605442</v>
      </c>
      <c r="O897" s="84" t="n">
        <v>1</v>
      </c>
      <c r="P897" s="85">
        <f>AVERAGE(D897:I897)</f>
        <v/>
      </c>
      <c r="Q897" s="85">
        <f>AVERAGE(J897:L897)</f>
        <v/>
      </c>
      <c r="R897" s="85">
        <f>AVERAGE(M897:O897)</f>
        <v/>
      </c>
      <c r="S897" s="85">
        <f>'02_지표정의'!$C$22*P897+'02_지표정의'!$C$23*Q897+'02_지표정의'!$C$24*R897</f>
        <v/>
      </c>
      <c r="T897" s="73">
        <f>IF(OR(AND(B897="gemini",C897="gemma"),AND(B897="qwen3_6",C897="qwen"),AND(B897="mistral",C897="ministral")),1,0)</f>
        <v/>
      </c>
      <c r="U897" s="73">
        <f>IF(LEFT(A897,3)="PAT","특허","보고서")</f>
        <v/>
      </c>
      <c r="V897" s="86">
        <f>COUNTIF($S$2:$S$976,"&lt;"&amp;S897)+(COUNTIF($S$2:$S$976,"="&amp;S897)+1)/2</f>
        <v/>
      </c>
      <c r="W897" s="73">
        <f>IF(C897="qwen",0,COUNTIFS($C$2:$C$976,"&lt;&gt;qwen",$S$2:$S$976,"&lt;"&amp;S897)+1)</f>
        <v/>
      </c>
      <c r="X897" s="73">
        <f>IF(C897="ministral",0,COUNTIFS($C$2:$C$976,"&lt;&gt;ministral",$S$2:$S$976,"&lt;"&amp;S897)+1)</f>
        <v/>
      </c>
      <c r="Y897" s="73">
        <f>IF(C897="gemma",0,COUNTIFS($C$2:$C$976,"&lt;&gt;gemma",$S$2:$S$976,"&lt;"&amp;S897)+1)</f>
        <v/>
      </c>
      <c r="Z897" s="87">
        <f>COUNTIFS($B$2:$B$976,B897,$C$2:$C$976,C897,$S$2:$S$976,"&lt;"&amp;S897)+1</f>
        <v/>
      </c>
      <c r="AA897" s="88">
        <f>ABS(S897-SUMPRODUCT(('05B_가정검정'!$A$5:$A$19=B897)*('05B_가정검정'!$B$5:$B$19=C897)*'05B_가정검정'!$E$5:$E$19))</f>
        <v/>
      </c>
      <c r="AB897" s="88">
        <f>S897-AVERAGEIFS($S$2:$S$976,$B$2:$B$976,B897,$C$2:$C$976,C897)</f>
        <v/>
      </c>
    </row>
    <row r="898" ht="15" customHeight="1" s="68">
      <c r="A898" s="83" t="inlineStr">
        <is>
          <t>RPT-29</t>
        </is>
      </c>
      <c r="B898" s="83" t="inlineStr">
        <is>
          <t>mistral</t>
        </is>
      </c>
      <c r="C898" s="83" t="inlineStr">
        <is>
          <t>qwen</t>
        </is>
      </c>
      <c r="D898" s="84" t="n">
        <v>0.323325635103926</v>
      </c>
      <c r="E898" s="84" t="n">
        <v>0.530259365994236</v>
      </c>
      <c r="F898" s="84" t="n">
        <v>0.173913043478261</v>
      </c>
      <c r="G898" s="84" t="n">
        <v>0.363112391930836</v>
      </c>
      <c r="H898" s="84" t="n">
        <v>0.369214779031299</v>
      </c>
      <c r="I898" s="84" t="n">
        <v>0.326848364015483</v>
      </c>
      <c r="J898" s="84" t="n">
        <v>0.719425440392746</v>
      </c>
      <c r="K898" s="84" t="n">
        <v>0.62687381017456</v>
      </c>
      <c r="L898" s="84" t="n">
        <v>0.80923623165152</v>
      </c>
      <c r="M898" s="84" t="n">
        <v>0.7440758293838859</v>
      </c>
      <c r="N898" s="84" t="n">
        <v>0.6610169491525421</v>
      </c>
      <c r="O898" s="84" t="n">
        <v>1</v>
      </c>
      <c r="P898" s="85">
        <f>AVERAGE(D898:I898)</f>
        <v/>
      </c>
      <c r="Q898" s="85">
        <f>AVERAGE(J898:L898)</f>
        <v/>
      </c>
      <c r="R898" s="85">
        <f>AVERAGE(M898:O898)</f>
        <v/>
      </c>
      <c r="S898" s="85">
        <f>'02_지표정의'!$C$22*P898+'02_지표정의'!$C$23*Q898+'02_지표정의'!$C$24*R898</f>
        <v/>
      </c>
      <c r="T898" s="73">
        <f>IF(OR(AND(B898="gemini",C898="gemma"),AND(B898="qwen3_6",C898="qwen"),AND(B898="mistral",C898="ministral")),1,0)</f>
        <v/>
      </c>
      <c r="U898" s="73">
        <f>IF(LEFT(A898,3)="PAT","특허","보고서")</f>
        <v/>
      </c>
      <c r="V898" s="86">
        <f>COUNTIF($S$2:$S$976,"&lt;"&amp;S898)+(COUNTIF($S$2:$S$976,"="&amp;S898)+1)/2</f>
        <v/>
      </c>
      <c r="W898" s="73">
        <f>IF(C898="qwen",0,COUNTIFS($C$2:$C$976,"&lt;&gt;qwen",$S$2:$S$976,"&lt;"&amp;S898)+1)</f>
        <v/>
      </c>
      <c r="X898" s="73">
        <f>IF(C898="ministral",0,COUNTIFS($C$2:$C$976,"&lt;&gt;ministral",$S$2:$S$976,"&lt;"&amp;S898)+1)</f>
        <v/>
      </c>
      <c r="Y898" s="73">
        <f>IF(C898="gemma",0,COUNTIFS($C$2:$C$976,"&lt;&gt;gemma",$S$2:$S$976,"&lt;"&amp;S898)+1)</f>
        <v/>
      </c>
      <c r="Z898" s="87">
        <f>COUNTIFS($B$2:$B$976,B898,$C$2:$C$976,C898,$S$2:$S$976,"&lt;"&amp;S898)+1</f>
        <v/>
      </c>
      <c r="AA898" s="88">
        <f>ABS(S898-SUMPRODUCT(('05B_가정검정'!$A$5:$A$19=B898)*('05B_가정검정'!$B$5:$B$19=C898)*'05B_가정검정'!$E$5:$E$19))</f>
        <v/>
      </c>
      <c r="AB898" s="88">
        <f>S898-AVERAGEIFS($S$2:$S$976,$B$2:$B$976,B898,$C$2:$C$976,C898)</f>
        <v/>
      </c>
    </row>
    <row r="899" ht="15" customHeight="1" s="68">
      <c r="A899" s="83" t="inlineStr">
        <is>
          <t>RPT-29</t>
        </is>
      </c>
      <c r="B899" s="83" t="inlineStr">
        <is>
          <t>qwen3_6</t>
        </is>
      </c>
      <c r="C899" s="83" t="inlineStr">
        <is>
          <t>gemma</t>
        </is>
      </c>
      <c r="D899" s="84" t="n">
        <v>0.275647668393782</v>
      </c>
      <c r="E899" s="84" t="n">
        <v>0.330532212885154</v>
      </c>
      <c r="F899" s="84" t="n">
        <v>0.0901408450704225</v>
      </c>
      <c r="G899" s="84" t="n">
        <v>0.190476190476191</v>
      </c>
      <c r="H899" s="84" t="n">
        <v>0.364152610591396</v>
      </c>
      <c r="I899" s="84" t="n">
        <v>0.214104665823731</v>
      </c>
      <c r="J899" s="84" t="n">
        <v>0.726746343625116</v>
      </c>
      <c r="K899" s="84" t="n">
        <v>0.712281505551674</v>
      </c>
      <c r="L899" s="84" t="n">
        <v>0.84348588533292</v>
      </c>
      <c r="M899" s="84" t="n">
        <v>0.617834394904459</v>
      </c>
      <c r="N899" s="84" t="n">
        <v>0.7333333333333329</v>
      </c>
      <c r="O899" s="84" t="n">
        <v>1</v>
      </c>
      <c r="P899" s="85">
        <f>AVERAGE(D899:I899)</f>
        <v/>
      </c>
      <c r="Q899" s="85">
        <f>AVERAGE(J899:L899)</f>
        <v/>
      </c>
      <c r="R899" s="85">
        <f>AVERAGE(M899:O899)</f>
        <v/>
      </c>
      <c r="S899" s="85">
        <f>'02_지표정의'!$C$22*P899+'02_지표정의'!$C$23*Q899+'02_지표정의'!$C$24*R899</f>
        <v/>
      </c>
      <c r="T899" s="73">
        <f>IF(OR(AND(B899="gemini",C899="gemma"),AND(B899="qwen3_6",C899="qwen"),AND(B899="mistral",C899="ministral")),1,0)</f>
        <v/>
      </c>
      <c r="U899" s="73">
        <f>IF(LEFT(A899,3)="PAT","특허","보고서")</f>
        <v/>
      </c>
      <c r="V899" s="86">
        <f>COUNTIF($S$2:$S$976,"&lt;"&amp;S899)+(COUNTIF($S$2:$S$976,"="&amp;S899)+1)/2</f>
        <v/>
      </c>
      <c r="W899" s="73">
        <f>IF(C899="qwen",0,COUNTIFS($C$2:$C$976,"&lt;&gt;qwen",$S$2:$S$976,"&lt;"&amp;S899)+1)</f>
        <v/>
      </c>
      <c r="X899" s="73">
        <f>IF(C899="ministral",0,COUNTIFS($C$2:$C$976,"&lt;&gt;ministral",$S$2:$S$976,"&lt;"&amp;S899)+1)</f>
        <v/>
      </c>
      <c r="Y899" s="73">
        <f>IF(C899="gemma",0,COUNTIFS($C$2:$C$976,"&lt;&gt;gemma",$S$2:$S$976,"&lt;"&amp;S899)+1)</f>
        <v/>
      </c>
      <c r="Z899" s="87">
        <f>COUNTIFS($B$2:$B$976,B899,$C$2:$C$976,C899,$S$2:$S$976,"&lt;"&amp;S899)+1</f>
        <v/>
      </c>
      <c r="AA899" s="88">
        <f>ABS(S899-SUMPRODUCT(('05B_가정검정'!$A$5:$A$19=B899)*('05B_가정검정'!$B$5:$B$19=C899)*'05B_가정검정'!$E$5:$E$19))</f>
        <v/>
      </c>
      <c r="AB899" s="88">
        <f>S899-AVERAGEIFS($S$2:$S$976,$B$2:$B$976,B899,$C$2:$C$976,C899)</f>
        <v/>
      </c>
    </row>
    <row r="900" ht="15" customHeight="1" s="68">
      <c r="A900" s="83" t="inlineStr">
        <is>
          <t>RPT-29</t>
        </is>
      </c>
      <c r="B900" s="83" t="inlineStr">
        <is>
          <t>qwen3_6</t>
        </is>
      </c>
      <c r="C900" s="83" t="inlineStr">
        <is>
          <t>ministral</t>
        </is>
      </c>
      <c r="D900" s="84" t="n">
        <v>0.224235560588902</v>
      </c>
      <c r="E900" s="84" t="n">
        <v>0.180645161290323</v>
      </c>
      <c r="F900" s="84" t="n">
        <v>0.0734341252699784</v>
      </c>
      <c r="G900" s="84" t="n">
        <v>0.137634408602151</v>
      </c>
      <c r="H900" s="84" t="n">
        <v>0.201806429582682</v>
      </c>
      <c r="I900" s="84" t="n">
        <v>0.144346466798532</v>
      </c>
      <c r="J900" s="84" t="n">
        <v>0.71528388866717</v>
      </c>
      <c r="K900" s="84" t="n">
        <v>0.696927213455226</v>
      </c>
      <c r="L900" s="84" t="n">
        <v>0.847566243333559</v>
      </c>
      <c r="M900" s="84" t="n">
        <v>0.355311355311355</v>
      </c>
      <c r="N900" s="84" t="n">
        <v>0.374149659863946</v>
      </c>
      <c r="O900" s="84" t="n">
        <v>1</v>
      </c>
      <c r="P900" s="85">
        <f>AVERAGE(D900:I900)</f>
        <v/>
      </c>
      <c r="Q900" s="85">
        <f>AVERAGE(J900:L900)</f>
        <v/>
      </c>
      <c r="R900" s="85">
        <f>AVERAGE(M900:O900)</f>
        <v/>
      </c>
      <c r="S900" s="85">
        <f>'02_지표정의'!$C$22*P900+'02_지표정의'!$C$23*Q900+'02_지표정의'!$C$24*R900</f>
        <v/>
      </c>
      <c r="T900" s="73">
        <f>IF(OR(AND(B900="gemini",C900="gemma"),AND(B900="qwen3_6",C900="qwen"),AND(B900="mistral",C900="ministral")),1,0)</f>
        <v/>
      </c>
      <c r="U900" s="73">
        <f>IF(LEFT(A900,3)="PAT","특허","보고서")</f>
        <v/>
      </c>
      <c r="V900" s="86">
        <f>COUNTIF($S$2:$S$976,"&lt;"&amp;S900)+(COUNTIF($S$2:$S$976,"="&amp;S900)+1)/2</f>
        <v/>
      </c>
      <c r="W900" s="73">
        <f>IF(C900="qwen",0,COUNTIFS($C$2:$C$976,"&lt;&gt;qwen",$S$2:$S$976,"&lt;"&amp;S900)+1)</f>
        <v/>
      </c>
      <c r="X900" s="73">
        <f>IF(C900="ministral",0,COUNTIFS($C$2:$C$976,"&lt;&gt;ministral",$S$2:$S$976,"&lt;"&amp;S900)+1)</f>
        <v/>
      </c>
      <c r="Y900" s="73">
        <f>IF(C900="gemma",0,COUNTIFS($C$2:$C$976,"&lt;&gt;gemma",$S$2:$S$976,"&lt;"&amp;S900)+1)</f>
        <v/>
      </c>
      <c r="Z900" s="87">
        <f>COUNTIFS($B$2:$B$976,B900,$C$2:$C$976,C900,$S$2:$S$976,"&lt;"&amp;S900)+1</f>
        <v/>
      </c>
      <c r="AA900" s="88">
        <f>ABS(S900-SUMPRODUCT(('05B_가정검정'!$A$5:$A$19=B900)*('05B_가정검정'!$B$5:$B$19=C900)*'05B_가정검정'!$E$5:$E$19))</f>
        <v/>
      </c>
      <c r="AB900" s="88">
        <f>S900-AVERAGEIFS($S$2:$S$976,$B$2:$B$976,B900,$C$2:$C$976,C900)</f>
        <v/>
      </c>
    </row>
    <row r="901" ht="15" customHeight="1" s="68">
      <c r="A901" s="83" t="inlineStr">
        <is>
          <t>RPT-29</t>
        </is>
      </c>
      <c r="B901" s="83" t="inlineStr">
        <is>
          <t>qwen3_6</t>
        </is>
      </c>
      <c r="C901" s="83" t="inlineStr">
        <is>
          <t>qwen</t>
        </is>
      </c>
      <c r="D901" s="84" t="n">
        <v>0.310502283105023</v>
      </c>
      <c r="E901" s="84" t="n">
        <v>0.443820224719101</v>
      </c>
      <c r="F901" s="84" t="n">
        <v>0.175141242937853</v>
      </c>
      <c r="G901" s="84" t="n">
        <v>0.269662921348315</v>
      </c>
      <c r="H901" s="84" t="n">
        <v>0.348904287037168</v>
      </c>
      <c r="I901" s="84" t="n">
        <v>0.446826001372663</v>
      </c>
      <c r="J901" s="84" t="n">
        <v>0.737235881446649</v>
      </c>
      <c r="K901" s="84" t="n">
        <v>0.699283936299415</v>
      </c>
      <c r="L901" s="84" t="n">
        <v>0.845313388008184</v>
      </c>
      <c r="M901" s="84" t="n">
        <v>0.459715639810427</v>
      </c>
      <c r="N901" s="84" t="n">
        <v>0.486725663716814</v>
      </c>
      <c r="O901" s="84" t="n">
        <v>1</v>
      </c>
      <c r="P901" s="85">
        <f>AVERAGE(D901:I901)</f>
        <v/>
      </c>
      <c r="Q901" s="85">
        <f>AVERAGE(J901:L901)</f>
        <v/>
      </c>
      <c r="R901" s="85">
        <f>AVERAGE(M901:O901)</f>
        <v/>
      </c>
      <c r="S901" s="85">
        <f>'02_지표정의'!$C$22*P901+'02_지표정의'!$C$23*Q901+'02_지표정의'!$C$24*R901</f>
        <v/>
      </c>
      <c r="T901" s="73">
        <f>IF(OR(AND(B901="gemini",C901="gemma"),AND(B901="qwen3_6",C901="qwen"),AND(B901="mistral",C901="ministral")),1,0)</f>
        <v/>
      </c>
      <c r="U901" s="73">
        <f>IF(LEFT(A901,3)="PAT","특허","보고서")</f>
        <v/>
      </c>
      <c r="V901" s="86">
        <f>COUNTIF($S$2:$S$976,"&lt;"&amp;S901)+(COUNTIF($S$2:$S$976,"="&amp;S901)+1)/2</f>
        <v/>
      </c>
      <c r="W901" s="73">
        <f>IF(C901="qwen",0,COUNTIFS($C$2:$C$976,"&lt;&gt;qwen",$S$2:$S$976,"&lt;"&amp;S901)+1)</f>
        <v/>
      </c>
      <c r="X901" s="73">
        <f>IF(C901="ministral",0,COUNTIFS($C$2:$C$976,"&lt;&gt;ministral",$S$2:$S$976,"&lt;"&amp;S901)+1)</f>
        <v/>
      </c>
      <c r="Y901" s="73">
        <f>IF(C901="gemma",0,COUNTIFS($C$2:$C$976,"&lt;&gt;gemma",$S$2:$S$976,"&lt;"&amp;S901)+1)</f>
        <v/>
      </c>
      <c r="Z901" s="87">
        <f>COUNTIFS($B$2:$B$976,B901,$C$2:$C$976,C901,$S$2:$S$976,"&lt;"&amp;S901)+1</f>
        <v/>
      </c>
      <c r="AA901" s="88">
        <f>ABS(S901-SUMPRODUCT(('05B_가정검정'!$A$5:$A$19=B901)*('05B_가정검정'!$B$5:$B$19=C901)*'05B_가정검정'!$E$5:$E$19))</f>
        <v/>
      </c>
      <c r="AB901" s="88">
        <f>S901-AVERAGEIFS($S$2:$S$976,$B$2:$B$976,B901,$C$2:$C$976,C901)</f>
        <v/>
      </c>
    </row>
    <row r="902" ht="15" customHeight="1" s="68">
      <c r="A902" s="83" t="inlineStr">
        <is>
          <t>RPT-30</t>
        </is>
      </c>
      <c r="B902" s="83" t="inlineStr">
        <is>
          <t>chatgpt</t>
        </is>
      </c>
      <c r="C902" s="83" t="inlineStr">
        <is>
          <t>gemma</t>
        </is>
      </c>
      <c r="D902" s="84" t="n">
        <v>0.214965986394558</v>
      </c>
      <c r="E902" s="84" t="n">
        <v>0.292452830188679</v>
      </c>
      <c r="F902" s="84" t="n">
        <v>0.09523809523809521</v>
      </c>
      <c r="G902" s="84" t="n">
        <v>0.245283018867925</v>
      </c>
      <c r="H902" s="84" t="n">
        <v>0.192174947416162</v>
      </c>
      <c r="I902" s="84" t="n">
        <v>0.190819291715972</v>
      </c>
      <c r="J902" s="84" t="n">
        <v>0.660043741095378</v>
      </c>
      <c r="K902" s="84" t="n">
        <v>0.614426467232468</v>
      </c>
      <c r="L902" s="84" t="n">
        <v>0.809591451201193</v>
      </c>
      <c r="M902" s="84" t="n">
        <v>0.515151515151515</v>
      </c>
      <c r="N902" s="84" t="n">
        <v>0.213483146067416</v>
      </c>
      <c r="O902" s="84" t="n">
        <v>1</v>
      </c>
      <c r="P902" s="85">
        <f>AVERAGE(D902:I902)</f>
        <v/>
      </c>
      <c r="Q902" s="85">
        <f>AVERAGE(J902:L902)</f>
        <v/>
      </c>
      <c r="R902" s="85">
        <f>AVERAGE(M902:O902)</f>
        <v/>
      </c>
      <c r="S902" s="85">
        <f>'02_지표정의'!$C$22*P902+'02_지표정의'!$C$23*Q902+'02_지표정의'!$C$24*R902</f>
        <v/>
      </c>
      <c r="T902" s="73">
        <f>IF(OR(AND(B902="gemini",C902="gemma"),AND(B902="qwen3_6",C902="qwen"),AND(B902="mistral",C902="ministral")),1,0)</f>
        <v/>
      </c>
      <c r="U902" s="73">
        <f>IF(LEFT(A902,3)="PAT","특허","보고서")</f>
        <v/>
      </c>
      <c r="V902" s="86">
        <f>COUNTIF($S$2:$S$976,"&lt;"&amp;S902)+(COUNTIF($S$2:$S$976,"="&amp;S902)+1)/2</f>
        <v/>
      </c>
      <c r="W902" s="73">
        <f>IF(C902="qwen",0,COUNTIFS($C$2:$C$976,"&lt;&gt;qwen",$S$2:$S$976,"&lt;"&amp;S902)+1)</f>
        <v/>
      </c>
      <c r="X902" s="73">
        <f>IF(C902="ministral",0,COUNTIFS($C$2:$C$976,"&lt;&gt;ministral",$S$2:$S$976,"&lt;"&amp;S902)+1)</f>
        <v/>
      </c>
      <c r="Y902" s="73">
        <f>IF(C902="gemma",0,COUNTIFS($C$2:$C$976,"&lt;&gt;gemma",$S$2:$S$976,"&lt;"&amp;S902)+1)</f>
        <v/>
      </c>
      <c r="Z902" s="87">
        <f>COUNTIFS($B$2:$B$976,B902,$C$2:$C$976,C902,$S$2:$S$976,"&lt;"&amp;S902)+1</f>
        <v/>
      </c>
      <c r="AA902" s="88">
        <f>ABS(S902-SUMPRODUCT(('05B_가정검정'!$A$5:$A$19=B902)*('05B_가정검정'!$B$5:$B$19=C902)*'05B_가정검정'!$E$5:$E$19))</f>
        <v/>
      </c>
      <c r="AB902" s="88">
        <f>S902-AVERAGEIFS($S$2:$S$976,$B$2:$B$976,B902,$C$2:$C$976,C902)</f>
        <v/>
      </c>
    </row>
    <row r="903" ht="15" customHeight="1" s="68">
      <c r="A903" s="83" t="inlineStr">
        <is>
          <t>RPT-30</t>
        </is>
      </c>
      <c r="B903" s="83" t="inlineStr">
        <is>
          <t>chatgpt</t>
        </is>
      </c>
      <c r="C903" s="83" t="inlineStr">
        <is>
          <t>ministral</t>
        </is>
      </c>
      <c r="D903" s="84" t="n">
        <v>0.295373665480427</v>
      </c>
      <c r="E903" s="84" t="n">
        <v>0.308880308880309</v>
      </c>
      <c r="F903" s="84" t="n">
        <v>0.132295719844358</v>
      </c>
      <c r="G903" s="84" t="n">
        <v>0.254826254826255</v>
      </c>
      <c r="H903" s="84" t="n">
        <v>0.163298325451944</v>
      </c>
      <c r="I903" s="84" t="n">
        <v>0.318680456822787</v>
      </c>
      <c r="J903" s="84" t="n">
        <v>0.731900704246533</v>
      </c>
      <c r="K903" s="84" t="n">
        <v>0.649332618177039</v>
      </c>
      <c r="L903" s="84" t="n">
        <v>0.832049795519872</v>
      </c>
      <c r="M903" s="84" t="n">
        <v>0.388732394366197</v>
      </c>
      <c r="N903" s="84" t="n">
        <v>0</v>
      </c>
      <c r="O903" s="84" t="n">
        <v>0.526315789473684</v>
      </c>
      <c r="P903" s="85">
        <f>AVERAGE(D903:I903)</f>
        <v/>
      </c>
      <c r="Q903" s="85">
        <f>AVERAGE(J903:L903)</f>
        <v/>
      </c>
      <c r="R903" s="85">
        <f>AVERAGE(M903:O903)</f>
        <v/>
      </c>
      <c r="S903" s="85">
        <f>'02_지표정의'!$C$22*P903+'02_지표정의'!$C$23*Q903+'02_지표정의'!$C$24*R903</f>
        <v/>
      </c>
      <c r="T903" s="73">
        <f>IF(OR(AND(B903="gemini",C903="gemma"),AND(B903="qwen3_6",C903="qwen"),AND(B903="mistral",C903="ministral")),1,0)</f>
        <v/>
      </c>
      <c r="U903" s="73">
        <f>IF(LEFT(A903,3)="PAT","특허","보고서")</f>
        <v/>
      </c>
      <c r="V903" s="86">
        <f>COUNTIF($S$2:$S$976,"&lt;"&amp;S903)+(COUNTIF($S$2:$S$976,"="&amp;S903)+1)/2</f>
        <v/>
      </c>
      <c r="W903" s="73">
        <f>IF(C903="qwen",0,COUNTIFS($C$2:$C$976,"&lt;&gt;qwen",$S$2:$S$976,"&lt;"&amp;S903)+1)</f>
        <v/>
      </c>
      <c r="X903" s="73">
        <f>IF(C903="ministral",0,COUNTIFS($C$2:$C$976,"&lt;&gt;ministral",$S$2:$S$976,"&lt;"&amp;S903)+1)</f>
        <v/>
      </c>
      <c r="Y903" s="73">
        <f>IF(C903="gemma",0,COUNTIFS($C$2:$C$976,"&lt;&gt;gemma",$S$2:$S$976,"&lt;"&amp;S903)+1)</f>
        <v/>
      </c>
      <c r="Z903" s="87">
        <f>COUNTIFS($B$2:$B$976,B903,$C$2:$C$976,C903,$S$2:$S$976,"&lt;"&amp;S903)+1</f>
        <v/>
      </c>
      <c r="AA903" s="88">
        <f>ABS(S903-SUMPRODUCT(('05B_가정검정'!$A$5:$A$19=B903)*('05B_가정검정'!$B$5:$B$19=C903)*'05B_가정검정'!$E$5:$E$19))</f>
        <v/>
      </c>
      <c r="AB903" s="88">
        <f>S903-AVERAGEIFS($S$2:$S$976,$B$2:$B$976,B903,$C$2:$C$976,C903)</f>
        <v/>
      </c>
    </row>
    <row r="904" ht="15" customHeight="1" s="68">
      <c r="A904" s="83" t="inlineStr">
        <is>
          <t>RPT-30</t>
        </is>
      </c>
      <c r="B904" s="83" t="inlineStr">
        <is>
          <t>chatgpt</t>
        </is>
      </c>
      <c r="C904" s="83" t="inlineStr">
        <is>
          <t>qwen</t>
        </is>
      </c>
      <c r="D904" s="84" t="n">
        <v>0.292134831460674</v>
      </c>
      <c r="E904" s="84" t="n">
        <v>0.430379746835443</v>
      </c>
      <c r="F904" s="84" t="n">
        <v>0.192307692307692</v>
      </c>
      <c r="G904" s="84" t="n">
        <v>0.341772151898734</v>
      </c>
      <c r="H904" s="84" t="n">
        <v>0.239844594460621</v>
      </c>
      <c r="I904" s="84" t="n">
        <v>0.292660889771651</v>
      </c>
      <c r="J904" s="84" t="n">
        <v>0.749383483800801</v>
      </c>
      <c r="K904" s="84" t="n">
        <v>0.602468849211377</v>
      </c>
      <c r="L904" s="84" t="n">
        <v>0.80569646005291</v>
      </c>
      <c r="M904" s="84" t="n">
        <v>0.393939393939394</v>
      </c>
      <c r="N904" s="84" t="n">
        <v>0</v>
      </c>
      <c r="O904" s="84" t="n">
        <v>1</v>
      </c>
      <c r="P904" s="85">
        <f>AVERAGE(D904:I904)</f>
        <v/>
      </c>
      <c r="Q904" s="85">
        <f>AVERAGE(J904:L904)</f>
        <v/>
      </c>
      <c r="R904" s="85">
        <f>AVERAGE(M904:O904)</f>
        <v/>
      </c>
      <c r="S904" s="85">
        <f>'02_지표정의'!$C$22*P904+'02_지표정의'!$C$23*Q904+'02_지표정의'!$C$24*R904</f>
        <v/>
      </c>
      <c r="T904" s="73">
        <f>IF(OR(AND(B904="gemini",C904="gemma"),AND(B904="qwen3_6",C904="qwen"),AND(B904="mistral",C904="ministral")),1,0)</f>
        <v/>
      </c>
      <c r="U904" s="73">
        <f>IF(LEFT(A904,3)="PAT","특허","보고서")</f>
        <v/>
      </c>
      <c r="V904" s="86">
        <f>COUNTIF($S$2:$S$976,"&lt;"&amp;S904)+(COUNTIF($S$2:$S$976,"="&amp;S904)+1)/2</f>
        <v/>
      </c>
      <c r="W904" s="73">
        <f>IF(C904="qwen",0,COUNTIFS($C$2:$C$976,"&lt;&gt;qwen",$S$2:$S$976,"&lt;"&amp;S904)+1)</f>
        <v/>
      </c>
      <c r="X904" s="73">
        <f>IF(C904="ministral",0,COUNTIFS($C$2:$C$976,"&lt;&gt;ministral",$S$2:$S$976,"&lt;"&amp;S904)+1)</f>
        <v/>
      </c>
      <c r="Y904" s="73">
        <f>IF(C904="gemma",0,COUNTIFS($C$2:$C$976,"&lt;&gt;gemma",$S$2:$S$976,"&lt;"&amp;S904)+1)</f>
        <v/>
      </c>
      <c r="Z904" s="87">
        <f>COUNTIFS($B$2:$B$976,B904,$C$2:$C$976,C904,$S$2:$S$976,"&lt;"&amp;S904)+1</f>
        <v/>
      </c>
      <c r="AA904" s="88">
        <f>ABS(S904-SUMPRODUCT(('05B_가정검정'!$A$5:$A$19=B904)*('05B_가정검정'!$B$5:$B$19=C904)*'05B_가정검정'!$E$5:$E$19))</f>
        <v/>
      </c>
      <c r="AB904" s="88">
        <f>S904-AVERAGEIFS($S$2:$S$976,$B$2:$B$976,B904,$C$2:$C$976,C904)</f>
        <v/>
      </c>
    </row>
    <row r="905" ht="15" customHeight="1" s="68">
      <c r="A905" s="83" t="inlineStr">
        <is>
          <t>RPT-30</t>
        </is>
      </c>
      <c r="B905" s="83" t="inlineStr">
        <is>
          <t>claude</t>
        </is>
      </c>
      <c r="C905" s="83" t="inlineStr">
        <is>
          <t>gemma</t>
        </is>
      </c>
      <c r="D905" s="84" t="n">
        <v>0.223695111847556</v>
      </c>
      <c r="E905" s="84" t="n">
        <v>0.303630363036304</v>
      </c>
      <c r="F905" s="84" t="n">
        <v>0.0664451827242525</v>
      </c>
      <c r="G905" s="84" t="n">
        <v>0.191419141914191</v>
      </c>
      <c r="H905" s="84" t="n">
        <v>0.302480908317158</v>
      </c>
      <c r="I905" s="84" t="n">
        <v>0.172859373219339</v>
      </c>
      <c r="J905" s="84" t="n">
        <v>0.645315590302065</v>
      </c>
      <c r="K905" s="84" t="n">
        <v>0.641596738724207</v>
      </c>
      <c r="L905" s="84" t="n">
        <v>0.8319075055402</v>
      </c>
      <c r="M905" s="84" t="n">
        <v>0.550295857988166</v>
      </c>
      <c r="N905" s="84" t="n">
        <v>0.480392156862745</v>
      </c>
      <c r="O905" s="84" t="n">
        <v>1</v>
      </c>
      <c r="P905" s="85">
        <f>AVERAGE(D905:I905)</f>
        <v/>
      </c>
      <c r="Q905" s="85">
        <f>AVERAGE(J905:L905)</f>
        <v/>
      </c>
      <c r="R905" s="85">
        <f>AVERAGE(M905:O905)</f>
        <v/>
      </c>
      <c r="S905" s="85">
        <f>'02_지표정의'!$C$22*P905+'02_지표정의'!$C$23*Q905+'02_지표정의'!$C$24*R905</f>
        <v/>
      </c>
      <c r="T905" s="73">
        <f>IF(OR(AND(B905="gemini",C905="gemma"),AND(B905="qwen3_6",C905="qwen"),AND(B905="mistral",C905="ministral")),1,0)</f>
        <v/>
      </c>
      <c r="U905" s="73">
        <f>IF(LEFT(A905,3)="PAT","특허","보고서")</f>
        <v/>
      </c>
      <c r="V905" s="86">
        <f>COUNTIF($S$2:$S$976,"&lt;"&amp;S905)+(COUNTIF($S$2:$S$976,"="&amp;S905)+1)/2</f>
        <v/>
      </c>
      <c r="W905" s="73">
        <f>IF(C905="qwen",0,COUNTIFS($C$2:$C$976,"&lt;&gt;qwen",$S$2:$S$976,"&lt;"&amp;S905)+1)</f>
        <v/>
      </c>
      <c r="X905" s="73">
        <f>IF(C905="ministral",0,COUNTIFS($C$2:$C$976,"&lt;&gt;ministral",$S$2:$S$976,"&lt;"&amp;S905)+1)</f>
        <v/>
      </c>
      <c r="Y905" s="73">
        <f>IF(C905="gemma",0,COUNTIFS($C$2:$C$976,"&lt;&gt;gemma",$S$2:$S$976,"&lt;"&amp;S905)+1)</f>
        <v/>
      </c>
      <c r="Z905" s="87">
        <f>COUNTIFS($B$2:$B$976,B905,$C$2:$C$976,C905,$S$2:$S$976,"&lt;"&amp;S905)+1</f>
        <v/>
      </c>
      <c r="AA905" s="88">
        <f>ABS(S905-SUMPRODUCT(('05B_가정검정'!$A$5:$A$19=B905)*('05B_가정검정'!$B$5:$B$19=C905)*'05B_가정검정'!$E$5:$E$19))</f>
        <v/>
      </c>
      <c r="AB905" s="88">
        <f>S905-AVERAGEIFS($S$2:$S$976,$B$2:$B$976,B905,$C$2:$C$976,C905)</f>
        <v/>
      </c>
    </row>
    <row r="906" ht="15" customHeight="1" s="68">
      <c r="A906" s="83" t="inlineStr">
        <is>
          <t>RPT-30</t>
        </is>
      </c>
      <c r="B906" s="83" t="inlineStr">
        <is>
          <t>claude</t>
        </is>
      </c>
      <c r="C906" s="83" t="inlineStr">
        <is>
          <t>ministral</t>
        </is>
      </c>
      <c r="D906" s="84" t="n">
        <v>0.247582205029014</v>
      </c>
      <c r="E906" s="84" t="n">
        <v>0.365714285714286</v>
      </c>
      <c r="F906" s="84" t="n">
        <v>0.0977011494252874</v>
      </c>
      <c r="G906" s="84" t="n">
        <v>0.268571428571429</v>
      </c>
      <c r="H906" s="84" t="n">
        <v>0.28056454106917</v>
      </c>
      <c r="I906" s="84" t="n">
        <v>0.243720199619662</v>
      </c>
      <c r="J906" s="84" t="n">
        <v>0.677124598251662</v>
      </c>
      <c r="K906" s="84" t="n">
        <v>0.639560166135722</v>
      </c>
      <c r="L906" s="84" t="n">
        <v>0.820496037130703</v>
      </c>
      <c r="M906" s="84" t="n">
        <v>0.476056338028169</v>
      </c>
      <c r="N906" s="84" t="n">
        <v>0.326530612244898</v>
      </c>
      <c r="O906" s="84" t="n">
        <v>0.526315789473684</v>
      </c>
      <c r="P906" s="85">
        <f>AVERAGE(D906:I906)</f>
        <v/>
      </c>
      <c r="Q906" s="85">
        <f>AVERAGE(J906:L906)</f>
        <v/>
      </c>
      <c r="R906" s="85">
        <f>AVERAGE(M906:O906)</f>
        <v/>
      </c>
      <c r="S906" s="85">
        <f>'02_지표정의'!$C$22*P906+'02_지표정의'!$C$23*Q906+'02_지표정의'!$C$24*R906</f>
        <v/>
      </c>
      <c r="T906" s="73">
        <f>IF(OR(AND(B906="gemini",C906="gemma"),AND(B906="qwen3_6",C906="qwen"),AND(B906="mistral",C906="ministral")),1,0)</f>
        <v/>
      </c>
      <c r="U906" s="73">
        <f>IF(LEFT(A906,3)="PAT","특허","보고서")</f>
        <v/>
      </c>
      <c r="V906" s="86">
        <f>COUNTIF($S$2:$S$976,"&lt;"&amp;S906)+(COUNTIF($S$2:$S$976,"="&amp;S906)+1)/2</f>
        <v/>
      </c>
      <c r="W906" s="73">
        <f>IF(C906="qwen",0,COUNTIFS($C$2:$C$976,"&lt;&gt;qwen",$S$2:$S$976,"&lt;"&amp;S906)+1)</f>
        <v/>
      </c>
      <c r="X906" s="73">
        <f>IF(C906="ministral",0,COUNTIFS($C$2:$C$976,"&lt;&gt;ministral",$S$2:$S$976,"&lt;"&amp;S906)+1)</f>
        <v/>
      </c>
      <c r="Y906" s="73">
        <f>IF(C906="gemma",0,COUNTIFS($C$2:$C$976,"&lt;&gt;gemma",$S$2:$S$976,"&lt;"&amp;S906)+1)</f>
        <v/>
      </c>
      <c r="Z906" s="87">
        <f>COUNTIFS($B$2:$B$976,B906,$C$2:$C$976,C906,$S$2:$S$976,"&lt;"&amp;S906)+1</f>
        <v/>
      </c>
      <c r="AA906" s="88">
        <f>ABS(S906-SUMPRODUCT(('05B_가정검정'!$A$5:$A$19=B906)*('05B_가정검정'!$B$5:$B$19=C906)*'05B_가정검정'!$E$5:$E$19))</f>
        <v/>
      </c>
      <c r="AB906" s="88">
        <f>S906-AVERAGEIFS($S$2:$S$976,$B$2:$B$976,B906,$C$2:$C$976,C906)</f>
        <v/>
      </c>
    </row>
    <row r="907" ht="15" customHeight="1" s="68">
      <c r="A907" s="83" t="inlineStr">
        <is>
          <t>RPT-30</t>
        </is>
      </c>
      <c r="B907" s="83" t="inlineStr">
        <is>
          <t>claude</t>
        </is>
      </c>
      <c r="C907" s="83" t="inlineStr">
        <is>
          <t>qwen</t>
        </is>
      </c>
      <c r="D907" s="84" t="n">
        <v>0.264840182648402</v>
      </c>
      <c r="E907" s="84" t="n">
        <v>0.473895582329317</v>
      </c>
      <c r="F907" s="84" t="n">
        <v>0.153846153846154</v>
      </c>
      <c r="G907" s="84" t="n">
        <v>0.337349397590362</v>
      </c>
      <c r="H907" s="84" t="n">
        <v>0.319100184168764</v>
      </c>
      <c r="I907" s="84" t="n">
        <v>0.298926193086643</v>
      </c>
      <c r="J907" s="84" t="n">
        <v>0.720719649795485</v>
      </c>
      <c r="K907" s="84" t="n">
        <v>0.641728898648387</v>
      </c>
      <c r="L907" s="84" t="n">
        <v>0.848162621482675</v>
      </c>
      <c r="M907" s="84" t="n">
        <v>0.846153846153846</v>
      </c>
      <c r="N907" s="84" t="n">
        <v>0.872549019607843</v>
      </c>
      <c r="O907" s="84" t="n">
        <v>1</v>
      </c>
      <c r="P907" s="85">
        <f>AVERAGE(D907:I907)</f>
        <v/>
      </c>
      <c r="Q907" s="85">
        <f>AVERAGE(J907:L907)</f>
        <v/>
      </c>
      <c r="R907" s="85">
        <f>AVERAGE(M907:O907)</f>
        <v/>
      </c>
      <c r="S907" s="85">
        <f>'02_지표정의'!$C$22*P907+'02_지표정의'!$C$23*Q907+'02_지표정의'!$C$24*R907</f>
        <v/>
      </c>
      <c r="T907" s="73">
        <f>IF(OR(AND(B907="gemini",C907="gemma"),AND(B907="qwen3_6",C907="qwen"),AND(B907="mistral",C907="ministral")),1,0)</f>
        <v/>
      </c>
      <c r="U907" s="73">
        <f>IF(LEFT(A907,3)="PAT","특허","보고서")</f>
        <v/>
      </c>
      <c r="V907" s="86">
        <f>COUNTIF($S$2:$S$976,"&lt;"&amp;S907)+(COUNTIF($S$2:$S$976,"="&amp;S907)+1)/2</f>
        <v/>
      </c>
      <c r="W907" s="73">
        <f>IF(C907="qwen",0,COUNTIFS($C$2:$C$976,"&lt;&gt;qwen",$S$2:$S$976,"&lt;"&amp;S907)+1)</f>
        <v/>
      </c>
      <c r="X907" s="73">
        <f>IF(C907="ministral",0,COUNTIFS($C$2:$C$976,"&lt;&gt;ministral",$S$2:$S$976,"&lt;"&amp;S907)+1)</f>
        <v/>
      </c>
      <c r="Y907" s="73">
        <f>IF(C907="gemma",0,COUNTIFS($C$2:$C$976,"&lt;&gt;gemma",$S$2:$S$976,"&lt;"&amp;S907)+1)</f>
        <v/>
      </c>
      <c r="Z907" s="87">
        <f>COUNTIFS($B$2:$B$976,B907,$C$2:$C$976,C907,$S$2:$S$976,"&lt;"&amp;S907)+1</f>
        <v/>
      </c>
      <c r="AA907" s="88">
        <f>ABS(S907-SUMPRODUCT(('05B_가정검정'!$A$5:$A$19=B907)*('05B_가정검정'!$B$5:$B$19=C907)*'05B_가정검정'!$E$5:$E$19))</f>
        <v/>
      </c>
      <c r="AB907" s="88">
        <f>S907-AVERAGEIFS($S$2:$S$976,$B$2:$B$976,B907,$C$2:$C$976,C907)</f>
        <v/>
      </c>
    </row>
    <row r="908" ht="15" customHeight="1" s="68">
      <c r="A908" s="83" t="inlineStr">
        <is>
          <t>RPT-30</t>
        </is>
      </c>
      <c r="B908" s="83" t="inlineStr">
        <is>
          <t>gemini</t>
        </is>
      </c>
      <c r="C908" s="83" t="inlineStr">
        <is>
          <t>gemma</t>
        </is>
      </c>
      <c r="D908" s="84" t="n">
        <v>0.209386281588448</v>
      </c>
      <c r="E908" s="84" t="n">
        <v>0.274881516587678</v>
      </c>
      <c r="F908" s="84" t="n">
        <v>0.076555023923445</v>
      </c>
      <c r="G908" s="84" t="n">
        <v>0.218009478672986</v>
      </c>
      <c r="H908" s="84" t="n">
        <v>0.233092100771232</v>
      </c>
      <c r="I908" s="84" t="n">
        <v>0.150692173832362</v>
      </c>
      <c r="J908" s="84" t="n">
        <v>0.719542843149141</v>
      </c>
      <c r="K908" s="84" t="n">
        <v>0.7319609452097</v>
      </c>
      <c r="L908" s="84" t="n">
        <v>0.872236275705038</v>
      </c>
      <c r="M908" s="84" t="n">
        <v>0.906542056074766</v>
      </c>
      <c r="N908" s="84" t="n">
        <v>0.916666666666667</v>
      </c>
      <c r="O908" s="84" t="n">
        <v>1</v>
      </c>
      <c r="P908" s="85">
        <f>AVERAGE(D908:I908)</f>
        <v/>
      </c>
      <c r="Q908" s="85">
        <f>AVERAGE(J908:L908)</f>
        <v/>
      </c>
      <c r="R908" s="85">
        <f>AVERAGE(M908:O908)</f>
        <v/>
      </c>
      <c r="S908" s="85">
        <f>'02_지표정의'!$C$22*P908+'02_지표정의'!$C$23*Q908+'02_지표정의'!$C$24*R908</f>
        <v/>
      </c>
      <c r="T908" s="73">
        <f>IF(OR(AND(B908="gemini",C908="gemma"),AND(B908="qwen3_6",C908="qwen"),AND(B908="mistral",C908="ministral")),1,0)</f>
        <v/>
      </c>
      <c r="U908" s="73">
        <f>IF(LEFT(A908,3)="PAT","특허","보고서")</f>
        <v/>
      </c>
      <c r="V908" s="86">
        <f>COUNTIF($S$2:$S$976,"&lt;"&amp;S908)+(COUNTIF($S$2:$S$976,"="&amp;S908)+1)/2</f>
        <v/>
      </c>
      <c r="W908" s="73">
        <f>IF(C908="qwen",0,COUNTIFS($C$2:$C$976,"&lt;&gt;qwen",$S$2:$S$976,"&lt;"&amp;S908)+1)</f>
        <v/>
      </c>
      <c r="X908" s="73">
        <f>IF(C908="ministral",0,COUNTIFS($C$2:$C$976,"&lt;&gt;ministral",$S$2:$S$976,"&lt;"&amp;S908)+1)</f>
        <v/>
      </c>
      <c r="Y908" s="73">
        <f>IF(C908="gemma",0,COUNTIFS($C$2:$C$976,"&lt;&gt;gemma",$S$2:$S$976,"&lt;"&amp;S908)+1)</f>
        <v/>
      </c>
      <c r="Z908" s="87">
        <f>COUNTIFS($B$2:$B$976,B908,$C$2:$C$976,C908,$S$2:$S$976,"&lt;"&amp;S908)+1</f>
        <v/>
      </c>
      <c r="AA908" s="88">
        <f>ABS(S908-SUMPRODUCT(('05B_가정검정'!$A$5:$A$19=B908)*('05B_가정검정'!$B$5:$B$19=C908)*'05B_가정검정'!$E$5:$E$19))</f>
        <v/>
      </c>
      <c r="AB908" s="88">
        <f>S908-AVERAGEIFS($S$2:$S$976,$B$2:$B$976,B908,$C$2:$C$976,C908)</f>
        <v/>
      </c>
    </row>
    <row r="909" ht="15" customHeight="1" s="68">
      <c r="A909" s="83" t="inlineStr">
        <is>
          <t>RPT-30</t>
        </is>
      </c>
      <c r="B909" s="83" t="inlineStr">
        <is>
          <t>gemini</t>
        </is>
      </c>
      <c r="C909" s="83" t="inlineStr">
        <is>
          <t>ministral</t>
        </is>
      </c>
      <c r="D909" s="84" t="n">
        <v>0.261398176291793</v>
      </c>
      <c r="E909" s="84" t="n">
        <v>0.279069767441861</v>
      </c>
      <c r="F909" s="84" t="n">
        <v>0.09375</v>
      </c>
      <c r="G909" s="84" t="n">
        <v>0.209302325581395</v>
      </c>
      <c r="H909" s="84" t="n">
        <v>0.178618140084669</v>
      </c>
      <c r="I909" s="84" t="n">
        <v>0.228255028372742</v>
      </c>
      <c r="J909" s="84" t="n">
        <v>0.722434204414719</v>
      </c>
      <c r="K909" s="84" t="n">
        <v>0.751458551989448</v>
      </c>
      <c r="L909" s="84" t="n">
        <v>0.857225405561797</v>
      </c>
      <c r="M909" s="84" t="n">
        <v>0.273239436619718</v>
      </c>
      <c r="N909" s="84" t="n">
        <v>0.251700680272109</v>
      </c>
      <c r="O909" s="84" t="n">
        <v>0.526315789473684</v>
      </c>
      <c r="P909" s="85">
        <f>AVERAGE(D909:I909)</f>
        <v/>
      </c>
      <c r="Q909" s="85">
        <f>AVERAGE(J909:L909)</f>
        <v/>
      </c>
      <c r="R909" s="85">
        <f>AVERAGE(M909:O909)</f>
        <v/>
      </c>
      <c r="S909" s="85">
        <f>'02_지표정의'!$C$22*P909+'02_지표정의'!$C$23*Q909+'02_지표정의'!$C$24*R909</f>
        <v/>
      </c>
      <c r="T909" s="73">
        <f>IF(OR(AND(B909="gemini",C909="gemma"),AND(B909="qwen3_6",C909="qwen"),AND(B909="mistral",C909="ministral")),1,0)</f>
        <v/>
      </c>
      <c r="U909" s="73">
        <f>IF(LEFT(A909,3)="PAT","특허","보고서")</f>
        <v/>
      </c>
      <c r="V909" s="86">
        <f>COUNTIF($S$2:$S$976,"&lt;"&amp;S909)+(COUNTIF($S$2:$S$976,"="&amp;S909)+1)/2</f>
        <v/>
      </c>
      <c r="W909" s="73">
        <f>IF(C909="qwen",0,COUNTIFS($C$2:$C$976,"&lt;&gt;qwen",$S$2:$S$976,"&lt;"&amp;S909)+1)</f>
        <v/>
      </c>
      <c r="X909" s="73">
        <f>IF(C909="ministral",0,COUNTIFS($C$2:$C$976,"&lt;&gt;ministral",$S$2:$S$976,"&lt;"&amp;S909)+1)</f>
        <v/>
      </c>
      <c r="Y909" s="73">
        <f>IF(C909="gemma",0,COUNTIFS($C$2:$C$976,"&lt;&gt;gemma",$S$2:$S$976,"&lt;"&amp;S909)+1)</f>
        <v/>
      </c>
      <c r="Z909" s="87">
        <f>COUNTIFS($B$2:$B$976,B909,$C$2:$C$976,C909,$S$2:$S$976,"&lt;"&amp;S909)+1</f>
        <v/>
      </c>
      <c r="AA909" s="88">
        <f>ABS(S909-SUMPRODUCT(('05B_가정검정'!$A$5:$A$19=B909)*('05B_가정검정'!$B$5:$B$19=C909)*'05B_가정검정'!$E$5:$E$19))</f>
        <v/>
      </c>
      <c r="AB909" s="88">
        <f>S909-AVERAGEIFS($S$2:$S$976,$B$2:$B$976,B909,$C$2:$C$976,C909)</f>
        <v/>
      </c>
    </row>
    <row r="910" ht="15" customHeight="1" s="68">
      <c r="A910" s="83" t="inlineStr">
        <is>
          <t>RPT-30</t>
        </is>
      </c>
      <c r="B910" s="83" t="inlineStr">
        <is>
          <t>gemini</t>
        </is>
      </c>
      <c r="C910" s="83" t="inlineStr">
        <is>
          <t>qwen</t>
        </is>
      </c>
      <c r="D910" s="84" t="n">
        <v>0.311543810848401</v>
      </c>
      <c r="E910" s="84" t="n">
        <v>0.394904458598726</v>
      </c>
      <c r="F910" s="84" t="n">
        <v>0.141935483870968</v>
      </c>
      <c r="G910" s="84" t="n">
        <v>0.305732484076433</v>
      </c>
      <c r="H910" s="84" t="n">
        <v>0.291427568170576</v>
      </c>
      <c r="I910" s="84" t="n">
        <v>0.281658603031988</v>
      </c>
      <c r="J910" s="84" t="n">
        <v>0.767609341370739</v>
      </c>
      <c r="K910" s="84" t="n">
        <v>0.759883332986653</v>
      </c>
      <c r="L910" s="84" t="n">
        <v>0.880692403780549</v>
      </c>
      <c r="M910" s="84" t="n">
        <v>0.587878787878788</v>
      </c>
      <c r="N910" s="84" t="n">
        <v>0.55</v>
      </c>
      <c r="O910" s="84" t="n">
        <v>1</v>
      </c>
      <c r="P910" s="85">
        <f>AVERAGE(D910:I910)</f>
        <v/>
      </c>
      <c r="Q910" s="85">
        <f>AVERAGE(J910:L910)</f>
        <v/>
      </c>
      <c r="R910" s="85">
        <f>AVERAGE(M910:O910)</f>
        <v/>
      </c>
      <c r="S910" s="85">
        <f>'02_지표정의'!$C$22*P910+'02_지표정의'!$C$23*Q910+'02_지표정의'!$C$24*R910</f>
        <v/>
      </c>
      <c r="T910" s="73">
        <f>IF(OR(AND(B910="gemini",C910="gemma"),AND(B910="qwen3_6",C910="qwen"),AND(B910="mistral",C910="ministral")),1,0)</f>
        <v/>
      </c>
      <c r="U910" s="73">
        <f>IF(LEFT(A910,3)="PAT","특허","보고서")</f>
        <v/>
      </c>
      <c r="V910" s="86">
        <f>COUNTIF($S$2:$S$976,"&lt;"&amp;S910)+(COUNTIF($S$2:$S$976,"="&amp;S910)+1)/2</f>
        <v/>
      </c>
      <c r="W910" s="73">
        <f>IF(C910="qwen",0,COUNTIFS($C$2:$C$976,"&lt;&gt;qwen",$S$2:$S$976,"&lt;"&amp;S910)+1)</f>
        <v/>
      </c>
      <c r="X910" s="73">
        <f>IF(C910="ministral",0,COUNTIFS($C$2:$C$976,"&lt;&gt;ministral",$S$2:$S$976,"&lt;"&amp;S910)+1)</f>
        <v/>
      </c>
      <c r="Y910" s="73">
        <f>IF(C910="gemma",0,COUNTIFS($C$2:$C$976,"&lt;&gt;gemma",$S$2:$S$976,"&lt;"&amp;S910)+1)</f>
        <v/>
      </c>
      <c r="Z910" s="87">
        <f>COUNTIFS($B$2:$B$976,B910,$C$2:$C$976,C910,$S$2:$S$976,"&lt;"&amp;S910)+1</f>
        <v/>
      </c>
      <c r="AA910" s="88">
        <f>ABS(S910-SUMPRODUCT(('05B_가정검정'!$A$5:$A$19=B910)*('05B_가정검정'!$B$5:$B$19=C910)*'05B_가정검정'!$E$5:$E$19))</f>
        <v/>
      </c>
      <c r="AB910" s="88">
        <f>S910-AVERAGEIFS($S$2:$S$976,$B$2:$B$976,B910,$C$2:$C$976,C910)</f>
        <v/>
      </c>
    </row>
    <row r="911" ht="15" customHeight="1" s="68">
      <c r="A911" s="83" t="inlineStr">
        <is>
          <t>RPT-30</t>
        </is>
      </c>
      <c r="B911" s="83" t="inlineStr">
        <is>
          <t>mistral</t>
        </is>
      </c>
      <c r="C911" s="83" t="inlineStr">
        <is>
          <t>gemma</t>
        </is>
      </c>
      <c r="D911" s="84" t="n">
        <v>0.241102181400689</v>
      </c>
      <c r="E911" s="84" t="n">
        <v>0.291845493562232</v>
      </c>
      <c r="F911" s="84" t="n">
        <v>0.09523809523809521</v>
      </c>
      <c r="G911" s="84" t="n">
        <v>0.240343347639485</v>
      </c>
      <c r="H911" s="84" t="n">
        <v>0.274416613821044</v>
      </c>
      <c r="I911" s="84" t="n">
        <v>0.166846919236436</v>
      </c>
      <c r="J911" s="84" t="n">
        <v>0.693946076061615</v>
      </c>
      <c r="K911" s="84" t="n">
        <v>0.6574711327784341</v>
      </c>
      <c r="L911" s="84" t="n">
        <v>0.8217722431654439</v>
      </c>
      <c r="M911" s="84" t="n">
        <v>0.659259259259259</v>
      </c>
      <c r="N911" s="84" t="n">
        <v>0.6621621621621619</v>
      </c>
      <c r="O911" s="84" t="n">
        <v>1</v>
      </c>
      <c r="P911" s="85">
        <f>AVERAGE(D911:I911)</f>
        <v/>
      </c>
      <c r="Q911" s="85">
        <f>AVERAGE(J911:L911)</f>
        <v/>
      </c>
      <c r="R911" s="85">
        <f>AVERAGE(M911:O911)</f>
        <v/>
      </c>
      <c r="S911" s="85">
        <f>'02_지표정의'!$C$22*P911+'02_지표정의'!$C$23*Q911+'02_지표정의'!$C$24*R911</f>
        <v/>
      </c>
      <c r="T911" s="73">
        <f>IF(OR(AND(B911="gemini",C911="gemma"),AND(B911="qwen3_6",C911="qwen"),AND(B911="mistral",C911="ministral")),1,0)</f>
        <v/>
      </c>
      <c r="U911" s="73">
        <f>IF(LEFT(A911,3)="PAT","특허","보고서")</f>
        <v/>
      </c>
      <c r="V911" s="86">
        <f>COUNTIF($S$2:$S$976,"&lt;"&amp;S911)+(COUNTIF($S$2:$S$976,"="&amp;S911)+1)/2</f>
        <v/>
      </c>
      <c r="W911" s="73">
        <f>IF(C911="qwen",0,COUNTIFS($C$2:$C$976,"&lt;&gt;qwen",$S$2:$S$976,"&lt;"&amp;S911)+1)</f>
        <v/>
      </c>
      <c r="X911" s="73">
        <f>IF(C911="ministral",0,COUNTIFS($C$2:$C$976,"&lt;&gt;ministral",$S$2:$S$976,"&lt;"&amp;S911)+1)</f>
        <v/>
      </c>
      <c r="Y911" s="73">
        <f>IF(C911="gemma",0,COUNTIFS($C$2:$C$976,"&lt;&gt;gemma",$S$2:$S$976,"&lt;"&amp;S911)+1)</f>
        <v/>
      </c>
      <c r="Z911" s="87">
        <f>COUNTIFS($B$2:$B$976,B911,$C$2:$C$976,C911,$S$2:$S$976,"&lt;"&amp;S911)+1</f>
        <v/>
      </c>
      <c r="AA911" s="88">
        <f>ABS(S911-SUMPRODUCT(('05B_가정검정'!$A$5:$A$19=B911)*('05B_가정검정'!$B$5:$B$19=C911)*'05B_가정검정'!$E$5:$E$19))</f>
        <v/>
      </c>
      <c r="AB911" s="88">
        <f>S911-AVERAGEIFS($S$2:$S$976,$B$2:$B$976,B911,$C$2:$C$976,C911)</f>
        <v/>
      </c>
    </row>
    <row r="912" ht="15" customHeight="1" s="68">
      <c r="A912" s="83" t="inlineStr">
        <is>
          <t>RPT-30</t>
        </is>
      </c>
      <c r="B912" s="83" t="inlineStr">
        <is>
          <t>mistral</t>
        </is>
      </c>
      <c r="C912" s="83" t="inlineStr">
        <is>
          <t>ministral</t>
        </is>
      </c>
      <c r="D912" s="84" t="n">
        <v>0.329512893982808</v>
      </c>
      <c r="E912" s="84" t="n">
        <v>0.25</v>
      </c>
      <c r="F912" s="84" t="n">
        <v>0.07913669064748199</v>
      </c>
      <c r="G912" s="84" t="n">
        <v>0.2</v>
      </c>
      <c r="H912" s="84" t="n">
        <v>0.219849853724475</v>
      </c>
      <c r="I912" s="84" t="n">
        <v>0.174293418848282</v>
      </c>
      <c r="J912" s="84" t="n">
        <v>0.708573349147854</v>
      </c>
      <c r="K912" s="84" t="n">
        <v>0.647113649161872</v>
      </c>
      <c r="L912" s="84" t="n">
        <v>0.823296092138161</v>
      </c>
      <c r="M912" s="84" t="n">
        <v>0.357746478873239</v>
      </c>
      <c r="N912" s="84" t="n">
        <v>0.231292517006803</v>
      </c>
      <c r="O912" s="84" t="n">
        <v>0.526315789473684</v>
      </c>
      <c r="P912" s="85">
        <f>AVERAGE(D912:I912)</f>
        <v/>
      </c>
      <c r="Q912" s="85">
        <f>AVERAGE(J912:L912)</f>
        <v/>
      </c>
      <c r="R912" s="85">
        <f>AVERAGE(M912:O912)</f>
        <v/>
      </c>
      <c r="S912" s="85">
        <f>'02_지표정의'!$C$22*P912+'02_지표정의'!$C$23*Q912+'02_지표정의'!$C$24*R912</f>
        <v/>
      </c>
      <c r="T912" s="73">
        <f>IF(OR(AND(B912="gemini",C912="gemma"),AND(B912="qwen3_6",C912="qwen"),AND(B912="mistral",C912="ministral")),1,0)</f>
        <v/>
      </c>
      <c r="U912" s="73">
        <f>IF(LEFT(A912,3)="PAT","특허","보고서")</f>
        <v/>
      </c>
      <c r="V912" s="86">
        <f>COUNTIF($S$2:$S$976,"&lt;"&amp;S912)+(COUNTIF($S$2:$S$976,"="&amp;S912)+1)/2</f>
        <v/>
      </c>
      <c r="W912" s="73">
        <f>IF(C912="qwen",0,COUNTIFS($C$2:$C$976,"&lt;&gt;qwen",$S$2:$S$976,"&lt;"&amp;S912)+1)</f>
        <v/>
      </c>
      <c r="X912" s="73">
        <f>IF(C912="ministral",0,COUNTIFS($C$2:$C$976,"&lt;&gt;ministral",$S$2:$S$976,"&lt;"&amp;S912)+1)</f>
        <v/>
      </c>
      <c r="Y912" s="73">
        <f>IF(C912="gemma",0,COUNTIFS($C$2:$C$976,"&lt;&gt;gemma",$S$2:$S$976,"&lt;"&amp;S912)+1)</f>
        <v/>
      </c>
      <c r="Z912" s="87">
        <f>COUNTIFS($B$2:$B$976,B912,$C$2:$C$976,C912,$S$2:$S$976,"&lt;"&amp;S912)+1</f>
        <v/>
      </c>
      <c r="AA912" s="88">
        <f>ABS(S912-SUMPRODUCT(('05B_가정검정'!$A$5:$A$19=B912)*('05B_가정검정'!$B$5:$B$19=C912)*'05B_가정검정'!$E$5:$E$19))</f>
        <v/>
      </c>
      <c r="AB912" s="88">
        <f>S912-AVERAGEIFS($S$2:$S$976,$B$2:$B$976,B912,$C$2:$C$976,C912)</f>
        <v/>
      </c>
    </row>
    <row r="913" ht="15" customHeight="1" s="68">
      <c r="A913" s="83" t="inlineStr">
        <is>
          <t>RPT-30</t>
        </is>
      </c>
      <c r="B913" s="83" t="inlineStr">
        <is>
          <t>mistral</t>
        </is>
      </c>
      <c r="C913" s="83" t="inlineStr">
        <is>
          <t>qwen</t>
        </is>
      </c>
      <c r="D913" s="84" t="n">
        <v>0.321475625823452</v>
      </c>
      <c r="E913" s="84" t="n">
        <v>0.402234636871508</v>
      </c>
      <c r="F913" s="84" t="n">
        <v>0.135593220338983</v>
      </c>
      <c r="G913" s="84" t="n">
        <v>0.301675977653631</v>
      </c>
      <c r="H913" s="84" t="n">
        <v>0.322602932284409</v>
      </c>
      <c r="I913" s="84" t="n">
        <v>0.209363322974854</v>
      </c>
      <c r="J913" s="84" t="n">
        <v>0.712935615335227</v>
      </c>
      <c r="K913" s="84" t="n">
        <v>0.642637683157959</v>
      </c>
      <c r="L913" s="84" t="n">
        <v>0.845871276388143</v>
      </c>
      <c r="M913" s="84" t="n">
        <v>0.478787878787879</v>
      </c>
      <c r="N913" s="84" t="n">
        <v>0.35</v>
      </c>
      <c r="O913" s="84" t="n">
        <v>1</v>
      </c>
      <c r="P913" s="85">
        <f>AVERAGE(D913:I913)</f>
        <v/>
      </c>
      <c r="Q913" s="85">
        <f>AVERAGE(J913:L913)</f>
        <v/>
      </c>
      <c r="R913" s="85">
        <f>AVERAGE(M913:O913)</f>
        <v/>
      </c>
      <c r="S913" s="85">
        <f>'02_지표정의'!$C$22*P913+'02_지표정의'!$C$23*Q913+'02_지표정의'!$C$24*R913</f>
        <v/>
      </c>
      <c r="T913" s="73">
        <f>IF(OR(AND(B913="gemini",C913="gemma"),AND(B913="qwen3_6",C913="qwen"),AND(B913="mistral",C913="ministral")),1,0)</f>
        <v/>
      </c>
      <c r="U913" s="73">
        <f>IF(LEFT(A913,3)="PAT","특허","보고서")</f>
        <v/>
      </c>
      <c r="V913" s="86">
        <f>COUNTIF($S$2:$S$976,"&lt;"&amp;S913)+(COUNTIF($S$2:$S$976,"="&amp;S913)+1)/2</f>
        <v/>
      </c>
      <c r="W913" s="73">
        <f>IF(C913="qwen",0,COUNTIFS($C$2:$C$976,"&lt;&gt;qwen",$S$2:$S$976,"&lt;"&amp;S913)+1)</f>
        <v/>
      </c>
      <c r="X913" s="73">
        <f>IF(C913="ministral",0,COUNTIFS($C$2:$C$976,"&lt;&gt;ministral",$S$2:$S$976,"&lt;"&amp;S913)+1)</f>
        <v/>
      </c>
      <c r="Y913" s="73">
        <f>IF(C913="gemma",0,COUNTIFS($C$2:$C$976,"&lt;&gt;gemma",$S$2:$S$976,"&lt;"&amp;S913)+1)</f>
        <v/>
      </c>
      <c r="Z913" s="87">
        <f>COUNTIFS($B$2:$B$976,B913,$C$2:$C$976,C913,$S$2:$S$976,"&lt;"&amp;S913)+1</f>
        <v/>
      </c>
      <c r="AA913" s="88">
        <f>ABS(S913-SUMPRODUCT(('05B_가정검정'!$A$5:$A$19=B913)*('05B_가정검정'!$B$5:$B$19=C913)*'05B_가정검정'!$E$5:$E$19))</f>
        <v/>
      </c>
      <c r="AB913" s="88">
        <f>S913-AVERAGEIFS($S$2:$S$976,$B$2:$B$976,B913,$C$2:$C$976,C913)</f>
        <v/>
      </c>
    </row>
    <row r="914" ht="15" customHeight="1" s="68">
      <c r="A914" s="83" t="inlineStr">
        <is>
          <t>RPT-30</t>
        </is>
      </c>
      <c r="B914" s="83" t="inlineStr">
        <is>
          <t>qwen3_6</t>
        </is>
      </c>
      <c r="C914" s="83" t="inlineStr">
        <is>
          <t>gemma</t>
        </is>
      </c>
      <c r="D914" s="84" t="n">
        <v>0.27556512378902</v>
      </c>
      <c r="E914" s="84" t="n">
        <v>0.365853658536585</v>
      </c>
      <c r="F914" s="84" t="n">
        <v>0.122950819672131</v>
      </c>
      <c r="G914" s="84" t="n">
        <v>0.268292682926829</v>
      </c>
      <c r="H914" s="84" t="n">
        <v>0.359790920001163</v>
      </c>
      <c r="I914" s="84" t="n">
        <v>0.207385902807478</v>
      </c>
      <c r="J914" s="84" t="n">
        <v>0.751233813736423</v>
      </c>
      <c r="K914" s="84" t="n">
        <v>0.699274221576748</v>
      </c>
      <c r="L914" s="84" t="n">
        <v>0.861208975565336</v>
      </c>
      <c r="M914" s="84" t="n">
        <v>0.906542056074766</v>
      </c>
      <c r="N914" s="84" t="n">
        <v>0.916666666666667</v>
      </c>
      <c r="O914" s="84" t="n">
        <v>1</v>
      </c>
      <c r="P914" s="85">
        <f>AVERAGE(D914:I914)</f>
        <v/>
      </c>
      <c r="Q914" s="85">
        <f>AVERAGE(J914:L914)</f>
        <v/>
      </c>
      <c r="R914" s="85">
        <f>AVERAGE(M914:O914)</f>
        <v/>
      </c>
      <c r="S914" s="85">
        <f>'02_지표정의'!$C$22*P914+'02_지표정의'!$C$23*Q914+'02_지표정의'!$C$24*R914</f>
        <v/>
      </c>
      <c r="T914" s="73">
        <f>IF(OR(AND(B914="gemini",C914="gemma"),AND(B914="qwen3_6",C914="qwen"),AND(B914="mistral",C914="ministral")),1,0)</f>
        <v/>
      </c>
      <c r="U914" s="73">
        <f>IF(LEFT(A914,3)="PAT","특허","보고서")</f>
        <v/>
      </c>
      <c r="V914" s="86">
        <f>COUNTIF($S$2:$S$976,"&lt;"&amp;S914)+(COUNTIF($S$2:$S$976,"="&amp;S914)+1)/2</f>
        <v/>
      </c>
      <c r="W914" s="73">
        <f>IF(C914="qwen",0,COUNTIFS($C$2:$C$976,"&lt;&gt;qwen",$S$2:$S$976,"&lt;"&amp;S914)+1)</f>
        <v/>
      </c>
      <c r="X914" s="73">
        <f>IF(C914="ministral",0,COUNTIFS($C$2:$C$976,"&lt;&gt;ministral",$S$2:$S$976,"&lt;"&amp;S914)+1)</f>
        <v/>
      </c>
      <c r="Y914" s="73">
        <f>IF(C914="gemma",0,COUNTIFS($C$2:$C$976,"&lt;&gt;gemma",$S$2:$S$976,"&lt;"&amp;S914)+1)</f>
        <v/>
      </c>
      <c r="Z914" s="87">
        <f>COUNTIFS($B$2:$B$976,B914,$C$2:$C$976,C914,$S$2:$S$976,"&lt;"&amp;S914)+1</f>
        <v/>
      </c>
      <c r="AA914" s="88">
        <f>ABS(S914-SUMPRODUCT(('05B_가정검정'!$A$5:$A$19=B914)*('05B_가정검정'!$B$5:$B$19=C914)*'05B_가정검정'!$E$5:$E$19))</f>
        <v/>
      </c>
      <c r="AB914" s="88">
        <f>S914-AVERAGEIFS($S$2:$S$976,$B$2:$B$976,B914,$C$2:$C$976,C914)</f>
        <v/>
      </c>
    </row>
    <row r="915" ht="15" customHeight="1" s="68">
      <c r="A915" s="83" t="inlineStr">
        <is>
          <t>RPT-30</t>
        </is>
      </c>
      <c r="B915" s="83" t="inlineStr">
        <is>
          <t>qwen3_6</t>
        </is>
      </c>
      <c r="C915" s="83" t="inlineStr">
        <is>
          <t>ministral</t>
        </is>
      </c>
      <c r="D915" s="84" t="n">
        <v>0.264550264550265</v>
      </c>
      <c r="E915" s="84" t="n">
        <v>0.293515358361775</v>
      </c>
      <c r="F915" s="84" t="n">
        <v>0.109965635738832</v>
      </c>
      <c r="G915" s="84" t="n">
        <v>0.204778156996587</v>
      </c>
      <c r="H915" s="84" t="n">
        <v>0.246903675540677</v>
      </c>
      <c r="I915" s="84" t="n">
        <v>0.262351169852743</v>
      </c>
      <c r="J915" s="84" t="n">
        <v>0.715263527331583</v>
      </c>
      <c r="K915" s="84" t="n">
        <v>0.65997638423369</v>
      </c>
      <c r="L915" s="84" t="n">
        <v>0.840930990178008</v>
      </c>
      <c r="M915" s="84" t="n">
        <v>0.273239436619718</v>
      </c>
      <c r="N915" s="84" t="n">
        <v>0.251700680272109</v>
      </c>
      <c r="O915" s="84" t="n">
        <v>0.526315789473684</v>
      </c>
      <c r="P915" s="85">
        <f>AVERAGE(D915:I915)</f>
        <v/>
      </c>
      <c r="Q915" s="85">
        <f>AVERAGE(J915:L915)</f>
        <v/>
      </c>
      <c r="R915" s="85">
        <f>AVERAGE(M915:O915)</f>
        <v/>
      </c>
      <c r="S915" s="85">
        <f>'02_지표정의'!$C$22*P915+'02_지표정의'!$C$23*Q915+'02_지표정의'!$C$24*R915</f>
        <v/>
      </c>
      <c r="T915" s="73">
        <f>IF(OR(AND(B915="gemini",C915="gemma"),AND(B915="qwen3_6",C915="qwen"),AND(B915="mistral",C915="ministral")),1,0)</f>
        <v/>
      </c>
      <c r="U915" s="73">
        <f>IF(LEFT(A915,3)="PAT","특허","보고서")</f>
        <v/>
      </c>
      <c r="V915" s="86">
        <f>COUNTIF($S$2:$S$976,"&lt;"&amp;S915)+(COUNTIF($S$2:$S$976,"="&amp;S915)+1)/2</f>
        <v/>
      </c>
      <c r="W915" s="73">
        <f>IF(C915="qwen",0,COUNTIFS($C$2:$C$976,"&lt;&gt;qwen",$S$2:$S$976,"&lt;"&amp;S915)+1)</f>
        <v/>
      </c>
      <c r="X915" s="73">
        <f>IF(C915="ministral",0,COUNTIFS($C$2:$C$976,"&lt;&gt;ministral",$S$2:$S$976,"&lt;"&amp;S915)+1)</f>
        <v/>
      </c>
      <c r="Y915" s="73">
        <f>IF(C915="gemma",0,COUNTIFS($C$2:$C$976,"&lt;&gt;gemma",$S$2:$S$976,"&lt;"&amp;S915)+1)</f>
        <v/>
      </c>
      <c r="Z915" s="87">
        <f>COUNTIFS($B$2:$B$976,B915,$C$2:$C$976,C915,$S$2:$S$976,"&lt;"&amp;S915)+1</f>
        <v/>
      </c>
      <c r="AA915" s="88">
        <f>ABS(S915-SUMPRODUCT(('05B_가정검정'!$A$5:$A$19=B915)*('05B_가정검정'!$B$5:$B$19=C915)*'05B_가정검정'!$E$5:$E$19))</f>
        <v/>
      </c>
      <c r="AB915" s="88">
        <f>S915-AVERAGEIFS($S$2:$S$976,$B$2:$B$976,B915,$C$2:$C$976,C915)</f>
        <v/>
      </c>
    </row>
    <row r="916" ht="15" customHeight="1" s="68">
      <c r="A916" s="83" t="inlineStr">
        <is>
          <t>RPT-30</t>
        </is>
      </c>
      <c r="B916" s="83" t="inlineStr">
        <is>
          <t>qwen3_6</t>
        </is>
      </c>
      <c r="C916" s="83" t="inlineStr">
        <is>
          <t>qwen</t>
        </is>
      </c>
      <c r="D916" s="84" t="n">
        <v>0.323133414932681</v>
      </c>
      <c r="E916" s="84" t="n">
        <v>0.385416666666667</v>
      </c>
      <c r="F916" s="84" t="n">
        <v>0.147368421052632</v>
      </c>
      <c r="G916" s="84" t="n">
        <v>0.3125</v>
      </c>
      <c r="H916" s="84" t="n">
        <v>0.417776519595776</v>
      </c>
      <c r="I916" s="84" t="n">
        <v>0.306399172990237</v>
      </c>
      <c r="J916" s="84" t="n">
        <v>0.716526473707829</v>
      </c>
      <c r="K916" s="84" t="n">
        <v>0.696270780920797</v>
      </c>
      <c r="L916" s="84" t="n">
        <v>0.87877834925933</v>
      </c>
      <c r="M916" s="84" t="n">
        <v>0.587878787878788</v>
      </c>
      <c r="N916" s="84" t="n">
        <v>0.55</v>
      </c>
      <c r="O916" s="84" t="n">
        <v>1</v>
      </c>
      <c r="P916" s="85">
        <f>AVERAGE(D916:I916)</f>
        <v/>
      </c>
      <c r="Q916" s="85">
        <f>AVERAGE(J916:L916)</f>
        <v/>
      </c>
      <c r="R916" s="85">
        <f>AVERAGE(M916:O916)</f>
        <v/>
      </c>
      <c r="S916" s="85">
        <f>'02_지표정의'!$C$22*P916+'02_지표정의'!$C$23*Q916+'02_지표정의'!$C$24*R916</f>
        <v/>
      </c>
      <c r="T916" s="73">
        <f>IF(OR(AND(B916="gemini",C916="gemma"),AND(B916="qwen3_6",C916="qwen"),AND(B916="mistral",C916="ministral")),1,0)</f>
        <v/>
      </c>
      <c r="U916" s="73">
        <f>IF(LEFT(A916,3)="PAT","특허","보고서")</f>
        <v/>
      </c>
      <c r="V916" s="86">
        <f>COUNTIF($S$2:$S$976,"&lt;"&amp;S916)+(COUNTIF($S$2:$S$976,"="&amp;S916)+1)/2</f>
        <v/>
      </c>
      <c r="W916" s="73">
        <f>IF(C916="qwen",0,COUNTIFS($C$2:$C$976,"&lt;&gt;qwen",$S$2:$S$976,"&lt;"&amp;S916)+1)</f>
        <v/>
      </c>
      <c r="X916" s="73">
        <f>IF(C916="ministral",0,COUNTIFS($C$2:$C$976,"&lt;&gt;ministral",$S$2:$S$976,"&lt;"&amp;S916)+1)</f>
        <v/>
      </c>
      <c r="Y916" s="73">
        <f>IF(C916="gemma",0,COUNTIFS($C$2:$C$976,"&lt;&gt;gemma",$S$2:$S$976,"&lt;"&amp;S916)+1)</f>
        <v/>
      </c>
      <c r="Z916" s="87">
        <f>COUNTIFS($B$2:$B$976,B916,$C$2:$C$976,C916,$S$2:$S$976,"&lt;"&amp;S916)+1</f>
        <v/>
      </c>
      <c r="AA916" s="88">
        <f>ABS(S916-SUMPRODUCT(('05B_가정검정'!$A$5:$A$19=B916)*('05B_가정검정'!$B$5:$B$19=C916)*'05B_가정검정'!$E$5:$E$19))</f>
        <v/>
      </c>
      <c r="AB916" s="88">
        <f>S916-AVERAGEIFS($S$2:$S$976,$B$2:$B$976,B916,$C$2:$C$976,C916)</f>
        <v/>
      </c>
    </row>
    <row r="917" ht="15" customHeight="1" s="68">
      <c r="A917" s="83" t="inlineStr">
        <is>
          <t>RPT-31</t>
        </is>
      </c>
      <c r="B917" s="83" t="inlineStr">
        <is>
          <t>chatgpt</t>
        </is>
      </c>
      <c r="C917" s="83" t="inlineStr">
        <is>
          <t>gemma</t>
        </is>
      </c>
      <c r="D917" s="84" t="n">
        <v>0.206415620641562</v>
      </c>
      <c r="E917" s="84" t="n">
        <v>0.296</v>
      </c>
      <c r="F917" s="84" t="n">
        <v>0.120967741935484</v>
      </c>
      <c r="G917" s="84" t="n">
        <v>0.256</v>
      </c>
      <c r="H917" s="84" t="n">
        <v>0.234842312331734</v>
      </c>
      <c r="I917" s="84" t="n">
        <v>0.187572061390425</v>
      </c>
      <c r="J917" s="84" t="n">
        <v>0.6940373149725499</v>
      </c>
      <c r="K917" s="84" t="n">
        <v>0.668890909929284</v>
      </c>
      <c r="L917" s="84" t="n">
        <v>0.811714577898203</v>
      </c>
      <c r="M917" s="84" t="n">
        <v>0.515151515151515</v>
      </c>
      <c r="N917" s="84" t="n">
        <v>0.213483146067416</v>
      </c>
      <c r="O917" s="84" t="n">
        <v>1</v>
      </c>
      <c r="P917" s="85">
        <f>AVERAGE(D917:I917)</f>
        <v/>
      </c>
      <c r="Q917" s="85">
        <f>AVERAGE(J917:L917)</f>
        <v/>
      </c>
      <c r="R917" s="85">
        <f>AVERAGE(M917:O917)</f>
        <v/>
      </c>
      <c r="S917" s="85">
        <f>'02_지표정의'!$C$22*P917+'02_지표정의'!$C$23*Q917+'02_지표정의'!$C$24*R917</f>
        <v/>
      </c>
      <c r="T917" s="73">
        <f>IF(OR(AND(B917="gemini",C917="gemma"),AND(B917="qwen3_6",C917="qwen"),AND(B917="mistral",C917="ministral")),1,0)</f>
        <v/>
      </c>
      <c r="U917" s="73">
        <f>IF(LEFT(A917,3)="PAT","특허","보고서")</f>
        <v/>
      </c>
      <c r="V917" s="86">
        <f>COUNTIF($S$2:$S$976,"&lt;"&amp;S917)+(COUNTIF($S$2:$S$976,"="&amp;S917)+1)/2</f>
        <v/>
      </c>
      <c r="W917" s="73">
        <f>IF(C917="qwen",0,COUNTIFS($C$2:$C$976,"&lt;&gt;qwen",$S$2:$S$976,"&lt;"&amp;S917)+1)</f>
        <v/>
      </c>
      <c r="X917" s="73">
        <f>IF(C917="ministral",0,COUNTIFS($C$2:$C$976,"&lt;&gt;ministral",$S$2:$S$976,"&lt;"&amp;S917)+1)</f>
        <v/>
      </c>
      <c r="Y917" s="73">
        <f>IF(C917="gemma",0,COUNTIFS($C$2:$C$976,"&lt;&gt;gemma",$S$2:$S$976,"&lt;"&amp;S917)+1)</f>
        <v/>
      </c>
      <c r="Z917" s="87">
        <f>COUNTIFS($B$2:$B$976,B917,$C$2:$C$976,C917,$S$2:$S$976,"&lt;"&amp;S917)+1</f>
        <v/>
      </c>
      <c r="AA917" s="88">
        <f>ABS(S917-SUMPRODUCT(('05B_가정검정'!$A$5:$A$19=B917)*('05B_가정검정'!$B$5:$B$19=C917)*'05B_가정검정'!$E$5:$E$19))</f>
        <v/>
      </c>
      <c r="AB917" s="88">
        <f>S917-AVERAGEIFS($S$2:$S$976,$B$2:$B$976,B917,$C$2:$C$976,C917)</f>
        <v/>
      </c>
    </row>
    <row r="918" ht="15" customHeight="1" s="68">
      <c r="A918" s="83" t="inlineStr">
        <is>
          <t>RPT-31</t>
        </is>
      </c>
      <c r="B918" s="83" t="inlineStr">
        <is>
          <t>chatgpt</t>
        </is>
      </c>
      <c r="C918" s="83" t="inlineStr">
        <is>
          <t>ministral</t>
        </is>
      </c>
      <c r="D918" s="84" t="n">
        <v>0.373983739837398</v>
      </c>
      <c r="E918" s="84" t="n">
        <v>0.388185654008439</v>
      </c>
      <c r="F918" s="84" t="n">
        <v>0.25531914893617</v>
      </c>
      <c r="G918" s="84" t="n">
        <v>0.345991561181435</v>
      </c>
      <c r="H918" s="84" t="n">
        <v>0.243634262295656</v>
      </c>
      <c r="I918" s="84" t="n">
        <v>0.471109806681229</v>
      </c>
      <c r="J918" s="84" t="n">
        <v>0.7280898956384499</v>
      </c>
      <c r="K918" s="84" t="n">
        <v>0.696884746752462</v>
      </c>
      <c r="L918" s="84" t="n">
        <v>0.873122957699128</v>
      </c>
      <c r="M918" s="84" t="n">
        <v>0.422222222222222</v>
      </c>
      <c r="N918" s="84" t="n">
        <v>0</v>
      </c>
      <c r="O918" s="84" t="n">
        <v>1</v>
      </c>
      <c r="P918" s="85">
        <f>AVERAGE(D918:I918)</f>
        <v/>
      </c>
      <c r="Q918" s="85">
        <f>AVERAGE(J918:L918)</f>
        <v/>
      </c>
      <c r="R918" s="85">
        <f>AVERAGE(M918:O918)</f>
        <v/>
      </c>
      <c r="S918" s="85">
        <f>'02_지표정의'!$C$22*P918+'02_지표정의'!$C$23*Q918+'02_지표정의'!$C$24*R918</f>
        <v/>
      </c>
      <c r="T918" s="73">
        <f>IF(OR(AND(B918="gemini",C918="gemma"),AND(B918="qwen3_6",C918="qwen"),AND(B918="mistral",C918="ministral")),1,0)</f>
        <v/>
      </c>
      <c r="U918" s="73">
        <f>IF(LEFT(A918,3)="PAT","특허","보고서")</f>
        <v/>
      </c>
      <c r="V918" s="86">
        <f>COUNTIF($S$2:$S$976,"&lt;"&amp;S918)+(COUNTIF($S$2:$S$976,"="&amp;S918)+1)/2</f>
        <v/>
      </c>
      <c r="W918" s="73">
        <f>IF(C918="qwen",0,COUNTIFS($C$2:$C$976,"&lt;&gt;qwen",$S$2:$S$976,"&lt;"&amp;S918)+1)</f>
        <v/>
      </c>
      <c r="X918" s="73">
        <f>IF(C918="ministral",0,COUNTIFS($C$2:$C$976,"&lt;&gt;ministral",$S$2:$S$976,"&lt;"&amp;S918)+1)</f>
        <v/>
      </c>
      <c r="Y918" s="73">
        <f>IF(C918="gemma",0,COUNTIFS($C$2:$C$976,"&lt;&gt;gemma",$S$2:$S$976,"&lt;"&amp;S918)+1)</f>
        <v/>
      </c>
      <c r="Z918" s="87">
        <f>COUNTIFS($B$2:$B$976,B918,$C$2:$C$976,C918,$S$2:$S$976,"&lt;"&amp;S918)+1</f>
        <v/>
      </c>
      <c r="AA918" s="88">
        <f>ABS(S918-SUMPRODUCT(('05B_가정검정'!$A$5:$A$19=B918)*('05B_가정검정'!$B$5:$B$19=C918)*'05B_가정검정'!$E$5:$E$19))</f>
        <v/>
      </c>
      <c r="AB918" s="88">
        <f>S918-AVERAGEIFS($S$2:$S$976,$B$2:$B$976,B918,$C$2:$C$976,C918)</f>
        <v/>
      </c>
    </row>
    <row r="919" ht="15" customHeight="1" s="68">
      <c r="A919" s="83" t="inlineStr">
        <is>
          <t>RPT-31</t>
        </is>
      </c>
      <c r="B919" s="83" t="inlineStr">
        <is>
          <t>chatgpt</t>
        </is>
      </c>
      <c r="C919" s="83" t="inlineStr">
        <is>
          <t>qwen</t>
        </is>
      </c>
      <c r="D919" s="84" t="n">
        <v>0.292758089368259</v>
      </c>
      <c r="E919" s="84" t="n">
        <v>0.315789473684211</v>
      </c>
      <c r="F919" s="84" t="n">
        <v>0.145695364238411</v>
      </c>
      <c r="G919" s="84" t="n">
        <v>0.276315789473684</v>
      </c>
      <c r="H919" s="84" t="n">
        <v>0.219319774809095</v>
      </c>
      <c r="I919" s="84" t="n">
        <v>0.338712801814077</v>
      </c>
      <c r="J919" s="84" t="n">
        <v>0.662733959890877</v>
      </c>
      <c r="K919" s="84" t="n">
        <v>0.673867136054921</v>
      </c>
      <c r="L919" s="84" t="n">
        <v>0.828845295842348</v>
      </c>
      <c r="M919" s="84" t="n">
        <v>0.515151515151515</v>
      </c>
      <c r="N919" s="84" t="n">
        <v>0</v>
      </c>
      <c r="O919" s="84" t="n">
        <v>1</v>
      </c>
      <c r="P919" s="85">
        <f>AVERAGE(D919:I919)</f>
        <v/>
      </c>
      <c r="Q919" s="85">
        <f>AVERAGE(J919:L919)</f>
        <v/>
      </c>
      <c r="R919" s="85">
        <f>AVERAGE(M919:O919)</f>
        <v/>
      </c>
      <c r="S919" s="85">
        <f>'02_지표정의'!$C$22*P919+'02_지표정의'!$C$23*Q919+'02_지표정의'!$C$24*R919</f>
        <v/>
      </c>
      <c r="T919" s="73">
        <f>IF(OR(AND(B919="gemini",C919="gemma"),AND(B919="qwen3_6",C919="qwen"),AND(B919="mistral",C919="ministral")),1,0)</f>
        <v/>
      </c>
      <c r="U919" s="73">
        <f>IF(LEFT(A919,3)="PAT","특허","보고서")</f>
        <v/>
      </c>
      <c r="V919" s="86">
        <f>COUNTIF($S$2:$S$976,"&lt;"&amp;S919)+(COUNTIF($S$2:$S$976,"="&amp;S919)+1)/2</f>
        <v/>
      </c>
      <c r="W919" s="73">
        <f>IF(C919="qwen",0,COUNTIFS($C$2:$C$976,"&lt;&gt;qwen",$S$2:$S$976,"&lt;"&amp;S919)+1)</f>
        <v/>
      </c>
      <c r="X919" s="73">
        <f>IF(C919="ministral",0,COUNTIFS($C$2:$C$976,"&lt;&gt;ministral",$S$2:$S$976,"&lt;"&amp;S919)+1)</f>
        <v/>
      </c>
      <c r="Y919" s="73">
        <f>IF(C919="gemma",0,COUNTIFS($C$2:$C$976,"&lt;&gt;gemma",$S$2:$S$976,"&lt;"&amp;S919)+1)</f>
        <v/>
      </c>
      <c r="Z919" s="87">
        <f>COUNTIFS($B$2:$B$976,B919,$C$2:$C$976,C919,$S$2:$S$976,"&lt;"&amp;S919)+1</f>
        <v/>
      </c>
      <c r="AA919" s="88">
        <f>ABS(S919-SUMPRODUCT(('05B_가정검정'!$A$5:$A$19=B919)*('05B_가정검정'!$B$5:$B$19=C919)*'05B_가정검정'!$E$5:$E$19))</f>
        <v/>
      </c>
      <c r="AB919" s="88">
        <f>S919-AVERAGEIFS($S$2:$S$976,$B$2:$B$976,B919,$C$2:$C$976,C919)</f>
        <v/>
      </c>
    </row>
    <row r="920" ht="15" customHeight="1" s="68">
      <c r="A920" s="83" t="inlineStr">
        <is>
          <t>RPT-31</t>
        </is>
      </c>
      <c r="B920" s="83" t="inlineStr">
        <is>
          <t>claude</t>
        </is>
      </c>
      <c r="C920" s="83" t="inlineStr">
        <is>
          <t>gemma</t>
        </is>
      </c>
      <c r="D920" s="84" t="n">
        <v>0.215953307392996</v>
      </c>
      <c r="E920" s="84" t="n">
        <v>0.357512953367876</v>
      </c>
      <c r="F920" s="84" t="n">
        <v>0.192708333333333</v>
      </c>
      <c r="G920" s="84" t="n">
        <v>0.253886010362694</v>
      </c>
      <c r="H920" s="84" t="n">
        <v>0.311316340432292</v>
      </c>
      <c r="I920" s="84" t="n">
        <v>0.224831335076892</v>
      </c>
      <c r="J920" s="84" t="n">
        <v>0.681056356930233</v>
      </c>
      <c r="K920" s="84" t="n">
        <v>0.666261142563697</v>
      </c>
      <c r="L920" s="84" t="n">
        <v>0.847380150585558</v>
      </c>
      <c r="M920" s="84" t="n">
        <v>0.567073170731707</v>
      </c>
      <c r="N920" s="84" t="n">
        <v>0.521276595744681</v>
      </c>
      <c r="O920" s="84" t="n">
        <v>1</v>
      </c>
      <c r="P920" s="85">
        <f>AVERAGE(D920:I920)</f>
        <v/>
      </c>
      <c r="Q920" s="85">
        <f>AVERAGE(J920:L920)</f>
        <v/>
      </c>
      <c r="R920" s="85">
        <f>AVERAGE(M920:O920)</f>
        <v/>
      </c>
      <c r="S920" s="85">
        <f>'02_지표정의'!$C$22*P920+'02_지표정의'!$C$23*Q920+'02_지표정의'!$C$24*R920</f>
        <v/>
      </c>
      <c r="T920" s="73">
        <f>IF(OR(AND(B920="gemini",C920="gemma"),AND(B920="qwen3_6",C920="qwen"),AND(B920="mistral",C920="ministral")),1,0)</f>
        <v/>
      </c>
      <c r="U920" s="73">
        <f>IF(LEFT(A920,3)="PAT","특허","보고서")</f>
        <v/>
      </c>
      <c r="V920" s="86">
        <f>COUNTIF($S$2:$S$976,"&lt;"&amp;S920)+(COUNTIF($S$2:$S$976,"="&amp;S920)+1)/2</f>
        <v/>
      </c>
      <c r="W920" s="73">
        <f>IF(C920="qwen",0,COUNTIFS($C$2:$C$976,"&lt;&gt;qwen",$S$2:$S$976,"&lt;"&amp;S920)+1)</f>
        <v/>
      </c>
      <c r="X920" s="73">
        <f>IF(C920="ministral",0,COUNTIFS($C$2:$C$976,"&lt;&gt;ministral",$S$2:$S$976,"&lt;"&amp;S920)+1)</f>
        <v/>
      </c>
      <c r="Y920" s="73">
        <f>IF(C920="gemma",0,COUNTIFS($C$2:$C$976,"&lt;&gt;gemma",$S$2:$S$976,"&lt;"&amp;S920)+1)</f>
        <v/>
      </c>
      <c r="Z920" s="87">
        <f>COUNTIFS($B$2:$B$976,B920,$C$2:$C$976,C920,$S$2:$S$976,"&lt;"&amp;S920)+1</f>
        <v/>
      </c>
      <c r="AA920" s="88">
        <f>ABS(S920-SUMPRODUCT(('05B_가정검정'!$A$5:$A$19=B920)*('05B_가정검정'!$B$5:$B$19=C920)*'05B_가정검정'!$E$5:$E$19))</f>
        <v/>
      </c>
      <c r="AB920" s="88">
        <f>S920-AVERAGEIFS($S$2:$S$976,$B$2:$B$976,B920,$C$2:$C$976,C920)</f>
        <v/>
      </c>
    </row>
    <row r="921" ht="15" customHeight="1" s="68">
      <c r="A921" s="83" t="inlineStr">
        <is>
          <t>RPT-31</t>
        </is>
      </c>
      <c r="B921" s="83" t="inlineStr">
        <is>
          <t>claude</t>
        </is>
      </c>
      <c r="C921" s="83" t="inlineStr">
        <is>
          <t>ministral</t>
        </is>
      </c>
      <c r="D921" s="84" t="n">
        <v>0.278953922789539</v>
      </c>
      <c r="E921" s="84" t="n">
        <v>0.359249329758713</v>
      </c>
      <c r="F921" s="84" t="n">
        <v>0.183288409703504</v>
      </c>
      <c r="G921" s="84" t="n">
        <v>0.284182305630027</v>
      </c>
      <c r="H921" s="84" t="n">
        <v>0.226038928289375</v>
      </c>
      <c r="I921" s="84" t="n">
        <v>0.346557337214797</v>
      </c>
      <c r="J921" s="84" t="n">
        <v>0.718653212441105</v>
      </c>
      <c r="K921" s="84" t="n">
        <v>0.660904860804562</v>
      </c>
      <c r="L921" s="84" t="n">
        <v>0.846892855486813</v>
      </c>
      <c r="M921" s="84" t="n">
        <v>0.515555555555556</v>
      </c>
      <c r="N921" s="84" t="n">
        <v>0.518181818181818</v>
      </c>
      <c r="O921" s="84" t="n">
        <v>1</v>
      </c>
      <c r="P921" s="85">
        <f>AVERAGE(D921:I921)</f>
        <v/>
      </c>
      <c r="Q921" s="85">
        <f>AVERAGE(J921:L921)</f>
        <v/>
      </c>
      <c r="R921" s="85">
        <f>AVERAGE(M921:O921)</f>
        <v/>
      </c>
      <c r="S921" s="85">
        <f>'02_지표정의'!$C$22*P921+'02_지표정의'!$C$23*Q921+'02_지표정의'!$C$24*R921</f>
        <v/>
      </c>
      <c r="T921" s="73">
        <f>IF(OR(AND(B921="gemini",C921="gemma"),AND(B921="qwen3_6",C921="qwen"),AND(B921="mistral",C921="ministral")),1,0)</f>
        <v/>
      </c>
      <c r="U921" s="73">
        <f>IF(LEFT(A921,3)="PAT","특허","보고서")</f>
        <v/>
      </c>
      <c r="V921" s="86">
        <f>COUNTIF($S$2:$S$976,"&lt;"&amp;S921)+(COUNTIF($S$2:$S$976,"="&amp;S921)+1)/2</f>
        <v/>
      </c>
      <c r="W921" s="73">
        <f>IF(C921="qwen",0,COUNTIFS($C$2:$C$976,"&lt;&gt;qwen",$S$2:$S$976,"&lt;"&amp;S921)+1)</f>
        <v/>
      </c>
      <c r="X921" s="73">
        <f>IF(C921="ministral",0,COUNTIFS($C$2:$C$976,"&lt;&gt;ministral",$S$2:$S$976,"&lt;"&amp;S921)+1)</f>
        <v/>
      </c>
      <c r="Y921" s="73">
        <f>IF(C921="gemma",0,COUNTIFS($C$2:$C$976,"&lt;&gt;gemma",$S$2:$S$976,"&lt;"&amp;S921)+1)</f>
        <v/>
      </c>
      <c r="Z921" s="87">
        <f>COUNTIFS($B$2:$B$976,B921,$C$2:$C$976,C921,$S$2:$S$976,"&lt;"&amp;S921)+1</f>
        <v/>
      </c>
      <c r="AA921" s="88">
        <f>ABS(S921-SUMPRODUCT(('05B_가정검정'!$A$5:$A$19=B921)*('05B_가정검정'!$B$5:$B$19=C921)*'05B_가정검정'!$E$5:$E$19))</f>
        <v/>
      </c>
      <c r="AB921" s="88">
        <f>S921-AVERAGEIFS($S$2:$S$976,$B$2:$B$976,B921,$C$2:$C$976,C921)</f>
        <v/>
      </c>
    </row>
    <row r="922" ht="15" customHeight="1" s="68">
      <c r="A922" s="83" t="inlineStr">
        <is>
          <t>RPT-31</t>
        </is>
      </c>
      <c r="B922" s="83" t="inlineStr">
        <is>
          <t>claude</t>
        </is>
      </c>
      <c r="C922" s="83" t="inlineStr">
        <is>
          <t>qwen</t>
        </is>
      </c>
      <c r="D922" s="84" t="n">
        <v>0.247916666666667</v>
      </c>
      <c r="E922" s="84" t="n">
        <v>0.522727272727273</v>
      </c>
      <c r="F922" s="84" t="n">
        <v>0.328767123287671</v>
      </c>
      <c r="G922" s="84" t="n">
        <v>0.327272727272727</v>
      </c>
      <c r="H922" s="84" t="n">
        <v>0.355623979769776</v>
      </c>
      <c r="I922" s="84" t="n">
        <v>0.417756429171503</v>
      </c>
      <c r="J922" s="84" t="n">
        <v>0.690180198448209</v>
      </c>
      <c r="K922" s="84" t="n">
        <v>0.673822633522107</v>
      </c>
      <c r="L922" s="84" t="n">
        <v>0.846362265486772</v>
      </c>
      <c r="M922" s="84" t="n">
        <v>0.695121951219512</v>
      </c>
      <c r="N922" s="84" t="n">
        <v>0.734042553191489</v>
      </c>
      <c r="O922" s="84" t="n">
        <v>1</v>
      </c>
      <c r="P922" s="85">
        <f>AVERAGE(D922:I922)</f>
        <v/>
      </c>
      <c r="Q922" s="85">
        <f>AVERAGE(J922:L922)</f>
        <v/>
      </c>
      <c r="R922" s="85">
        <f>AVERAGE(M922:O922)</f>
        <v/>
      </c>
      <c r="S922" s="85">
        <f>'02_지표정의'!$C$22*P922+'02_지표정의'!$C$23*Q922+'02_지표정의'!$C$24*R922</f>
        <v/>
      </c>
      <c r="T922" s="73">
        <f>IF(OR(AND(B922="gemini",C922="gemma"),AND(B922="qwen3_6",C922="qwen"),AND(B922="mistral",C922="ministral")),1,0)</f>
        <v/>
      </c>
      <c r="U922" s="73">
        <f>IF(LEFT(A922,3)="PAT","특허","보고서")</f>
        <v/>
      </c>
      <c r="V922" s="86">
        <f>COUNTIF($S$2:$S$976,"&lt;"&amp;S922)+(COUNTIF($S$2:$S$976,"="&amp;S922)+1)/2</f>
        <v/>
      </c>
      <c r="W922" s="73">
        <f>IF(C922="qwen",0,COUNTIFS($C$2:$C$976,"&lt;&gt;qwen",$S$2:$S$976,"&lt;"&amp;S922)+1)</f>
        <v/>
      </c>
      <c r="X922" s="73">
        <f>IF(C922="ministral",0,COUNTIFS($C$2:$C$976,"&lt;&gt;ministral",$S$2:$S$976,"&lt;"&amp;S922)+1)</f>
        <v/>
      </c>
      <c r="Y922" s="73">
        <f>IF(C922="gemma",0,COUNTIFS($C$2:$C$976,"&lt;&gt;gemma",$S$2:$S$976,"&lt;"&amp;S922)+1)</f>
        <v/>
      </c>
      <c r="Z922" s="87">
        <f>COUNTIFS($B$2:$B$976,B922,$C$2:$C$976,C922,$S$2:$S$976,"&lt;"&amp;S922)+1</f>
        <v/>
      </c>
      <c r="AA922" s="88">
        <f>ABS(S922-SUMPRODUCT(('05B_가정검정'!$A$5:$A$19=B922)*('05B_가정검정'!$B$5:$B$19=C922)*'05B_가정검정'!$E$5:$E$19))</f>
        <v/>
      </c>
      <c r="AB922" s="88">
        <f>S922-AVERAGEIFS($S$2:$S$976,$B$2:$B$976,B922,$C$2:$C$976,C922)</f>
        <v/>
      </c>
    </row>
    <row r="923" ht="15" customHeight="1" s="68">
      <c r="A923" s="83" t="inlineStr">
        <is>
          <t>RPT-31</t>
        </is>
      </c>
      <c r="B923" s="83" t="inlineStr">
        <is>
          <t>gemini</t>
        </is>
      </c>
      <c r="C923" s="83" t="inlineStr">
        <is>
          <t>gemma</t>
        </is>
      </c>
      <c r="D923" s="84" t="n">
        <v>0.226650062266501</v>
      </c>
      <c r="E923" s="84" t="n">
        <v>0.367647058823529</v>
      </c>
      <c r="F923" s="84" t="n">
        <v>0.185185185185185</v>
      </c>
      <c r="G923" s="84" t="n">
        <v>0.279411764705882</v>
      </c>
      <c r="H923" s="84" t="n">
        <v>0.29087381609183</v>
      </c>
      <c r="I923" s="84" t="n">
        <v>0.203591107333342</v>
      </c>
      <c r="J923" s="84" t="n">
        <v>0.73569081914713</v>
      </c>
      <c r="K923" s="84" t="n">
        <v>0.744961965031947</v>
      </c>
      <c r="L923" s="84" t="n">
        <v>0.87273770967116</v>
      </c>
      <c r="M923" s="84" t="n">
        <v>0.906542056074766</v>
      </c>
      <c r="N923" s="84" t="n">
        <v>0.916666666666667</v>
      </c>
      <c r="O923" s="84" t="n">
        <v>1</v>
      </c>
      <c r="P923" s="85">
        <f>AVERAGE(D923:I923)</f>
        <v/>
      </c>
      <c r="Q923" s="85">
        <f>AVERAGE(J923:L923)</f>
        <v/>
      </c>
      <c r="R923" s="85">
        <f>AVERAGE(M923:O923)</f>
        <v/>
      </c>
      <c r="S923" s="85">
        <f>'02_지표정의'!$C$22*P923+'02_지표정의'!$C$23*Q923+'02_지표정의'!$C$24*R923</f>
        <v/>
      </c>
      <c r="T923" s="73">
        <f>IF(OR(AND(B923="gemini",C923="gemma"),AND(B923="qwen3_6",C923="qwen"),AND(B923="mistral",C923="ministral")),1,0)</f>
        <v/>
      </c>
      <c r="U923" s="73">
        <f>IF(LEFT(A923,3)="PAT","특허","보고서")</f>
        <v/>
      </c>
      <c r="V923" s="86">
        <f>COUNTIF($S$2:$S$976,"&lt;"&amp;S923)+(COUNTIF($S$2:$S$976,"="&amp;S923)+1)/2</f>
        <v/>
      </c>
      <c r="W923" s="73">
        <f>IF(C923="qwen",0,COUNTIFS($C$2:$C$976,"&lt;&gt;qwen",$S$2:$S$976,"&lt;"&amp;S923)+1)</f>
        <v/>
      </c>
      <c r="X923" s="73">
        <f>IF(C923="ministral",0,COUNTIFS($C$2:$C$976,"&lt;&gt;ministral",$S$2:$S$976,"&lt;"&amp;S923)+1)</f>
        <v/>
      </c>
      <c r="Y923" s="73">
        <f>IF(C923="gemma",0,COUNTIFS($C$2:$C$976,"&lt;&gt;gemma",$S$2:$S$976,"&lt;"&amp;S923)+1)</f>
        <v/>
      </c>
      <c r="Z923" s="87">
        <f>COUNTIFS($B$2:$B$976,B923,$C$2:$C$976,C923,$S$2:$S$976,"&lt;"&amp;S923)+1</f>
        <v/>
      </c>
      <c r="AA923" s="88">
        <f>ABS(S923-SUMPRODUCT(('05B_가정검정'!$A$5:$A$19=B923)*('05B_가정검정'!$B$5:$B$19=C923)*'05B_가정검정'!$E$5:$E$19))</f>
        <v/>
      </c>
      <c r="AB923" s="88">
        <f>S923-AVERAGEIFS($S$2:$S$976,$B$2:$B$976,B923,$C$2:$C$976,C923)</f>
        <v/>
      </c>
    </row>
    <row r="924" ht="15" customHeight="1" s="68">
      <c r="A924" s="83" t="inlineStr">
        <is>
          <t>RPT-31</t>
        </is>
      </c>
      <c r="B924" s="83" t="inlineStr">
        <is>
          <t>gemini</t>
        </is>
      </c>
      <c r="C924" s="83" t="inlineStr">
        <is>
          <t>ministral</t>
        </is>
      </c>
      <c r="D924" s="84" t="n">
        <v>0.314878892733564</v>
      </c>
      <c r="E924" s="84" t="n">
        <v>0.386100386100386</v>
      </c>
      <c r="F924" s="84" t="n">
        <v>0.186770428015564</v>
      </c>
      <c r="G924" s="84" t="n">
        <v>0.285714285714286</v>
      </c>
      <c r="H924" s="84" t="n">
        <v>0.246035716313725</v>
      </c>
      <c r="I924" s="84" t="n">
        <v>0.300285328596555</v>
      </c>
      <c r="J924" s="84" t="n">
        <v>0.762772855973658</v>
      </c>
      <c r="K924" s="84" t="n">
        <v>0.737414586012624</v>
      </c>
      <c r="L924" s="84" t="n">
        <v>0.869390352528062</v>
      </c>
      <c r="M924" s="84" t="n">
        <v>0.431111111111111</v>
      </c>
      <c r="N924" s="84" t="n">
        <v>0.5</v>
      </c>
      <c r="O924" s="84" t="n">
        <v>1</v>
      </c>
      <c r="P924" s="85">
        <f>AVERAGE(D924:I924)</f>
        <v/>
      </c>
      <c r="Q924" s="85">
        <f>AVERAGE(J924:L924)</f>
        <v/>
      </c>
      <c r="R924" s="85">
        <f>AVERAGE(M924:O924)</f>
        <v/>
      </c>
      <c r="S924" s="85">
        <f>'02_지표정의'!$C$22*P924+'02_지표정의'!$C$23*Q924+'02_지표정의'!$C$24*R924</f>
        <v/>
      </c>
      <c r="T924" s="73">
        <f>IF(OR(AND(B924="gemini",C924="gemma"),AND(B924="qwen3_6",C924="qwen"),AND(B924="mistral",C924="ministral")),1,0)</f>
        <v/>
      </c>
      <c r="U924" s="73">
        <f>IF(LEFT(A924,3)="PAT","특허","보고서")</f>
        <v/>
      </c>
      <c r="V924" s="86">
        <f>COUNTIF($S$2:$S$976,"&lt;"&amp;S924)+(COUNTIF($S$2:$S$976,"="&amp;S924)+1)/2</f>
        <v/>
      </c>
      <c r="W924" s="73">
        <f>IF(C924="qwen",0,COUNTIFS($C$2:$C$976,"&lt;&gt;qwen",$S$2:$S$976,"&lt;"&amp;S924)+1)</f>
        <v/>
      </c>
      <c r="X924" s="73">
        <f>IF(C924="ministral",0,COUNTIFS($C$2:$C$976,"&lt;&gt;ministral",$S$2:$S$976,"&lt;"&amp;S924)+1)</f>
        <v/>
      </c>
      <c r="Y924" s="73">
        <f>IF(C924="gemma",0,COUNTIFS($C$2:$C$976,"&lt;&gt;gemma",$S$2:$S$976,"&lt;"&amp;S924)+1)</f>
        <v/>
      </c>
      <c r="Z924" s="87">
        <f>COUNTIFS($B$2:$B$976,B924,$C$2:$C$976,C924,$S$2:$S$976,"&lt;"&amp;S924)+1</f>
        <v/>
      </c>
      <c r="AA924" s="88">
        <f>ABS(S924-SUMPRODUCT(('05B_가정검정'!$A$5:$A$19=B924)*('05B_가정검정'!$B$5:$B$19=C924)*'05B_가정검정'!$E$5:$E$19))</f>
        <v/>
      </c>
      <c r="AB924" s="88">
        <f>S924-AVERAGEIFS($S$2:$S$976,$B$2:$B$976,B924,$C$2:$C$976,C924)</f>
        <v/>
      </c>
    </row>
    <row r="925" ht="15" customHeight="1" s="68">
      <c r="A925" s="83" t="inlineStr">
        <is>
          <t>RPT-31</t>
        </is>
      </c>
      <c r="B925" s="83" t="inlineStr">
        <is>
          <t>gemini</t>
        </is>
      </c>
      <c r="C925" s="83" t="inlineStr">
        <is>
          <t>qwen</t>
        </is>
      </c>
      <c r="D925" s="84" t="n">
        <v>0.277551020408163</v>
      </c>
      <c r="E925" s="84" t="n">
        <v>0.404907975460123</v>
      </c>
      <c r="F925" s="84" t="n">
        <v>0.253086419753086</v>
      </c>
      <c r="G925" s="84" t="n">
        <v>0.300613496932515</v>
      </c>
      <c r="H925" s="84" t="n">
        <v>0.269534979712138</v>
      </c>
      <c r="I925" s="84" t="n">
        <v>0.337341778243731</v>
      </c>
      <c r="J925" s="84" t="n">
        <v>0.730061600834797</v>
      </c>
      <c r="K925" s="84" t="n">
        <v>0.73714138316292</v>
      </c>
      <c r="L925" s="84" t="n">
        <v>0.882824441288346</v>
      </c>
      <c r="M925" s="84" t="n">
        <v>0.713235294117647</v>
      </c>
      <c r="N925" s="84" t="n">
        <v>0.6875</v>
      </c>
      <c r="O925" s="84" t="n">
        <v>1</v>
      </c>
      <c r="P925" s="85">
        <f>AVERAGE(D925:I925)</f>
        <v/>
      </c>
      <c r="Q925" s="85">
        <f>AVERAGE(J925:L925)</f>
        <v/>
      </c>
      <c r="R925" s="85">
        <f>AVERAGE(M925:O925)</f>
        <v/>
      </c>
      <c r="S925" s="85">
        <f>'02_지표정의'!$C$22*P925+'02_지표정의'!$C$23*Q925+'02_지표정의'!$C$24*R925</f>
        <v/>
      </c>
      <c r="T925" s="73">
        <f>IF(OR(AND(B925="gemini",C925="gemma"),AND(B925="qwen3_6",C925="qwen"),AND(B925="mistral",C925="ministral")),1,0)</f>
        <v/>
      </c>
      <c r="U925" s="73">
        <f>IF(LEFT(A925,3)="PAT","특허","보고서")</f>
        <v/>
      </c>
      <c r="V925" s="86">
        <f>COUNTIF($S$2:$S$976,"&lt;"&amp;S925)+(COUNTIF($S$2:$S$976,"="&amp;S925)+1)/2</f>
        <v/>
      </c>
      <c r="W925" s="73">
        <f>IF(C925="qwen",0,COUNTIFS($C$2:$C$976,"&lt;&gt;qwen",$S$2:$S$976,"&lt;"&amp;S925)+1)</f>
        <v/>
      </c>
      <c r="X925" s="73">
        <f>IF(C925="ministral",0,COUNTIFS($C$2:$C$976,"&lt;&gt;ministral",$S$2:$S$976,"&lt;"&amp;S925)+1)</f>
        <v/>
      </c>
      <c r="Y925" s="73">
        <f>IF(C925="gemma",0,COUNTIFS($C$2:$C$976,"&lt;&gt;gemma",$S$2:$S$976,"&lt;"&amp;S925)+1)</f>
        <v/>
      </c>
      <c r="Z925" s="87">
        <f>COUNTIFS($B$2:$B$976,B925,$C$2:$C$976,C925,$S$2:$S$976,"&lt;"&amp;S925)+1</f>
        <v/>
      </c>
      <c r="AA925" s="88">
        <f>ABS(S925-SUMPRODUCT(('05B_가정검정'!$A$5:$A$19=B925)*('05B_가정검정'!$B$5:$B$19=C925)*'05B_가정검정'!$E$5:$E$19))</f>
        <v/>
      </c>
      <c r="AB925" s="88">
        <f>S925-AVERAGEIFS($S$2:$S$976,$B$2:$B$976,B925,$C$2:$C$976,C925)</f>
        <v/>
      </c>
    </row>
    <row r="926" ht="15" customHeight="1" s="68">
      <c r="A926" s="83" t="inlineStr">
        <is>
          <t>RPT-31</t>
        </is>
      </c>
      <c r="B926" s="83" t="inlineStr">
        <is>
          <t>mistral</t>
        </is>
      </c>
      <c r="C926" s="83" t="inlineStr">
        <is>
          <t>gemma</t>
        </is>
      </c>
      <c r="D926" s="84" t="n">
        <v>0.247058823529412</v>
      </c>
      <c r="E926" s="84" t="n">
        <v>0.313333333333333</v>
      </c>
      <c r="F926" s="84" t="n">
        <v>0.140939597315436</v>
      </c>
      <c r="G926" s="84" t="n">
        <v>0.22</v>
      </c>
      <c r="H926" s="84" t="n">
        <v>0.349495586393275</v>
      </c>
      <c r="I926" s="84" t="n">
        <v>0.191969744729577</v>
      </c>
      <c r="J926" s="84" t="n">
        <v>0.651737625703034</v>
      </c>
      <c r="K926" s="84" t="n">
        <v>0.605940987376844</v>
      </c>
      <c r="L926" s="84" t="n">
        <v>0.777510574708038</v>
      </c>
      <c r="M926" s="84" t="n">
        <v>0.502702702702703</v>
      </c>
      <c r="N926" s="84" t="n">
        <v>0.445454545454545</v>
      </c>
      <c r="O926" s="84" t="n">
        <v>1</v>
      </c>
      <c r="P926" s="85">
        <f>AVERAGE(D926:I926)</f>
        <v/>
      </c>
      <c r="Q926" s="85">
        <f>AVERAGE(J926:L926)</f>
        <v/>
      </c>
      <c r="R926" s="85">
        <f>AVERAGE(M926:O926)</f>
        <v/>
      </c>
      <c r="S926" s="85">
        <f>'02_지표정의'!$C$22*P926+'02_지표정의'!$C$23*Q926+'02_지표정의'!$C$24*R926</f>
        <v/>
      </c>
      <c r="T926" s="73">
        <f>IF(OR(AND(B926="gemini",C926="gemma"),AND(B926="qwen3_6",C926="qwen"),AND(B926="mistral",C926="ministral")),1,0)</f>
        <v/>
      </c>
      <c r="U926" s="73">
        <f>IF(LEFT(A926,3)="PAT","특허","보고서")</f>
        <v/>
      </c>
      <c r="V926" s="86">
        <f>COUNTIF($S$2:$S$976,"&lt;"&amp;S926)+(COUNTIF($S$2:$S$976,"="&amp;S926)+1)/2</f>
        <v/>
      </c>
      <c r="W926" s="73">
        <f>IF(C926="qwen",0,COUNTIFS($C$2:$C$976,"&lt;&gt;qwen",$S$2:$S$976,"&lt;"&amp;S926)+1)</f>
        <v/>
      </c>
      <c r="X926" s="73">
        <f>IF(C926="ministral",0,COUNTIFS($C$2:$C$976,"&lt;&gt;ministral",$S$2:$S$976,"&lt;"&amp;S926)+1)</f>
        <v/>
      </c>
      <c r="Y926" s="73">
        <f>IF(C926="gemma",0,COUNTIFS($C$2:$C$976,"&lt;&gt;gemma",$S$2:$S$976,"&lt;"&amp;S926)+1)</f>
        <v/>
      </c>
      <c r="Z926" s="87">
        <f>COUNTIFS($B$2:$B$976,B926,$C$2:$C$976,C926,$S$2:$S$976,"&lt;"&amp;S926)+1</f>
        <v/>
      </c>
      <c r="AA926" s="88">
        <f>ABS(S926-SUMPRODUCT(('05B_가정검정'!$A$5:$A$19=B926)*('05B_가정검정'!$B$5:$B$19=C926)*'05B_가정검정'!$E$5:$E$19))</f>
        <v/>
      </c>
      <c r="AB926" s="88">
        <f>S926-AVERAGEIFS($S$2:$S$976,$B$2:$B$976,B926,$C$2:$C$976,C926)</f>
        <v/>
      </c>
    </row>
    <row r="927" ht="15" customHeight="1" s="68">
      <c r="A927" s="83" t="inlineStr">
        <is>
          <t>RPT-31</t>
        </is>
      </c>
      <c r="B927" s="83" t="inlineStr">
        <is>
          <t>mistral</t>
        </is>
      </c>
      <c r="C927" s="83" t="inlineStr">
        <is>
          <t>ministral</t>
        </is>
      </c>
      <c r="D927" s="84" t="n">
        <v>0.3488</v>
      </c>
      <c r="E927" s="84" t="n">
        <v>0.494773519163763</v>
      </c>
      <c r="F927" s="84" t="n">
        <v>0.273684210526316</v>
      </c>
      <c r="G927" s="84" t="n">
        <v>0.376306620209059</v>
      </c>
      <c r="H927" s="84" t="n">
        <v>0.348405655551387</v>
      </c>
      <c r="I927" s="84" t="n">
        <v>0.360311464519259</v>
      </c>
      <c r="J927" s="84" t="n">
        <v>0.701092970680059</v>
      </c>
      <c r="K927" s="84" t="n">
        <v>0.637678076810052</v>
      </c>
      <c r="L927" s="84" t="n">
        <v>0.837831307928106</v>
      </c>
      <c r="M927" s="84" t="n">
        <v>0.635555555555556</v>
      </c>
      <c r="N927" s="84" t="n">
        <v>0.745454545454546</v>
      </c>
      <c r="O927" s="84" t="n">
        <v>1</v>
      </c>
      <c r="P927" s="85">
        <f>AVERAGE(D927:I927)</f>
        <v/>
      </c>
      <c r="Q927" s="85">
        <f>AVERAGE(J927:L927)</f>
        <v/>
      </c>
      <c r="R927" s="85">
        <f>AVERAGE(M927:O927)</f>
        <v/>
      </c>
      <c r="S927" s="85">
        <f>'02_지표정의'!$C$22*P927+'02_지표정의'!$C$23*Q927+'02_지표정의'!$C$24*R927</f>
        <v/>
      </c>
      <c r="T927" s="73">
        <f>IF(OR(AND(B927="gemini",C927="gemma"),AND(B927="qwen3_6",C927="qwen"),AND(B927="mistral",C927="ministral")),1,0)</f>
        <v/>
      </c>
      <c r="U927" s="73">
        <f>IF(LEFT(A927,3)="PAT","특허","보고서")</f>
        <v/>
      </c>
      <c r="V927" s="86">
        <f>COUNTIF($S$2:$S$976,"&lt;"&amp;S927)+(COUNTIF($S$2:$S$976,"="&amp;S927)+1)/2</f>
        <v/>
      </c>
      <c r="W927" s="73">
        <f>IF(C927="qwen",0,COUNTIFS($C$2:$C$976,"&lt;&gt;qwen",$S$2:$S$976,"&lt;"&amp;S927)+1)</f>
        <v/>
      </c>
      <c r="X927" s="73">
        <f>IF(C927="ministral",0,COUNTIFS($C$2:$C$976,"&lt;&gt;ministral",$S$2:$S$976,"&lt;"&amp;S927)+1)</f>
        <v/>
      </c>
      <c r="Y927" s="73">
        <f>IF(C927="gemma",0,COUNTIFS($C$2:$C$976,"&lt;&gt;gemma",$S$2:$S$976,"&lt;"&amp;S927)+1)</f>
        <v/>
      </c>
      <c r="Z927" s="87">
        <f>COUNTIFS($B$2:$B$976,B927,$C$2:$C$976,C927,$S$2:$S$976,"&lt;"&amp;S927)+1</f>
        <v/>
      </c>
      <c r="AA927" s="88">
        <f>ABS(S927-SUMPRODUCT(('05B_가정검정'!$A$5:$A$19=B927)*('05B_가정검정'!$B$5:$B$19=C927)*'05B_가정검정'!$E$5:$E$19))</f>
        <v/>
      </c>
      <c r="AB927" s="88">
        <f>S927-AVERAGEIFS($S$2:$S$976,$B$2:$B$976,B927,$C$2:$C$976,C927)</f>
        <v/>
      </c>
    </row>
    <row r="928" ht="15" customHeight="1" s="68">
      <c r="A928" s="83" t="inlineStr">
        <is>
          <t>RPT-31</t>
        </is>
      </c>
      <c r="B928" s="83" t="inlineStr">
        <is>
          <t>mistral</t>
        </is>
      </c>
      <c r="C928" s="83" t="inlineStr">
        <is>
          <t>qwen</t>
        </is>
      </c>
      <c r="D928" s="84" t="n">
        <v>0.286445012787724</v>
      </c>
      <c r="E928" s="84" t="n">
        <v>0.406779661016949</v>
      </c>
      <c r="F928" s="84" t="n">
        <v>0.198863636363636</v>
      </c>
      <c r="G928" s="84" t="n">
        <v>0.322033898305085</v>
      </c>
      <c r="H928" s="84" t="n">
        <v>0.366352460953918</v>
      </c>
      <c r="I928" s="84" t="n">
        <v>0.33560526488633</v>
      </c>
      <c r="J928" s="84" t="n">
        <v>0.646349289899951</v>
      </c>
      <c r="K928" s="84" t="n">
        <v>0.613349260682499</v>
      </c>
      <c r="L928" s="84" t="n">
        <v>0.773726684255868</v>
      </c>
      <c r="M928" s="84" t="n">
        <v>0.6594594594594591</v>
      </c>
      <c r="N928" s="84" t="n">
        <v>0.627272727272727</v>
      </c>
      <c r="O928" s="84" t="n">
        <v>1</v>
      </c>
      <c r="P928" s="85">
        <f>AVERAGE(D928:I928)</f>
        <v/>
      </c>
      <c r="Q928" s="85">
        <f>AVERAGE(J928:L928)</f>
        <v/>
      </c>
      <c r="R928" s="85">
        <f>AVERAGE(M928:O928)</f>
        <v/>
      </c>
      <c r="S928" s="85">
        <f>'02_지표정의'!$C$22*P928+'02_지표정의'!$C$23*Q928+'02_지표정의'!$C$24*R928</f>
        <v/>
      </c>
      <c r="T928" s="73">
        <f>IF(OR(AND(B928="gemini",C928="gemma"),AND(B928="qwen3_6",C928="qwen"),AND(B928="mistral",C928="ministral")),1,0)</f>
        <v/>
      </c>
      <c r="U928" s="73">
        <f>IF(LEFT(A928,3)="PAT","특허","보고서")</f>
        <v/>
      </c>
      <c r="V928" s="86">
        <f>COUNTIF($S$2:$S$976,"&lt;"&amp;S928)+(COUNTIF($S$2:$S$976,"="&amp;S928)+1)/2</f>
        <v/>
      </c>
      <c r="W928" s="73">
        <f>IF(C928="qwen",0,COUNTIFS($C$2:$C$976,"&lt;&gt;qwen",$S$2:$S$976,"&lt;"&amp;S928)+1)</f>
        <v/>
      </c>
      <c r="X928" s="73">
        <f>IF(C928="ministral",0,COUNTIFS($C$2:$C$976,"&lt;&gt;ministral",$S$2:$S$976,"&lt;"&amp;S928)+1)</f>
        <v/>
      </c>
      <c r="Y928" s="73">
        <f>IF(C928="gemma",0,COUNTIFS($C$2:$C$976,"&lt;&gt;gemma",$S$2:$S$976,"&lt;"&amp;S928)+1)</f>
        <v/>
      </c>
      <c r="Z928" s="87">
        <f>COUNTIFS($B$2:$B$976,B928,$C$2:$C$976,C928,$S$2:$S$976,"&lt;"&amp;S928)+1</f>
        <v/>
      </c>
      <c r="AA928" s="88">
        <f>ABS(S928-SUMPRODUCT(('05B_가정검정'!$A$5:$A$19=B928)*('05B_가정검정'!$B$5:$B$19=C928)*'05B_가정검정'!$E$5:$E$19))</f>
        <v/>
      </c>
      <c r="AB928" s="88">
        <f>S928-AVERAGEIFS($S$2:$S$976,$B$2:$B$976,B928,$C$2:$C$976,C928)</f>
        <v/>
      </c>
    </row>
    <row r="929" ht="15" customHeight="1" s="68">
      <c r="A929" s="83" t="inlineStr">
        <is>
          <t>RPT-31</t>
        </is>
      </c>
      <c r="B929" s="83" t="inlineStr">
        <is>
          <t>qwen3_6</t>
        </is>
      </c>
      <c r="C929" s="83" t="inlineStr">
        <is>
          <t>gemma</t>
        </is>
      </c>
      <c r="D929" s="84" t="n">
        <v>0.237812128418549</v>
      </c>
      <c r="E929" s="84" t="n">
        <v>0.385093167701863</v>
      </c>
      <c r="F929" s="84" t="n">
        <v>0.21875</v>
      </c>
      <c r="G929" s="84" t="n">
        <v>0.273291925465839</v>
      </c>
      <c r="H929" s="84" t="n">
        <v>0.389960597520454</v>
      </c>
      <c r="I929" s="84" t="n">
        <v>0.221183706210164</v>
      </c>
      <c r="J929" s="84" t="n">
        <v>0.7119800342760499</v>
      </c>
      <c r="K929" s="84" t="n">
        <v>0.668738737116766</v>
      </c>
      <c r="L929" s="84" t="n">
        <v>0.868773728288689</v>
      </c>
      <c r="M929" s="84" t="n">
        <v>0.906542056074766</v>
      </c>
      <c r="N929" s="84" t="n">
        <v>0.916666666666667</v>
      </c>
      <c r="O929" s="84" t="n">
        <v>1</v>
      </c>
      <c r="P929" s="85">
        <f>AVERAGE(D929:I929)</f>
        <v/>
      </c>
      <c r="Q929" s="85">
        <f>AVERAGE(J929:L929)</f>
        <v/>
      </c>
      <c r="R929" s="85">
        <f>AVERAGE(M929:O929)</f>
        <v/>
      </c>
      <c r="S929" s="85">
        <f>'02_지표정의'!$C$22*P929+'02_지표정의'!$C$23*Q929+'02_지표정의'!$C$24*R929</f>
        <v/>
      </c>
      <c r="T929" s="73">
        <f>IF(OR(AND(B929="gemini",C929="gemma"),AND(B929="qwen3_6",C929="qwen"),AND(B929="mistral",C929="ministral")),1,0)</f>
        <v/>
      </c>
      <c r="U929" s="73">
        <f>IF(LEFT(A929,3)="PAT","특허","보고서")</f>
        <v/>
      </c>
      <c r="V929" s="86">
        <f>COUNTIF($S$2:$S$976,"&lt;"&amp;S929)+(COUNTIF($S$2:$S$976,"="&amp;S929)+1)/2</f>
        <v/>
      </c>
      <c r="W929" s="73">
        <f>IF(C929="qwen",0,COUNTIFS($C$2:$C$976,"&lt;&gt;qwen",$S$2:$S$976,"&lt;"&amp;S929)+1)</f>
        <v/>
      </c>
      <c r="X929" s="73">
        <f>IF(C929="ministral",0,COUNTIFS($C$2:$C$976,"&lt;&gt;ministral",$S$2:$S$976,"&lt;"&amp;S929)+1)</f>
        <v/>
      </c>
      <c r="Y929" s="73">
        <f>IF(C929="gemma",0,COUNTIFS($C$2:$C$976,"&lt;&gt;gemma",$S$2:$S$976,"&lt;"&amp;S929)+1)</f>
        <v/>
      </c>
      <c r="Z929" s="87">
        <f>COUNTIFS($B$2:$B$976,B929,$C$2:$C$976,C929,$S$2:$S$976,"&lt;"&amp;S929)+1</f>
        <v/>
      </c>
      <c r="AA929" s="88">
        <f>ABS(S929-SUMPRODUCT(('05B_가정검정'!$A$5:$A$19=B929)*('05B_가정검정'!$B$5:$B$19=C929)*'05B_가정검정'!$E$5:$E$19))</f>
        <v/>
      </c>
      <c r="AB929" s="88">
        <f>S929-AVERAGEIFS($S$2:$S$976,$B$2:$B$976,B929,$C$2:$C$976,C929)</f>
        <v/>
      </c>
    </row>
    <row r="930" ht="15" customHeight="1" s="68">
      <c r="A930" s="83" t="inlineStr">
        <is>
          <t>RPT-31</t>
        </is>
      </c>
      <c r="B930" s="83" t="inlineStr">
        <is>
          <t>qwen3_6</t>
        </is>
      </c>
      <c r="C930" s="83" t="inlineStr">
        <is>
          <t>ministral</t>
        </is>
      </c>
      <c r="D930" s="84" t="n">
        <v>0.279220779220779</v>
      </c>
      <c r="E930" s="84" t="n">
        <v>0.368932038834952</v>
      </c>
      <c r="F930" s="84" t="n">
        <v>0.201954397394137</v>
      </c>
      <c r="G930" s="84" t="n">
        <v>0.310679611650485</v>
      </c>
      <c r="H930" s="84" t="n">
        <v>0.309303241340524</v>
      </c>
      <c r="I930" s="84" t="n">
        <v>0.395905145945228</v>
      </c>
      <c r="J930" s="84" t="n">
        <v>0.720690776896977</v>
      </c>
      <c r="K930" s="84" t="n">
        <v>0.687121659700897</v>
      </c>
      <c r="L930" s="84" t="n">
        <v>0.873631877525508</v>
      </c>
      <c r="M930" s="84" t="n">
        <v>0.431111111111111</v>
      </c>
      <c r="N930" s="84" t="n">
        <v>0.5</v>
      </c>
      <c r="O930" s="84" t="n">
        <v>1</v>
      </c>
      <c r="P930" s="85">
        <f>AVERAGE(D930:I930)</f>
        <v/>
      </c>
      <c r="Q930" s="85">
        <f>AVERAGE(J930:L930)</f>
        <v/>
      </c>
      <c r="R930" s="85">
        <f>AVERAGE(M930:O930)</f>
        <v/>
      </c>
      <c r="S930" s="85">
        <f>'02_지표정의'!$C$22*P930+'02_지표정의'!$C$23*Q930+'02_지표정의'!$C$24*R930</f>
        <v/>
      </c>
      <c r="T930" s="73">
        <f>IF(OR(AND(B930="gemini",C930="gemma"),AND(B930="qwen3_6",C930="qwen"),AND(B930="mistral",C930="ministral")),1,0)</f>
        <v/>
      </c>
      <c r="U930" s="73">
        <f>IF(LEFT(A930,3)="PAT","특허","보고서")</f>
        <v/>
      </c>
      <c r="V930" s="86">
        <f>COUNTIF($S$2:$S$976,"&lt;"&amp;S930)+(COUNTIF($S$2:$S$976,"="&amp;S930)+1)/2</f>
        <v/>
      </c>
      <c r="W930" s="73">
        <f>IF(C930="qwen",0,COUNTIFS($C$2:$C$976,"&lt;&gt;qwen",$S$2:$S$976,"&lt;"&amp;S930)+1)</f>
        <v/>
      </c>
      <c r="X930" s="73">
        <f>IF(C930="ministral",0,COUNTIFS($C$2:$C$976,"&lt;&gt;ministral",$S$2:$S$976,"&lt;"&amp;S930)+1)</f>
        <v/>
      </c>
      <c r="Y930" s="73">
        <f>IF(C930="gemma",0,COUNTIFS($C$2:$C$976,"&lt;&gt;gemma",$S$2:$S$976,"&lt;"&amp;S930)+1)</f>
        <v/>
      </c>
      <c r="Z930" s="87">
        <f>COUNTIFS($B$2:$B$976,B930,$C$2:$C$976,C930,$S$2:$S$976,"&lt;"&amp;S930)+1</f>
        <v/>
      </c>
      <c r="AA930" s="88">
        <f>ABS(S930-SUMPRODUCT(('05B_가정검정'!$A$5:$A$19=B930)*('05B_가정검정'!$B$5:$B$19=C930)*'05B_가정검정'!$E$5:$E$19))</f>
        <v/>
      </c>
      <c r="AB930" s="88">
        <f>S930-AVERAGEIFS($S$2:$S$976,$B$2:$B$976,B930,$C$2:$C$976,C930)</f>
        <v/>
      </c>
    </row>
    <row r="931" ht="15" customHeight="1" s="68">
      <c r="A931" s="83" t="inlineStr">
        <is>
          <t>RPT-31</t>
        </is>
      </c>
      <c r="B931" s="83" t="inlineStr">
        <is>
          <t>qwen3_6</t>
        </is>
      </c>
      <c r="C931" s="83" t="inlineStr">
        <is>
          <t>qwen</t>
        </is>
      </c>
      <c r="D931" s="84" t="n">
        <v>0.266494178525226</v>
      </c>
      <c r="E931" s="84" t="n">
        <v>0.462765957446809</v>
      </c>
      <c r="F931" s="84" t="n">
        <v>0.310160427807487</v>
      </c>
      <c r="G931" s="84" t="n">
        <v>0.351063829787234</v>
      </c>
      <c r="H931" s="84" t="n">
        <v>0.37667585732512</v>
      </c>
      <c r="I931" s="84" t="n">
        <v>0.497304356125887</v>
      </c>
      <c r="J931" s="84" t="n">
        <v>0.732917472373608</v>
      </c>
      <c r="K931" s="84" t="n">
        <v>0.704843841523907</v>
      </c>
      <c r="L931" s="84" t="n">
        <v>0.857889849063516</v>
      </c>
      <c r="M931" s="84" t="n">
        <v>0.713235294117647</v>
      </c>
      <c r="N931" s="84" t="n">
        <v>0.6875</v>
      </c>
      <c r="O931" s="84" t="n">
        <v>1</v>
      </c>
      <c r="P931" s="85">
        <f>AVERAGE(D931:I931)</f>
        <v/>
      </c>
      <c r="Q931" s="85">
        <f>AVERAGE(J931:L931)</f>
        <v/>
      </c>
      <c r="R931" s="85">
        <f>AVERAGE(M931:O931)</f>
        <v/>
      </c>
      <c r="S931" s="85">
        <f>'02_지표정의'!$C$22*P931+'02_지표정의'!$C$23*Q931+'02_지표정의'!$C$24*R931</f>
        <v/>
      </c>
      <c r="T931" s="73">
        <f>IF(OR(AND(B931="gemini",C931="gemma"),AND(B931="qwen3_6",C931="qwen"),AND(B931="mistral",C931="ministral")),1,0)</f>
        <v/>
      </c>
      <c r="U931" s="73">
        <f>IF(LEFT(A931,3)="PAT","특허","보고서")</f>
        <v/>
      </c>
      <c r="V931" s="86">
        <f>COUNTIF($S$2:$S$976,"&lt;"&amp;S931)+(COUNTIF($S$2:$S$976,"="&amp;S931)+1)/2</f>
        <v/>
      </c>
      <c r="W931" s="73">
        <f>IF(C931="qwen",0,COUNTIFS($C$2:$C$976,"&lt;&gt;qwen",$S$2:$S$976,"&lt;"&amp;S931)+1)</f>
        <v/>
      </c>
      <c r="X931" s="73">
        <f>IF(C931="ministral",0,COUNTIFS($C$2:$C$976,"&lt;&gt;ministral",$S$2:$S$976,"&lt;"&amp;S931)+1)</f>
        <v/>
      </c>
      <c r="Y931" s="73">
        <f>IF(C931="gemma",0,COUNTIFS($C$2:$C$976,"&lt;&gt;gemma",$S$2:$S$976,"&lt;"&amp;S931)+1)</f>
        <v/>
      </c>
      <c r="Z931" s="87">
        <f>COUNTIFS($B$2:$B$976,B931,$C$2:$C$976,C931,$S$2:$S$976,"&lt;"&amp;S931)+1</f>
        <v/>
      </c>
      <c r="AA931" s="88">
        <f>ABS(S931-SUMPRODUCT(('05B_가정검정'!$A$5:$A$19=B931)*('05B_가정검정'!$B$5:$B$19=C931)*'05B_가정검정'!$E$5:$E$19))</f>
        <v/>
      </c>
      <c r="AB931" s="88">
        <f>S931-AVERAGEIFS($S$2:$S$976,$B$2:$B$976,B931,$C$2:$C$976,C931)</f>
        <v/>
      </c>
    </row>
    <row r="932" ht="15" customHeight="1" s="68">
      <c r="A932" s="83" t="inlineStr">
        <is>
          <t>RPT-32</t>
        </is>
      </c>
      <c r="B932" s="83" t="inlineStr">
        <is>
          <t>chatgpt</t>
        </is>
      </c>
      <c r="C932" s="83" t="inlineStr">
        <is>
          <t>gemma</t>
        </is>
      </c>
      <c r="D932" s="84" t="n">
        <v>0.290550070521862</v>
      </c>
      <c r="E932" s="84" t="n">
        <v>0.362745098039216</v>
      </c>
      <c r="F932" s="84" t="n">
        <v>0.148514851485149</v>
      </c>
      <c r="G932" s="84" t="n">
        <v>0.303921568627451</v>
      </c>
      <c r="H932" s="84" t="n">
        <v>0.269147087813629</v>
      </c>
      <c r="I932" s="84" t="n">
        <v>0.285282926054241</v>
      </c>
      <c r="J932" s="84" t="n">
        <v>0.697004646538555</v>
      </c>
      <c r="K932" s="84" t="n">
        <v>0.589882770616653</v>
      </c>
      <c r="L932" s="84" t="n">
        <v>0.816597109439303</v>
      </c>
      <c r="M932" s="84" t="n">
        <v>0.515151515151515</v>
      </c>
      <c r="N932" s="84" t="n">
        <v>0.213483146067416</v>
      </c>
      <c r="O932" s="84" t="n">
        <v>1</v>
      </c>
      <c r="P932" s="85">
        <f>AVERAGE(D932:I932)</f>
        <v/>
      </c>
      <c r="Q932" s="85">
        <f>AVERAGE(J932:L932)</f>
        <v/>
      </c>
      <c r="R932" s="85">
        <f>AVERAGE(M932:O932)</f>
        <v/>
      </c>
      <c r="S932" s="85">
        <f>'02_지표정의'!$C$22*P932+'02_지표정의'!$C$23*Q932+'02_지표정의'!$C$24*R932</f>
        <v/>
      </c>
      <c r="T932" s="73">
        <f>IF(OR(AND(B932="gemini",C932="gemma"),AND(B932="qwen3_6",C932="qwen"),AND(B932="mistral",C932="ministral")),1,0)</f>
        <v/>
      </c>
      <c r="U932" s="73">
        <f>IF(LEFT(A932,3)="PAT","특허","보고서")</f>
        <v/>
      </c>
      <c r="V932" s="86">
        <f>COUNTIF($S$2:$S$976,"&lt;"&amp;S932)+(COUNTIF($S$2:$S$976,"="&amp;S932)+1)/2</f>
        <v/>
      </c>
      <c r="W932" s="73">
        <f>IF(C932="qwen",0,COUNTIFS($C$2:$C$976,"&lt;&gt;qwen",$S$2:$S$976,"&lt;"&amp;S932)+1)</f>
        <v/>
      </c>
      <c r="X932" s="73">
        <f>IF(C932="ministral",0,COUNTIFS($C$2:$C$976,"&lt;&gt;ministral",$S$2:$S$976,"&lt;"&amp;S932)+1)</f>
        <v/>
      </c>
      <c r="Y932" s="73">
        <f>IF(C932="gemma",0,COUNTIFS($C$2:$C$976,"&lt;&gt;gemma",$S$2:$S$976,"&lt;"&amp;S932)+1)</f>
        <v/>
      </c>
      <c r="Z932" s="87">
        <f>COUNTIFS($B$2:$B$976,B932,$C$2:$C$976,C932,$S$2:$S$976,"&lt;"&amp;S932)+1</f>
        <v/>
      </c>
      <c r="AA932" s="88">
        <f>ABS(S932-SUMPRODUCT(('05B_가정검정'!$A$5:$A$19=B932)*('05B_가정검정'!$B$5:$B$19=C932)*'05B_가정검정'!$E$5:$E$19))</f>
        <v/>
      </c>
      <c r="AB932" s="88">
        <f>S932-AVERAGEIFS($S$2:$S$976,$B$2:$B$976,B932,$C$2:$C$976,C932)</f>
        <v/>
      </c>
    </row>
    <row r="933" ht="15" customHeight="1" s="68">
      <c r="A933" s="83" t="inlineStr">
        <is>
          <t>RPT-32</t>
        </is>
      </c>
      <c r="B933" s="83" t="inlineStr">
        <is>
          <t>chatgpt</t>
        </is>
      </c>
      <c r="C933" s="83" t="inlineStr">
        <is>
          <t>ministral</t>
        </is>
      </c>
      <c r="D933" s="84" t="n">
        <v>0.279891304347826</v>
      </c>
      <c r="E933" s="84" t="n">
        <v>0.370656370656371</v>
      </c>
      <c r="F933" s="84" t="n">
        <v>0.124513618677043</v>
      </c>
      <c r="G933" s="84" t="n">
        <v>0.27027027027027</v>
      </c>
      <c r="H933" s="84" t="n">
        <v>0.163607485762</v>
      </c>
      <c r="I933" s="84" t="n">
        <v>0.414629041091598</v>
      </c>
      <c r="J933" s="84" t="n">
        <v>0.672903678232202</v>
      </c>
      <c r="K933" s="84" t="n">
        <v>0.689121207485909</v>
      </c>
      <c r="L933" s="84" t="n">
        <v>0.818172680951089</v>
      </c>
      <c r="M933" s="84" t="n">
        <v>0.477178423236515</v>
      </c>
      <c r="N933" s="84" t="n">
        <v>0.0151515151515151</v>
      </c>
      <c r="O933" s="84" t="n">
        <v>1</v>
      </c>
      <c r="P933" s="85">
        <f>AVERAGE(D933:I933)</f>
        <v/>
      </c>
      <c r="Q933" s="85">
        <f>AVERAGE(J933:L933)</f>
        <v/>
      </c>
      <c r="R933" s="85">
        <f>AVERAGE(M933:O933)</f>
        <v/>
      </c>
      <c r="S933" s="85">
        <f>'02_지표정의'!$C$22*P933+'02_지표정의'!$C$23*Q933+'02_지표정의'!$C$24*R933</f>
        <v/>
      </c>
      <c r="T933" s="73">
        <f>IF(OR(AND(B933="gemini",C933="gemma"),AND(B933="qwen3_6",C933="qwen"),AND(B933="mistral",C933="ministral")),1,0)</f>
        <v/>
      </c>
      <c r="U933" s="73">
        <f>IF(LEFT(A933,3)="PAT","특허","보고서")</f>
        <v/>
      </c>
      <c r="V933" s="86">
        <f>COUNTIF($S$2:$S$976,"&lt;"&amp;S933)+(COUNTIF($S$2:$S$976,"="&amp;S933)+1)/2</f>
        <v/>
      </c>
      <c r="W933" s="73">
        <f>IF(C933="qwen",0,COUNTIFS($C$2:$C$976,"&lt;&gt;qwen",$S$2:$S$976,"&lt;"&amp;S933)+1)</f>
        <v/>
      </c>
      <c r="X933" s="73">
        <f>IF(C933="ministral",0,COUNTIFS($C$2:$C$976,"&lt;&gt;ministral",$S$2:$S$976,"&lt;"&amp;S933)+1)</f>
        <v/>
      </c>
      <c r="Y933" s="73">
        <f>IF(C933="gemma",0,COUNTIFS($C$2:$C$976,"&lt;&gt;gemma",$S$2:$S$976,"&lt;"&amp;S933)+1)</f>
        <v/>
      </c>
      <c r="Z933" s="87">
        <f>COUNTIFS($B$2:$B$976,B933,$C$2:$C$976,C933,$S$2:$S$976,"&lt;"&amp;S933)+1</f>
        <v/>
      </c>
      <c r="AA933" s="88">
        <f>ABS(S933-SUMPRODUCT(('05B_가정검정'!$A$5:$A$19=B933)*('05B_가정검정'!$B$5:$B$19=C933)*'05B_가정검정'!$E$5:$E$19))</f>
        <v/>
      </c>
      <c r="AB933" s="88">
        <f>S933-AVERAGEIFS($S$2:$S$976,$B$2:$B$976,B933,$C$2:$C$976,C933)</f>
        <v/>
      </c>
    </row>
    <row r="934" ht="15" customHeight="1" s="68">
      <c r="A934" s="83" t="inlineStr">
        <is>
          <t>RPT-32</t>
        </is>
      </c>
      <c r="B934" s="83" t="inlineStr">
        <is>
          <t>chatgpt</t>
        </is>
      </c>
      <c r="C934" s="83" t="inlineStr">
        <is>
          <t>qwen</t>
        </is>
      </c>
      <c r="D934" s="84" t="n">
        <v>0.294807370184255</v>
      </c>
      <c r="E934" s="84" t="n">
        <v>0.39344262295082</v>
      </c>
      <c r="F934" s="84" t="n">
        <v>0.176795580110497</v>
      </c>
      <c r="G934" s="84" t="n">
        <v>0.295081967213115</v>
      </c>
      <c r="H934" s="84" t="n">
        <v>0.314988997282857</v>
      </c>
      <c r="I934" s="84" t="n">
        <v>0.388102177371393</v>
      </c>
      <c r="J934" s="84" t="n">
        <v>0.70114984639397</v>
      </c>
      <c r="K934" s="84" t="n">
        <v>0.631509428543507</v>
      </c>
      <c r="L934" s="84" t="n">
        <v>0.8112281289834929</v>
      </c>
      <c r="M934" s="84" t="n">
        <v>0.593939393939394</v>
      </c>
      <c r="N934" s="84" t="n">
        <v>0.0449438202247191</v>
      </c>
      <c r="O934" s="84" t="n">
        <v>1</v>
      </c>
      <c r="P934" s="85">
        <f>AVERAGE(D934:I934)</f>
        <v/>
      </c>
      <c r="Q934" s="85">
        <f>AVERAGE(J934:L934)</f>
        <v/>
      </c>
      <c r="R934" s="85">
        <f>AVERAGE(M934:O934)</f>
        <v/>
      </c>
      <c r="S934" s="85">
        <f>'02_지표정의'!$C$22*P934+'02_지표정의'!$C$23*Q934+'02_지표정의'!$C$24*R934</f>
        <v/>
      </c>
      <c r="T934" s="73">
        <f>IF(OR(AND(B934="gemini",C934="gemma"),AND(B934="qwen3_6",C934="qwen"),AND(B934="mistral",C934="ministral")),1,0)</f>
        <v/>
      </c>
      <c r="U934" s="73">
        <f>IF(LEFT(A934,3)="PAT","특허","보고서")</f>
        <v/>
      </c>
      <c r="V934" s="86">
        <f>COUNTIF($S$2:$S$976,"&lt;"&amp;S934)+(COUNTIF($S$2:$S$976,"="&amp;S934)+1)/2</f>
        <v/>
      </c>
      <c r="W934" s="73">
        <f>IF(C934="qwen",0,COUNTIFS($C$2:$C$976,"&lt;&gt;qwen",$S$2:$S$976,"&lt;"&amp;S934)+1)</f>
        <v/>
      </c>
      <c r="X934" s="73">
        <f>IF(C934="ministral",0,COUNTIFS($C$2:$C$976,"&lt;&gt;ministral",$S$2:$S$976,"&lt;"&amp;S934)+1)</f>
        <v/>
      </c>
      <c r="Y934" s="73">
        <f>IF(C934="gemma",0,COUNTIFS($C$2:$C$976,"&lt;&gt;gemma",$S$2:$S$976,"&lt;"&amp;S934)+1)</f>
        <v/>
      </c>
      <c r="Z934" s="87">
        <f>COUNTIFS($B$2:$B$976,B934,$C$2:$C$976,C934,$S$2:$S$976,"&lt;"&amp;S934)+1</f>
        <v/>
      </c>
      <c r="AA934" s="88">
        <f>ABS(S934-SUMPRODUCT(('05B_가정검정'!$A$5:$A$19=B934)*('05B_가정검정'!$B$5:$B$19=C934)*'05B_가정검정'!$E$5:$E$19))</f>
        <v/>
      </c>
      <c r="AB934" s="88">
        <f>S934-AVERAGEIFS($S$2:$S$976,$B$2:$B$976,B934,$C$2:$C$976,C934)</f>
        <v/>
      </c>
    </row>
    <row r="935" ht="15" customHeight="1" s="68">
      <c r="A935" s="83" t="inlineStr">
        <is>
          <t>RPT-32</t>
        </is>
      </c>
      <c r="B935" s="83" t="inlineStr">
        <is>
          <t>claude</t>
        </is>
      </c>
      <c r="C935" s="83" t="inlineStr">
        <is>
          <t>gemma</t>
        </is>
      </c>
      <c r="D935" s="84" t="n">
        <v>0.233062330623306</v>
      </c>
      <c r="E935" s="84" t="n">
        <v>0.265582655826558</v>
      </c>
      <c r="F935" s="84" t="n">
        <v>0.0708446866485014</v>
      </c>
      <c r="G935" s="84" t="n">
        <v>0.178861788617886</v>
      </c>
      <c r="H935" s="84" t="n">
        <v>0.293250009258895</v>
      </c>
      <c r="I935" s="84" t="n">
        <v>0.202532419047314</v>
      </c>
      <c r="J935" s="84" t="n">
        <v>0.699721447164427</v>
      </c>
      <c r="K935" s="84" t="n">
        <v>0.58454484832311</v>
      </c>
      <c r="L935" s="84" t="n">
        <v>0.819312369667391</v>
      </c>
      <c r="M935" s="84" t="n">
        <v>0.5344827586206899</v>
      </c>
      <c r="N935" s="84" t="n">
        <v>0.494949494949495</v>
      </c>
      <c r="O935" s="84" t="n">
        <v>1</v>
      </c>
      <c r="P935" s="85">
        <f>AVERAGE(D935:I935)</f>
        <v/>
      </c>
      <c r="Q935" s="85">
        <f>AVERAGE(J935:L935)</f>
        <v/>
      </c>
      <c r="R935" s="85">
        <f>AVERAGE(M935:O935)</f>
        <v/>
      </c>
      <c r="S935" s="85">
        <f>'02_지표정의'!$C$22*P935+'02_지표정의'!$C$23*Q935+'02_지표정의'!$C$24*R935</f>
        <v/>
      </c>
      <c r="T935" s="73">
        <f>IF(OR(AND(B935="gemini",C935="gemma"),AND(B935="qwen3_6",C935="qwen"),AND(B935="mistral",C935="ministral")),1,0)</f>
        <v/>
      </c>
      <c r="U935" s="73">
        <f>IF(LEFT(A935,3)="PAT","특허","보고서")</f>
        <v/>
      </c>
      <c r="V935" s="86">
        <f>COUNTIF($S$2:$S$976,"&lt;"&amp;S935)+(COUNTIF($S$2:$S$976,"="&amp;S935)+1)/2</f>
        <v/>
      </c>
      <c r="W935" s="73">
        <f>IF(C935="qwen",0,COUNTIFS($C$2:$C$976,"&lt;&gt;qwen",$S$2:$S$976,"&lt;"&amp;S935)+1)</f>
        <v/>
      </c>
      <c r="X935" s="73">
        <f>IF(C935="ministral",0,COUNTIFS($C$2:$C$976,"&lt;&gt;ministral",$S$2:$S$976,"&lt;"&amp;S935)+1)</f>
        <v/>
      </c>
      <c r="Y935" s="73">
        <f>IF(C935="gemma",0,COUNTIFS($C$2:$C$976,"&lt;&gt;gemma",$S$2:$S$976,"&lt;"&amp;S935)+1)</f>
        <v/>
      </c>
      <c r="Z935" s="87">
        <f>COUNTIFS($B$2:$B$976,B935,$C$2:$C$976,C935,$S$2:$S$976,"&lt;"&amp;S935)+1</f>
        <v/>
      </c>
      <c r="AA935" s="88">
        <f>ABS(S935-SUMPRODUCT(('05B_가정검정'!$A$5:$A$19=B935)*('05B_가정검정'!$B$5:$B$19=C935)*'05B_가정검정'!$E$5:$E$19))</f>
        <v/>
      </c>
      <c r="AB935" s="88">
        <f>S935-AVERAGEIFS($S$2:$S$976,$B$2:$B$976,B935,$C$2:$C$976,C935)</f>
        <v/>
      </c>
    </row>
    <row r="936" ht="15" customHeight="1" s="68">
      <c r="A936" s="83" t="inlineStr">
        <is>
          <t>RPT-32</t>
        </is>
      </c>
      <c r="B936" s="83" t="inlineStr">
        <is>
          <t>claude</t>
        </is>
      </c>
      <c r="C936" s="83" t="inlineStr">
        <is>
          <t>ministral</t>
        </is>
      </c>
      <c r="D936" s="84" t="n">
        <v>0.246913580246914</v>
      </c>
      <c r="E936" s="84" t="n">
        <v>0.358490566037736</v>
      </c>
      <c r="F936" s="84" t="n">
        <v>0.14218009478673</v>
      </c>
      <c r="G936" s="84" t="n">
        <v>0.264150943396226</v>
      </c>
      <c r="H936" s="84" t="n">
        <v>0.280123189792235</v>
      </c>
      <c r="I936" s="84" t="n">
        <v>0.3069438491003</v>
      </c>
      <c r="J936" s="84" t="n">
        <v>0.705707410130734</v>
      </c>
      <c r="K936" s="84" t="n">
        <v>0.656741733025928</v>
      </c>
      <c r="L936" s="84" t="n">
        <v>0.829854192433975</v>
      </c>
      <c r="M936" s="84" t="n">
        <v>0.618257261410788</v>
      </c>
      <c r="N936" s="84" t="n">
        <v>0.477272727272727</v>
      </c>
      <c r="O936" s="84" t="n">
        <v>1</v>
      </c>
      <c r="P936" s="85">
        <f>AVERAGE(D936:I936)</f>
        <v/>
      </c>
      <c r="Q936" s="85">
        <f>AVERAGE(J936:L936)</f>
        <v/>
      </c>
      <c r="R936" s="85">
        <f>AVERAGE(M936:O936)</f>
        <v/>
      </c>
      <c r="S936" s="85">
        <f>'02_지표정의'!$C$22*P936+'02_지표정의'!$C$23*Q936+'02_지표정의'!$C$24*R936</f>
        <v/>
      </c>
      <c r="T936" s="73">
        <f>IF(OR(AND(B936="gemini",C936="gemma"),AND(B936="qwen3_6",C936="qwen"),AND(B936="mistral",C936="ministral")),1,0)</f>
        <v/>
      </c>
      <c r="U936" s="73">
        <f>IF(LEFT(A936,3)="PAT","특허","보고서")</f>
        <v/>
      </c>
      <c r="V936" s="86">
        <f>COUNTIF($S$2:$S$976,"&lt;"&amp;S936)+(COUNTIF($S$2:$S$976,"="&amp;S936)+1)/2</f>
        <v/>
      </c>
      <c r="W936" s="73">
        <f>IF(C936="qwen",0,COUNTIFS($C$2:$C$976,"&lt;&gt;qwen",$S$2:$S$976,"&lt;"&amp;S936)+1)</f>
        <v/>
      </c>
      <c r="X936" s="73">
        <f>IF(C936="ministral",0,COUNTIFS($C$2:$C$976,"&lt;&gt;ministral",$S$2:$S$976,"&lt;"&amp;S936)+1)</f>
        <v/>
      </c>
      <c r="Y936" s="73">
        <f>IF(C936="gemma",0,COUNTIFS($C$2:$C$976,"&lt;&gt;gemma",$S$2:$S$976,"&lt;"&amp;S936)+1)</f>
        <v/>
      </c>
      <c r="Z936" s="87">
        <f>COUNTIFS($B$2:$B$976,B936,$C$2:$C$976,C936,$S$2:$S$976,"&lt;"&amp;S936)+1</f>
        <v/>
      </c>
      <c r="AA936" s="88">
        <f>ABS(S936-SUMPRODUCT(('05B_가정검정'!$A$5:$A$19=B936)*('05B_가정검정'!$B$5:$B$19=C936)*'05B_가정검정'!$E$5:$E$19))</f>
        <v/>
      </c>
      <c r="AB936" s="88">
        <f>S936-AVERAGEIFS($S$2:$S$976,$B$2:$B$976,B936,$C$2:$C$976,C936)</f>
        <v/>
      </c>
    </row>
    <row r="937" ht="15" customHeight="1" s="68">
      <c r="A937" s="83" t="inlineStr">
        <is>
          <t>RPT-32</t>
        </is>
      </c>
      <c r="B937" s="83" t="inlineStr">
        <is>
          <t>claude</t>
        </is>
      </c>
      <c r="C937" s="83" t="inlineStr">
        <is>
          <t>qwen</t>
        </is>
      </c>
      <c r="D937" s="84" t="n">
        <v>0.249246231155779</v>
      </c>
      <c r="E937" s="84" t="n">
        <v>0.287356321839081</v>
      </c>
      <c r="F937" s="84" t="n">
        <v>0.109826589595376</v>
      </c>
      <c r="G937" s="84" t="n">
        <v>0.201149425287356</v>
      </c>
      <c r="H937" s="84" t="n">
        <v>0.230302216490079</v>
      </c>
      <c r="I937" s="84" t="n">
        <v>0.284127995880946</v>
      </c>
      <c r="J937" s="84" t="n">
        <v>0.688662953384541</v>
      </c>
      <c r="K937" s="84" t="n">
        <v>0.636106643161546</v>
      </c>
      <c r="L937" s="84" t="n">
        <v>0.845658965634677</v>
      </c>
      <c r="M937" s="84" t="n">
        <v>0.557471264367816</v>
      </c>
      <c r="N937" s="84" t="n">
        <v>0.343434343434343</v>
      </c>
      <c r="O937" s="84" t="n">
        <v>1</v>
      </c>
      <c r="P937" s="85">
        <f>AVERAGE(D937:I937)</f>
        <v/>
      </c>
      <c r="Q937" s="85">
        <f>AVERAGE(J937:L937)</f>
        <v/>
      </c>
      <c r="R937" s="85">
        <f>AVERAGE(M937:O937)</f>
        <v/>
      </c>
      <c r="S937" s="85">
        <f>'02_지표정의'!$C$22*P937+'02_지표정의'!$C$23*Q937+'02_지표정의'!$C$24*R937</f>
        <v/>
      </c>
      <c r="T937" s="73">
        <f>IF(OR(AND(B937="gemini",C937="gemma"),AND(B937="qwen3_6",C937="qwen"),AND(B937="mistral",C937="ministral")),1,0)</f>
        <v/>
      </c>
      <c r="U937" s="73">
        <f>IF(LEFT(A937,3)="PAT","특허","보고서")</f>
        <v/>
      </c>
      <c r="V937" s="86">
        <f>COUNTIF($S$2:$S$976,"&lt;"&amp;S937)+(COUNTIF($S$2:$S$976,"="&amp;S937)+1)/2</f>
        <v/>
      </c>
      <c r="W937" s="73">
        <f>IF(C937="qwen",0,COUNTIFS($C$2:$C$976,"&lt;&gt;qwen",$S$2:$S$976,"&lt;"&amp;S937)+1)</f>
        <v/>
      </c>
      <c r="X937" s="73">
        <f>IF(C937="ministral",0,COUNTIFS($C$2:$C$976,"&lt;&gt;ministral",$S$2:$S$976,"&lt;"&amp;S937)+1)</f>
        <v/>
      </c>
      <c r="Y937" s="73">
        <f>IF(C937="gemma",0,COUNTIFS($C$2:$C$976,"&lt;&gt;gemma",$S$2:$S$976,"&lt;"&amp;S937)+1)</f>
        <v/>
      </c>
      <c r="Z937" s="87">
        <f>COUNTIFS($B$2:$B$976,B937,$C$2:$C$976,C937,$S$2:$S$976,"&lt;"&amp;S937)+1</f>
        <v/>
      </c>
      <c r="AA937" s="88">
        <f>ABS(S937-SUMPRODUCT(('05B_가정검정'!$A$5:$A$19=B937)*('05B_가정검정'!$B$5:$B$19=C937)*'05B_가정검정'!$E$5:$E$19))</f>
        <v/>
      </c>
      <c r="AB937" s="88">
        <f>S937-AVERAGEIFS($S$2:$S$976,$B$2:$B$976,B937,$C$2:$C$976,C937)</f>
        <v/>
      </c>
    </row>
    <row r="938" ht="15" customHeight="1" s="68">
      <c r="A938" s="83" t="inlineStr">
        <is>
          <t>RPT-32</t>
        </is>
      </c>
      <c r="B938" s="83" t="inlineStr">
        <is>
          <t>gemini</t>
        </is>
      </c>
      <c r="C938" s="83" t="inlineStr">
        <is>
          <t>gemma</t>
        </is>
      </c>
      <c r="D938" s="84" t="n">
        <v>0.256218905472637</v>
      </c>
      <c r="E938" s="84" t="n">
        <v>0.336283185840708</v>
      </c>
      <c r="F938" s="84" t="n">
        <v>0.125</v>
      </c>
      <c r="G938" s="84" t="n">
        <v>0.265486725663717</v>
      </c>
      <c r="H938" s="84" t="n">
        <v>0.314998252572442</v>
      </c>
      <c r="I938" s="84" t="n">
        <v>0.173253904065969</v>
      </c>
      <c r="J938" s="84" t="n">
        <v>0.744446747654441</v>
      </c>
      <c r="K938" s="84" t="n">
        <v>0.695788265576781</v>
      </c>
      <c r="L938" s="84" t="n">
        <v>0.855034090267929</v>
      </c>
      <c r="M938" s="84" t="n">
        <v>0.889908256880734</v>
      </c>
      <c r="N938" s="84" t="n">
        <v>0.901639344262295</v>
      </c>
      <c r="O938" s="84" t="n">
        <v>1</v>
      </c>
      <c r="P938" s="85">
        <f>AVERAGE(D938:I938)</f>
        <v/>
      </c>
      <c r="Q938" s="85">
        <f>AVERAGE(J938:L938)</f>
        <v/>
      </c>
      <c r="R938" s="85">
        <f>AVERAGE(M938:O938)</f>
        <v/>
      </c>
      <c r="S938" s="85">
        <f>'02_지표정의'!$C$22*P938+'02_지표정의'!$C$23*Q938+'02_지표정의'!$C$24*R938</f>
        <v/>
      </c>
      <c r="T938" s="73">
        <f>IF(OR(AND(B938="gemini",C938="gemma"),AND(B938="qwen3_6",C938="qwen"),AND(B938="mistral",C938="ministral")),1,0)</f>
        <v/>
      </c>
      <c r="U938" s="73">
        <f>IF(LEFT(A938,3)="PAT","특허","보고서")</f>
        <v/>
      </c>
      <c r="V938" s="86">
        <f>COUNTIF($S$2:$S$976,"&lt;"&amp;S938)+(COUNTIF($S$2:$S$976,"="&amp;S938)+1)/2</f>
        <v/>
      </c>
      <c r="W938" s="73">
        <f>IF(C938="qwen",0,COUNTIFS($C$2:$C$976,"&lt;&gt;qwen",$S$2:$S$976,"&lt;"&amp;S938)+1)</f>
        <v/>
      </c>
      <c r="X938" s="73">
        <f>IF(C938="ministral",0,COUNTIFS($C$2:$C$976,"&lt;&gt;ministral",$S$2:$S$976,"&lt;"&amp;S938)+1)</f>
        <v/>
      </c>
      <c r="Y938" s="73">
        <f>IF(C938="gemma",0,COUNTIFS($C$2:$C$976,"&lt;&gt;gemma",$S$2:$S$976,"&lt;"&amp;S938)+1)</f>
        <v/>
      </c>
      <c r="Z938" s="87">
        <f>COUNTIFS($B$2:$B$976,B938,$C$2:$C$976,C938,$S$2:$S$976,"&lt;"&amp;S938)+1</f>
        <v/>
      </c>
      <c r="AA938" s="88">
        <f>ABS(S938-SUMPRODUCT(('05B_가정검정'!$A$5:$A$19=B938)*('05B_가정검정'!$B$5:$B$19=C938)*'05B_가정검정'!$E$5:$E$19))</f>
        <v/>
      </c>
      <c r="AB938" s="88">
        <f>S938-AVERAGEIFS($S$2:$S$976,$B$2:$B$976,B938,$C$2:$C$976,C938)</f>
        <v/>
      </c>
    </row>
    <row r="939" ht="15" customHeight="1" s="68">
      <c r="A939" s="83" t="inlineStr">
        <is>
          <t>RPT-32</t>
        </is>
      </c>
      <c r="B939" s="83" t="inlineStr">
        <is>
          <t>gemini</t>
        </is>
      </c>
      <c r="C939" s="83" t="inlineStr">
        <is>
          <t>ministral</t>
        </is>
      </c>
      <c r="D939" s="84" t="n">
        <v>0.240673886883273</v>
      </c>
      <c r="E939" s="84" t="n">
        <v>0.334519572953737</v>
      </c>
      <c r="F939" s="84" t="n">
        <v>0.10752688172043</v>
      </c>
      <c r="G939" s="84" t="n">
        <v>0.249110320284698</v>
      </c>
      <c r="H939" s="84" t="n">
        <v>0.190371714373644</v>
      </c>
      <c r="I939" s="84" t="n">
        <v>0.210084004582321</v>
      </c>
      <c r="J939" s="84" t="n">
        <v>0.751932648021585</v>
      </c>
      <c r="K939" s="84" t="n">
        <v>0.770396330271244</v>
      </c>
      <c r="L939" s="84" t="n">
        <v>0.8929615971477</v>
      </c>
      <c r="M939" s="84" t="n">
        <v>0.402489626556017</v>
      </c>
      <c r="N939" s="84" t="n">
        <v>0.416666666666667</v>
      </c>
      <c r="O939" s="84" t="n">
        <v>1</v>
      </c>
      <c r="P939" s="85">
        <f>AVERAGE(D939:I939)</f>
        <v/>
      </c>
      <c r="Q939" s="85">
        <f>AVERAGE(J939:L939)</f>
        <v/>
      </c>
      <c r="R939" s="85">
        <f>AVERAGE(M939:O939)</f>
        <v/>
      </c>
      <c r="S939" s="85">
        <f>'02_지표정의'!$C$22*P939+'02_지표정의'!$C$23*Q939+'02_지표정의'!$C$24*R939</f>
        <v/>
      </c>
      <c r="T939" s="73">
        <f>IF(OR(AND(B939="gemini",C939="gemma"),AND(B939="qwen3_6",C939="qwen"),AND(B939="mistral",C939="ministral")),1,0)</f>
        <v/>
      </c>
      <c r="U939" s="73">
        <f>IF(LEFT(A939,3)="PAT","특허","보고서")</f>
        <v/>
      </c>
      <c r="V939" s="86">
        <f>COUNTIF($S$2:$S$976,"&lt;"&amp;S939)+(COUNTIF($S$2:$S$976,"="&amp;S939)+1)/2</f>
        <v/>
      </c>
      <c r="W939" s="73">
        <f>IF(C939="qwen",0,COUNTIFS($C$2:$C$976,"&lt;&gt;qwen",$S$2:$S$976,"&lt;"&amp;S939)+1)</f>
        <v/>
      </c>
      <c r="X939" s="73">
        <f>IF(C939="ministral",0,COUNTIFS($C$2:$C$976,"&lt;&gt;ministral",$S$2:$S$976,"&lt;"&amp;S939)+1)</f>
        <v/>
      </c>
      <c r="Y939" s="73">
        <f>IF(C939="gemma",0,COUNTIFS($C$2:$C$976,"&lt;&gt;gemma",$S$2:$S$976,"&lt;"&amp;S939)+1)</f>
        <v/>
      </c>
      <c r="Z939" s="87">
        <f>COUNTIFS($B$2:$B$976,B939,$C$2:$C$976,C939,$S$2:$S$976,"&lt;"&amp;S939)+1</f>
        <v/>
      </c>
      <c r="AA939" s="88">
        <f>ABS(S939-SUMPRODUCT(('05B_가정검정'!$A$5:$A$19=B939)*('05B_가정검정'!$B$5:$B$19=C939)*'05B_가정검정'!$E$5:$E$19))</f>
        <v/>
      </c>
      <c r="AB939" s="88">
        <f>S939-AVERAGEIFS($S$2:$S$976,$B$2:$B$976,B939,$C$2:$C$976,C939)</f>
        <v/>
      </c>
    </row>
    <row r="940" ht="15" customHeight="1" s="68">
      <c r="A940" s="83" t="inlineStr">
        <is>
          <t>RPT-32</t>
        </is>
      </c>
      <c r="B940" s="83" t="inlineStr">
        <is>
          <t>gemini</t>
        </is>
      </c>
      <c r="C940" s="83" t="inlineStr">
        <is>
          <t>qwen</t>
        </is>
      </c>
      <c r="D940" s="84" t="n">
        <v>0.280346820809249</v>
      </c>
      <c r="E940" s="84" t="n">
        <v>0.351219512195122</v>
      </c>
      <c r="F940" s="84" t="n">
        <v>0.118226600985222</v>
      </c>
      <c r="G940" s="84" t="n">
        <v>0.282926829268293</v>
      </c>
      <c r="H940" s="84" t="n">
        <v>0.377774512500036</v>
      </c>
      <c r="I940" s="84" t="n">
        <v>0.234989596596934</v>
      </c>
      <c r="J940" s="84" t="n">
        <v>0.743899993762964</v>
      </c>
      <c r="K940" s="84" t="n">
        <v>0.764550958442336</v>
      </c>
      <c r="L940" s="84" t="n">
        <v>0.8857925036779311</v>
      </c>
      <c r="M940" s="84" t="n">
        <v>0.659863945578231</v>
      </c>
      <c r="N940" s="84" t="n">
        <v>0.7333333333333329</v>
      </c>
      <c r="O940" s="84" t="n">
        <v>1</v>
      </c>
      <c r="P940" s="85">
        <f>AVERAGE(D940:I940)</f>
        <v/>
      </c>
      <c r="Q940" s="85">
        <f>AVERAGE(J940:L940)</f>
        <v/>
      </c>
      <c r="R940" s="85">
        <f>AVERAGE(M940:O940)</f>
        <v/>
      </c>
      <c r="S940" s="85">
        <f>'02_지표정의'!$C$22*P940+'02_지표정의'!$C$23*Q940+'02_지표정의'!$C$24*R940</f>
        <v/>
      </c>
      <c r="T940" s="73">
        <f>IF(OR(AND(B940="gemini",C940="gemma"),AND(B940="qwen3_6",C940="qwen"),AND(B940="mistral",C940="ministral")),1,0)</f>
        <v/>
      </c>
      <c r="U940" s="73">
        <f>IF(LEFT(A940,3)="PAT","특허","보고서")</f>
        <v/>
      </c>
      <c r="V940" s="86">
        <f>COUNTIF($S$2:$S$976,"&lt;"&amp;S940)+(COUNTIF($S$2:$S$976,"="&amp;S940)+1)/2</f>
        <v/>
      </c>
      <c r="W940" s="73">
        <f>IF(C940="qwen",0,COUNTIFS($C$2:$C$976,"&lt;&gt;qwen",$S$2:$S$976,"&lt;"&amp;S940)+1)</f>
        <v/>
      </c>
      <c r="X940" s="73">
        <f>IF(C940="ministral",0,COUNTIFS($C$2:$C$976,"&lt;&gt;ministral",$S$2:$S$976,"&lt;"&amp;S940)+1)</f>
        <v/>
      </c>
      <c r="Y940" s="73">
        <f>IF(C940="gemma",0,COUNTIFS($C$2:$C$976,"&lt;&gt;gemma",$S$2:$S$976,"&lt;"&amp;S940)+1)</f>
        <v/>
      </c>
      <c r="Z940" s="87">
        <f>COUNTIFS($B$2:$B$976,B940,$C$2:$C$976,C940,$S$2:$S$976,"&lt;"&amp;S940)+1</f>
        <v/>
      </c>
      <c r="AA940" s="88">
        <f>ABS(S940-SUMPRODUCT(('05B_가정검정'!$A$5:$A$19=B940)*('05B_가정검정'!$B$5:$B$19=C940)*'05B_가정검정'!$E$5:$E$19))</f>
        <v/>
      </c>
      <c r="AB940" s="88">
        <f>S940-AVERAGEIFS($S$2:$S$976,$B$2:$B$976,B940,$C$2:$C$976,C940)</f>
        <v/>
      </c>
    </row>
    <row r="941" ht="15" customHeight="1" s="68">
      <c r="A941" s="83" t="inlineStr">
        <is>
          <t>RPT-32</t>
        </is>
      </c>
      <c r="B941" s="83" t="inlineStr">
        <is>
          <t>mistral</t>
        </is>
      </c>
      <c r="C941" s="83" t="inlineStr">
        <is>
          <t>gemma</t>
        </is>
      </c>
      <c r="D941" s="84" t="n">
        <v>0.23953488372093</v>
      </c>
      <c r="E941" s="84" t="n">
        <v>0.407239819004525</v>
      </c>
      <c r="F941" s="84" t="n">
        <v>0.146118721461187</v>
      </c>
      <c r="G941" s="84" t="n">
        <v>0.289592760180996</v>
      </c>
      <c r="H941" s="84" t="n">
        <v>0.365685085558747</v>
      </c>
      <c r="I941" s="84" t="n">
        <v>0.206110393343175</v>
      </c>
      <c r="J941" s="84" t="n">
        <v>0.6710609685948919</v>
      </c>
      <c r="K941" s="84" t="n">
        <v>0.558537564246114</v>
      </c>
      <c r="L941" s="84" t="n">
        <v>0.813199859982332</v>
      </c>
      <c r="M941" s="84" t="n">
        <v>0.451776649746193</v>
      </c>
      <c r="N941" s="84" t="n">
        <v>0.406593406593407</v>
      </c>
      <c r="O941" s="84" t="n">
        <v>0.68421052631579</v>
      </c>
      <c r="P941" s="85">
        <f>AVERAGE(D941:I941)</f>
        <v/>
      </c>
      <c r="Q941" s="85">
        <f>AVERAGE(J941:L941)</f>
        <v/>
      </c>
      <c r="R941" s="85">
        <f>AVERAGE(M941:O941)</f>
        <v/>
      </c>
      <c r="S941" s="85">
        <f>'02_지표정의'!$C$22*P941+'02_지표정의'!$C$23*Q941+'02_지표정의'!$C$24*R941</f>
        <v/>
      </c>
      <c r="T941" s="73">
        <f>IF(OR(AND(B941="gemini",C941="gemma"),AND(B941="qwen3_6",C941="qwen"),AND(B941="mistral",C941="ministral")),1,0)</f>
        <v/>
      </c>
      <c r="U941" s="73">
        <f>IF(LEFT(A941,3)="PAT","특허","보고서")</f>
        <v/>
      </c>
      <c r="V941" s="86">
        <f>COUNTIF($S$2:$S$976,"&lt;"&amp;S941)+(COUNTIF($S$2:$S$976,"="&amp;S941)+1)/2</f>
        <v/>
      </c>
      <c r="W941" s="73">
        <f>IF(C941="qwen",0,COUNTIFS($C$2:$C$976,"&lt;&gt;qwen",$S$2:$S$976,"&lt;"&amp;S941)+1)</f>
        <v/>
      </c>
      <c r="X941" s="73">
        <f>IF(C941="ministral",0,COUNTIFS($C$2:$C$976,"&lt;&gt;ministral",$S$2:$S$976,"&lt;"&amp;S941)+1)</f>
        <v/>
      </c>
      <c r="Y941" s="73">
        <f>IF(C941="gemma",0,COUNTIFS($C$2:$C$976,"&lt;&gt;gemma",$S$2:$S$976,"&lt;"&amp;S941)+1)</f>
        <v/>
      </c>
      <c r="Z941" s="87">
        <f>COUNTIFS($B$2:$B$976,B941,$C$2:$C$976,C941,$S$2:$S$976,"&lt;"&amp;S941)+1</f>
        <v/>
      </c>
      <c r="AA941" s="88">
        <f>ABS(S941-SUMPRODUCT(('05B_가정검정'!$A$5:$A$19=B941)*('05B_가정검정'!$B$5:$B$19=C941)*'05B_가정검정'!$E$5:$E$19))</f>
        <v/>
      </c>
      <c r="AB941" s="88">
        <f>S941-AVERAGEIFS($S$2:$S$976,$B$2:$B$976,B941,$C$2:$C$976,C941)</f>
        <v/>
      </c>
    </row>
    <row r="942" ht="15" customHeight="1" s="68">
      <c r="A942" s="83" t="inlineStr">
        <is>
          <t>RPT-32</t>
        </is>
      </c>
      <c r="B942" s="83" t="inlineStr">
        <is>
          <t>mistral</t>
        </is>
      </c>
      <c r="C942" s="83" t="inlineStr">
        <is>
          <t>ministral</t>
        </is>
      </c>
      <c r="D942" s="84" t="n">
        <v>0.286358511837655</v>
      </c>
      <c r="E942" s="84" t="n">
        <v>0.391304347826087</v>
      </c>
      <c r="F942" s="84" t="n">
        <v>0.153284671532847</v>
      </c>
      <c r="G942" s="84" t="n">
        <v>0.289855072463768</v>
      </c>
      <c r="H942" s="84" t="n">
        <v>0.266098487217299</v>
      </c>
      <c r="I942" s="84" t="n">
        <v>0.299438224601689</v>
      </c>
      <c r="J942" s="84" t="n">
        <v>0.668273256972686</v>
      </c>
      <c r="K942" s="84" t="n">
        <v>0.663695689182885</v>
      </c>
      <c r="L942" s="84" t="n">
        <v>0.782603105318832</v>
      </c>
      <c r="M942" s="84" t="n">
        <v>0.5726141078838169</v>
      </c>
      <c r="N942" s="84" t="n">
        <v>0.340909090909091</v>
      </c>
      <c r="O942" s="84" t="n">
        <v>0.68421052631579</v>
      </c>
      <c r="P942" s="85">
        <f>AVERAGE(D942:I942)</f>
        <v/>
      </c>
      <c r="Q942" s="85">
        <f>AVERAGE(J942:L942)</f>
        <v/>
      </c>
      <c r="R942" s="85">
        <f>AVERAGE(M942:O942)</f>
        <v/>
      </c>
      <c r="S942" s="85">
        <f>'02_지표정의'!$C$22*P942+'02_지표정의'!$C$23*Q942+'02_지표정의'!$C$24*R942</f>
        <v/>
      </c>
      <c r="T942" s="73">
        <f>IF(OR(AND(B942="gemini",C942="gemma"),AND(B942="qwen3_6",C942="qwen"),AND(B942="mistral",C942="ministral")),1,0)</f>
        <v/>
      </c>
      <c r="U942" s="73">
        <f>IF(LEFT(A942,3)="PAT","특허","보고서")</f>
        <v/>
      </c>
      <c r="V942" s="86">
        <f>COUNTIF($S$2:$S$976,"&lt;"&amp;S942)+(COUNTIF($S$2:$S$976,"="&amp;S942)+1)/2</f>
        <v/>
      </c>
      <c r="W942" s="73">
        <f>IF(C942="qwen",0,COUNTIFS($C$2:$C$976,"&lt;&gt;qwen",$S$2:$S$976,"&lt;"&amp;S942)+1)</f>
        <v/>
      </c>
      <c r="X942" s="73">
        <f>IF(C942="ministral",0,COUNTIFS($C$2:$C$976,"&lt;&gt;ministral",$S$2:$S$976,"&lt;"&amp;S942)+1)</f>
        <v/>
      </c>
      <c r="Y942" s="73">
        <f>IF(C942="gemma",0,COUNTIFS($C$2:$C$976,"&lt;&gt;gemma",$S$2:$S$976,"&lt;"&amp;S942)+1)</f>
        <v/>
      </c>
      <c r="Z942" s="87">
        <f>COUNTIFS($B$2:$B$976,B942,$C$2:$C$976,C942,$S$2:$S$976,"&lt;"&amp;S942)+1</f>
        <v/>
      </c>
      <c r="AA942" s="88">
        <f>ABS(S942-SUMPRODUCT(('05B_가정검정'!$A$5:$A$19=B942)*('05B_가정검정'!$B$5:$B$19=C942)*'05B_가정검정'!$E$5:$E$19))</f>
        <v/>
      </c>
      <c r="AB942" s="88">
        <f>S942-AVERAGEIFS($S$2:$S$976,$B$2:$B$976,B942,$C$2:$C$976,C942)</f>
        <v/>
      </c>
    </row>
    <row r="943" ht="15" customHeight="1" s="68">
      <c r="A943" s="83" t="inlineStr">
        <is>
          <t>RPT-32</t>
        </is>
      </c>
      <c r="B943" s="83" t="inlineStr">
        <is>
          <t>mistral</t>
        </is>
      </c>
      <c r="C943" s="83" t="inlineStr">
        <is>
          <t>qwen</t>
        </is>
      </c>
      <c r="D943" s="84" t="n">
        <v>0.286096256684492</v>
      </c>
      <c r="E943" s="84" t="n">
        <v>0.42</v>
      </c>
      <c r="F943" s="84" t="n">
        <v>0.181818181818182</v>
      </c>
      <c r="G943" s="84" t="n">
        <v>0.32</v>
      </c>
      <c r="H943" s="84" t="n">
        <v>0.32181357826732</v>
      </c>
      <c r="I943" s="84" t="n">
        <v>0.287265702762054</v>
      </c>
      <c r="J943" s="84" t="n">
        <v>0.674505280393246</v>
      </c>
      <c r="K943" s="84" t="n">
        <v>0.60871826752325</v>
      </c>
      <c r="L943" s="84" t="n">
        <v>0.835356359523681</v>
      </c>
      <c r="M943" s="84" t="n">
        <v>0.624365482233503</v>
      </c>
      <c r="N943" s="84" t="n">
        <v>0.483516483516484</v>
      </c>
      <c r="O943" s="84" t="n">
        <v>0.68421052631579</v>
      </c>
      <c r="P943" s="85">
        <f>AVERAGE(D943:I943)</f>
        <v/>
      </c>
      <c r="Q943" s="85">
        <f>AVERAGE(J943:L943)</f>
        <v/>
      </c>
      <c r="R943" s="85">
        <f>AVERAGE(M943:O943)</f>
        <v/>
      </c>
      <c r="S943" s="85">
        <f>'02_지표정의'!$C$22*P943+'02_지표정의'!$C$23*Q943+'02_지표정의'!$C$24*R943</f>
        <v/>
      </c>
      <c r="T943" s="73">
        <f>IF(OR(AND(B943="gemini",C943="gemma"),AND(B943="qwen3_6",C943="qwen"),AND(B943="mistral",C943="ministral")),1,0)</f>
        <v/>
      </c>
      <c r="U943" s="73">
        <f>IF(LEFT(A943,3)="PAT","특허","보고서")</f>
        <v/>
      </c>
      <c r="V943" s="86">
        <f>COUNTIF($S$2:$S$976,"&lt;"&amp;S943)+(COUNTIF($S$2:$S$976,"="&amp;S943)+1)/2</f>
        <v/>
      </c>
      <c r="W943" s="73">
        <f>IF(C943="qwen",0,COUNTIFS($C$2:$C$976,"&lt;&gt;qwen",$S$2:$S$976,"&lt;"&amp;S943)+1)</f>
        <v/>
      </c>
      <c r="X943" s="73">
        <f>IF(C943="ministral",0,COUNTIFS($C$2:$C$976,"&lt;&gt;ministral",$S$2:$S$976,"&lt;"&amp;S943)+1)</f>
        <v/>
      </c>
      <c r="Y943" s="73">
        <f>IF(C943="gemma",0,COUNTIFS($C$2:$C$976,"&lt;&gt;gemma",$S$2:$S$976,"&lt;"&amp;S943)+1)</f>
        <v/>
      </c>
      <c r="Z943" s="87">
        <f>COUNTIFS($B$2:$B$976,B943,$C$2:$C$976,C943,$S$2:$S$976,"&lt;"&amp;S943)+1</f>
        <v/>
      </c>
      <c r="AA943" s="88">
        <f>ABS(S943-SUMPRODUCT(('05B_가정검정'!$A$5:$A$19=B943)*('05B_가정검정'!$B$5:$B$19=C943)*'05B_가정검정'!$E$5:$E$19))</f>
        <v/>
      </c>
      <c r="AB943" s="88">
        <f>S943-AVERAGEIFS($S$2:$S$976,$B$2:$B$976,B943,$C$2:$C$976,C943)</f>
        <v/>
      </c>
    </row>
    <row r="944" ht="15" customHeight="1" s="68">
      <c r="A944" s="83" t="inlineStr">
        <is>
          <t>RPT-32</t>
        </is>
      </c>
      <c r="B944" s="83" t="inlineStr">
        <is>
          <t>qwen3_6</t>
        </is>
      </c>
      <c r="C944" s="83" t="inlineStr">
        <is>
          <t>gemma</t>
        </is>
      </c>
      <c r="D944" s="84" t="n">
        <v>0.242162162162162</v>
      </c>
      <c r="E944" s="84" t="n">
        <v>0.328671328671329</v>
      </c>
      <c r="F944" s="84" t="n">
        <v>0.0985915492957746</v>
      </c>
      <c r="G944" s="84" t="n">
        <v>0.20979020979021</v>
      </c>
      <c r="H944" s="84" t="n">
        <v>0.409940519204177</v>
      </c>
      <c r="I944" s="84" t="n">
        <v>0.173183326192371</v>
      </c>
      <c r="J944" s="84" t="n">
        <v>0.72395372769536</v>
      </c>
      <c r="K944" s="84" t="n">
        <v>0.6412536100758111</v>
      </c>
      <c r="L944" s="84" t="n">
        <v>0.859963905857771</v>
      </c>
      <c r="M944" s="84" t="n">
        <v>0.889908256880734</v>
      </c>
      <c r="N944" s="84" t="n">
        <v>0.901639344262295</v>
      </c>
      <c r="O944" s="84" t="n">
        <v>1</v>
      </c>
      <c r="P944" s="85">
        <f>AVERAGE(D944:I944)</f>
        <v/>
      </c>
      <c r="Q944" s="85">
        <f>AVERAGE(J944:L944)</f>
        <v/>
      </c>
      <c r="R944" s="85">
        <f>AVERAGE(M944:O944)</f>
        <v/>
      </c>
      <c r="S944" s="85">
        <f>'02_지표정의'!$C$22*P944+'02_지표정의'!$C$23*Q944+'02_지표정의'!$C$24*R944</f>
        <v/>
      </c>
      <c r="T944" s="73">
        <f>IF(OR(AND(B944="gemini",C944="gemma"),AND(B944="qwen3_6",C944="qwen"),AND(B944="mistral",C944="ministral")),1,0)</f>
        <v/>
      </c>
      <c r="U944" s="73">
        <f>IF(LEFT(A944,3)="PAT","특허","보고서")</f>
        <v/>
      </c>
      <c r="V944" s="86">
        <f>COUNTIF($S$2:$S$976,"&lt;"&amp;S944)+(COUNTIF($S$2:$S$976,"="&amp;S944)+1)/2</f>
        <v/>
      </c>
      <c r="W944" s="73">
        <f>IF(C944="qwen",0,COUNTIFS($C$2:$C$976,"&lt;&gt;qwen",$S$2:$S$976,"&lt;"&amp;S944)+1)</f>
        <v/>
      </c>
      <c r="X944" s="73">
        <f>IF(C944="ministral",0,COUNTIFS($C$2:$C$976,"&lt;&gt;ministral",$S$2:$S$976,"&lt;"&amp;S944)+1)</f>
        <v/>
      </c>
      <c r="Y944" s="73">
        <f>IF(C944="gemma",0,COUNTIFS($C$2:$C$976,"&lt;&gt;gemma",$S$2:$S$976,"&lt;"&amp;S944)+1)</f>
        <v/>
      </c>
      <c r="Z944" s="87">
        <f>COUNTIFS($B$2:$B$976,B944,$C$2:$C$976,C944,$S$2:$S$976,"&lt;"&amp;S944)+1</f>
        <v/>
      </c>
      <c r="AA944" s="88">
        <f>ABS(S944-SUMPRODUCT(('05B_가정검정'!$A$5:$A$19=B944)*('05B_가정검정'!$B$5:$B$19=C944)*'05B_가정검정'!$E$5:$E$19))</f>
        <v/>
      </c>
      <c r="AB944" s="88">
        <f>S944-AVERAGEIFS($S$2:$S$976,$B$2:$B$976,B944,$C$2:$C$976,C944)</f>
        <v/>
      </c>
    </row>
    <row r="945" ht="15" customHeight="1" s="68">
      <c r="A945" s="83" t="inlineStr">
        <is>
          <t>RPT-32</t>
        </is>
      </c>
      <c r="B945" s="83" t="inlineStr">
        <is>
          <t>qwen3_6</t>
        </is>
      </c>
      <c r="C945" s="83" t="inlineStr">
        <is>
          <t>ministral</t>
        </is>
      </c>
      <c r="D945" s="84" t="n">
        <v>0.224789915966387</v>
      </c>
      <c r="E945" s="84" t="n">
        <v>0.351906158357771</v>
      </c>
      <c r="F945" s="84" t="n">
        <v>0.153392330383481</v>
      </c>
      <c r="G945" s="84" t="n">
        <v>0.240469208211144</v>
      </c>
      <c r="H945" s="84" t="n">
        <v>0.258701300135865</v>
      </c>
      <c r="I945" s="84" t="n">
        <v>0.250536752582855</v>
      </c>
      <c r="J945" s="84" t="n">
        <v>0.713811272212302</v>
      </c>
      <c r="K945" s="84" t="n">
        <v>0.710125548238433</v>
      </c>
      <c r="L945" s="84" t="n">
        <v>0.848383109413657</v>
      </c>
      <c r="M945" s="84" t="n">
        <v>0.402489626556017</v>
      </c>
      <c r="N945" s="84" t="n">
        <v>0.416666666666667</v>
      </c>
      <c r="O945" s="84" t="n">
        <v>1</v>
      </c>
      <c r="P945" s="85">
        <f>AVERAGE(D945:I945)</f>
        <v/>
      </c>
      <c r="Q945" s="85">
        <f>AVERAGE(J945:L945)</f>
        <v/>
      </c>
      <c r="R945" s="85">
        <f>AVERAGE(M945:O945)</f>
        <v/>
      </c>
      <c r="S945" s="85">
        <f>'02_지표정의'!$C$22*P945+'02_지표정의'!$C$23*Q945+'02_지표정의'!$C$24*R945</f>
        <v/>
      </c>
      <c r="T945" s="73">
        <f>IF(OR(AND(B945="gemini",C945="gemma"),AND(B945="qwen3_6",C945="qwen"),AND(B945="mistral",C945="ministral")),1,0)</f>
        <v/>
      </c>
      <c r="U945" s="73">
        <f>IF(LEFT(A945,3)="PAT","특허","보고서")</f>
        <v/>
      </c>
      <c r="V945" s="86">
        <f>COUNTIF($S$2:$S$976,"&lt;"&amp;S945)+(COUNTIF($S$2:$S$976,"="&amp;S945)+1)/2</f>
        <v/>
      </c>
      <c r="W945" s="73">
        <f>IF(C945="qwen",0,COUNTIFS($C$2:$C$976,"&lt;&gt;qwen",$S$2:$S$976,"&lt;"&amp;S945)+1)</f>
        <v/>
      </c>
      <c r="X945" s="73">
        <f>IF(C945="ministral",0,COUNTIFS($C$2:$C$976,"&lt;&gt;ministral",$S$2:$S$976,"&lt;"&amp;S945)+1)</f>
        <v/>
      </c>
      <c r="Y945" s="73">
        <f>IF(C945="gemma",0,COUNTIFS($C$2:$C$976,"&lt;&gt;gemma",$S$2:$S$976,"&lt;"&amp;S945)+1)</f>
        <v/>
      </c>
      <c r="Z945" s="87">
        <f>COUNTIFS($B$2:$B$976,B945,$C$2:$C$976,C945,$S$2:$S$976,"&lt;"&amp;S945)+1</f>
        <v/>
      </c>
      <c r="AA945" s="88">
        <f>ABS(S945-SUMPRODUCT(('05B_가정검정'!$A$5:$A$19=B945)*('05B_가정검정'!$B$5:$B$19=C945)*'05B_가정검정'!$E$5:$E$19))</f>
        <v/>
      </c>
      <c r="AB945" s="88">
        <f>S945-AVERAGEIFS($S$2:$S$976,$B$2:$B$976,B945,$C$2:$C$976,C945)</f>
        <v/>
      </c>
    </row>
    <row r="946" ht="15" customHeight="1" s="68">
      <c r="A946" s="83" t="inlineStr">
        <is>
          <t>RPT-32</t>
        </is>
      </c>
      <c r="B946" s="83" t="inlineStr">
        <is>
          <t>qwen3_6</t>
        </is>
      </c>
      <c r="C946" s="83" t="inlineStr">
        <is>
          <t>qwen</t>
        </is>
      </c>
      <c r="D946" s="84" t="n">
        <v>0.250922509225092</v>
      </c>
      <c r="E946" s="84" t="n">
        <v>0.407547169811321</v>
      </c>
      <c r="F946" s="84" t="n">
        <v>0.159695817490494</v>
      </c>
      <c r="G946" s="84" t="n">
        <v>0.241509433962264</v>
      </c>
      <c r="H946" s="84" t="n">
        <v>0.391602139801228</v>
      </c>
      <c r="I946" s="84" t="n">
        <v>0.271403969912391</v>
      </c>
      <c r="J946" s="84" t="n">
        <v>0.721603226383237</v>
      </c>
      <c r="K946" s="84" t="n">
        <v>0.684897817588792</v>
      </c>
      <c r="L946" s="84" t="n">
        <v>0.881264275622335</v>
      </c>
      <c r="M946" s="84" t="n">
        <v>0.659863945578231</v>
      </c>
      <c r="N946" s="84" t="n">
        <v>0.7333333333333329</v>
      </c>
      <c r="O946" s="84" t="n">
        <v>1</v>
      </c>
      <c r="P946" s="85">
        <f>AVERAGE(D946:I946)</f>
        <v/>
      </c>
      <c r="Q946" s="85">
        <f>AVERAGE(J946:L946)</f>
        <v/>
      </c>
      <c r="R946" s="85">
        <f>AVERAGE(M946:O946)</f>
        <v/>
      </c>
      <c r="S946" s="85">
        <f>'02_지표정의'!$C$22*P946+'02_지표정의'!$C$23*Q946+'02_지표정의'!$C$24*R946</f>
        <v/>
      </c>
      <c r="T946" s="73">
        <f>IF(OR(AND(B946="gemini",C946="gemma"),AND(B946="qwen3_6",C946="qwen"),AND(B946="mistral",C946="ministral")),1,0)</f>
        <v/>
      </c>
      <c r="U946" s="73">
        <f>IF(LEFT(A946,3)="PAT","특허","보고서")</f>
        <v/>
      </c>
      <c r="V946" s="86">
        <f>COUNTIF($S$2:$S$976,"&lt;"&amp;S946)+(COUNTIF($S$2:$S$976,"="&amp;S946)+1)/2</f>
        <v/>
      </c>
      <c r="W946" s="73">
        <f>IF(C946="qwen",0,COUNTIFS($C$2:$C$976,"&lt;&gt;qwen",$S$2:$S$976,"&lt;"&amp;S946)+1)</f>
        <v/>
      </c>
      <c r="X946" s="73">
        <f>IF(C946="ministral",0,COUNTIFS($C$2:$C$976,"&lt;&gt;ministral",$S$2:$S$976,"&lt;"&amp;S946)+1)</f>
        <v/>
      </c>
      <c r="Y946" s="73">
        <f>IF(C946="gemma",0,COUNTIFS($C$2:$C$976,"&lt;&gt;gemma",$S$2:$S$976,"&lt;"&amp;S946)+1)</f>
        <v/>
      </c>
      <c r="Z946" s="87">
        <f>COUNTIFS($B$2:$B$976,B946,$C$2:$C$976,C946,$S$2:$S$976,"&lt;"&amp;S946)+1</f>
        <v/>
      </c>
      <c r="AA946" s="88">
        <f>ABS(S946-SUMPRODUCT(('05B_가정검정'!$A$5:$A$19=B946)*('05B_가정검정'!$B$5:$B$19=C946)*'05B_가정검정'!$E$5:$E$19))</f>
        <v/>
      </c>
      <c r="AB946" s="88">
        <f>S946-AVERAGEIFS($S$2:$S$976,$B$2:$B$976,B946,$C$2:$C$976,C946)</f>
        <v/>
      </c>
    </row>
    <row r="947" ht="15" customHeight="1" s="68">
      <c r="A947" s="83" t="inlineStr">
        <is>
          <t>RPT-33</t>
        </is>
      </c>
      <c r="B947" s="83" t="inlineStr">
        <is>
          <t>chatgpt</t>
        </is>
      </c>
      <c r="C947" s="83" t="inlineStr">
        <is>
          <t>gemma</t>
        </is>
      </c>
      <c r="D947" s="84" t="n">
        <v>0.220726783310902</v>
      </c>
      <c r="E947" s="84" t="n">
        <v>0.351515151515152</v>
      </c>
      <c r="F947" s="84" t="n">
        <v>0.122699386503068</v>
      </c>
      <c r="G947" s="84" t="n">
        <v>0.290909090909091</v>
      </c>
      <c r="H947" s="84" t="n">
        <v>0.244482602413441</v>
      </c>
      <c r="I947" s="84" t="n">
        <v>0.140868043822195</v>
      </c>
      <c r="J947" s="84" t="n">
        <v>0.7087526992668221</v>
      </c>
      <c r="K947" s="84" t="n">
        <v>0.622933286680154</v>
      </c>
      <c r="L947" s="84" t="n">
        <v>0.79313398523732</v>
      </c>
      <c r="M947" s="84" t="n">
        <v>0.5575757575757579</v>
      </c>
      <c r="N947" s="84" t="n">
        <v>0.101123595505618</v>
      </c>
      <c r="O947" s="84" t="n">
        <v>1</v>
      </c>
      <c r="P947" s="85">
        <f>AVERAGE(D947:I947)</f>
        <v/>
      </c>
      <c r="Q947" s="85">
        <f>AVERAGE(J947:L947)</f>
        <v/>
      </c>
      <c r="R947" s="85">
        <f>AVERAGE(M947:O947)</f>
        <v/>
      </c>
      <c r="S947" s="85">
        <f>'02_지표정의'!$C$22*P947+'02_지표정의'!$C$23*Q947+'02_지표정의'!$C$24*R947</f>
        <v/>
      </c>
      <c r="T947" s="73">
        <f>IF(OR(AND(B947="gemini",C947="gemma"),AND(B947="qwen3_6",C947="qwen"),AND(B947="mistral",C947="ministral")),1,0)</f>
        <v/>
      </c>
      <c r="U947" s="73">
        <f>IF(LEFT(A947,3)="PAT","특허","보고서")</f>
        <v/>
      </c>
      <c r="V947" s="86">
        <f>COUNTIF($S$2:$S$976,"&lt;"&amp;S947)+(COUNTIF($S$2:$S$976,"="&amp;S947)+1)/2</f>
        <v/>
      </c>
      <c r="W947" s="73">
        <f>IF(C947="qwen",0,COUNTIFS($C$2:$C$976,"&lt;&gt;qwen",$S$2:$S$976,"&lt;"&amp;S947)+1)</f>
        <v/>
      </c>
      <c r="X947" s="73">
        <f>IF(C947="ministral",0,COUNTIFS($C$2:$C$976,"&lt;&gt;ministral",$S$2:$S$976,"&lt;"&amp;S947)+1)</f>
        <v/>
      </c>
      <c r="Y947" s="73">
        <f>IF(C947="gemma",0,COUNTIFS($C$2:$C$976,"&lt;&gt;gemma",$S$2:$S$976,"&lt;"&amp;S947)+1)</f>
        <v/>
      </c>
      <c r="Z947" s="87">
        <f>COUNTIFS($B$2:$B$976,B947,$C$2:$C$976,C947,$S$2:$S$976,"&lt;"&amp;S947)+1</f>
        <v/>
      </c>
      <c r="AA947" s="88">
        <f>ABS(S947-SUMPRODUCT(('05B_가정검정'!$A$5:$A$19=B947)*('05B_가정검정'!$B$5:$B$19=C947)*'05B_가정검정'!$E$5:$E$19))</f>
        <v/>
      </c>
      <c r="AB947" s="88">
        <f>S947-AVERAGEIFS($S$2:$S$976,$B$2:$B$976,B947,$C$2:$C$976,C947)</f>
        <v/>
      </c>
    </row>
    <row r="948" ht="15" customHeight="1" s="68">
      <c r="A948" s="83" t="inlineStr">
        <is>
          <t>RPT-33</t>
        </is>
      </c>
      <c r="B948" s="83" t="inlineStr">
        <is>
          <t>chatgpt</t>
        </is>
      </c>
      <c r="C948" s="83" t="inlineStr">
        <is>
          <t>ministral</t>
        </is>
      </c>
      <c r="D948" s="84" t="n">
        <v>0.296636085626911</v>
      </c>
      <c r="E948" s="84" t="n">
        <v>0.417910447761194</v>
      </c>
      <c r="F948" s="84" t="n">
        <v>0.231155778894472</v>
      </c>
      <c r="G948" s="84" t="n">
        <v>0.348258706467662</v>
      </c>
      <c r="H948" s="84" t="n">
        <v>0.201996044381478</v>
      </c>
      <c r="I948" s="84" t="n">
        <v>0.5358988595072</v>
      </c>
      <c r="J948" s="84" t="n">
        <v>0.672738423293436</v>
      </c>
      <c r="K948" s="84" t="n">
        <v>0.643137545386402</v>
      </c>
      <c r="L948" s="84" t="n">
        <v>0.796792163471843</v>
      </c>
      <c r="M948" s="84" t="n">
        <v>0.425742574257426</v>
      </c>
      <c r="N948" s="84" t="n">
        <v>0</v>
      </c>
      <c r="O948" s="84" t="n">
        <v>0.6052631578947369</v>
      </c>
      <c r="P948" s="85">
        <f>AVERAGE(D948:I948)</f>
        <v/>
      </c>
      <c r="Q948" s="85">
        <f>AVERAGE(J948:L948)</f>
        <v/>
      </c>
      <c r="R948" s="85">
        <f>AVERAGE(M948:O948)</f>
        <v/>
      </c>
      <c r="S948" s="85">
        <f>'02_지표정의'!$C$22*P948+'02_지표정의'!$C$23*Q948+'02_지표정의'!$C$24*R948</f>
        <v/>
      </c>
      <c r="T948" s="73">
        <f>IF(OR(AND(B948="gemini",C948="gemma"),AND(B948="qwen3_6",C948="qwen"),AND(B948="mistral",C948="ministral")),1,0)</f>
        <v/>
      </c>
      <c r="U948" s="73">
        <f>IF(LEFT(A948,3)="PAT","특허","보고서")</f>
        <v/>
      </c>
      <c r="V948" s="86">
        <f>COUNTIF($S$2:$S$976,"&lt;"&amp;S948)+(COUNTIF($S$2:$S$976,"="&amp;S948)+1)/2</f>
        <v/>
      </c>
      <c r="W948" s="73">
        <f>IF(C948="qwen",0,COUNTIFS($C$2:$C$976,"&lt;&gt;qwen",$S$2:$S$976,"&lt;"&amp;S948)+1)</f>
        <v/>
      </c>
      <c r="X948" s="73">
        <f>IF(C948="ministral",0,COUNTIFS($C$2:$C$976,"&lt;&gt;ministral",$S$2:$S$976,"&lt;"&amp;S948)+1)</f>
        <v/>
      </c>
      <c r="Y948" s="73">
        <f>IF(C948="gemma",0,COUNTIFS($C$2:$C$976,"&lt;&gt;gemma",$S$2:$S$976,"&lt;"&amp;S948)+1)</f>
        <v/>
      </c>
      <c r="Z948" s="87">
        <f>COUNTIFS($B$2:$B$976,B948,$C$2:$C$976,C948,$S$2:$S$976,"&lt;"&amp;S948)+1</f>
        <v/>
      </c>
      <c r="AA948" s="88">
        <f>ABS(S948-SUMPRODUCT(('05B_가정검정'!$A$5:$A$19=B948)*('05B_가정검정'!$B$5:$B$19=C948)*'05B_가정검정'!$E$5:$E$19))</f>
        <v/>
      </c>
      <c r="AB948" s="88">
        <f>S948-AVERAGEIFS($S$2:$S$976,$B$2:$B$976,B948,$C$2:$C$976,C948)</f>
        <v/>
      </c>
    </row>
    <row r="949" ht="15" customHeight="1" s="68">
      <c r="A949" s="83" t="inlineStr">
        <is>
          <t>RPT-33</t>
        </is>
      </c>
      <c r="B949" s="83" t="inlineStr">
        <is>
          <t>chatgpt</t>
        </is>
      </c>
      <c r="C949" s="83" t="inlineStr">
        <is>
          <t>qwen</t>
        </is>
      </c>
      <c r="D949" s="84" t="n">
        <v>0.318840579710145</v>
      </c>
      <c r="E949" s="84" t="n">
        <v>0.511904761904762</v>
      </c>
      <c r="F949" s="84" t="n">
        <v>0.265060240963855</v>
      </c>
      <c r="G949" s="84" t="n">
        <v>0.404761904761905</v>
      </c>
      <c r="H949" s="84" t="n">
        <v>0.285155112876852</v>
      </c>
      <c r="I949" s="84" t="n">
        <v>0.270000479959341</v>
      </c>
      <c r="J949" s="84" t="n">
        <v>0.716911901203656</v>
      </c>
      <c r="K949" s="84" t="n">
        <v>0.613078690149078</v>
      </c>
      <c r="L949" s="84" t="n">
        <v>0.795878194653446</v>
      </c>
      <c r="M949" s="84" t="n">
        <v>0.515151515151515</v>
      </c>
      <c r="N949" s="84" t="n">
        <v>0</v>
      </c>
      <c r="O949" s="84" t="n">
        <v>1</v>
      </c>
      <c r="P949" s="85">
        <f>AVERAGE(D949:I949)</f>
        <v/>
      </c>
      <c r="Q949" s="85">
        <f>AVERAGE(J949:L949)</f>
        <v/>
      </c>
      <c r="R949" s="85">
        <f>AVERAGE(M949:O949)</f>
        <v/>
      </c>
      <c r="S949" s="85">
        <f>'02_지표정의'!$C$22*P949+'02_지표정의'!$C$23*Q949+'02_지표정의'!$C$24*R949</f>
        <v/>
      </c>
      <c r="T949" s="73">
        <f>IF(OR(AND(B949="gemini",C949="gemma"),AND(B949="qwen3_6",C949="qwen"),AND(B949="mistral",C949="ministral")),1,0)</f>
        <v/>
      </c>
      <c r="U949" s="73">
        <f>IF(LEFT(A949,3)="PAT","특허","보고서")</f>
        <v/>
      </c>
      <c r="V949" s="86">
        <f>COUNTIF($S$2:$S$976,"&lt;"&amp;S949)+(COUNTIF($S$2:$S$976,"="&amp;S949)+1)/2</f>
        <v/>
      </c>
      <c r="W949" s="73">
        <f>IF(C949="qwen",0,COUNTIFS($C$2:$C$976,"&lt;&gt;qwen",$S$2:$S$976,"&lt;"&amp;S949)+1)</f>
        <v/>
      </c>
      <c r="X949" s="73">
        <f>IF(C949="ministral",0,COUNTIFS($C$2:$C$976,"&lt;&gt;ministral",$S$2:$S$976,"&lt;"&amp;S949)+1)</f>
        <v/>
      </c>
      <c r="Y949" s="73">
        <f>IF(C949="gemma",0,COUNTIFS($C$2:$C$976,"&lt;&gt;gemma",$S$2:$S$976,"&lt;"&amp;S949)+1)</f>
        <v/>
      </c>
      <c r="Z949" s="87">
        <f>COUNTIFS($B$2:$B$976,B949,$C$2:$C$976,C949,$S$2:$S$976,"&lt;"&amp;S949)+1</f>
        <v/>
      </c>
      <c r="AA949" s="88">
        <f>ABS(S949-SUMPRODUCT(('05B_가정검정'!$A$5:$A$19=B949)*('05B_가정검정'!$B$5:$B$19=C949)*'05B_가정검정'!$E$5:$E$19))</f>
        <v/>
      </c>
      <c r="AB949" s="88">
        <f>S949-AVERAGEIFS($S$2:$S$976,$B$2:$B$976,B949,$C$2:$C$976,C949)</f>
        <v/>
      </c>
    </row>
    <row r="950" ht="15" customHeight="1" s="68">
      <c r="A950" s="83" t="inlineStr">
        <is>
          <t>RPT-33</t>
        </is>
      </c>
      <c r="B950" s="83" t="inlineStr">
        <is>
          <t>claude</t>
        </is>
      </c>
      <c r="C950" s="83" t="inlineStr">
        <is>
          <t>gemma</t>
        </is>
      </c>
      <c r="D950" s="84" t="n">
        <v>0.220729366602687</v>
      </c>
      <c r="E950" s="84" t="n">
        <v>0.320675105485232</v>
      </c>
      <c r="F950" s="84" t="n">
        <v>0.11063829787234</v>
      </c>
      <c r="G950" s="84" t="n">
        <v>0.244725738396625</v>
      </c>
      <c r="H950" s="84" t="n">
        <v>0.306972866693471</v>
      </c>
      <c r="I950" s="84" t="n">
        <v>0.129993253057496</v>
      </c>
      <c r="J950" s="84" t="n">
        <v>0.688702762479841</v>
      </c>
      <c r="K950" s="84" t="n">
        <v>0.635575186408522</v>
      </c>
      <c r="L950" s="84" t="n">
        <v>0.844171308937633</v>
      </c>
      <c r="M950" s="84" t="n">
        <v>0.530612244897959</v>
      </c>
      <c r="N950" s="84" t="n">
        <v>0.475609756097561</v>
      </c>
      <c r="O950" s="84" t="n">
        <v>1</v>
      </c>
      <c r="P950" s="85">
        <f>AVERAGE(D950:I950)</f>
        <v/>
      </c>
      <c r="Q950" s="85">
        <f>AVERAGE(J950:L950)</f>
        <v/>
      </c>
      <c r="R950" s="85">
        <f>AVERAGE(M950:O950)</f>
        <v/>
      </c>
      <c r="S950" s="85">
        <f>'02_지표정의'!$C$22*P950+'02_지표정의'!$C$23*Q950+'02_지표정의'!$C$24*R950</f>
        <v/>
      </c>
      <c r="T950" s="73">
        <f>IF(OR(AND(B950="gemini",C950="gemma"),AND(B950="qwen3_6",C950="qwen"),AND(B950="mistral",C950="ministral")),1,0)</f>
        <v/>
      </c>
      <c r="U950" s="73">
        <f>IF(LEFT(A950,3)="PAT","특허","보고서")</f>
        <v/>
      </c>
      <c r="V950" s="86">
        <f>COUNTIF($S$2:$S$976,"&lt;"&amp;S950)+(COUNTIF($S$2:$S$976,"="&amp;S950)+1)/2</f>
        <v/>
      </c>
      <c r="W950" s="73">
        <f>IF(C950="qwen",0,COUNTIFS($C$2:$C$976,"&lt;&gt;qwen",$S$2:$S$976,"&lt;"&amp;S950)+1)</f>
        <v/>
      </c>
      <c r="X950" s="73">
        <f>IF(C950="ministral",0,COUNTIFS($C$2:$C$976,"&lt;&gt;ministral",$S$2:$S$976,"&lt;"&amp;S950)+1)</f>
        <v/>
      </c>
      <c r="Y950" s="73">
        <f>IF(C950="gemma",0,COUNTIFS($C$2:$C$976,"&lt;&gt;gemma",$S$2:$S$976,"&lt;"&amp;S950)+1)</f>
        <v/>
      </c>
      <c r="Z950" s="87">
        <f>COUNTIFS($B$2:$B$976,B950,$C$2:$C$976,C950,$S$2:$S$976,"&lt;"&amp;S950)+1</f>
        <v/>
      </c>
      <c r="AA950" s="88">
        <f>ABS(S950-SUMPRODUCT(('05B_가정검정'!$A$5:$A$19=B950)*('05B_가정검정'!$B$5:$B$19=C950)*'05B_가정검정'!$E$5:$E$19))</f>
        <v/>
      </c>
      <c r="AB950" s="88">
        <f>S950-AVERAGEIFS($S$2:$S$976,$B$2:$B$976,B950,$C$2:$C$976,C950)</f>
        <v/>
      </c>
    </row>
    <row r="951" ht="15" customHeight="1" s="68">
      <c r="A951" s="83" t="inlineStr">
        <is>
          <t>RPT-33</t>
        </is>
      </c>
      <c r="B951" s="83" t="inlineStr">
        <is>
          <t>claude</t>
        </is>
      </c>
      <c r="C951" s="83" t="inlineStr">
        <is>
          <t>ministral</t>
        </is>
      </c>
      <c r="D951" s="84" t="n">
        <v>0.258132214060861</v>
      </c>
      <c r="E951" s="84" t="n">
        <v>0.476190476190476</v>
      </c>
      <c r="F951" s="84" t="n">
        <v>0.243542435424354</v>
      </c>
      <c r="G951" s="84" t="n">
        <v>0.344322344322344</v>
      </c>
      <c r="H951" s="84" t="n">
        <v>0.300529386120169</v>
      </c>
      <c r="I951" s="84" t="n">
        <v>0.519779152216279</v>
      </c>
      <c r="J951" s="84" t="n">
        <v>0.730718334387526</v>
      </c>
      <c r="K951" s="84" t="n">
        <v>0.638579279316732</v>
      </c>
      <c r="L951" s="84" t="n">
        <v>0.826344402882364</v>
      </c>
      <c r="M951" s="84" t="n">
        <v>0.462046204620462</v>
      </c>
      <c r="N951" s="84" t="n">
        <v>0.37410071942446</v>
      </c>
      <c r="O951" s="84" t="n">
        <v>0.621052631578947</v>
      </c>
      <c r="P951" s="85">
        <f>AVERAGE(D951:I951)</f>
        <v/>
      </c>
      <c r="Q951" s="85">
        <f>AVERAGE(J951:L951)</f>
        <v/>
      </c>
      <c r="R951" s="85">
        <f>AVERAGE(M951:O951)</f>
        <v/>
      </c>
      <c r="S951" s="85">
        <f>'02_지표정의'!$C$22*P951+'02_지표정의'!$C$23*Q951+'02_지표정의'!$C$24*R951</f>
        <v/>
      </c>
      <c r="T951" s="73">
        <f>IF(OR(AND(B951="gemini",C951="gemma"),AND(B951="qwen3_6",C951="qwen"),AND(B951="mistral",C951="ministral")),1,0)</f>
        <v/>
      </c>
      <c r="U951" s="73">
        <f>IF(LEFT(A951,3)="PAT","특허","보고서")</f>
        <v/>
      </c>
      <c r="V951" s="86">
        <f>COUNTIF($S$2:$S$976,"&lt;"&amp;S951)+(COUNTIF($S$2:$S$976,"="&amp;S951)+1)/2</f>
        <v/>
      </c>
      <c r="W951" s="73">
        <f>IF(C951="qwen",0,COUNTIFS($C$2:$C$976,"&lt;&gt;qwen",$S$2:$S$976,"&lt;"&amp;S951)+1)</f>
        <v/>
      </c>
      <c r="X951" s="73">
        <f>IF(C951="ministral",0,COUNTIFS($C$2:$C$976,"&lt;&gt;ministral",$S$2:$S$976,"&lt;"&amp;S951)+1)</f>
        <v/>
      </c>
      <c r="Y951" s="73">
        <f>IF(C951="gemma",0,COUNTIFS($C$2:$C$976,"&lt;&gt;gemma",$S$2:$S$976,"&lt;"&amp;S951)+1)</f>
        <v/>
      </c>
      <c r="Z951" s="87">
        <f>COUNTIFS($B$2:$B$976,B951,$C$2:$C$976,C951,$S$2:$S$976,"&lt;"&amp;S951)+1</f>
        <v/>
      </c>
      <c r="AA951" s="88">
        <f>ABS(S951-SUMPRODUCT(('05B_가정검정'!$A$5:$A$19=B951)*('05B_가정검정'!$B$5:$B$19=C951)*'05B_가정검정'!$E$5:$E$19))</f>
        <v/>
      </c>
      <c r="AB951" s="88">
        <f>S951-AVERAGEIFS($S$2:$S$976,$B$2:$B$976,B951,$C$2:$C$976,C951)</f>
        <v/>
      </c>
    </row>
    <row r="952" ht="15" customHeight="1" s="68">
      <c r="A952" s="83" t="inlineStr">
        <is>
          <t>RPT-33</t>
        </is>
      </c>
      <c r="B952" s="83" t="inlineStr">
        <is>
          <t>claude</t>
        </is>
      </c>
      <c r="C952" s="83" t="inlineStr">
        <is>
          <t>qwen</t>
        </is>
      </c>
      <c r="D952" s="84" t="n">
        <v>0.277047522750253</v>
      </c>
      <c r="E952" s="84" t="n">
        <v>0.45</v>
      </c>
      <c r="F952" s="84" t="n">
        <v>0.19327731092437</v>
      </c>
      <c r="G952" s="84" t="n">
        <v>0.333333333333333</v>
      </c>
      <c r="H952" s="84" t="n">
        <v>0.33194586848705</v>
      </c>
      <c r="I952" s="84" t="n">
        <v>0.241892446534753</v>
      </c>
      <c r="J952" s="84" t="n">
        <v>0.728789116907306</v>
      </c>
      <c r="K952" s="84" t="n">
        <v>0.611098079084435</v>
      </c>
      <c r="L952" s="84" t="n">
        <v>0.821347165843577</v>
      </c>
      <c r="M952" s="84" t="n">
        <v>0.8</v>
      </c>
      <c r="N952" s="84" t="n">
        <v>0.829268292682927</v>
      </c>
      <c r="O952" s="84" t="n">
        <v>1</v>
      </c>
      <c r="P952" s="85">
        <f>AVERAGE(D952:I952)</f>
        <v/>
      </c>
      <c r="Q952" s="85">
        <f>AVERAGE(J952:L952)</f>
        <v/>
      </c>
      <c r="R952" s="85">
        <f>AVERAGE(M952:O952)</f>
        <v/>
      </c>
      <c r="S952" s="85">
        <f>'02_지표정의'!$C$22*P952+'02_지표정의'!$C$23*Q952+'02_지표정의'!$C$24*R952</f>
        <v/>
      </c>
      <c r="T952" s="73">
        <f>IF(OR(AND(B952="gemini",C952="gemma"),AND(B952="qwen3_6",C952="qwen"),AND(B952="mistral",C952="ministral")),1,0)</f>
        <v/>
      </c>
      <c r="U952" s="73">
        <f>IF(LEFT(A952,3)="PAT","특허","보고서")</f>
        <v/>
      </c>
      <c r="V952" s="86">
        <f>COUNTIF($S$2:$S$976,"&lt;"&amp;S952)+(COUNTIF($S$2:$S$976,"="&amp;S952)+1)/2</f>
        <v/>
      </c>
      <c r="W952" s="73">
        <f>IF(C952="qwen",0,COUNTIFS($C$2:$C$976,"&lt;&gt;qwen",$S$2:$S$976,"&lt;"&amp;S952)+1)</f>
        <v/>
      </c>
      <c r="X952" s="73">
        <f>IF(C952="ministral",0,COUNTIFS($C$2:$C$976,"&lt;&gt;ministral",$S$2:$S$976,"&lt;"&amp;S952)+1)</f>
        <v/>
      </c>
      <c r="Y952" s="73">
        <f>IF(C952="gemma",0,COUNTIFS($C$2:$C$976,"&lt;&gt;gemma",$S$2:$S$976,"&lt;"&amp;S952)+1)</f>
        <v/>
      </c>
      <c r="Z952" s="87">
        <f>COUNTIFS($B$2:$B$976,B952,$C$2:$C$976,C952,$S$2:$S$976,"&lt;"&amp;S952)+1</f>
        <v/>
      </c>
      <c r="AA952" s="88">
        <f>ABS(S952-SUMPRODUCT(('05B_가정검정'!$A$5:$A$19=B952)*('05B_가정검정'!$B$5:$B$19=C952)*'05B_가정검정'!$E$5:$E$19))</f>
        <v/>
      </c>
      <c r="AB952" s="88">
        <f>S952-AVERAGEIFS($S$2:$S$976,$B$2:$B$976,B952,$C$2:$C$976,C952)</f>
        <v/>
      </c>
    </row>
    <row r="953" ht="15" customHeight="1" s="68">
      <c r="A953" s="83" t="inlineStr">
        <is>
          <t>RPT-33</t>
        </is>
      </c>
      <c r="B953" s="83" t="inlineStr">
        <is>
          <t>gemini</t>
        </is>
      </c>
      <c r="C953" s="83" t="inlineStr">
        <is>
          <t>gemma</t>
        </is>
      </c>
      <c r="D953" s="84" t="n">
        <v>0.199243379571248</v>
      </c>
      <c r="E953" s="84" t="n">
        <v>0.376470588235294</v>
      </c>
      <c r="F953" s="84" t="n">
        <v>0.119047619047619</v>
      </c>
      <c r="G953" s="84" t="n">
        <v>0.294117647058824</v>
      </c>
      <c r="H953" s="84" t="n">
        <v>0.279580785125932</v>
      </c>
      <c r="I953" s="84" t="n">
        <v>0.111493871108571</v>
      </c>
      <c r="J953" s="84" t="n">
        <v>0.739619350922781</v>
      </c>
      <c r="K953" s="84" t="n">
        <v>0.7683001220375481</v>
      </c>
      <c r="L953" s="84" t="n">
        <v>0.88791164264822</v>
      </c>
      <c r="M953" s="84" t="n">
        <v>0.659863945578231</v>
      </c>
      <c r="N953" s="84" t="n">
        <v>0.785714285714286</v>
      </c>
      <c r="O953" s="84" t="n">
        <v>1</v>
      </c>
      <c r="P953" s="85">
        <f>AVERAGE(D953:I953)</f>
        <v/>
      </c>
      <c r="Q953" s="85">
        <f>AVERAGE(J953:L953)</f>
        <v/>
      </c>
      <c r="R953" s="85">
        <f>AVERAGE(M953:O953)</f>
        <v/>
      </c>
      <c r="S953" s="85">
        <f>'02_지표정의'!$C$22*P953+'02_지표정의'!$C$23*Q953+'02_지표정의'!$C$24*R953</f>
        <v/>
      </c>
      <c r="T953" s="73">
        <f>IF(OR(AND(B953="gemini",C953="gemma"),AND(B953="qwen3_6",C953="qwen"),AND(B953="mistral",C953="ministral")),1,0)</f>
        <v/>
      </c>
      <c r="U953" s="73">
        <f>IF(LEFT(A953,3)="PAT","특허","보고서")</f>
        <v/>
      </c>
      <c r="V953" s="86">
        <f>COUNTIF($S$2:$S$976,"&lt;"&amp;S953)+(COUNTIF($S$2:$S$976,"="&amp;S953)+1)/2</f>
        <v/>
      </c>
      <c r="W953" s="73">
        <f>IF(C953="qwen",0,COUNTIFS($C$2:$C$976,"&lt;&gt;qwen",$S$2:$S$976,"&lt;"&amp;S953)+1)</f>
        <v/>
      </c>
      <c r="X953" s="73">
        <f>IF(C953="ministral",0,COUNTIFS($C$2:$C$976,"&lt;&gt;ministral",$S$2:$S$976,"&lt;"&amp;S953)+1)</f>
        <v/>
      </c>
      <c r="Y953" s="73">
        <f>IF(C953="gemma",0,COUNTIFS($C$2:$C$976,"&lt;&gt;gemma",$S$2:$S$976,"&lt;"&amp;S953)+1)</f>
        <v/>
      </c>
      <c r="Z953" s="87">
        <f>COUNTIFS($B$2:$B$976,B953,$C$2:$C$976,C953,$S$2:$S$976,"&lt;"&amp;S953)+1</f>
        <v/>
      </c>
      <c r="AA953" s="88">
        <f>ABS(S953-SUMPRODUCT(('05B_가정검정'!$A$5:$A$19=B953)*('05B_가정검정'!$B$5:$B$19=C953)*'05B_가정검정'!$E$5:$E$19))</f>
        <v/>
      </c>
      <c r="AB953" s="88">
        <f>S953-AVERAGEIFS($S$2:$S$976,$B$2:$B$976,B953,$C$2:$C$976,C953)</f>
        <v/>
      </c>
    </row>
    <row r="954" ht="15" customHeight="1" s="68">
      <c r="A954" s="83" t="inlineStr">
        <is>
          <t>RPT-33</t>
        </is>
      </c>
      <c r="B954" s="83" t="inlineStr">
        <is>
          <t>gemini</t>
        </is>
      </c>
      <c r="C954" s="83" t="inlineStr">
        <is>
          <t>ministral</t>
        </is>
      </c>
      <c r="D954" s="84" t="n">
        <v>0.238636363636364</v>
      </c>
      <c r="E954" s="84" t="n">
        <v>0.388349514563107</v>
      </c>
      <c r="F954" s="84" t="n">
        <v>0.205882352941177</v>
      </c>
      <c r="G954" s="84" t="n">
        <v>0.339805825242719</v>
      </c>
      <c r="H954" s="84" t="n">
        <v>0.214455905379739</v>
      </c>
      <c r="I954" s="84" t="n">
        <v>0.197739078763163</v>
      </c>
      <c r="J954" s="84" t="n">
        <v>0.753370705320959</v>
      </c>
      <c r="K954" s="84" t="n">
        <v>0.76677110745138</v>
      </c>
      <c r="L954" s="84" t="n">
        <v>0.892505008436174</v>
      </c>
      <c r="M954" s="84" t="n">
        <v>0.32013201320132</v>
      </c>
      <c r="N954" s="84" t="n">
        <v>0.309352517985612</v>
      </c>
      <c r="O954" s="84" t="n">
        <v>0.6052631578947369</v>
      </c>
      <c r="P954" s="85">
        <f>AVERAGE(D954:I954)</f>
        <v/>
      </c>
      <c r="Q954" s="85">
        <f>AVERAGE(J954:L954)</f>
        <v/>
      </c>
      <c r="R954" s="85">
        <f>AVERAGE(M954:O954)</f>
        <v/>
      </c>
      <c r="S954" s="85">
        <f>'02_지표정의'!$C$22*P954+'02_지표정의'!$C$23*Q954+'02_지표정의'!$C$24*R954</f>
        <v/>
      </c>
      <c r="T954" s="73">
        <f>IF(OR(AND(B954="gemini",C954="gemma"),AND(B954="qwen3_6",C954="qwen"),AND(B954="mistral",C954="ministral")),1,0)</f>
        <v/>
      </c>
      <c r="U954" s="73">
        <f>IF(LEFT(A954,3)="PAT","특허","보고서")</f>
        <v/>
      </c>
      <c r="V954" s="86">
        <f>COUNTIF($S$2:$S$976,"&lt;"&amp;S954)+(COUNTIF($S$2:$S$976,"="&amp;S954)+1)/2</f>
        <v/>
      </c>
      <c r="W954" s="73">
        <f>IF(C954="qwen",0,COUNTIFS($C$2:$C$976,"&lt;&gt;qwen",$S$2:$S$976,"&lt;"&amp;S954)+1)</f>
        <v/>
      </c>
      <c r="X954" s="73">
        <f>IF(C954="ministral",0,COUNTIFS($C$2:$C$976,"&lt;&gt;ministral",$S$2:$S$976,"&lt;"&amp;S954)+1)</f>
        <v/>
      </c>
      <c r="Y954" s="73">
        <f>IF(C954="gemma",0,COUNTIFS($C$2:$C$976,"&lt;&gt;gemma",$S$2:$S$976,"&lt;"&amp;S954)+1)</f>
        <v/>
      </c>
      <c r="Z954" s="87">
        <f>COUNTIFS($B$2:$B$976,B954,$C$2:$C$976,C954,$S$2:$S$976,"&lt;"&amp;S954)+1</f>
        <v/>
      </c>
      <c r="AA954" s="88">
        <f>ABS(S954-SUMPRODUCT(('05B_가정검정'!$A$5:$A$19=B954)*('05B_가정검정'!$B$5:$B$19=C954)*'05B_가정검정'!$E$5:$E$19))</f>
        <v/>
      </c>
      <c r="AB954" s="88">
        <f>S954-AVERAGEIFS($S$2:$S$976,$B$2:$B$976,B954,$C$2:$C$976,C954)</f>
        <v/>
      </c>
    </row>
    <row r="955" ht="15" customHeight="1" s="68">
      <c r="A955" s="83" t="inlineStr">
        <is>
          <t>RPT-33</t>
        </is>
      </c>
      <c r="B955" s="83" t="inlineStr">
        <is>
          <t>gemini</t>
        </is>
      </c>
      <c r="C955" s="83" t="inlineStr">
        <is>
          <t>qwen</t>
        </is>
      </c>
      <c r="D955" s="84" t="n">
        <v>0.264864864864865</v>
      </c>
      <c r="E955" s="84" t="n">
        <v>0.497109826589595</v>
      </c>
      <c r="F955" s="84" t="n">
        <v>0.210526315789474</v>
      </c>
      <c r="G955" s="84" t="n">
        <v>0.358381502890173</v>
      </c>
      <c r="H955" s="84" t="n">
        <v>0.32393947679795</v>
      </c>
      <c r="I955" s="84" t="n">
        <v>0.351688625211742</v>
      </c>
      <c r="J955" s="84" t="n">
        <v>0.782339614985969</v>
      </c>
      <c r="K955" s="84" t="n">
        <v>0.726911950382867</v>
      </c>
      <c r="L955" s="84" t="n">
        <v>0.862313023568577</v>
      </c>
      <c r="M955" s="84" t="n">
        <v>0.702898550724638</v>
      </c>
      <c r="N955" s="84" t="n">
        <v>0.679012345679012</v>
      </c>
      <c r="O955" s="84" t="n">
        <v>1</v>
      </c>
      <c r="P955" s="85">
        <f>AVERAGE(D955:I955)</f>
        <v/>
      </c>
      <c r="Q955" s="85">
        <f>AVERAGE(J955:L955)</f>
        <v/>
      </c>
      <c r="R955" s="85">
        <f>AVERAGE(M955:O955)</f>
        <v/>
      </c>
      <c r="S955" s="85">
        <f>'02_지표정의'!$C$22*P955+'02_지표정의'!$C$23*Q955+'02_지표정의'!$C$24*R955</f>
        <v/>
      </c>
      <c r="T955" s="73">
        <f>IF(OR(AND(B955="gemini",C955="gemma"),AND(B955="qwen3_6",C955="qwen"),AND(B955="mistral",C955="ministral")),1,0)</f>
        <v/>
      </c>
      <c r="U955" s="73">
        <f>IF(LEFT(A955,3)="PAT","특허","보고서")</f>
        <v/>
      </c>
      <c r="V955" s="86">
        <f>COUNTIF($S$2:$S$976,"&lt;"&amp;S955)+(COUNTIF($S$2:$S$976,"="&amp;S955)+1)/2</f>
        <v/>
      </c>
      <c r="W955" s="73">
        <f>IF(C955="qwen",0,COUNTIFS($C$2:$C$976,"&lt;&gt;qwen",$S$2:$S$976,"&lt;"&amp;S955)+1)</f>
        <v/>
      </c>
      <c r="X955" s="73">
        <f>IF(C955="ministral",0,COUNTIFS($C$2:$C$976,"&lt;&gt;ministral",$S$2:$S$976,"&lt;"&amp;S955)+1)</f>
        <v/>
      </c>
      <c r="Y955" s="73">
        <f>IF(C955="gemma",0,COUNTIFS($C$2:$C$976,"&lt;&gt;gemma",$S$2:$S$976,"&lt;"&amp;S955)+1)</f>
        <v/>
      </c>
      <c r="Z955" s="87">
        <f>COUNTIFS($B$2:$B$976,B955,$C$2:$C$976,C955,$S$2:$S$976,"&lt;"&amp;S955)+1</f>
        <v/>
      </c>
      <c r="AA955" s="88">
        <f>ABS(S955-SUMPRODUCT(('05B_가정검정'!$A$5:$A$19=B955)*('05B_가정검정'!$B$5:$B$19=C955)*'05B_가정검정'!$E$5:$E$19))</f>
        <v/>
      </c>
      <c r="AB955" s="88">
        <f>S955-AVERAGEIFS($S$2:$S$976,$B$2:$B$976,B955,$C$2:$C$976,C955)</f>
        <v/>
      </c>
    </row>
    <row r="956" ht="15" customHeight="1" s="68">
      <c r="A956" s="83" t="inlineStr">
        <is>
          <t>RPT-33</t>
        </is>
      </c>
      <c r="B956" s="83" t="inlineStr">
        <is>
          <t>mistral</t>
        </is>
      </c>
      <c r="C956" s="83" t="inlineStr">
        <is>
          <t>gemma</t>
        </is>
      </c>
      <c r="D956" s="84" t="n">
        <v>0.236744759556104</v>
      </c>
      <c r="E956" s="84" t="n">
        <v>0.324324324324324</v>
      </c>
      <c r="F956" s="84" t="n">
        <v>0.109289617486339</v>
      </c>
      <c r="G956" s="84" t="n">
        <v>0.259459459459459</v>
      </c>
      <c r="H956" s="84" t="n">
        <v>0.302913879591301</v>
      </c>
      <c r="I956" s="84" t="n">
        <v>0.0941449649731923</v>
      </c>
      <c r="J956" s="84" t="n">
        <v>0.652781079445787</v>
      </c>
      <c r="K956" s="84" t="n">
        <v>0.6468296975092001</v>
      </c>
      <c r="L956" s="84" t="n">
        <v>0.819341321976183</v>
      </c>
      <c r="M956" s="84" t="n">
        <v>0.748466257668712</v>
      </c>
      <c r="N956" s="84" t="n">
        <v>0.710843373493976</v>
      </c>
      <c r="O956" s="84" t="n">
        <v>1</v>
      </c>
      <c r="P956" s="85">
        <f>AVERAGE(D956:I956)</f>
        <v/>
      </c>
      <c r="Q956" s="85">
        <f>AVERAGE(J956:L956)</f>
        <v/>
      </c>
      <c r="R956" s="85">
        <f>AVERAGE(M956:O956)</f>
        <v/>
      </c>
      <c r="S956" s="85">
        <f>'02_지표정의'!$C$22*P956+'02_지표정의'!$C$23*Q956+'02_지표정의'!$C$24*R956</f>
        <v/>
      </c>
      <c r="T956" s="73">
        <f>IF(OR(AND(B956="gemini",C956="gemma"),AND(B956="qwen3_6",C956="qwen"),AND(B956="mistral",C956="ministral")),1,0)</f>
        <v/>
      </c>
      <c r="U956" s="73">
        <f>IF(LEFT(A956,3)="PAT","특허","보고서")</f>
        <v/>
      </c>
      <c r="V956" s="86">
        <f>COUNTIF($S$2:$S$976,"&lt;"&amp;S956)+(COUNTIF($S$2:$S$976,"="&amp;S956)+1)/2</f>
        <v/>
      </c>
      <c r="W956" s="73">
        <f>IF(C956="qwen",0,COUNTIFS($C$2:$C$976,"&lt;&gt;qwen",$S$2:$S$976,"&lt;"&amp;S956)+1)</f>
        <v/>
      </c>
      <c r="X956" s="73">
        <f>IF(C956="ministral",0,COUNTIFS($C$2:$C$976,"&lt;&gt;ministral",$S$2:$S$976,"&lt;"&amp;S956)+1)</f>
        <v/>
      </c>
      <c r="Y956" s="73">
        <f>IF(C956="gemma",0,COUNTIFS($C$2:$C$976,"&lt;&gt;gemma",$S$2:$S$976,"&lt;"&amp;S956)+1)</f>
        <v/>
      </c>
      <c r="Z956" s="87">
        <f>COUNTIFS($B$2:$B$976,B956,$C$2:$C$976,C956,$S$2:$S$976,"&lt;"&amp;S956)+1</f>
        <v/>
      </c>
      <c r="AA956" s="88">
        <f>ABS(S956-SUMPRODUCT(('05B_가정검정'!$A$5:$A$19=B956)*('05B_가정검정'!$B$5:$B$19=C956)*'05B_가정검정'!$E$5:$E$19))</f>
        <v/>
      </c>
      <c r="AB956" s="88">
        <f>S956-AVERAGEIFS($S$2:$S$976,$B$2:$B$976,B956,$C$2:$C$976,C956)</f>
        <v/>
      </c>
    </row>
    <row r="957" ht="15" customHeight="1" s="68">
      <c r="A957" s="83" t="inlineStr">
        <is>
          <t>RPT-33</t>
        </is>
      </c>
      <c r="B957" s="83" t="inlineStr">
        <is>
          <t>mistral</t>
        </is>
      </c>
      <c r="C957" s="83" t="inlineStr">
        <is>
          <t>ministral</t>
        </is>
      </c>
      <c r="D957" s="84" t="n">
        <v>0.365650969529086</v>
      </c>
      <c r="E957" s="84" t="n">
        <v>0.416289592760181</v>
      </c>
      <c r="F957" s="84" t="n">
        <v>0.28310502283105</v>
      </c>
      <c r="G957" s="84" t="n">
        <v>0.389140271493213</v>
      </c>
      <c r="H957" s="84" t="n">
        <v>0.279951881986253</v>
      </c>
      <c r="I957" s="84" t="n">
        <v>0.450996822113668</v>
      </c>
      <c r="J957" s="84" t="n">
        <v>0.68827927923425</v>
      </c>
      <c r="K957" s="84" t="n">
        <v>0.664846972548952</v>
      </c>
      <c r="L957" s="84" t="n">
        <v>0.770167311316114</v>
      </c>
      <c r="M957" s="84" t="n">
        <v>0.468646864686469</v>
      </c>
      <c r="N957" s="84" t="n">
        <v>0.359712230215827</v>
      </c>
      <c r="O957" s="84" t="n">
        <v>0.6052631578947369</v>
      </c>
      <c r="P957" s="85">
        <f>AVERAGE(D957:I957)</f>
        <v/>
      </c>
      <c r="Q957" s="85">
        <f>AVERAGE(J957:L957)</f>
        <v/>
      </c>
      <c r="R957" s="85">
        <f>AVERAGE(M957:O957)</f>
        <v/>
      </c>
      <c r="S957" s="85">
        <f>'02_지표정의'!$C$22*P957+'02_지표정의'!$C$23*Q957+'02_지표정의'!$C$24*R957</f>
        <v/>
      </c>
      <c r="T957" s="73">
        <f>IF(OR(AND(B957="gemini",C957="gemma"),AND(B957="qwen3_6",C957="qwen"),AND(B957="mistral",C957="ministral")),1,0)</f>
        <v/>
      </c>
      <c r="U957" s="73">
        <f>IF(LEFT(A957,3)="PAT","특허","보고서")</f>
        <v/>
      </c>
      <c r="V957" s="86">
        <f>COUNTIF($S$2:$S$976,"&lt;"&amp;S957)+(COUNTIF($S$2:$S$976,"="&amp;S957)+1)/2</f>
        <v/>
      </c>
      <c r="W957" s="73">
        <f>IF(C957="qwen",0,COUNTIFS($C$2:$C$976,"&lt;&gt;qwen",$S$2:$S$976,"&lt;"&amp;S957)+1)</f>
        <v/>
      </c>
      <c r="X957" s="73">
        <f>IF(C957="ministral",0,COUNTIFS($C$2:$C$976,"&lt;&gt;ministral",$S$2:$S$976,"&lt;"&amp;S957)+1)</f>
        <v/>
      </c>
      <c r="Y957" s="73">
        <f>IF(C957="gemma",0,COUNTIFS($C$2:$C$976,"&lt;&gt;gemma",$S$2:$S$976,"&lt;"&amp;S957)+1)</f>
        <v/>
      </c>
      <c r="Z957" s="87">
        <f>COUNTIFS($B$2:$B$976,B957,$C$2:$C$976,C957,$S$2:$S$976,"&lt;"&amp;S957)+1</f>
        <v/>
      </c>
      <c r="AA957" s="88">
        <f>ABS(S957-SUMPRODUCT(('05B_가정검정'!$A$5:$A$19=B957)*('05B_가정검정'!$B$5:$B$19=C957)*'05B_가정검정'!$E$5:$E$19))</f>
        <v/>
      </c>
      <c r="AB957" s="88">
        <f>S957-AVERAGEIFS($S$2:$S$976,$B$2:$B$976,B957,$C$2:$C$976,C957)</f>
        <v/>
      </c>
    </row>
    <row r="958" ht="15" customHeight="1" s="68">
      <c r="A958" s="83" t="inlineStr">
        <is>
          <t>RPT-33</t>
        </is>
      </c>
      <c r="B958" s="83" t="inlineStr">
        <is>
          <t>mistral</t>
        </is>
      </c>
      <c r="C958" s="83" t="inlineStr">
        <is>
          <t>qwen</t>
        </is>
      </c>
      <c r="D958" s="84" t="n">
        <v>0.327176781002639</v>
      </c>
      <c r="E958" s="84" t="n">
        <v>0.425531914893617</v>
      </c>
      <c r="F958" s="84" t="n">
        <v>0.172043010752688</v>
      </c>
      <c r="G958" s="84" t="n">
        <v>0.372340425531915</v>
      </c>
      <c r="H958" s="84" t="n">
        <v>0.353410260967553</v>
      </c>
      <c r="I958" s="84" t="n">
        <v>0.151426432054763</v>
      </c>
      <c r="J958" s="84" t="n">
        <v>0.680836441577123</v>
      </c>
      <c r="K958" s="84" t="n">
        <v>0.623517990778738</v>
      </c>
      <c r="L958" s="84" t="n">
        <v>0.824897023792845</v>
      </c>
      <c r="M958" s="84" t="n">
        <v>0.496932515337423</v>
      </c>
      <c r="N958" s="84" t="n">
        <v>0.337349397590361</v>
      </c>
      <c r="O958" s="84" t="n">
        <v>1</v>
      </c>
      <c r="P958" s="85">
        <f>AVERAGE(D958:I958)</f>
        <v/>
      </c>
      <c r="Q958" s="85">
        <f>AVERAGE(J958:L958)</f>
        <v/>
      </c>
      <c r="R958" s="85">
        <f>AVERAGE(M958:O958)</f>
        <v/>
      </c>
      <c r="S958" s="85">
        <f>'02_지표정의'!$C$22*P958+'02_지표정의'!$C$23*Q958+'02_지표정의'!$C$24*R958</f>
        <v/>
      </c>
      <c r="T958" s="73">
        <f>IF(OR(AND(B958="gemini",C958="gemma"),AND(B958="qwen3_6",C958="qwen"),AND(B958="mistral",C958="ministral")),1,0)</f>
        <v/>
      </c>
      <c r="U958" s="73">
        <f>IF(LEFT(A958,3)="PAT","특허","보고서")</f>
        <v/>
      </c>
      <c r="V958" s="86">
        <f>COUNTIF($S$2:$S$976,"&lt;"&amp;S958)+(COUNTIF($S$2:$S$976,"="&amp;S958)+1)/2</f>
        <v/>
      </c>
      <c r="W958" s="73">
        <f>IF(C958="qwen",0,COUNTIFS($C$2:$C$976,"&lt;&gt;qwen",$S$2:$S$976,"&lt;"&amp;S958)+1)</f>
        <v/>
      </c>
      <c r="X958" s="73">
        <f>IF(C958="ministral",0,COUNTIFS($C$2:$C$976,"&lt;&gt;ministral",$S$2:$S$976,"&lt;"&amp;S958)+1)</f>
        <v/>
      </c>
      <c r="Y958" s="73">
        <f>IF(C958="gemma",0,COUNTIFS($C$2:$C$976,"&lt;&gt;gemma",$S$2:$S$976,"&lt;"&amp;S958)+1)</f>
        <v/>
      </c>
      <c r="Z958" s="87">
        <f>COUNTIFS($B$2:$B$976,B958,$C$2:$C$976,C958,$S$2:$S$976,"&lt;"&amp;S958)+1</f>
        <v/>
      </c>
      <c r="AA958" s="88">
        <f>ABS(S958-SUMPRODUCT(('05B_가정검정'!$A$5:$A$19=B958)*('05B_가정검정'!$B$5:$B$19=C958)*'05B_가정검정'!$E$5:$E$19))</f>
        <v/>
      </c>
      <c r="AB958" s="88">
        <f>S958-AVERAGEIFS($S$2:$S$976,$B$2:$B$976,B958,$C$2:$C$976,C958)</f>
        <v/>
      </c>
    </row>
    <row r="959" ht="15" customHeight="1" s="68">
      <c r="A959" s="83" t="inlineStr">
        <is>
          <t>RPT-33</t>
        </is>
      </c>
      <c r="B959" s="83" t="inlineStr">
        <is>
          <t>qwen3_6</t>
        </is>
      </c>
      <c r="C959" s="83" t="inlineStr">
        <is>
          <t>gemma</t>
        </is>
      </c>
      <c r="D959" s="84" t="n">
        <v>0.202325581395349</v>
      </c>
      <c r="E959" s="84" t="n">
        <v>0.346938775510204</v>
      </c>
      <c r="F959" s="84" t="n">
        <v>0.103092783505155</v>
      </c>
      <c r="G959" s="84" t="n">
        <v>0.255102040816327</v>
      </c>
      <c r="H959" s="84" t="n">
        <v>0.356139612131667</v>
      </c>
      <c r="I959" s="84" t="n">
        <v>0.121121171563955</v>
      </c>
      <c r="J959" s="84" t="n">
        <v>0.755746414283451</v>
      </c>
      <c r="K959" s="84" t="n">
        <v>0.681562951486913</v>
      </c>
      <c r="L959" s="84" t="n">
        <v>0.85478885570467</v>
      </c>
      <c r="M959" s="84" t="n">
        <v>0.659863945578231</v>
      </c>
      <c r="N959" s="84" t="n">
        <v>0.785714285714286</v>
      </c>
      <c r="O959" s="84" t="n">
        <v>1</v>
      </c>
      <c r="P959" s="85">
        <f>AVERAGE(D959:I959)</f>
        <v/>
      </c>
      <c r="Q959" s="85">
        <f>AVERAGE(J959:L959)</f>
        <v/>
      </c>
      <c r="R959" s="85">
        <f>AVERAGE(M959:O959)</f>
        <v/>
      </c>
      <c r="S959" s="85">
        <f>'02_지표정의'!$C$22*P959+'02_지표정의'!$C$23*Q959+'02_지표정의'!$C$24*R959</f>
        <v/>
      </c>
      <c r="T959" s="73">
        <f>IF(OR(AND(B959="gemini",C959="gemma"),AND(B959="qwen3_6",C959="qwen"),AND(B959="mistral",C959="ministral")),1,0)</f>
        <v/>
      </c>
      <c r="U959" s="73">
        <f>IF(LEFT(A959,3)="PAT","특허","보고서")</f>
        <v/>
      </c>
      <c r="V959" s="86">
        <f>COUNTIF($S$2:$S$976,"&lt;"&amp;S959)+(COUNTIF($S$2:$S$976,"="&amp;S959)+1)/2</f>
        <v/>
      </c>
      <c r="W959" s="73">
        <f>IF(C959="qwen",0,COUNTIFS($C$2:$C$976,"&lt;&gt;qwen",$S$2:$S$976,"&lt;"&amp;S959)+1)</f>
        <v/>
      </c>
      <c r="X959" s="73">
        <f>IF(C959="ministral",0,COUNTIFS($C$2:$C$976,"&lt;&gt;ministral",$S$2:$S$976,"&lt;"&amp;S959)+1)</f>
        <v/>
      </c>
      <c r="Y959" s="73">
        <f>IF(C959="gemma",0,COUNTIFS($C$2:$C$976,"&lt;&gt;gemma",$S$2:$S$976,"&lt;"&amp;S959)+1)</f>
        <v/>
      </c>
      <c r="Z959" s="87">
        <f>COUNTIFS($B$2:$B$976,B959,$C$2:$C$976,C959,$S$2:$S$976,"&lt;"&amp;S959)+1</f>
        <v/>
      </c>
      <c r="AA959" s="88">
        <f>ABS(S959-SUMPRODUCT(('05B_가정검정'!$A$5:$A$19=B959)*('05B_가정검정'!$B$5:$B$19=C959)*'05B_가정검정'!$E$5:$E$19))</f>
        <v/>
      </c>
      <c r="AB959" s="88">
        <f>S959-AVERAGEIFS($S$2:$S$976,$B$2:$B$976,B959,$C$2:$C$976,C959)</f>
        <v/>
      </c>
    </row>
    <row r="960" ht="15" customHeight="1" s="68">
      <c r="A960" s="83" t="inlineStr">
        <is>
          <t>RPT-33</t>
        </is>
      </c>
      <c r="B960" s="83" t="inlineStr">
        <is>
          <t>qwen3_6</t>
        </is>
      </c>
      <c r="C960" s="83" t="inlineStr">
        <is>
          <t>ministral</t>
        </is>
      </c>
      <c r="D960" s="84" t="n">
        <v>0.223086900129702</v>
      </c>
      <c r="E960" s="84" t="n">
        <v>0.370689655172414</v>
      </c>
      <c r="F960" s="84" t="n">
        <v>0.191304347826087</v>
      </c>
      <c r="G960" s="84" t="n">
        <v>0.301724137931035</v>
      </c>
      <c r="H960" s="84" t="n">
        <v>0.248964070128169</v>
      </c>
      <c r="I960" s="84" t="n">
        <v>0.238303175694448</v>
      </c>
      <c r="J960" s="84" t="n">
        <v>0.7208736520046271</v>
      </c>
      <c r="K960" s="84" t="n">
        <v>0.659146170100518</v>
      </c>
      <c r="L960" s="84" t="n">
        <v>0.83032474371926</v>
      </c>
      <c r="M960" s="84" t="n">
        <v>0.32013201320132</v>
      </c>
      <c r="N960" s="84" t="n">
        <v>0.309352517985612</v>
      </c>
      <c r="O960" s="84" t="n">
        <v>0.6052631578947369</v>
      </c>
      <c r="P960" s="85">
        <f>AVERAGE(D960:I960)</f>
        <v/>
      </c>
      <c r="Q960" s="85">
        <f>AVERAGE(J960:L960)</f>
        <v/>
      </c>
      <c r="R960" s="85">
        <f>AVERAGE(M960:O960)</f>
        <v/>
      </c>
      <c r="S960" s="85">
        <f>'02_지표정의'!$C$22*P960+'02_지표정의'!$C$23*Q960+'02_지표정의'!$C$24*R960</f>
        <v/>
      </c>
      <c r="T960" s="73">
        <f>IF(OR(AND(B960="gemini",C960="gemma"),AND(B960="qwen3_6",C960="qwen"),AND(B960="mistral",C960="ministral")),1,0)</f>
        <v/>
      </c>
      <c r="U960" s="73">
        <f>IF(LEFT(A960,3)="PAT","특허","보고서")</f>
        <v/>
      </c>
      <c r="V960" s="86">
        <f>COUNTIF($S$2:$S$976,"&lt;"&amp;S960)+(COUNTIF($S$2:$S$976,"="&amp;S960)+1)/2</f>
        <v/>
      </c>
      <c r="W960" s="73">
        <f>IF(C960="qwen",0,COUNTIFS($C$2:$C$976,"&lt;&gt;qwen",$S$2:$S$976,"&lt;"&amp;S960)+1)</f>
        <v/>
      </c>
      <c r="X960" s="73">
        <f>IF(C960="ministral",0,COUNTIFS($C$2:$C$976,"&lt;&gt;ministral",$S$2:$S$976,"&lt;"&amp;S960)+1)</f>
        <v/>
      </c>
      <c r="Y960" s="73">
        <f>IF(C960="gemma",0,COUNTIFS($C$2:$C$976,"&lt;&gt;gemma",$S$2:$S$976,"&lt;"&amp;S960)+1)</f>
        <v/>
      </c>
      <c r="Z960" s="87">
        <f>COUNTIFS($B$2:$B$976,B960,$C$2:$C$976,C960,$S$2:$S$976,"&lt;"&amp;S960)+1</f>
        <v/>
      </c>
      <c r="AA960" s="88">
        <f>ABS(S960-SUMPRODUCT(('05B_가정검정'!$A$5:$A$19=B960)*('05B_가정검정'!$B$5:$B$19=C960)*'05B_가정검정'!$E$5:$E$19))</f>
        <v/>
      </c>
      <c r="AB960" s="88">
        <f>S960-AVERAGEIFS($S$2:$S$976,$B$2:$B$976,B960,$C$2:$C$976,C960)</f>
        <v/>
      </c>
    </row>
    <row r="961" ht="15" customHeight="1" s="68">
      <c r="A961" s="83" t="inlineStr">
        <is>
          <t>RPT-33</t>
        </is>
      </c>
      <c r="B961" s="83" t="inlineStr">
        <is>
          <t>qwen3_6</t>
        </is>
      </c>
      <c r="C961" s="83" t="inlineStr">
        <is>
          <t>qwen</t>
        </is>
      </c>
      <c r="D961" s="84" t="n">
        <v>0.275092936802974</v>
      </c>
      <c r="E961" s="84" t="n">
        <v>0.482412060301508</v>
      </c>
      <c r="F961" s="84" t="n">
        <v>0.223350253807107</v>
      </c>
      <c r="G961" s="84" t="n">
        <v>0.371859296482412</v>
      </c>
      <c r="H961" s="84" t="n">
        <v>0.377899038043752</v>
      </c>
      <c r="I961" s="84" t="n">
        <v>0.386762803253932</v>
      </c>
      <c r="J961" s="84" t="n">
        <v>0.733410038528202</v>
      </c>
      <c r="K961" s="84" t="n">
        <v>0.6617812369079999</v>
      </c>
      <c r="L961" s="84" t="n">
        <v>0.852548589813212</v>
      </c>
      <c r="M961" s="84" t="n">
        <v>0.702898550724638</v>
      </c>
      <c r="N961" s="84" t="n">
        <v>0.679012345679012</v>
      </c>
      <c r="O961" s="84" t="n">
        <v>1</v>
      </c>
      <c r="P961" s="85">
        <f>AVERAGE(D961:I961)</f>
        <v/>
      </c>
      <c r="Q961" s="85">
        <f>AVERAGE(J961:L961)</f>
        <v/>
      </c>
      <c r="R961" s="85">
        <f>AVERAGE(M961:O961)</f>
        <v/>
      </c>
      <c r="S961" s="85">
        <f>'02_지표정의'!$C$22*P961+'02_지표정의'!$C$23*Q961+'02_지표정의'!$C$24*R961</f>
        <v/>
      </c>
      <c r="T961" s="73">
        <f>IF(OR(AND(B961="gemini",C961="gemma"),AND(B961="qwen3_6",C961="qwen"),AND(B961="mistral",C961="ministral")),1,0)</f>
        <v/>
      </c>
      <c r="U961" s="73">
        <f>IF(LEFT(A961,3)="PAT","특허","보고서")</f>
        <v/>
      </c>
      <c r="V961" s="86">
        <f>COUNTIF($S$2:$S$976,"&lt;"&amp;S961)+(COUNTIF($S$2:$S$976,"="&amp;S961)+1)/2</f>
        <v/>
      </c>
      <c r="W961" s="73">
        <f>IF(C961="qwen",0,COUNTIFS($C$2:$C$976,"&lt;&gt;qwen",$S$2:$S$976,"&lt;"&amp;S961)+1)</f>
        <v/>
      </c>
      <c r="X961" s="73">
        <f>IF(C961="ministral",0,COUNTIFS($C$2:$C$976,"&lt;&gt;ministral",$S$2:$S$976,"&lt;"&amp;S961)+1)</f>
        <v/>
      </c>
      <c r="Y961" s="73">
        <f>IF(C961="gemma",0,COUNTIFS($C$2:$C$976,"&lt;&gt;gemma",$S$2:$S$976,"&lt;"&amp;S961)+1)</f>
        <v/>
      </c>
      <c r="Z961" s="87">
        <f>COUNTIFS($B$2:$B$976,B961,$C$2:$C$976,C961,$S$2:$S$976,"&lt;"&amp;S961)+1</f>
        <v/>
      </c>
      <c r="AA961" s="88">
        <f>ABS(S961-SUMPRODUCT(('05B_가정검정'!$A$5:$A$19=B961)*('05B_가정검정'!$B$5:$B$19=C961)*'05B_가정검정'!$E$5:$E$19))</f>
        <v/>
      </c>
      <c r="AB961" s="88">
        <f>S961-AVERAGEIFS($S$2:$S$976,$B$2:$B$976,B961,$C$2:$C$976,C961)</f>
        <v/>
      </c>
    </row>
    <row r="962" ht="15" customHeight="1" s="68">
      <c r="A962" s="83" t="inlineStr">
        <is>
          <t>RPT-34</t>
        </is>
      </c>
      <c r="B962" s="83" t="inlineStr">
        <is>
          <t>chatgpt</t>
        </is>
      </c>
      <c r="C962" s="83" t="inlineStr">
        <is>
          <t>gemma</t>
        </is>
      </c>
      <c r="D962" s="84" t="n">
        <v>0.276150627615063</v>
      </c>
      <c r="E962" s="84" t="n">
        <v>0.398467432950192</v>
      </c>
      <c r="F962" s="84" t="n">
        <v>0.138996138996139</v>
      </c>
      <c r="G962" s="84" t="n">
        <v>0.268199233716475</v>
      </c>
      <c r="H962" s="84" t="n">
        <v>0.258681420341673</v>
      </c>
      <c r="I962" s="84" t="n">
        <v>0.230044114805911</v>
      </c>
      <c r="J962" s="84" t="n">
        <v>0.706951248954976</v>
      </c>
      <c r="K962" s="84" t="n">
        <v>0.585423083899982</v>
      </c>
      <c r="L962" s="84" t="n">
        <v>0.758889096213533</v>
      </c>
      <c r="M962" s="84" t="n">
        <v>0.515151515151515</v>
      </c>
      <c r="N962" s="84" t="n">
        <v>0.213483146067416</v>
      </c>
      <c r="O962" s="84" t="n">
        <v>1</v>
      </c>
      <c r="P962" s="85">
        <f>AVERAGE(D962:I962)</f>
        <v/>
      </c>
      <c r="Q962" s="85">
        <f>AVERAGE(J962:L962)</f>
        <v/>
      </c>
      <c r="R962" s="85">
        <f>AVERAGE(M962:O962)</f>
        <v/>
      </c>
      <c r="S962" s="85">
        <f>'02_지표정의'!$C$22*P962+'02_지표정의'!$C$23*Q962+'02_지표정의'!$C$24*R962</f>
        <v/>
      </c>
      <c r="T962" s="73">
        <f>IF(OR(AND(B962="gemini",C962="gemma"),AND(B962="qwen3_6",C962="qwen"),AND(B962="mistral",C962="ministral")),1,0)</f>
        <v/>
      </c>
      <c r="U962" s="73">
        <f>IF(LEFT(A962,3)="PAT","특허","보고서")</f>
        <v/>
      </c>
      <c r="V962" s="86">
        <f>COUNTIF($S$2:$S$976,"&lt;"&amp;S962)+(COUNTIF($S$2:$S$976,"="&amp;S962)+1)/2</f>
        <v/>
      </c>
      <c r="W962" s="73">
        <f>IF(C962="qwen",0,COUNTIFS($C$2:$C$976,"&lt;&gt;qwen",$S$2:$S$976,"&lt;"&amp;S962)+1)</f>
        <v/>
      </c>
      <c r="X962" s="73">
        <f>IF(C962="ministral",0,COUNTIFS($C$2:$C$976,"&lt;&gt;ministral",$S$2:$S$976,"&lt;"&amp;S962)+1)</f>
        <v/>
      </c>
      <c r="Y962" s="73">
        <f>IF(C962="gemma",0,COUNTIFS($C$2:$C$976,"&lt;&gt;gemma",$S$2:$S$976,"&lt;"&amp;S962)+1)</f>
        <v/>
      </c>
      <c r="Z962" s="87">
        <f>COUNTIFS($B$2:$B$976,B962,$C$2:$C$976,C962,$S$2:$S$976,"&lt;"&amp;S962)+1</f>
        <v/>
      </c>
      <c r="AA962" s="88">
        <f>ABS(S962-SUMPRODUCT(('05B_가정검정'!$A$5:$A$19=B962)*('05B_가정검정'!$B$5:$B$19=C962)*'05B_가정검정'!$E$5:$E$19))</f>
        <v/>
      </c>
      <c r="AB962" s="88">
        <f>S962-AVERAGEIFS($S$2:$S$976,$B$2:$B$976,B962,$C$2:$C$976,C962)</f>
        <v/>
      </c>
    </row>
    <row r="963" ht="15" customHeight="1" s="68">
      <c r="A963" s="83" t="inlineStr">
        <is>
          <t>RPT-34</t>
        </is>
      </c>
      <c r="B963" s="83" t="inlineStr">
        <is>
          <t>chatgpt</t>
        </is>
      </c>
      <c r="C963" s="83" t="inlineStr">
        <is>
          <t>ministral</t>
        </is>
      </c>
      <c r="D963" s="84" t="n">
        <v>0.332225913621263</v>
      </c>
      <c r="E963" s="84" t="n">
        <v>0.348623853211009</v>
      </c>
      <c r="F963" s="84" t="n">
        <v>0.166153846153846</v>
      </c>
      <c r="G963" s="84" t="n">
        <v>0.275229357798165</v>
      </c>
      <c r="H963" s="84" t="n">
        <v>0.153462236017232</v>
      </c>
      <c r="I963" s="84" t="n">
        <v>0.335929119746075</v>
      </c>
      <c r="J963" s="84" t="n">
        <v>0.645999914359334</v>
      </c>
      <c r="K963" s="84" t="n">
        <v>0.723443721018398</v>
      </c>
      <c r="L963" s="84" t="n">
        <v>0.799992644852618</v>
      </c>
      <c r="M963" s="84" t="n">
        <v>0.409785932721713</v>
      </c>
      <c r="N963" s="84" t="n">
        <v>0</v>
      </c>
      <c r="O963" s="84" t="n">
        <v>0.526315789473684</v>
      </c>
      <c r="P963" s="85">
        <f>AVERAGE(D963:I963)</f>
        <v/>
      </c>
      <c r="Q963" s="85">
        <f>AVERAGE(J963:L963)</f>
        <v/>
      </c>
      <c r="R963" s="85">
        <f>AVERAGE(M963:O963)</f>
        <v/>
      </c>
      <c r="S963" s="85">
        <f>'02_지표정의'!$C$22*P963+'02_지표정의'!$C$23*Q963+'02_지표정의'!$C$24*R963</f>
        <v/>
      </c>
      <c r="T963" s="73">
        <f>IF(OR(AND(B963="gemini",C963="gemma"),AND(B963="qwen3_6",C963="qwen"),AND(B963="mistral",C963="ministral")),1,0)</f>
        <v/>
      </c>
      <c r="U963" s="73">
        <f>IF(LEFT(A963,3)="PAT","특허","보고서")</f>
        <v/>
      </c>
      <c r="V963" s="86">
        <f>COUNTIF($S$2:$S$976,"&lt;"&amp;S963)+(COUNTIF($S$2:$S$976,"="&amp;S963)+1)/2</f>
        <v/>
      </c>
      <c r="W963" s="73">
        <f>IF(C963="qwen",0,COUNTIFS($C$2:$C$976,"&lt;&gt;qwen",$S$2:$S$976,"&lt;"&amp;S963)+1)</f>
        <v/>
      </c>
      <c r="X963" s="73">
        <f>IF(C963="ministral",0,COUNTIFS($C$2:$C$976,"&lt;&gt;ministral",$S$2:$S$976,"&lt;"&amp;S963)+1)</f>
        <v/>
      </c>
      <c r="Y963" s="73">
        <f>IF(C963="gemma",0,COUNTIFS($C$2:$C$976,"&lt;&gt;gemma",$S$2:$S$976,"&lt;"&amp;S963)+1)</f>
        <v/>
      </c>
      <c r="Z963" s="87">
        <f>COUNTIFS($B$2:$B$976,B963,$C$2:$C$976,C963,$S$2:$S$976,"&lt;"&amp;S963)+1</f>
        <v/>
      </c>
      <c r="AA963" s="88">
        <f>ABS(S963-SUMPRODUCT(('05B_가정검정'!$A$5:$A$19=B963)*('05B_가정검정'!$B$5:$B$19=C963)*'05B_가정검정'!$E$5:$E$19))</f>
        <v/>
      </c>
      <c r="AB963" s="88">
        <f>S963-AVERAGEIFS($S$2:$S$976,$B$2:$B$976,B963,$C$2:$C$976,C963)</f>
        <v/>
      </c>
    </row>
    <row r="964" ht="15" customHeight="1" s="68">
      <c r="A964" s="83" t="inlineStr">
        <is>
          <t>RPT-34</t>
        </is>
      </c>
      <c r="B964" s="83" t="inlineStr">
        <is>
          <t>chatgpt</t>
        </is>
      </c>
      <c r="C964" s="83" t="inlineStr">
        <is>
          <t>qwen</t>
        </is>
      </c>
      <c r="D964" s="84" t="n">
        <v>0.352288488210818</v>
      </c>
      <c r="E964" s="84" t="n">
        <v>0.25089605734767</v>
      </c>
      <c r="F964" s="84" t="n">
        <v>0.122302158273381</v>
      </c>
      <c r="G964" s="84" t="n">
        <v>0.17921146953405</v>
      </c>
      <c r="H964" s="84" t="n">
        <v>0.18474820626447</v>
      </c>
      <c r="I964" s="84" t="n">
        <v>0.302996247908954</v>
      </c>
      <c r="J964" s="84" t="n">
        <v>0.61138758029435</v>
      </c>
      <c r="K964" s="84" t="n">
        <v>0.613915866495047</v>
      </c>
      <c r="L964" s="84" t="n">
        <v>0.77158041251888</v>
      </c>
      <c r="M964" s="84" t="n">
        <v>0.515151515151515</v>
      </c>
      <c r="N964" s="84" t="n">
        <v>0.213483146067416</v>
      </c>
      <c r="O964" s="84" t="n">
        <v>1</v>
      </c>
      <c r="P964" s="85">
        <f>AVERAGE(D964:I964)</f>
        <v/>
      </c>
      <c r="Q964" s="85">
        <f>AVERAGE(J964:L964)</f>
        <v/>
      </c>
      <c r="R964" s="85">
        <f>AVERAGE(M964:O964)</f>
        <v/>
      </c>
      <c r="S964" s="85">
        <f>'02_지표정의'!$C$22*P964+'02_지표정의'!$C$23*Q964+'02_지표정의'!$C$24*R964</f>
        <v/>
      </c>
      <c r="T964" s="73">
        <f>IF(OR(AND(B964="gemini",C964="gemma"),AND(B964="qwen3_6",C964="qwen"),AND(B964="mistral",C964="ministral")),1,0)</f>
        <v/>
      </c>
      <c r="U964" s="73">
        <f>IF(LEFT(A964,3)="PAT","특허","보고서")</f>
        <v/>
      </c>
      <c r="V964" s="86">
        <f>COUNTIF($S$2:$S$976,"&lt;"&amp;S964)+(COUNTIF($S$2:$S$976,"="&amp;S964)+1)/2</f>
        <v/>
      </c>
      <c r="W964" s="73">
        <f>IF(C964="qwen",0,COUNTIFS($C$2:$C$976,"&lt;&gt;qwen",$S$2:$S$976,"&lt;"&amp;S964)+1)</f>
        <v/>
      </c>
      <c r="X964" s="73">
        <f>IF(C964="ministral",0,COUNTIFS($C$2:$C$976,"&lt;&gt;ministral",$S$2:$S$976,"&lt;"&amp;S964)+1)</f>
        <v/>
      </c>
      <c r="Y964" s="73">
        <f>IF(C964="gemma",0,COUNTIFS($C$2:$C$976,"&lt;&gt;gemma",$S$2:$S$976,"&lt;"&amp;S964)+1)</f>
        <v/>
      </c>
      <c r="Z964" s="87">
        <f>COUNTIFS($B$2:$B$976,B964,$C$2:$C$976,C964,$S$2:$S$976,"&lt;"&amp;S964)+1</f>
        <v/>
      </c>
      <c r="AA964" s="88">
        <f>ABS(S964-SUMPRODUCT(('05B_가정검정'!$A$5:$A$19=B964)*('05B_가정검정'!$B$5:$B$19=C964)*'05B_가정검정'!$E$5:$E$19))</f>
        <v/>
      </c>
      <c r="AB964" s="88">
        <f>S964-AVERAGEIFS($S$2:$S$976,$B$2:$B$976,B964,$C$2:$C$976,C964)</f>
        <v/>
      </c>
    </row>
    <row r="965" ht="15" customHeight="1" s="68">
      <c r="A965" s="83" t="inlineStr">
        <is>
          <t>RPT-34</t>
        </is>
      </c>
      <c r="B965" s="83" t="inlineStr">
        <is>
          <t>claude</t>
        </is>
      </c>
      <c r="C965" s="83" t="inlineStr">
        <is>
          <t>gemma</t>
        </is>
      </c>
      <c r="D965" s="84" t="n">
        <v>0.25703564727955</v>
      </c>
      <c r="E965" s="84" t="n">
        <v>0.384236453201971</v>
      </c>
      <c r="F965" s="84" t="n">
        <v>0.148514851485149</v>
      </c>
      <c r="G965" s="84" t="n">
        <v>0.231527093596059</v>
      </c>
      <c r="H965" s="84" t="n">
        <v>0.305082526702052</v>
      </c>
      <c r="I965" s="84" t="n">
        <v>0.223412005649016</v>
      </c>
      <c r="J965" s="84" t="n">
        <v>0.681375794279538</v>
      </c>
      <c r="K965" s="84" t="n">
        <v>0.601178752459387</v>
      </c>
      <c r="L965" s="84" t="n">
        <v>0.8262403178091871</v>
      </c>
      <c r="M965" s="84" t="n">
        <v>0.645833333333333</v>
      </c>
      <c r="N965" s="84" t="n">
        <v>0.583333333333333</v>
      </c>
      <c r="O965" s="84" t="n">
        <v>1</v>
      </c>
      <c r="P965" s="85">
        <f>AVERAGE(D965:I965)</f>
        <v/>
      </c>
      <c r="Q965" s="85">
        <f>AVERAGE(J965:L965)</f>
        <v/>
      </c>
      <c r="R965" s="85">
        <f>AVERAGE(M965:O965)</f>
        <v/>
      </c>
      <c r="S965" s="85">
        <f>'02_지표정의'!$C$22*P965+'02_지표정의'!$C$23*Q965+'02_지표정의'!$C$24*R965</f>
        <v/>
      </c>
      <c r="T965" s="73">
        <f>IF(OR(AND(B965="gemini",C965="gemma"),AND(B965="qwen3_6",C965="qwen"),AND(B965="mistral",C965="ministral")),1,0)</f>
        <v/>
      </c>
      <c r="U965" s="73">
        <f>IF(LEFT(A965,3)="PAT","특허","보고서")</f>
        <v/>
      </c>
      <c r="V965" s="86">
        <f>COUNTIF($S$2:$S$976,"&lt;"&amp;S965)+(COUNTIF($S$2:$S$976,"="&amp;S965)+1)/2</f>
        <v/>
      </c>
      <c r="W965" s="73">
        <f>IF(C965="qwen",0,COUNTIFS($C$2:$C$976,"&lt;&gt;qwen",$S$2:$S$976,"&lt;"&amp;S965)+1)</f>
        <v/>
      </c>
      <c r="X965" s="73">
        <f>IF(C965="ministral",0,COUNTIFS($C$2:$C$976,"&lt;&gt;ministral",$S$2:$S$976,"&lt;"&amp;S965)+1)</f>
        <v/>
      </c>
      <c r="Y965" s="73">
        <f>IF(C965="gemma",0,COUNTIFS($C$2:$C$976,"&lt;&gt;gemma",$S$2:$S$976,"&lt;"&amp;S965)+1)</f>
        <v/>
      </c>
      <c r="Z965" s="87">
        <f>COUNTIFS($B$2:$B$976,B965,$C$2:$C$976,C965,$S$2:$S$976,"&lt;"&amp;S965)+1</f>
        <v/>
      </c>
      <c r="AA965" s="88">
        <f>ABS(S965-SUMPRODUCT(('05B_가정검정'!$A$5:$A$19=B965)*('05B_가정검정'!$B$5:$B$19=C965)*'05B_가정검정'!$E$5:$E$19))</f>
        <v/>
      </c>
      <c r="AB965" s="88">
        <f>S965-AVERAGEIFS($S$2:$S$976,$B$2:$B$976,B965,$C$2:$C$976,C965)</f>
        <v/>
      </c>
    </row>
    <row r="966" ht="15" customHeight="1" s="68">
      <c r="A966" s="83" t="inlineStr">
        <is>
          <t>RPT-34</t>
        </is>
      </c>
      <c r="B966" s="83" t="inlineStr">
        <is>
          <t>claude</t>
        </is>
      </c>
      <c r="C966" s="83" t="inlineStr">
        <is>
          <t>ministral</t>
        </is>
      </c>
      <c r="D966" s="84" t="n">
        <v>0.264984227129338</v>
      </c>
      <c r="E966" s="84" t="n">
        <v>0.385593220338983</v>
      </c>
      <c r="F966" s="84" t="n">
        <v>0.14468085106383</v>
      </c>
      <c r="G966" s="84" t="n">
        <v>0.228813559322034</v>
      </c>
      <c r="H966" s="84" t="n">
        <v>0.246412057237873</v>
      </c>
      <c r="I966" s="84" t="n">
        <v>0.239008476080067</v>
      </c>
      <c r="J966" s="84" t="n">
        <v>0.679499610852959</v>
      </c>
      <c r="K966" s="84" t="n">
        <v>0.661035615910061</v>
      </c>
      <c r="L966" s="84" t="n">
        <v>0.821807740998675</v>
      </c>
      <c r="M966" s="84" t="n">
        <v>0.434250764525994</v>
      </c>
      <c r="N966" s="84" t="n">
        <v>0.243243243243243</v>
      </c>
      <c r="O966" s="84" t="n">
        <v>0.526315789473684</v>
      </c>
      <c r="P966" s="85">
        <f>AVERAGE(D966:I966)</f>
        <v/>
      </c>
      <c r="Q966" s="85">
        <f>AVERAGE(J966:L966)</f>
        <v/>
      </c>
      <c r="R966" s="85">
        <f>AVERAGE(M966:O966)</f>
        <v/>
      </c>
      <c r="S966" s="85">
        <f>'02_지표정의'!$C$22*P966+'02_지표정의'!$C$23*Q966+'02_지표정의'!$C$24*R966</f>
        <v/>
      </c>
      <c r="T966" s="73">
        <f>IF(OR(AND(B966="gemini",C966="gemma"),AND(B966="qwen3_6",C966="qwen"),AND(B966="mistral",C966="ministral")),1,0)</f>
        <v/>
      </c>
      <c r="U966" s="73">
        <f>IF(LEFT(A966,3)="PAT","특허","보고서")</f>
        <v/>
      </c>
      <c r="V966" s="86">
        <f>COUNTIF($S$2:$S$976,"&lt;"&amp;S966)+(COUNTIF($S$2:$S$976,"="&amp;S966)+1)/2</f>
        <v/>
      </c>
      <c r="W966" s="73">
        <f>IF(C966="qwen",0,COUNTIFS($C$2:$C$976,"&lt;&gt;qwen",$S$2:$S$976,"&lt;"&amp;S966)+1)</f>
        <v/>
      </c>
      <c r="X966" s="73">
        <f>IF(C966="ministral",0,COUNTIFS($C$2:$C$976,"&lt;&gt;ministral",$S$2:$S$976,"&lt;"&amp;S966)+1)</f>
        <v/>
      </c>
      <c r="Y966" s="73">
        <f>IF(C966="gemma",0,COUNTIFS($C$2:$C$976,"&lt;&gt;gemma",$S$2:$S$976,"&lt;"&amp;S966)+1)</f>
        <v/>
      </c>
      <c r="Z966" s="87">
        <f>COUNTIFS($B$2:$B$976,B966,$C$2:$C$976,C966,$S$2:$S$976,"&lt;"&amp;S966)+1</f>
        <v/>
      </c>
      <c r="AA966" s="88">
        <f>ABS(S966-SUMPRODUCT(('05B_가정검정'!$A$5:$A$19=B966)*('05B_가정검정'!$B$5:$B$19=C966)*'05B_가정검정'!$E$5:$E$19))</f>
        <v/>
      </c>
      <c r="AB966" s="88">
        <f>S966-AVERAGEIFS($S$2:$S$976,$B$2:$B$976,B966,$C$2:$C$976,C966)</f>
        <v/>
      </c>
    </row>
    <row r="967" ht="15" customHeight="1" s="68">
      <c r="A967" s="83" t="inlineStr">
        <is>
          <t>RPT-34</t>
        </is>
      </c>
      <c r="B967" s="83" t="inlineStr">
        <is>
          <t>claude</t>
        </is>
      </c>
      <c r="C967" s="83" t="inlineStr">
        <is>
          <t>qwen</t>
        </is>
      </c>
      <c r="D967" s="84" t="n">
        <v>0.28411214953271</v>
      </c>
      <c r="E967" s="84" t="n">
        <v>0.327169274537696</v>
      </c>
      <c r="F967" s="84" t="n">
        <v>0.119828815977176</v>
      </c>
      <c r="G967" s="84" t="n">
        <v>0.184921763869132</v>
      </c>
      <c r="H967" s="84" t="n">
        <v>0.267953900908191</v>
      </c>
      <c r="I967" s="84" t="n">
        <v>0.255425810760818</v>
      </c>
      <c r="J967" s="84" t="n">
        <v>0.678217812831763</v>
      </c>
      <c r="K967" s="84" t="n">
        <v>0.611360380249602</v>
      </c>
      <c r="L967" s="84" t="n">
        <v>0.795022805273681</v>
      </c>
      <c r="M967" s="84" t="n">
        <v>0.645833333333333</v>
      </c>
      <c r="N967" s="84" t="n">
        <v>0.583333333333333</v>
      </c>
      <c r="O967" s="84" t="n">
        <v>1</v>
      </c>
      <c r="P967" s="85">
        <f>AVERAGE(D967:I967)</f>
        <v/>
      </c>
      <c r="Q967" s="85">
        <f>AVERAGE(J967:L967)</f>
        <v/>
      </c>
      <c r="R967" s="85">
        <f>AVERAGE(M967:O967)</f>
        <v/>
      </c>
      <c r="S967" s="85">
        <f>'02_지표정의'!$C$22*P967+'02_지표정의'!$C$23*Q967+'02_지표정의'!$C$24*R967</f>
        <v/>
      </c>
      <c r="T967" s="73">
        <f>IF(OR(AND(B967="gemini",C967="gemma"),AND(B967="qwen3_6",C967="qwen"),AND(B967="mistral",C967="ministral")),1,0)</f>
        <v/>
      </c>
      <c r="U967" s="73">
        <f>IF(LEFT(A967,3)="PAT","특허","보고서")</f>
        <v/>
      </c>
      <c r="V967" s="86">
        <f>COUNTIF($S$2:$S$976,"&lt;"&amp;S967)+(COUNTIF($S$2:$S$976,"="&amp;S967)+1)/2</f>
        <v/>
      </c>
      <c r="W967" s="73">
        <f>IF(C967="qwen",0,COUNTIFS($C$2:$C$976,"&lt;&gt;qwen",$S$2:$S$976,"&lt;"&amp;S967)+1)</f>
        <v/>
      </c>
      <c r="X967" s="73">
        <f>IF(C967="ministral",0,COUNTIFS($C$2:$C$976,"&lt;&gt;ministral",$S$2:$S$976,"&lt;"&amp;S967)+1)</f>
        <v/>
      </c>
      <c r="Y967" s="73">
        <f>IF(C967="gemma",0,COUNTIFS($C$2:$C$976,"&lt;&gt;gemma",$S$2:$S$976,"&lt;"&amp;S967)+1)</f>
        <v/>
      </c>
      <c r="Z967" s="87">
        <f>COUNTIFS($B$2:$B$976,B967,$C$2:$C$976,C967,$S$2:$S$976,"&lt;"&amp;S967)+1</f>
        <v/>
      </c>
      <c r="AA967" s="88">
        <f>ABS(S967-SUMPRODUCT(('05B_가정검정'!$A$5:$A$19=B967)*('05B_가정검정'!$B$5:$B$19=C967)*'05B_가정검정'!$E$5:$E$19))</f>
        <v/>
      </c>
      <c r="AB967" s="88">
        <f>S967-AVERAGEIFS($S$2:$S$976,$B$2:$B$976,B967,$C$2:$C$976,C967)</f>
        <v/>
      </c>
    </row>
    <row r="968" ht="15" customHeight="1" s="68">
      <c r="A968" s="83" t="inlineStr">
        <is>
          <t>RPT-34</t>
        </is>
      </c>
      <c r="B968" s="83" t="inlineStr">
        <is>
          <t>gemini</t>
        </is>
      </c>
      <c r="C968" s="83" t="inlineStr">
        <is>
          <t>gemma</t>
        </is>
      </c>
      <c r="D968" s="84" t="n">
        <v>0.281368821292776</v>
      </c>
      <c r="E968" s="84" t="n">
        <v>0.4</v>
      </c>
      <c r="F968" s="84" t="n">
        <v>0.136882129277567</v>
      </c>
      <c r="G968" s="84" t="n">
        <v>0.249056603773585</v>
      </c>
      <c r="H968" s="84" t="n">
        <v>0.308535656042106</v>
      </c>
      <c r="I968" s="84" t="n">
        <v>0.205728883983999</v>
      </c>
      <c r="J968" s="84" t="n">
        <v>0.750133682214297</v>
      </c>
      <c r="K968" s="84" t="n">
        <v>0.71457321948352</v>
      </c>
      <c r="L968" s="84" t="n">
        <v>0.863168200247252</v>
      </c>
      <c r="M968" s="84" t="n">
        <v>0.906542056074766</v>
      </c>
      <c r="N968" s="84" t="n">
        <v>0.916666666666667</v>
      </c>
      <c r="O968" s="84" t="n">
        <v>1</v>
      </c>
      <c r="P968" s="85">
        <f>AVERAGE(D968:I968)</f>
        <v/>
      </c>
      <c r="Q968" s="85">
        <f>AVERAGE(J968:L968)</f>
        <v/>
      </c>
      <c r="R968" s="85">
        <f>AVERAGE(M968:O968)</f>
        <v/>
      </c>
      <c r="S968" s="85">
        <f>'02_지표정의'!$C$22*P968+'02_지표정의'!$C$23*Q968+'02_지표정의'!$C$24*R968</f>
        <v/>
      </c>
      <c r="T968" s="73">
        <f>IF(OR(AND(B968="gemini",C968="gemma"),AND(B968="qwen3_6",C968="qwen"),AND(B968="mistral",C968="ministral")),1,0)</f>
        <v/>
      </c>
      <c r="U968" s="73">
        <f>IF(LEFT(A968,3)="PAT","특허","보고서")</f>
        <v/>
      </c>
      <c r="V968" s="86">
        <f>COUNTIF($S$2:$S$976,"&lt;"&amp;S968)+(COUNTIF($S$2:$S$976,"="&amp;S968)+1)/2</f>
        <v/>
      </c>
      <c r="W968" s="73">
        <f>IF(C968="qwen",0,COUNTIFS($C$2:$C$976,"&lt;&gt;qwen",$S$2:$S$976,"&lt;"&amp;S968)+1)</f>
        <v/>
      </c>
      <c r="X968" s="73">
        <f>IF(C968="ministral",0,COUNTIFS($C$2:$C$976,"&lt;&gt;ministral",$S$2:$S$976,"&lt;"&amp;S968)+1)</f>
        <v/>
      </c>
      <c r="Y968" s="73">
        <f>IF(C968="gemma",0,COUNTIFS($C$2:$C$976,"&lt;&gt;gemma",$S$2:$S$976,"&lt;"&amp;S968)+1)</f>
        <v/>
      </c>
      <c r="Z968" s="87">
        <f>COUNTIFS($B$2:$B$976,B968,$C$2:$C$976,C968,$S$2:$S$976,"&lt;"&amp;S968)+1</f>
        <v/>
      </c>
      <c r="AA968" s="88">
        <f>ABS(S968-SUMPRODUCT(('05B_가정검정'!$A$5:$A$19=B968)*('05B_가정검정'!$B$5:$B$19=C968)*'05B_가정검정'!$E$5:$E$19))</f>
        <v/>
      </c>
      <c r="AB968" s="88">
        <f>S968-AVERAGEIFS($S$2:$S$976,$B$2:$B$976,B968,$C$2:$C$976,C968)</f>
        <v/>
      </c>
    </row>
    <row r="969" ht="15" customHeight="1" s="68">
      <c r="A969" s="83" t="inlineStr">
        <is>
          <t>RPT-34</t>
        </is>
      </c>
      <c r="B969" s="83" t="inlineStr">
        <is>
          <t>gemini</t>
        </is>
      </c>
      <c r="C969" s="83" t="inlineStr">
        <is>
          <t>ministral</t>
        </is>
      </c>
      <c r="D969" s="84" t="n">
        <v>0.258160237388724</v>
      </c>
      <c r="E969" s="84" t="n">
        <v>0.314199395770393</v>
      </c>
      <c r="F969" s="84" t="n">
        <v>0.127659574468085</v>
      </c>
      <c r="G969" s="84" t="n">
        <v>0.229607250755287</v>
      </c>
      <c r="H969" s="84" t="n">
        <v>0.161567402780605</v>
      </c>
      <c r="I969" s="84" t="n">
        <v>0.169846212786428</v>
      </c>
      <c r="J969" s="84" t="n">
        <v>0.723342310032059</v>
      </c>
      <c r="K969" s="84" t="n">
        <v>0.732752693610936</v>
      </c>
      <c r="L969" s="84" t="n">
        <v>0.871247066964593</v>
      </c>
      <c r="M969" s="84" t="n">
        <v>0.296636085626911</v>
      </c>
      <c r="N969" s="84" t="n">
        <v>0.25</v>
      </c>
      <c r="O969" s="84" t="n">
        <v>0.526315789473684</v>
      </c>
      <c r="P969" s="85">
        <f>AVERAGE(D969:I969)</f>
        <v/>
      </c>
      <c r="Q969" s="85">
        <f>AVERAGE(J969:L969)</f>
        <v/>
      </c>
      <c r="R969" s="85">
        <f>AVERAGE(M969:O969)</f>
        <v/>
      </c>
      <c r="S969" s="85">
        <f>'02_지표정의'!$C$22*P969+'02_지표정의'!$C$23*Q969+'02_지표정의'!$C$24*R969</f>
        <v/>
      </c>
      <c r="T969" s="73">
        <f>IF(OR(AND(B969="gemini",C969="gemma"),AND(B969="qwen3_6",C969="qwen"),AND(B969="mistral",C969="ministral")),1,0)</f>
        <v/>
      </c>
      <c r="U969" s="73">
        <f>IF(LEFT(A969,3)="PAT","특허","보고서")</f>
        <v/>
      </c>
      <c r="V969" s="86">
        <f>COUNTIF($S$2:$S$976,"&lt;"&amp;S969)+(COUNTIF($S$2:$S$976,"="&amp;S969)+1)/2</f>
        <v/>
      </c>
      <c r="W969" s="73">
        <f>IF(C969="qwen",0,COUNTIFS($C$2:$C$976,"&lt;&gt;qwen",$S$2:$S$976,"&lt;"&amp;S969)+1)</f>
        <v/>
      </c>
      <c r="X969" s="73">
        <f>IF(C969="ministral",0,COUNTIFS($C$2:$C$976,"&lt;&gt;ministral",$S$2:$S$976,"&lt;"&amp;S969)+1)</f>
        <v/>
      </c>
      <c r="Y969" s="73">
        <f>IF(C969="gemma",0,COUNTIFS($C$2:$C$976,"&lt;&gt;gemma",$S$2:$S$976,"&lt;"&amp;S969)+1)</f>
        <v/>
      </c>
      <c r="Z969" s="87">
        <f>COUNTIFS($B$2:$B$976,B969,$C$2:$C$976,C969,$S$2:$S$976,"&lt;"&amp;S969)+1</f>
        <v/>
      </c>
      <c r="AA969" s="88">
        <f>ABS(S969-SUMPRODUCT(('05B_가정검정'!$A$5:$A$19=B969)*('05B_가정검정'!$B$5:$B$19=C969)*'05B_가정검정'!$E$5:$E$19))</f>
        <v/>
      </c>
      <c r="AB969" s="88">
        <f>S969-AVERAGEIFS($S$2:$S$976,$B$2:$B$976,B969,$C$2:$C$976,C969)</f>
        <v/>
      </c>
    </row>
    <row r="970" ht="15" customHeight="1" s="68">
      <c r="A970" s="83" t="inlineStr">
        <is>
          <t>RPT-34</t>
        </is>
      </c>
      <c r="B970" s="83" t="inlineStr">
        <is>
          <t>gemini</t>
        </is>
      </c>
      <c r="C970" s="83" t="inlineStr">
        <is>
          <t>qwen</t>
        </is>
      </c>
      <c r="D970" s="84" t="n">
        <v>0.292559899117276</v>
      </c>
      <c r="E970" s="84" t="n">
        <v>0.249110320284698</v>
      </c>
      <c r="F970" s="84" t="n">
        <v>0.0892857142857143</v>
      </c>
      <c r="G970" s="84" t="n">
        <v>0.160142348754448</v>
      </c>
      <c r="H970" s="84" t="n">
        <v>0.213449939511366</v>
      </c>
      <c r="I970" s="84" t="n">
        <v>0.260188351649942</v>
      </c>
      <c r="J970" s="84" t="n">
        <v>0.712404259132981</v>
      </c>
      <c r="K970" s="84" t="n">
        <v>0.72148501684662</v>
      </c>
      <c r="L970" s="84" t="n">
        <v>0.864884182895155</v>
      </c>
      <c r="M970" s="84" t="n">
        <v>0.906542056074766</v>
      </c>
      <c r="N970" s="84" t="n">
        <v>0.916666666666667</v>
      </c>
      <c r="O970" s="84" t="n">
        <v>1</v>
      </c>
      <c r="P970" s="85">
        <f>AVERAGE(D970:I970)</f>
        <v/>
      </c>
      <c r="Q970" s="85">
        <f>AVERAGE(J970:L970)</f>
        <v/>
      </c>
      <c r="R970" s="85">
        <f>AVERAGE(M970:O970)</f>
        <v/>
      </c>
      <c r="S970" s="85">
        <f>'02_지표정의'!$C$22*P970+'02_지표정의'!$C$23*Q970+'02_지표정의'!$C$24*R970</f>
        <v/>
      </c>
      <c r="T970" s="73">
        <f>IF(OR(AND(B970="gemini",C970="gemma"),AND(B970="qwen3_6",C970="qwen"),AND(B970="mistral",C970="ministral")),1,0)</f>
        <v/>
      </c>
      <c r="U970" s="73">
        <f>IF(LEFT(A970,3)="PAT","특허","보고서")</f>
        <v/>
      </c>
      <c r="V970" s="86">
        <f>COUNTIF($S$2:$S$976,"&lt;"&amp;S970)+(COUNTIF($S$2:$S$976,"="&amp;S970)+1)/2</f>
        <v/>
      </c>
      <c r="W970" s="73">
        <f>IF(C970="qwen",0,COUNTIFS($C$2:$C$976,"&lt;&gt;qwen",$S$2:$S$976,"&lt;"&amp;S970)+1)</f>
        <v/>
      </c>
      <c r="X970" s="73">
        <f>IF(C970="ministral",0,COUNTIFS($C$2:$C$976,"&lt;&gt;ministral",$S$2:$S$976,"&lt;"&amp;S970)+1)</f>
        <v/>
      </c>
      <c r="Y970" s="73">
        <f>IF(C970="gemma",0,COUNTIFS($C$2:$C$976,"&lt;&gt;gemma",$S$2:$S$976,"&lt;"&amp;S970)+1)</f>
        <v/>
      </c>
      <c r="Z970" s="87">
        <f>COUNTIFS($B$2:$B$976,B970,$C$2:$C$976,C970,$S$2:$S$976,"&lt;"&amp;S970)+1</f>
        <v/>
      </c>
      <c r="AA970" s="88">
        <f>ABS(S970-SUMPRODUCT(('05B_가정검정'!$A$5:$A$19=B970)*('05B_가정검정'!$B$5:$B$19=C970)*'05B_가정검정'!$E$5:$E$19))</f>
        <v/>
      </c>
      <c r="AB970" s="88">
        <f>S970-AVERAGEIFS($S$2:$S$976,$B$2:$B$976,B970,$C$2:$C$976,C970)</f>
        <v/>
      </c>
    </row>
    <row r="971" ht="15" customHeight="1" s="68">
      <c r="A971" s="83" t="inlineStr">
        <is>
          <t>RPT-34</t>
        </is>
      </c>
      <c r="B971" s="83" t="inlineStr">
        <is>
          <t>mistral</t>
        </is>
      </c>
      <c r="C971" s="83" t="inlineStr">
        <is>
          <t>gemma</t>
        </is>
      </c>
      <c r="D971" s="84" t="n">
        <v>0.301204819277109</v>
      </c>
      <c r="E971" s="84" t="n">
        <v>0.403846153846154</v>
      </c>
      <c r="F971" s="84" t="n">
        <v>0.103225806451613</v>
      </c>
      <c r="G971" s="84" t="n">
        <v>0.256410256410256</v>
      </c>
      <c r="H971" s="84" t="n">
        <v>0.341071261504013</v>
      </c>
      <c r="I971" s="84" t="n">
        <v>0.23747893718182</v>
      </c>
      <c r="J971" s="84" t="n">
        <v>0.714713766576563</v>
      </c>
      <c r="K971" s="84" t="n">
        <v>0.732815139601694</v>
      </c>
      <c r="L971" s="84" t="n">
        <v>0.848774014141505</v>
      </c>
      <c r="M971" s="84" t="n">
        <v>0.447236180904523</v>
      </c>
      <c r="N971" s="84" t="n">
        <v>0.352272727272727</v>
      </c>
      <c r="O971" s="84" t="n">
        <v>0.526315789473684</v>
      </c>
      <c r="P971" s="85">
        <f>AVERAGE(D971:I971)</f>
        <v/>
      </c>
      <c r="Q971" s="85">
        <f>AVERAGE(J971:L971)</f>
        <v/>
      </c>
      <c r="R971" s="85">
        <f>AVERAGE(M971:O971)</f>
        <v/>
      </c>
      <c r="S971" s="85">
        <f>'02_지표정의'!$C$22*P971+'02_지표정의'!$C$23*Q971+'02_지표정의'!$C$24*R971</f>
        <v/>
      </c>
      <c r="T971" s="73">
        <f>IF(OR(AND(B971="gemini",C971="gemma"),AND(B971="qwen3_6",C971="qwen"),AND(B971="mistral",C971="ministral")),1,0)</f>
        <v/>
      </c>
      <c r="U971" s="73">
        <f>IF(LEFT(A971,3)="PAT","특허","보고서")</f>
        <v/>
      </c>
      <c r="V971" s="86">
        <f>COUNTIF($S$2:$S$976,"&lt;"&amp;S971)+(COUNTIF($S$2:$S$976,"="&amp;S971)+1)/2</f>
        <v/>
      </c>
      <c r="W971" s="73">
        <f>IF(C971="qwen",0,COUNTIFS($C$2:$C$976,"&lt;&gt;qwen",$S$2:$S$976,"&lt;"&amp;S971)+1)</f>
        <v/>
      </c>
      <c r="X971" s="73">
        <f>IF(C971="ministral",0,COUNTIFS($C$2:$C$976,"&lt;&gt;ministral",$S$2:$S$976,"&lt;"&amp;S971)+1)</f>
        <v/>
      </c>
      <c r="Y971" s="73">
        <f>IF(C971="gemma",0,COUNTIFS($C$2:$C$976,"&lt;&gt;gemma",$S$2:$S$976,"&lt;"&amp;S971)+1)</f>
        <v/>
      </c>
      <c r="Z971" s="87">
        <f>COUNTIFS($B$2:$B$976,B971,$C$2:$C$976,C971,$S$2:$S$976,"&lt;"&amp;S971)+1</f>
        <v/>
      </c>
      <c r="AA971" s="88">
        <f>ABS(S971-SUMPRODUCT(('05B_가정검정'!$A$5:$A$19=B971)*('05B_가정검정'!$B$5:$B$19=C971)*'05B_가정검정'!$E$5:$E$19))</f>
        <v/>
      </c>
      <c r="AB971" s="88">
        <f>S971-AVERAGEIFS($S$2:$S$976,$B$2:$B$976,B971,$C$2:$C$976,C971)</f>
        <v/>
      </c>
    </row>
    <row r="972" ht="15" customHeight="1" s="68">
      <c r="A972" s="83" t="inlineStr">
        <is>
          <t>RPT-34</t>
        </is>
      </c>
      <c r="B972" s="83" t="inlineStr">
        <is>
          <t>mistral</t>
        </is>
      </c>
      <c r="C972" s="83" t="inlineStr">
        <is>
          <t>ministral</t>
        </is>
      </c>
      <c r="D972" s="84" t="n">
        <v>0.377622377622378</v>
      </c>
      <c r="E972" s="84" t="n">
        <v>0.433862433862434</v>
      </c>
      <c r="F972" s="84" t="n">
        <v>0.164893617021277</v>
      </c>
      <c r="G972" s="84" t="n">
        <v>0.296296296296296</v>
      </c>
      <c r="H972" s="84" t="n">
        <v>0.241275838577</v>
      </c>
      <c r="I972" s="84" t="n">
        <v>0.409293466254356</v>
      </c>
      <c r="J972" s="84" t="n">
        <v>0.724746543861582</v>
      </c>
      <c r="K972" s="84" t="n">
        <v>0.781566050690522</v>
      </c>
      <c r="L972" s="84" t="n">
        <v>0.887770057568155</v>
      </c>
      <c r="M972" s="84" t="n">
        <v>0.516819571865443</v>
      </c>
      <c r="N972" s="84" t="n">
        <v>0.371621621621622</v>
      </c>
      <c r="O972" s="84" t="n">
        <v>1</v>
      </c>
      <c r="P972" s="85">
        <f>AVERAGE(D972:I972)</f>
        <v/>
      </c>
      <c r="Q972" s="85">
        <f>AVERAGE(J972:L972)</f>
        <v/>
      </c>
      <c r="R972" s="85">
        <f>AVERAGE(M972:O972)</f>
        <v/>
      </c>
      <c r="S972" s="85">
        <f>'02_지표정의'!$C$22*P972+'02_지표정의'!$C$23*Q972+'02_지표정의'!$C$24*R972</f>
        <v/>
      </c>
      <c r="T972" s="73">
        <f>IF(OR(AND(B972="gemini",C972="gemma"),AND(B972="qwen3_6",C972="qwen"),AND(B972="mistral",C972="ministral")),1,0)</f>
        <v/>
      </c>
      <c r="U972" s="73">
        <f>IF(LEFT(A972,3)="PAT","특허","보고서")</f>
        <v/>
      </c>
      <c r="V972" s="86">
        <f>COUNTIF($S$2:$S$976,"&lt;"&amp;S972)+(COUNTIF($S$2:$S$976,"="&amp;S972)+1)/2</f>
        <v/>
      </c>
      <c r="W972" s="73">
        <f>IF(C972="qwen",0,COUNTIFS($C$2:$C$976,"&lt;&gt;qwen",$S$2:$S$976,"&lt;"&amp;S972)+1)</f>
        <v/>
      </c>
      <c r="X972" s="73">
        <f>IF(C972="ministral",0,COUNTIFS($C$2:$C$976,"&lt;&gt;ministral",$S$2:$S$976,"&lt;"&amp;S972)+1)</f>
        <v/>
      </c>
      <c r="Y972" s="73">
        <f>IF(C972="gemma",0,COUNTIFS($C$2:$C$976,"&lt;&gt;gemma",$S$2:$S$976,"&lt;"&amp;S972)+1)</f>
        <v/>
      </c>
      <c r="Z972" s="87">
        <f>COUNTIFS($B$2:$B$976,B972,$C$2:$C$976,C972,$S$2:$S$976,"&lt;"&amp;S972)+1</f>
        <v/>
      </c>
      <c r="AA972" s="88">
        <f>ABS(S972-SUMPRODUCT(('05B_가정검정'!$A$5:$A$19=B972)*('05B_가정검정'!$B$5:$B$19=C972)*'05B_가정검정'!$E$5:$E$19))</f>
        <v/>
      </c>
      <c r="AB972" s="88">
        <f>S972-AVERAGEIFS($S$2:$S$976,$B$2:$B$976,B972,$C$2:$C$976,C972)</f>
        <v/>
      </c>
    </row>
    <row r="973" ht="15" customHeight="1" s="68">
      <c r="A973" s="83" t="inlineStr">
        <is>
          <t>RPT-34</t>
        </is>
      </c>
      <c r="B973" s="83" t="inlineStr">
        <is>
          <t>mistral</t>
        </is>
      </c>
      <c r="C973" s="83" t="inlineStr">
        <is>
          <t>qwen</t>
        </is>
      </c>
      <c r="D973" s="84" t="n">
        <v>0.364508393285372</v>
      </c>
      <c r="E973" s="84" t="n">
        <v>0.295566502463054</v>
      </c>
      <c r="F973" s="84" t="n">
        <v>0.118616144975288</v>
      </c>
      <c r="G973" s="84" t="n">
        <v>0.164203612479475</v>
      </c>
      <c r="H973" s="84" t="n">
        <v>0.250109904543236</v>
      </c>
      <c r="I973" s="84" t="n">
        <v>0.294209110047058</v>
      </c>
      <c r="J973" s="84" t="n">
        <v>0.6886057044692649</v>
      </c>
      <c r="K973" s="84" t="n">
        <v>0.726170959077687</v>
      </c>
      <c r="L973" s="84" t="n">
        <v>0.862848130521144</v>
      </c>
      <c r="M973" s="84" t="n">
        <v>0.447236180904523</v>
      </c>
      <c r="N973" s="84" t="n">
        <v>0.352272727272727</v>
      </c>
      <c r="O973" s="84" t="n">
        <v>0.526315789473684</v>
      </c>
      <c r="P973" s="85">
        <f>AVERAGE(D973:I973)</f>
        <v/>
      </c>
      <c r="Q973" s="85">
        <f>AVERAGE(J973:L973)</f>
        <v/>
      </c>
      <c r="R973" s="85">
        <f>AVERAGE(M973:O973)</f>
        <v/>
      </c>
      <c r="S973" s="85">
        <f>'02_지표정의'!$C$22*P973+'02_지표정의'!$C$23*Q973+'02_지표정의'!$C$24*R973</f>
        <v/>
      </c>
      <c r="T973" s="73">
        <f>IF(OR(AND(B973="gemini",C973="gemma"),AND(B973="qwen3_6",C973="qwen"),AND(B973="mistral",C973="ministral")),1,0)</f>
        <v/>
      </c>
      <c r="U973" s="73">
        <f>IF(LEFT(A973,3)="PAT","특허","보고서")</f>
        <v/>
      </c>
      <c r="V973" s="86">
        <f>COUNTIF($S$2:$S$976,"&lt;"&amp;S973)+(COUNTIF($S$2:$S$976,"="&amp;S973)+1)/2</f>
        <v/>
      </c>
      <c r="W973" s="73">
        <f>IF(C973="qwen",0,COUNTIFS($C$2:$C$976,"&lt;&gt;qwen",$S$2:$S$976,"&lt;"&amp;S973)+1)</f>
        <v/>
      </c>
      <c r="X973" s="73">
        <f>IF(C973="ministral",0,COUNTIFS($C$2:$C$976,"&lt;&gt;ministral",$S$2:$S$976,"&lt;"&amp;S973)+1)</f>
        <v/>
      </c>
      <c r="Y973" s="73">
        <f>IF(C973="gemma",0,COUNTIFS($C$2:$C$976,"&lt;&gt;gemma",$S$2:$S$976,"&lt;"&amp;S973)+1)</f>
        <v/>
      </c>
      <c r="Z973" s="87">
        <f>COUNTIFS($B$2:$B$976,B973,$C$2:$C$976,C973,$S$2:$S$976,"&lt;"&amp;S973)+1</f>
        <v/>
      </c>
      <c r="AA973" s="88">
        <f>ABS(S973-SUMPRODUCT(('05B_가정검정'!$A$5:$A$19=B973)*('05B_가정검정'!$B$5:$B$19=C973)*'05B_가정검정'!$E$5:$E$19))</f>
        <v/>
      </c>
      <c r="AB973" s="88">
        <f>S973-AVERAGEIFS($S$2:$S$976,$B$2:$B$976,B973,$C$2:$C$976,C973)</f>
        <v/>
      </c>
    </row>
    <row r="974" ht="15" customHeight="1" s="68">
      <c r="A974" s="83" t="inlineStr">
        <is>
          <t>RPT-34</t>
        </is>
      </c>
      <c r="B974" s="83" t="inlineStr">
        <is>
          <t>qwen3_6</t>
        </is>
      </c>
      <c r="C974" s="83" t="inlineStr">
        <is>
          <t>gemma</t>
        </is>
      </c>
      <c r="D974" s="84" t="n">
        <v>0.296788482834995</v>
      </c>
      <c r="E974" s="84" t="n">
        <v>0.460674157303371</v>
      </c>
      <c r="F974" s="84" t="n">
        <v>0.175141242937853</v>
      </c>
      <c r="G974" s="84" t="n">
        <v>0.297752808988764</v>
      </c>
      <c r="H974" s="84" t="n">
        <v>0.436151027442419</v>
      </c>
      <c r="I974" s="84" t="n">
        <v>0.328625121011213</v>
      </c>
      <c r="J974" s="84" t="n">
        <v>0.718283295248934</v>
      </c>
      <c r="K974" s="84" t="n">
        <v>0.671829917949191</v>
      </c>
      <c r="L974" s="84" t="n">
        <v>0.87718925307631</v>
      </c>
      <c r="M974" s="84" t="n">
        <v>0.906542056074766</v>
      </c>
      <c r="N974" s="84" t="n">
        <v>0.916666666666667</v>
      </c>
      <c r="O974" s="84" t="n">
        <v>1</v>
      </c>
      <c r="P974" s="85">
        <f>AVERAGE(D974:I974)</f>
        <v/>
      </c>
      <c r="Q974" s="85">
        <f>AVERAGE(J974:L974)</f>
        <v/>
      </c>
      <c r="R974" s="85">
        <f>AVERAGE(M974:O974)</f>
        <v/>
      </c>
      <c r="S974" s="85">
        <f>'02_지표정의'!$C$22*P974+'02_지표정의'!$C$23*Q974+'02_지표정의'!$C$24*R974</f>
        <v/>
      </c>
      <c r="T974" s="73">
        <f>IF(OR(AND(B974="gemini",C974="gemma"),AND(B974="qwen3_6",C974="qwen"),AND(B974="mistral",C974="ministral")),1,0)</f>
        <v/>
      </c>
      <c r="U974" s="73">
        <f>IF(LEFT(A974,3)="PAT","특허","보고서")</f>
        <v/>
      </c>
      <c r="V974" s="86">
        <f>COUNTIF($S$2:$S$976,"&lt;"&amp;S974)+(COUNTIF($S$2:$S$976,"="&amp;S974)+1)/2</f>
        <v/>
      </c>
      <c r="W974" s="73">
        <f>IF(C974="qwen",0,COUNTIFS($C$2:$C$976,"&lt;&gt;qwen",$S$2:$S$976,"&lt;"&amp;S974)+1)</f>
        <v/>
      </c>
      <c r="X974" s="73">
        <f>IF(C974="ministral",0,COUNTIFS($C$2:$C$976,"&lt;&gt;ministral",$S$2:$S$976,"&lt;"&amp;S974)+1)</f>
        <v/>
      </c>
      <c r="Y974" s="73">
        <f>IF(C974="gemma",0,COUNTIFS($C$2:$C$976,"&lt;&gt;gemma",$S$2:$S$976,"&lt;"&amp;S974)+1)</f>
        <v/>
      </c>
      <c r="Z974" s="87">
        <f>COUNTIFS($B$2:$B$976,B974,$C$2:$C$976,C974,$S$2:$S$976,"&lt;"&amp;S974)+1</f>
        <v/>
      </c>
      <c r="AA974" s="88">
        <f>ABS(S974-SUMPRODUCT(('05B_가정검정'!$A$5:$A$19=B974)*('05B_가정검정'!$B$5:$B$19=C974)*'05B_가정검정'!$E$5:$E$19))</f>
        <v/>
      </c>
      <c r="AB974" s="88">
        <f>S974-AVERAGEIFS($S$2:$S$976,$B$2:$B$976,B974,$C$2:$C$976,C974)</f>
        <v/>
      </c>
    </row>
    <row r="975" ht="15" customHeight="1" s="68">
      <c r="A975" s="83" t="inlineStr">
        <is>
          <t>RPT-34</t>
        </is>
      </c>
      <c r="B975" s="83" t="inlineStr">
        <is>
          <t>qwen3_6</t>
        </is>
      </c>
      <c r="C975" s="83" t="inlineStr">
        <is>
          <t>ministral</t>
        </is>
      </c>
      <c r="D975" s="84" t="n">
        <v>0.304568527918782</v>
      </c>
      <c r="E975" s="84" t="n">
        <v>0.360189573459716</v>
      </c>
      <c r="F975" s="84" t="n">
        <v>0.157142857142857</v>
      </c>
      <c r="G975" s="84" t="n">
        <v>0.255924170616114</v>
      </c>
      <c r="H975" s="84" t="n">
        <v>0.232864212480463</v>
      </c>
      <c r="I975" s="84" t="n">
        <v>0.21674236083156</v>
      </c>
      <c r="J975" s="84" t="n">
        <v>0.6752540529743229</v>
      </c>
      <c r="K975" s="84" t="n">
        <v>0.662527534593654</v>
      </c>
      <c r="L975" s="84" t="n">
        <v>0.8377029156317271</v>
      </c>
      <c r="M975" s="84" t="n">
        <v>0.296636085626911</v>
      </c>
      <c r="N975" s="84" t="n">
        <v>0.25</v>
      </c>
      <c r="O975" s="84" t="n">
        <v>0.526315789473684</v>
      </c>
      <c r="P975" s="85">
        <f>AVERAGE(D975:I975)</f>
        <v/>
      </c>
      <c r="Q975" s="85">
        <f>AVERAGE(J975:L975)</f>
        <v/>
      </c>
      <c r="R975" s="85">
        <f>AVERAGE(M975:O975)</f>
        <v/>
      </c>
      <c r="S975" s="85">
        <f>'02_지표정의'!$C$22*P975+'02_지표정의'!$C$23*Q975+'02_지표정의'!$C$24*R975</f>
        <v/>
      </c>
      <c r="T975" s="73">
        <f>IF(OR(AND(B975="gemini",C975="gemma"),AND(B975="qwen3_6",C975="qwen"),AND(B975="mistral",C975="ministral")),1,0)</f>
        <v/>
      </c>
      <c r="U975" s="73">
        <f>IF(LEFT(A975,3)="PAT","특허","보고서")</f>
        <v/>
      </c>
      <c r="V975" s="86">
        <f>COUNTIF($S$2:$S$976,"&lt;"&amp;S975)+(COUNTIF($S$2:$S$976,"="&amp;S975)+1)/2</f>
        <v/>
      </c>
      <c r="W975" s="73">
        <f>IF(C975="qwen",0,COUNTIFS($C$2:$C$976,"&lt;&gt;qwen",$S$2:$S$976,"&lt;"&amp;S975)+1)</f>
        <v/>
      </c>
      <c r="X975" s="73">
        <f>IF(C975="ministral",0,COUNTIFS($C$2:$C$976,"&lt;&gt;ministral",$S$2:$S$976,"&lt;"&amp;S975)+1)</f>
        <v/>
      </c>
      <c r="Y975" s="73">
        <f>IF(C975="gemma",0,COUNTIFS($C$2:$C$976,"&lt;&gt;gemma",$S$2:$S$976,"&lt;"&amp;S975)+1)</f>
        <v/>
      </c>
      <c r="Z975" s="87">
        <f>COUNTIFS($B$2:$B$976,B975,$C$2:$C$976,C975,$S$2:$S$976,"&lt;"&amp;S975)+1</f>
        <v/>
      </c>
      <c r="AA975" s="88">
        <f>ABS(S975-SUMPRODUCT(('05B_가정검정'!$A$5:$A$19=B975)*('05B_가정검정'!$B$5:$B$19=C975)*'05B_가정검정'!$E$5:$E$19))</f>
        <v/>
      </c>
      <c r="AB975" s="88">
        <f>S975-AVERAGEIFS($S$2:$S$976,$B$2:$B$976,B975,$C$2:$C$976,C975)</f>
        <v/>
      </c>
    </row>
    <row r="976" ht="15" customHeight="1" s="68">
      <c r="A976" s="83" t="inlineStr">
        <is>
          <t>RPT-34</t>
        </is>
      </c>
      <c r="B976" s="83" t="inlineStr">
        <is>
          <t>qwen3_6</t>
        </is>
      </c>
      <c r="C976" s="83" t="inlineStr">
        <is>
          <t>qwen</t>
        </is>
      </c>
      <c r="D976" s="84" t="n">
        <v>0.337375964718853</v>
      </c>
      <c r="E976" s="84" t="n">
        <v>0.39509954058193</v>
      </c>
      <c r="F976" s="84" t="n">
        <v>0.147465437788019</v>
      </c>
      <c r="G976" s="84" t="n">
        <v>0.22052067381317</v>
      </c>
      <c r="H976" s="84" t="n">
        <v>0.297467888917407</v>
      </c>
      <c r="I976" s="84" t="n">
        <v>0.384460992273334</v>
      </c>
      <c r="J976" s="84" t="n">
        <v>0.657993768110279</v>
      </c>
      <c r="K976" s="84" t="n">
        <v>0.694043363051569</v>
      </c>
      <c r="L976" s="84" t="n">
        <v>0.843987792719153</v>
      </c>
      <c r="M976" s="84" t="n">
        <v>0.906542056074766</v>
      </c>
      <c r="N976" s="84" t="n">
        <v>0.916666666666667</v>
      </c>
      <c r="O976" s="84" t="n">
        <v>1</v>
      </c>
      <c r="P976" s="85">
        <f>AVERAGE(D976:I976)</f>
        <v/>
      </c>
      <c r="Q976" s="85">
        <f>AVERAGE(J976:L976)</f>
        <v/>
      </c>
      <c r="R976" s="85">
        <f>AVERAGE(M976:O976)</f>
        <v/>
      </c>
      <c r="S976" s="85">
        <f>'02_지표정의'!$C$22*P976+'02_지표정의'!$C$23*Q976+'02_지표정의'!$C$24*R976</f>
        <v/>
      </c>
      <c r="T976" s="73">
        <f>IF(OR(AND(B976="gemini",C976="gemma"),AND(B976="qwen3_6",C976="qwen"),AND(B976="mistral",C976="ministral")),1,0)</f>
        <v/>
      </c>
      <c r="U976" s="73">
        <f>IF(LEFT(A976,3)="PAT","특허","보고서")</f>
        <v/>
      </c>
      <c r="V976" s="86">
        <f>COUNTIF($S$2:$S$976,"&lt;"&amp;S976)+(COUNTIF($S$2:$S$976,"="&amp;S976)+1)/2</f>
        <v/>
      </c>
      <c r="W976" s="73">
        <f>IF(C976="qwen",0,COUNTIFS($C$2:$C$976,"&lt;&gt;qwen",$S$2:$S$976,"&lt;"&amp;S976)+1)</f>
        <v/>
      </c>
      <c r="X976" s="73">
        <f>IF(C976="ministral",0,COUNTIFS($C$2:$C$976,"&lt;&gt;ministral",$S$2:$S$976,"&lt;"&amp;S976)+1)</f>
        <v/>
      </c>
      <c r="Y976" s="73">
        <f>IF(C976="gemma",0,COUNTIFS($C$2:$C$976,"&lt;&gt;gemma",$S$2:$S$976,"&lt;"&amp;S976)+1)</f>
        <v/>
      </c>
      <c r="Z976" s="87">
        <f>COUNTIFS($B$2:$B$976,B976,$C$2:$C$976,C976,$S$2:$S$976,"&lt;"&amp;S976)+1</f>
        <v/>
      </c>
      <c r="AA976" s="88">
        <f>ABS(S976-SUMPRODUCT(('05B_가정검정'!$A$5:$A$19=B976)*('05B_가정검정'!$B$5:$B$19=C976)*'05B_가정검정'!$E$5:$E$19))</f>
        <v/>
      </c>
      <c r="AB976" s="88">
        <f>S976-AVERAGEIFS($S$2:$S$976,$B$2:$B$976,B976,$C$2:$C$976,C976)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2" customWidth="1" style="67" min="1" max="1"/>
    <col width="10" customWidth="1" style="67" min="2" max="2"/>
    <col width="90" customWidth="1" style="67" min="3" max="3"/>
    <col width="8" customWidth="1" style="67" min="4" max="4"/>
  </cols>
  <sheetData>
    <row r="1" ht="21.6" customHeight="1" s="68">
      <c r="A1" s="89" t="inlineStr">
        <is>
          <t>지표 정의 및 Overall Score 산식</t>
        </is>
      </c>
    </row>
    <row r="2" ht="15" customHeight="1" s="68">
      <c r="A2" s="79" t="inlineStr">
        <is>
          <t>01_원자료 D~O열 12개 지표의 정의. 원 구현: calculate_similarity.py</t>
        </is>
      </c>
    </row>
    <row r="4" ht="29.85" customHeight="1" s="68">
      <c r="A4" s="82" t="inlineStr">
        <is>
          <t>#</t>
        </is>
      </c>
      <c r="B4" s="78" t="inlineStr">
        <is>
          <t>지표(컬럼)</t>
        </is>
      </c>
      <c r="C4" s="78" t="inlineStr">
        <is>
          <t>그룹</t>
        </is>
      </c>
      <c r="D4" s="78" t="inlineStr">
        <is>
          <t>산식 / 정의</t>
        </is>
      </c>
      <c r="E4" s="78" t="inlineStr">
        <is>
          <t>범위</t>
        </is>
      </c>
    </row>
    <row r="5" ht="162.65" customHeight="1" s="68">
      <c r="A5" s="73" t="n">
        <v>1</v>
      </c>
      <c r="B5" s="73" t="inlineStr">
        <is>
          <t>f1_score</t>
        </is>
      </c>
      <c r="C5" s="75" t="inlineStr">
        <is>
          <t>어휘</t>
        </is>
      </c>
      <c r="D5" s="90" t="inlineStr">
        <is>
          <t>어휘 중복 F1. P=|공통토큰|/|후보토큰|, R=|공통토큰|/|기준토큰|, F1=2PR/(P+R)</t>
        </is>
      </c>
      <c r="E5" s="73" t="inlineStr">
        <is>
          <t>0~1</t>
        </is>
      </c>
    </row>
    <row r="6" ht="77.59999999999999" customHeight="1" s="68">
      <c r="A6" s="73" t="n">
        <v>2</v>
      </c>
      <c r="B6" s="73" t="inlineStr">
        <is>
          <t>rouge1</t>
        </is>
      </c>
      <c r="C6" s="75" t="inlineStr">
        <is>
          <t>어휘</t>
        </is>
      </c>
      <c r="D6" s="91" t="inlineStr">
        <is>
          <t>ROUGE-1: unigram 재현율 기반 중복도</t>
        </is>
      </c>
      <c r="E6" s="73" t="inlineStr">
        <is>
          <t>0~1</t>
        </is>
      </c>
    </row>
    <row r="7" ht="49.25" customHeight="1" s="68">
      <c r="A7" s="73" t="n">
        <v>3</v>
      </c>
      <c r="B7" s="73" t="inlineStr">
        <is>
          <t>rouge2</t>
        </is>
      </c>
      <c r="C7" s="75" t="inlineStr">
        <is>
          <t>어휘</t>
        </is>
      </c>
      <c r="D7" s="91" t="inlineStr">
        <is>
          <t>ROUGE-2: bigram 중복도</t>
        </is>
      </c>
      <c r="E7" s="73" t="inlineStr">
        <is>
          <t>0~1</t>
        </is>
      </c>
    </row>
    <row r="8" ht="88.8" customHeight="1" s="68">
      <c r="A8" s="73" t="n">
        <v>4</v>
      </c>
      <c r="B8" s="73" t="inlineStr">
        <is>
          <t>rougeL</t>
        </is>
      </c>
      <c r="C8" s="75" t="inlineStr">
        <is>
          <t>어휘</t>
        </is>
      </c>
      <c r="D8" s="91" t="inlineStr">
        <is>
          <t>ROUGE-L: 최장공통부분수열(LCS) 기반 F-measure</t>
        </is>
      </c>
      <c r="E8" s="73" t="inlineStr">
        <is>
          <t>0~1</t>
        </is>
      </c>
    </row>
    <row r="9" ht="77.59999999999999" customHeight="1" s="68">
      <c r="A9" s="73" t="n">
        <v>5</v>
      </c>
      <c r="B9" s="73" t="inlineStr">
        <is>
          <t>bleu_score</t>
        </is>
      </c>
      <c r="C9" s="75" t="inlineStr">
        <is>
          <t>어휘</t>
        </is>
      </c>
      <c r="D9" s="91" t="inlineStr">
        <is>
          <t>BLEU n=1~4 가중조합의 평균(smoothing 적용)</t>
        </is>
      </c>
      <c r="E9" s="73" t="inlineStr">
        <is>
          <t>0~1</t>
        </is>
      </c>
    </row>
    <row r="10" ht="55.2" customHeight="1" s="68">
      <c r="A10" s="73" t="n">
        <v>6</v>
      </c>
      <c r="B10" s="73" t="inlineStr">
        <is>
          <t>tfidf_similarity</t>
        </is>
      </c>
      <c r="C10" s="75" t="inlineStr">
        <is>
          <t>어휘</t>
        </is>
      </c>
      <c r="D10" s="91" t="inlineStr">
        <is>
          <t>TF-IDF 벡터 간 코사인 유사도</t>
        </is>
      </c>
      <c r="E10" s="73" t="inlineStr">
        <is>
          <t>0~1</t>
        </is>
      </c>
    </row>
    <row r="11" ht="66.40000000000001" customHeight="1" s="68">
      <c r="A11" s="73" t="n">
        <v>7</v>
      </c>
      <c r="B11" s="73" t="inlineStr">
        <is>
          <t>bertscore</t>
        </is>
      </c>
      <c r="C11" s="75" t="inlineStr">
        <is>
          <t>의미</t>
        </is>
      </c>
      <c r="D11" s="91" t="inlineStr">
        <is>
          <t>BERTScore F1. 청크 분할 후 길이 가중 평균</t>
        </is>
      </c>
      <c r="E11" s="73" t="inlineStr">
        <is>
          <t>0~1</t>
        </is>
      </c>
    </row>
    <row r="12" ht="120.1" customHeight="1" s="68">
      <c r="A12" s="73" t="n">
        <v>8</v>
      </c>
      <c r="B12" s="73" t="inlineStr">
        <is>
          <t>sts_score</t>
        </is>
      </c>
      <c r="C12" s="75" t="inlineStr">
        <is>
          <t>의미</t>
        </is>
      </c>
      <c r="D12" s="91" t="inlineStr">
        <is>
          <t>SBERT 임베딩 코사인 유사도의 양방향 best-match 길이가중 평균</t>
        </is>
      </c>
      <c r="E12" s="73" t="inlineStr">
        <is>
          <t>0~1</t>
        </is>
      </c>
    </row>
    <row r="13" ht="66.40000000000001" customHeight="1" s="68">
      <c r="A13" s="73" t="n">
        <v>9</v>
      </c>
      <c r="B13" s="73" t="inlineStr">
        <is>
          <t>moverscore</t>
        </is>
      </c>
      <c r="C13" s="75" t="inlineStr">
        <is>
          <t>의미</t>
        </is>
      </c>
      <c r="D13" s="91" t="inlineStr">
        <is>
          <t>Word Mover 계열 거리 기반 유사도</t>
        </is>
      </c>
      <c r="E13" s="73" t="inlineStr">
        <is>
          <t>0~1</t>
        </is>
      </c>
    </row>
    <row r="14" ht="198.5" customHeight="1" s="68">
      <c r="A14" s="73" t="n">
        <v>10</v>
      </c>
      <c r="B14" s="73" t="inlineStr">
        <is>
          <t>markdown_awareness_similarity</t>
        </is>
      </c>
      <c r="C14" s="75" t="inlineStr">
        <is>
          <t>구조</t>
        </is>
      </c>
      <c r="D14" s="91" t="inlineStr">
        <is>
          <t>MDEval Markdown Awareness. 마크다운을 HTML형 구조토큰 시퀀스로 변환 후 1 - Levenshtein(t1,t2)/max(|t1|,|t2|)</t>
        </is>
      </c>
      <c r="E14" s="73" t="inlineStr">
        <is>
          <t>0~1</t>
        </is>
      </c>
    </row>
    <row r="15" ht="283.55" customHeight="1" s="68">
      <c r="A15" s="73" t="n">
        <v>11</v>
      </c>
      <c r="B15" s="73" t="inlineStr">
        <is>
          <t>teds_document_structure_similarity</t>
        </is>
      </c>
      <c r="C15" s="75" t="inlineStr">
        <is>
          <t>구조</t>
        </is>
      </c>
      <c r="D15" s="91" t="inlineStr">
        <is>
          <t>TEDS(Tree Edit Distance-based Similarity) 문서판. 문서를 순서트리로 변환 후 1 - TED(T1,T2)/max(|T1|,|T2|). 삽입·삭제 비용=서브트리 크기, 치환 비용=라벨 불일치 시 1</t>
        </is>
      </c>
      <c r="E15" s="73" t="inlineStr">
        <is>
          <t>0~1</t>
        </is>
      </c>
    </row>
    <row r="16" ht="213.4" customHeight="1" s="68">
      <c r="A16" s="73" t="n">
        <v>12</v>
      </c>
      <c r="B16" s="73" t="inlineStr">
        <is>
          <t>teds_table_structure_similarity</t>
        </is>
      </c>
      <c r="C16" s="75" t="inlineStr">
        <is>
          <t>구조</t>
        </is>
      </c>
      <c r="D16" s="91" t="inlineStr">
        <is>
          <t>TEDS 표판. 표를 table&gt;tr&gt;td 트리로 변환 후 양방향 best-match 평균. 양쪽 모두 표가 없으면 NaN, 한쪽만 있으면 0</t>
        </is>
      </c>
      <c r="E16" s="73" t="inlineStr">
        <is>
          <t>0~1</t>
        </is>
      </c>
    </row>
    <row r="19" ht="17.15" customHeight="1" s="68">
      <c r="A19" s="71" t="inlineStr">
        <is>
          <t>그룹 가중치 (Overall Score)</t>
        </is>
      </c>
    </row>
    <row r="20" ht="15" customHeight="1" s="68">
      <c r="A20" s="70" t="inlineStr">
        <is>
          <t>아래 세 값은 논문에서 채택한 가중치이며 03_가중치민감도에서 검증한다. 이 셀을 바꾸면 워크북 전체가 재계산된다.</t>
        </is>
      </c>
    </row>
    <row r="21" ht="15" customHeight="1" s="68">
      <c r="A21" s="78" t="inlineStr">
        <is>
          <t>그룹</t>
        </is>
      </c>
      <c r="B21" s="78" t="inlineStr">
        <is>
          <t>지표 수</t>
        </is>
      </c>
      <c r="C21" s="78" t="inlineStr">
        <is>
          <t>가중치</t>
        </is>
      </c>
    </row>
    <row r="22" ht="15" customHeight="1" s="68">
      <c r="A22" s="74" t="inlineStr">
        <is>
          <t>lexical (어휘)</t>
        </is>
      </c>
      <c r="B22" s="73" t="n">
        <v>6</v>
      </c>
      <c r="C22" s="92" t="n">
        <v>0.2</v>
      </c>
    </row>
    <row r="23" ht="15" customHeight="1" s="68">
      <c r="A23" s="74" t="inlineStr">
        <is>
          <t>semantic (의미)</t>
        </is>
      </c>
      <c r="B23" s="73" t="n">
        <v>3</v>
      </c>
      <c r="C23" s="92" t="n">
        <v>0.45</v>
      </c>
    </row>
    <row r="24" ht="15" customHeight="1" s="68">
      <c r="A24" s="74" t="inlineStr">
        <is>
          <t>structure (구조)</t>
        </is>
      </c>
      <c r="B24" s="73" t="n">
        <v>3</v>
      </c>
      <c r="C24" s="92" t="n">
        <v>0.35</v>
      </c>
    </row>
    <row r="25" ht="15" customHeight="1" s="68">
      <c r="A25" s="72" t="inlineStr">
        <is>
          <t>합계</t>
        </is>
      </c>
      <c r="C25" s="93">
        <f>SUM(C22:C24)</f>
        <v/>
      </c>
    </row>
    <row r="27" ht="17.15" customHeight="1" s="68">
      <c r="A27" s="94" t="inlineStr">
        <is>
          <t>Overall Score 산식</t>
        </is>
      </c>
    </row>
    <row r="28" ht="15" customHeight="1" s="68">
      <c r="A28" s="79" t="inlineStr">
        <is>
          <t>overall_score = w_lex x mean(어휘 6개) + w_sem x mean(의미 3개) + w_str x mean(구조 3개)</t>
        </is>
      </c>
    </row>
    <row r="29" ht="15" customHeight="1" s="68">
      <c r="A29" s="79" t="inlineStr">
        <is>
          <t xml:space="preserve">  = 01_원자료 P열 x C22 + Q열 x C23 + R열 x C24   (P/Q/R = 각 그룹 내 단순평균)</t>
        </is>
      </c>
    </row>
    <row r="30" ht="15" customHeight="1" s="68">
      <c r="A30" s="70" t="inlineStr">
        <is>
          <t>주의: overall_document_structure_similarity(=0.40·MA+0.40·TEDS_doc+0.20·TEDS_table)는 나머지 세 구조 지표의 가중평균이므로 이중계산을 피하기 위해 점수 산식에서 제외한다.</t>
        </is>
      </c>
    </row>
    <row r="32" ht="17.15" customHeight="1" s="68">
      <c r="A32" s="71" t="inlineStr">
        <is>
          <t>표기 방언 처리 (본 워크북 원자료의 전제)</t>
        </is>
      </c>
    </row>
    <row r="33" ht="15" customHeight="1" s="68">
      <c r="A33" s="70" t="inlineStr">
        <is>
          <t>구조 지표 2종(MA, TEDS_doc)은 마크다운 제목 표기 방언에 민감하다. Claude·GPT·Mistral 산출물은 Setext(제목 아래 = 또는 --- 반복), Gemini·Qwen3.6 및 로컬 3종은 ATX(# 접두) 방식을 사용한다.</t>
        </is>
      </c>
    </row>
    <row r="34" ht="15" customHeight="1" s="68">
      <c r="A34" s="79" t="inlineStr">
        <is>
          <t>ATX만 인식하는 파서를 쓰면 Setext 문서의 계층이 소실되어 TEDS_doc가 0으로 절단된다(전체의 60.2%). 본 워크북 원자료는 두 방언을 모두 인식하는 파서로 전수 재계산한 값이다(0 비율 8.4%, 평균 0.2543 → 0.4783).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67" min="1" max="1"/>
    <col width="9" customWidth="1" style="67" min="2" max="4"/>
    <col width="13" customWidth="1" style="67" min="5" max="5"/>
    <col width="15" customWidth="1" style="67" min="6" max="6"/>
    <col width="12" customWidth="1" style="67" min="7" max="10"/>
    <col width="24" customWidth="1" style="67" min="11" max="11"/>
  </cols>
  <sheetData>
    <row r="1" ht="21.6" customHeight="1" s="68">
      <c r="A1" s="89" t="inlineStr">
        <is>
          <t>표 3. Overall Score 가중치 민감도 검증</t>
        </is>
      </c>
    </row>
    <row r="2" ht="15" customHeight="1" s="68">
      <c r="A2" s="70" t="inlineStr">
        <is>
          <t>가중치 조합을 바꿔도 모델 순위와 점수 서열이 유지되는지 확인한다. 분석단위: 975 평가쌍</t>
        </is>
      </c>
    </row>
    <row r="4" ht="26.85" customHeight="1" s="68">
      <c r="A4" s="78" t="inlineStr">
        <is>
          <t>시나리오</t>
        </is>
      </c>
      <c r="B4" s="82" t="inlineStr">
        <is>
          <t>w_lex</t>
        </is>
      </c>
      <c r="C4" s="82" t="inlineStr">
        <is>
          <t>w_sem</t>
        </is>
      </c>
      <c r="D4" s="82" t="inlineStr">
        <is>
          <t>w_str</t>
        </is>
      </c>
      <c r="E4" s="82" t="inlineStr">
        <is>
          <t>Gemma 평균</t>
        </is>
      </c>
      <c r="F4" s="82" t="inlineStr">
        <is>
          <t>Ministral 평균</t>
        </is>
      </c>
      <c r="G4" s="82" t="inlineStr">
        <is>
          <t>Qwen 평균</t>
        </is>
      </c>
      <c r="H4" s="82" t="inlineStr">
        <is>
          <t>1위 모델</t>
        </is>
      </c>
      <c r="I4" s="82" t="inlineStr">
        <is>
          <t>2위 모델</t>
        </is>
      </c>
      <c r="J4" s="82" t="inlineStr">
        <is>
          <t>3위 모델</t>
        </is>
      </c>
      <c r="K4" s="82" t="inlineStr">
        <is>
          <t>baseline 대비 Spearman rho</t>
        </is>
      </c>
    </row>
    <row r="5" ht="15" customHeight="1" s="68">
      <c r="A5" s="74" t="inlineStr">
        <is>
          <t>baseline (20/45/35)</t>
        </is>
      </c>
      <c r="B5" s="95" t="n">
        <v>0.2</v>
      </c>
      <c r="C5" s="95" t="n">
        <v>0.45</v>
      </c>
      <c r="D5" s="95" t="n">
        <v>0.35</v>
      </c>
      <c r="E5" s="96">
        <f>AVERAGEIFS('03B_시나리오점수'!$E$5:$E$979,'01_원자료'!$C$2:$C$976,"gemma")</f>
        <v/>
      </c>
      <c r="F5" s="96">
        <f>AVERAGEIFS('03B_시나리오점수'!$E$5:$E$979,'01_원자료'!$C$2:$C$976,"ministral")</f>
        <v/>
      </c>
      <c r="G5" s="96">
        <f>AVERAGEIFS('03B_시나리오점수'!$E$5:$E$979,'01_원자료'!$C$2:$C$976,"qwen")</f>
        <v/>
      </c>
      <c r="H5" s="73">
        <f>INDEX({"Gemma","Ministral","Qwen"},MATCH(LARGE(E5:G5,1),E5:G5,0))</f>
        <v/>
      </c>
      <c r="I5" s="73">
        <f>INDEX({"Gemma","Ministral","Qwen"},MATCH(LARGE(E5:G5,2),E5:G5,0))</f>
        <v/>
      </c>
      <c r="J5" s="73">
        <f>INDEX({"Gemma","Ministral","Qwen"},MATCH(LARGE(E5:G5,3),E5:G5,0))</f>
        <v/>
      </c>
      <c r="K5" s="97">
        <f>CORREL('03B_시나리오점수'!$K$5:$K$979,'03B_시나리오점수'!$K$5:$K$979)</f>
        <v/>
      </c>
    </row>
    <row r="6" ht="15" customHeight="1" s="68">
      <c r="A6" s="74" t="inlineStr">
        <is>
          <t>lex_heavy (40/30/30)</t>
        </is>
      </c>
      <c r="B6" s="95" t="n">
        <v>0.4</v>
      </c>
      <c r="C6" s="95" t="n">
        <v>0.3</v>
      </c>
      <c r="D6" s="95" t="n">
        <v>0.3</v>
      </c>
      <c r="E6" s="96">
        <f>AVERAGEIFS('03B_시나리오점수'!$F$5:$F$979,'01_원자료'!$C$2:$C$976,"gemma")</f>
        <v/>
      </c>
      <c r="F6" s="96">
        <f>AVERAGEIFS('03B_시나리오점수'!$F$5:$F$979,'01_원자료'!$C$2:$C$976,"ministral")</f>
        <v/>
      </c>
      <c r="G6" s="96">
        <f>AVERAGEIFS('03B_시나리오점수'!$F$5:$F$979,'01_원자료'!$C$2:$C$976,"qwen")</f>
        <v/>
      </c>
      <c r="H6" s="73">
        <f>INDEX({"Gemma","Ministral","Qwen"},MATCH(LARGE(E6:G6,1),E6:G6,0))</f>
        <v/>
      </c>
      <c r="I6" s="73">
        <f>INDEX({"Gemma","Ministral","Qwen"},MATCH(LARGE(E6:G6,2),E6:G6,0))</f>
        <v/>
      </c>
      <c r="J6" s="73">
        <f>INDEX({"Gemma","Ministral","Qwen"},MATCH(LARGE(E6:G6,3),E6:G6,0))</f>
        <v/>
      </c>
      <c r="K6" s="97">
        <f>CORREL('03B_시나리오점수'!$K$5:$K$979,'03B_시나리오점수'!$L$5:$L$979)</f>
        <v/>
      </c>
    </row>
    <row r="7" ht="15" customHeight="1" s="68">
      <c r="A7" s="74" t="inlineStr">
        <is>
          <t>sem_heavy (20/50/30)</t>
        </is>
      </c>
      <c r="B7" s="95" t="n">
        <v>0.2</v>
      </c>
      <c r="C7" s="95" t="n">
        <v>0.5</v>
      </c>
      <c r="D7" s="95" t="n">
        <v>0.3</v>
      </c>
      <c r="E7" s="96">
        <f>AVERAGEIFS('03B_시나리오점수'!$G$5:$G$979,'01_원자료'!$C$2:$C$976,"gemma")</f>
        <v/>
      </c>
      <c r="F7" s="96">
        <f>AVERAGEIFS('03B_시나리오점수'!$G$5:$G$979,'01_원자료'!$C$2:$C$976,"ministral")</f>
        <v/>
      </c>
      <c r="G7" s="96">
        <f>AVERAGEIFS('03B_시나리오점수'!$G$5:$G$979,'01_원자료'!$C$2:$C$976,"qwen")</f>
        <v/>
      </c>
      <c r="H7" s="73">
        <f>INDEX({"Gemma","Ministral","Qwen"},MATCH(LARGE(E7:G7,1),E7:G7,0))</f>
        <v/>
      </c>
      <c r="I7" s="73">
        <f>INDEX({"Gemma","Ministral","Qwen"},MATCH(LARGE(E7:G7,2),E7:G7,0))</f>
        <v/>
      </c>
      <c r="J7" s="73">
        <f>INDEX({"Gemma","Ministral","Qwen"},MATCH(LARGE(E7:G7,3),E7:G7,0))</f>
        <v/>
      </c>
      <c r="K7" s="97">
        <f>CORREL('03B_시나리오점수'!$K$5:$K$979,'03B_시나리오점수'!$M$5:$M$979)</f>
        <v/>
      </c>
    </row>
    <row r="8" ht="15" customHeight="1" s="68">
      <c r="A8" s="74" t="inlineStr">
        <is>
          <t>struct_heavy (20/20/60)</t>
        </is>
      </c>
      <c r="B8" s="95" t="n">
        <v>0.2</v>
      </c>
      <c r="C8" s="95" t="n">
        <v>0.2</v>
      </c>
      <c r="D8" s="95" t="n">
        <v>0.6</v>
      </c>
      <c r="E8" s="96">
        <f>AVERAGEIFS('03B_시나리오점수'!$H$5:$H$979,'01_원자료'!$C$2:$C$976,"gemma")</f>
        <v/>
      </c>
      <c r="F8" s="96">
        <f>AVERAGEIFS('03B_시나리오점수'!$H$5:$H$979,'01_원자료'!$C$2:$C$976,"ministral")</f>
        <v/>
      </c>
      <c r="G8" s="96">
        <f>AVERAGEIFS('03B_시나리오점수'!$H$5:$H$979,'01_원자료'!$C$2:$C$976,"qwen")</f>
        <v/>
      </c>
      <c r="H8" s="73">
        <f>INDEX({"Gemma","Ministral","Qwen"},MATCH(LARGE(E8:G8,1),E8:G8,0))</f>
        <v/>
      </c>
      <c r="I8" s="73">
        <f>INDEX({"Gemma","Ministral","Qwen"},MATCH(LARGE(E8:G8,2),E8:G8,0))</f>
        <v/>
      </c>
      <c r="J8" s="73">
        <f>INDEX({"Gemma","Ministral","Qwen"},MATCH(LARGE(E8:G8,3),E8:G8,0))</f>
        <v/>
      </c>
      <c r="K8" s="97">
        <f>CORREL('03B_시나리오점수'!$K$5:$K$979,'03B_시나리오점수'!$N$5:$N$979)</f>
        <v/>
      </c>
    </row>
    <row r="9" ht="15" customHeight="1" s="68">
      <c r="A9" s="74" t="inlineStr">
        <is>
          <t>equal (1/3 each)</t>
        </is>
      </c>
      <c r="B9" s="95" t="n">
        <v>0.333333333333333</v>
      </c>
      <c r="C9" s="95" t="n">
        <v>0.333333333333333</v>
      </c>
      <c r="D9" s="95" t="n">
        <v>0.333333333333333</v>
      </c>
      <c r="E9" s="96">
        <f>AVERAGEIFS('03B_시나리오점수'!$I$5:$I$979,'01_원자료'!$C$2:$C$976,"gemma")</f>
        <v/>
      </c>
      <c r="F9" s="96">
        <f>AVERAGEIFS('03B_시나리오점수'!$I$5:$I$979,'01_원자료'!$C$2:$C$976,"ministral")</f>
        <v/>
      </c>
      <c r="G9" s="96">
        <f>AVERAGEIFS('03B_시나리오점수'!$I$5:$I$979,'01_원자료'!$C$2:$C$976,"qwen")</f>
        <v/>
      </c>
      <c r="H9" s="73">
        <f>INDEX({"Gemma","Ministral","Qwen"},MATCH(LARGE(E9:G9,1),E9:G9,0))</f>
        <v/>
      </c>
      <c r="I9" s="73">
        <f>INDEX({"Gemma","Ministral","Qwen"},MATCH(LARGE(E9:G9,2),E9:G9,0))</f>
        <v/>
      </c>
      <c r="J9" s="73">
        <f>INDEX({"Gemma","Ministral","Qwen"},MATCH(LARGE(E9:G9,3),E9:G9,0))</f>
        <v/>
      </c>
      <c r="K9" s="97">
        <f>CORREL('03B_시나리오점수'!$K$5:$K$979,'03B_시나리오점수'!$O$5:$O$979)</f>
        <v/>
      </c>
    </row>
    <row r="10" ht="15" customHeight="1" s="68">
      <c r="A10" s="74" t="inlineStr">
        <is>
          <t>sem_struct (0/50/50)</t>
        </is>
      </c>
      <c r="B10" s="95" t="n">
        <v>0</v>
      </c>
      <c r="C10" s="95" t="n">
        <v>0.5</v>
      </c>
      <c r="D10" s="95" t="n">
        <v>0.5</v>
      </c>
      <c r="E10" s="96">
        <f>AVERAGEIFS('03B_시나리오점수'!$J$5:$J$979,'01_원자료'!$C$2:$C$976,"gemma")</f>
        <v/>
      </c>
      <c r="F10" s="96">
        <f>AVERAGEIFS('03B_시나리오점수'!$J$5:$J$979,'01_원자료'!$C$2:$C$976,"ministral")</f>
        <v/>
      </c>
      <c r="G10" s="96">
        <f>AVERAGEIFS('03B_시나리오점수'!$J$5:$J$979,'01_원자료'!$C$2:$C$976,"qwen")</f>
        <v/>
      </c>
      <c r="H10" s="73">
        <f>INDEX({"Gemma","Ministral","Qwen"},MATCH(LARGE(E10:G10,1),E10:G10,0))</f>
        <v/>
      </c>
      <c r="I10" s="73">
        <f>INDEX({"Gemma","Ministral","Qwen"},MATCH(LARGE(E10:G10,2),E10:G10,0))</f>
        <v/>
      </c>
      <c r="J10" s="73">
        <f>INDEX({"Gemma","Ministral","Qwen"},MATCH(LARGE(E10:G10,3),E10:G10,0))</f>
        <v/>
      </c>
      <c r="K10" s="97">
        <f>CORREL('03B_시나리오점수'!$K$5:$K$979,'03B_시나리오점수'!$P$5:$P$979)</f>
        <v/>
      </c>
    </row>
    <row r="12" ht="15" customHeight="1" s="68">
      <c r="A12" s="74" t="inlineStr">
        <is>
          <t>Spearman rho 범위</t>
        </is>
      </c>
      <c r="K12" s="98">
        <f>TEXT(MIN(K5:K10),"0.000")&amp;" ~ "&amp;TEXT(MAX(K5:K10),"0.000")</f>
        <v/>
      </c>
    </row>
    <row r="14" ht="15" customHeight="1" s="68">
      <c r="A14" s="70" t="inlineStr">
        <is>
          <t>해석: 6개 시나리오 전부에서 Ministral이 최하위로 고정되고, baseline 대비 Spearman 순위 상관이 모두 0.98 이상이다. 즉 Overall Score의 결론은 가중치 선택에 강건하다.</t>
        </is>
      </c>
    </row>
    <row r="15" ht="15" customHeight="1" s="68">
      <c r="A15" s="70" t="inlineStr">
        <is>
          <t>단, Gemma와 Qwen의 1·2위 순서는 시나리오에 따라 뒤바뀐다(두 모델 평균 차이 0.003 미만). 따라서 논문은 두 모델의 순위를 해석하지 않는다.</t>
        </is>
      </c>
    </row>
    <row r="16" ht="15" customHeight="1" s="68">
      <c r="A16" s="79" t="inlineStr">
        <is>
          <t>rho의 분석 단위는 975개 평가쌍의 점수다. 모델 3개의 순위만으로 Spearman을 계산하면 값이 1.0 또는 0.5만 가능하므로 민감도 지표로 쓸 수 없다.</t>
        </is>
      </c>
    </row>
    <row r="17" ht="15" customHeight="1" s="68">
      <c r="A17" s="79" t="inlineStr">
        <is>
          <t>sem_struct 시나리오는 어휘 가중치가 0이므로 어휘 그룹을 완전히 배제한 극단 검증이다.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P97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24" customWidth="1" style="67" min="1" max="1"/>
    <col width="16" customWidth="1" style="67" min="2" max="2"/>
    <col width="17" customWidth="1" style="67" min="3" max="3"/>
    <col width="2" customWidth="1" style="67" min="4" max="4"/>
    <col width="15" customWidth="1" style="67" min="5" max="16"/>
  </cols>
  <sheetData>
    <row r="1" ht="21.6" customHeight="1" s="68">
      <c r="A1" s="89" t="inlineStr">
        <is>
          <t>가중치 시나리오별 평가쌍 점수와 순위 (03_가중치민감도 계산용)</t>
        </is>
      </c>
    </row>
    <row r="2" ht="15" customHeight="1" s="68">
      <c r="A2" s="79" t="inlineStr">
        <is>
          <t>E~J열 = 각 시나리오의 975개 평가쌍 점수, K~P열 = 그 평균순위. Spearman rho = 순위끼리의 CORREL.</t>
        </is>
      </c>
    </row>
    <row r="4" ht="38.05" customHeight="1" s="68">
      <c r="A4" s="82" t="inlineStr">
        <is>
          <t>document_id</t>
        </is>
      </c>
      <c r="B4" s="82" t="inlineStr">
        <is>
          <t>reference_model</t>
        </is>
      </c>
      <c r="C4" s="82" t="inlineStr">
        <is>
          <t>comparison_model</t>
        </is>
      </c>
      <c r="D4" s="78" t="n"/>
      <c r="E4" s="78" t="inlineStr">
        <is>
          <t>점수 baseline (20/45/35)</t>
        </is>
      </c>
      <c r="F4" s="78" t="inlineStr">
        <is>
          <t>점수 lex_heavy (40/30/30)</t>
        </is>
      </c>
      <c r="G4" s="78" t="inlineStr">
        <is>
          <t>점수 sem_heavy (20/50/30)</t>
        </is>
      </c>
      <c r="H4" s="78" t="inlineStr">
        <is>
          <t>점수 struct_heavy (20/20/60)</t>
        </is>
      </c>
      <c r="I4" s="78" t="inlineStr">
        <is>
          <t>점수 equal (1/3 each)</t>
        </is>
      </c>
      <c r="J4" s="78" t="inlineStr">
        <is>
          <t>점수 sem_struct (0/50/50)</t>
        </is>
      </c>
      <c r="K4" s="78" t="inlineStr">
        <is>
          <t>순위 baseline (20/45/35)</t>
        </is>
      </c>
      <c r="L4" s="78" t="inlineStr">
        <is>
          <t>순위 lex_heavy (40/30/30)</t>
        </is>
      </c>
      <c r="M4" s="78" t="inlineStr">
        <is>
          <t>순위 sem_heavy (20/50/30)</t>
        </is>
      </c>
      <c r="N4" s="78" t="inlineStr">
        <is>
          <t>순위 struct_heavy (20/20/60)</t>
        </is>
      </c>
      <c r="O4" s="78" t="inlineStr">
        <is>
          <t>순위 equal (1/3 each)</t>
        </is>
      </c>
      <c r="P4" s="78" t="inlineStr">
        <is>
          <t>순위 sem_struct (0/50/50)</t>
        </is>
      </c>
    </row>
    <row r="5" ht="15" customHeight="1" s="68">
      <c r="A5" s="70">
        <f>'01_원자료'!A2</f>
        <v/>
      </c>
      <c r="B5" s="70">
        <f>'01_원자료'!B2</f>
        <v/>
      </c>
      <c r="C5" s="70">
        <f>'01_원자료'!C2</f>
        <v/>
      </c>
      <c r="E5" s="85">
        <f>'01_원자료'!P2*'03_가중치민감도'!$B$5+'01_원자료'!Q2*'03_가중치민감도'!$C$5+'01_원자료'!R2*'03_가중치민감도'!$D$5</f>
        <v/>
      </c>
      <c r="F5" s="85">
        <f>'01_원자료'!P2*'03_가중치민감도'!$B$6+'01_원자료'!Q2*'03_가중치민감도'!$C$6+'01_원자료'!R2*'03_가중치민감도'!$D$6</f>
        <v/>
      </c>
      <c r="G5" s="85">
        <f>'01_원자료'!P2*'03_가중치민감도'!$B$7+'01_원자료'!Q2*'03_가중치민감도'!$C$7+'01_원자료'!R2*'03_가중치민감도'!$D$7</f>
        <v/>
      </c>
      <c r="H5" s="85">
        <f>'01_원자료'!P2*'03_가중치민감도'!$B$8+'01_원자료'!Q2*'03_가중치민감도'!$C$8+'01_원자료'!R2*'03_가중치민감도'!$D$8</f>
        <v/>
      </c>
      <c r="I5" s="85">
        <f>'01_원자료'!P2*'03_가중치민감도'!$B$9+'01_원자료'!Q2*'03_가중치민감도'!$C$9+'01_원자료'!R2*'03_가중치민감도'!$D$9</f>
        <v/>
      </c>
      <c r="J5" s="85">
        <f>'01_원자료'!P2*'03_가중치민감도'!$B$10+'01_원자료'!Q2*'03_가중치민감도'!$C$10+'01_원자료'!R2*'03_가중치민감도'!$D$10</f>
        <v/>
      </c>
      <c r="K5" s="99">
        <f>COUNTIF($E$5:$E$979,"&lt;"&amp;E5)+(COUNTIF($E$5:$E$979,"="&amp;E5)+1)/2</f>
        <v/>
      </c>
      <c r="L5" s="99">
        <f>COUNTIF($F$5:$F$979,"&lt;"&amp;F5)+(COUNTIF($F$5:$F$979,"="&amp;F5)+1)/2</f>
        <v/>
      </c>
      <c r="M5" s="99">
        <f>COUNTIF($G$5:$G$979,"&lt;"&amp;G5)+(COUNTIF($G$5:$G$979,"="&amp;G5)+1)/2</f>
        <v/>
      </c>
      <c r="N5" s="99">
        <f>COUNTIF($H$5:$H$979,"&lt;"&amp;H5)+(COUNTIF($H$5:$H$979,"="&amp;H5)+1)/2</f>
        <v/>
      </c>
      <c r="O5" s="99">
        <f>COUNTIF($I$5:$I$979,"&lt;"&amp;I5)+(COUNTIF($I$5:$I$979,"="&amp;I5)+1)/2</f>
        <v/>
      </c>
      <c r="P5" s="99">
        <f>COUNTIF($J$5:$J$979,"&lt;"&amp;J5)+(COUNTIF($J$5:$J$979,"="&amp;J5)+1)/2</f>
        <v/>
      </c>
    </row>
    <row r="6" ht="15" customHeight="1" s="68">
      <c r="A6" s="70">
        <f>'01_원자료'!A3</f>
        <v/>
      </c>
      <c r="B6" s="70">
        <f>'01_원자료'!B3</f>
        <v/>
      </c>
      <c r="C6" s="70">
        <f>'01_원자료'!C3</f>
        <v/>
      </c>
      <c r="E6" s="85">
        <f>'01_원자료'!P3*'03_가중치민감도'!$B$5+'01_원자료'!Q3*'03_가중치민감도'!$C$5+'01_원자료'!R3*'03_가중치민감도'!$D$5</f>
        <v/>
      </c>
      <c r="F6" s="85">
        <f>'01_원자료'!P3*'03_가중치민감도'!$B$6+'01_원자료'!Q3*'03_가중치민감도'!$C$6+'01_원자료'!R3*'03_가중치민감도'!$D$6</f>
        <v/>
      </c>
      <c r="G6" s="85">
        <f>'01_원자료'!P3*'03_가중치민감도'!$B$7+'01_원자료'!Q3*'03_가중치민감도'!$C$7+'01_원자료'!R3*'03_가중치민감도'!$D$7</f>
        <v/>
      </c>
      <c r="H6" s="85">
        <f>'01_원자료'!P3*'03_가중치민감도'!$B$8+'01_원자료'!Q3*'03_가중치민감도'!$C$8+'01_원자료'!R3*'03_가중치민감도'!$D$8</f>
        <v/>
      </c>
      <c r="I6" s="85">
        <f>'01_원자료'!P3*'03_가중치민감도'!$B$9+'01_원자료'!Q3*'03_가중치민감도'!$C$9+'01_원자료'!R3*'03_가중치민감도'!$D$9</f>
        <v/>
      </c>
      <c r="J6" s="85">
        <f>'01_원자료'!P3*'03_가중치민감도'!$B$10+'01_원자료'!Q3*'03_가중치민감도'!$C$10+'01_원자료'!R3*'03_가중치민감도'!$D$10</f>
        <v/>
      </c>
      <c r="K6" s="99">
        <f>COUNTIF($E$5:$E$979,"&lt;"&amp;E6)+(COUNTIF($E$5:$E$979,"="&amp;E6)+1)/2</f>
        <v/>
      </c>
      <c r="L6" s="99">
        <f>COUNTIF($F$5:$F$979,"&lt;"&amp;F6)+(COUNTIF($F$5:$F$979,"="&amp;F6)+1)/2</f>
        <v/>
      </c>
      <c r="M6" s="99">
        <f>COUNTIF($G$5:$G$979,"&lt;"&amp;G6)+(COUNTIF($G$5:$G$979,"="&amp;G6)+1)/2</f>
        <v/>
      </c>
      <c r="N6" s="99">
        <f>COUNTIF($H$5:$H$979,"&lt;"&amp;H6)+(COUNTIF($H$5:$H$979,"="&amp;H6)+1)/2</f>
        <v/>
      </c>
      <c r="O6" s="99">
        <f>COUNTIF($I$5:$I$979,"&lt;"&amp;I6)+(COUNTIF($I$5:$I$979,"="&amp;I6)+1)/2</f>
        <v/>
      </c>
      <c r="P6" s="99">
        <f>COUNTIF($J$5:$J$979,"&lt;"&amp;J6)+(COUNTIF($J$5:$J$979,"="&amp;J6)+1)/2</f>
        <v/>
      </c>
    </row>
    <row r="7" ht="15" customHeight="1" s="68">
      <c r="A7" s="70">
        <f>'01_원자료'!A4</f>
        <v/>
      </c>
      <c r="B7" s="70">
        <f>'01_원자료'!B4</f>
        <v/>
      </c>
      <c r="C7" s="70">
        <f>'01_원자료'!C4</f>
        <v/>
      </c>
      <c r="E7" s="85">
        <f>'01_원자료'!P4*'03_가중치민감도'!$B$5+'01_원자료'!Q4*'03_가중치민감도'!$C$5+'01_원자료'!R4*'03_가중치민감도'!$D$5</f>
        <v/>
      </c>
      <c r="F7" s="85">
        <f>'01_원자료'!P4*'03_가중치민감도'!$B$6+'01_원자료'!Q4*'03_가중치민감도'!$C$6+'01_원자료'!R4*'03_가중치민감도'!$D$6</f>
        <v/>
      </c>
      <c r="G7" s="85">
        <f>'01_원자료'!P4*'03_가중치민감도'!$B$7+'01_원자료'!Q4*'03_가중치민감도'!$C$7+'01_원자료'!R4*'03_가중치민감도'!$D$7</f>
        <v/>
      </c>
      <c r="H7" s="85">
        <f>'01_원자료'!P4*'03_가중치민감도'!$B$8+'01_원자료'!Q4*'03_가중치민감도'!$C$8+'01_원자료'!R4*'03_가중치민감도'!$D$8</f>
        <v/>
      </c>
      <c r="I7" s="85">
        <f>'01_원자료'!P4*'03_가중치민감도'!$B$9+'01_원자료'!Q4*'03_가중치민감도'!$C$9+'01_원자료'!R4*'03_가중치민감도'!$D$9</f>
        <v/>
      </c>
      <c r="J7" s="85">
        <f>'01_원자료'!P4*'03_가중치민감도'!$B$10+'01_원자료'!Q4*'03_가중치민감도'!$C$10+'01_원자료'!R4*'03_가중치민감도'!$D$10</f>
        <v/>
      </c>
      <c r="K7" s="99">
        <f>COUNTIF($E$5:$E$979,"&lt;"&amp;E7)+(COUNTIF($E$5:$E$979,"="&amp;E7)+1)/2</f>
        <v/>
      </c>
      <c r="L7" s="99">
        <f>COUNTIF($F$5:$F$979,"&lt;"&amp;F7)+(COUNTIF($F$5:$F$979,"="&amp;F7)+1)/2</f>
        <v/>
      </c>
      <c r="M7" s="99">
        <f>COUNTIF($G$5:$G$979,"&lt;"&amp;G7)+(COUNTIF($G$5:$G$979,"="&amp;G7)+1)/2</f>
        <v/>
      </c>
      <c r="N7" s="99">
        <f>COUNTIF($H$5:$H$979,"&lt;"&amp;H7)+(COUNTIF($H$5:$H$979,"="&amp;H7)+1)/2</f>
        <v/>
      </c>
      <c r="O7" s="99">
        <f>COUNTIF($I$5:$I$979,"&lt;"&amp;I7)+(COUNTIF($I$5:$I$979,"="&amp;I7)+1)/2</f>
        <v/>
      </c>
      <c r="P7" s="99">
        <f>COUNTIF($J$5:$J$979,"&lt;"&amp;J7)+(COUNTIF($J$5:$J$979,"="&amp;J7)+1)/2</f>
        <v/>
      </c>
    </row>
    <row r="8" ht="15" customHeight="1" s="68">
      <c r="A8" s="70">
        <f>'01_원자료'!A5</f>
        <v/>
      </c>
      <c r="B8" s="70">
        <f>'01_원자료'!B5</f>
        <v/>
      </c>
      <c r="C8" s="70">
        <f>'01_원자료'!C5</f>
        <v/>
      </c>
      <c r="E8" s="85">
        <f>'01_원자료'!P5*'03_가중치민감도'!$B$5+'01_원자료'!Q5*'03_가중치민감도'!$C$5+'01_원자료'!R5*'03_가중치민감도'!$D$5</f>
        <v/>
      </c>
      <c r="F8" s="85">
        <f>'01_원자료'!P5*'03_가중치민감도'!$B$6+'01_원자료'!Q5*'03_가중치민감도'!$C$6+'01_원자료'!R5*'03_가중치민감도'!$D$6</f>
        <v/>
      </c>
      <c r="G8" s="85">
        <f>'01_원자료'!P5*'03_가중치민감도'!$B$7+'01_원자료'!Q5*'03_가중치민감도'!$C$7+'01_원자료'!R5*'03_가중치민감도'!$D$7</f>
        <v/>
      </c>
      <c r="H8" s="85">
        <f>'01_원자료'!P5*'03_가중치민감도'!$B$8+'01_원자료'!Q5*'03_가중치민감도'!$C$8+'01_원자료'!R5*'03_가중치민감도'!$D$8</f>
        <v/>
      </c>
      <c r="I8" s="85">
        <f>'01_원자료'!P5*'03_가중치민감도'!$B$9+'01_원자료'!Q5*'03_가중치민감도'!$C$9+'01_원자료'!R5*'03_가중치민감도'!$D$9</f>
        <v/>
      </c>
      <c r="J8" s="85">
        <f>'01_원자료'!P5*'03_가중치민감도'!$B$10+'01_원자료'!Q5*'03_가중치민감도'!$C$10+'01_원자료'!R5*'03_가중치민감도'!$D$10</f>
        <v/>
      </c>
      <c r="K8" s="99">
        <f>COUNTIF($E$5:$E$979,"&lt;"&amp;E8)+(COUNTIF($E$5:$E$979,"="&amp;E8)+1)/2</f>
        <v/>
      </c>
      <c r="L8" s="99">
        <f>COUNTIF($F$5:$F$979,"&lt;"&amp;F8)+(COUNTIF($F$5:$F$979,"="&amp;F8)+1)/2</f>
        <v/>
      </c>
      <c r="M8" s="99">
        <f>COUNTIF($G$5:$G$979,"&lt;"&amp;G8)+(COUNTIF($G$5:$G$979,"="&amp;G8)+1)/2</f>
        <v/>
      </c>
      <c r="N8" s="99">
        <f>COUNTIF($H$5:$H$979,"&lt;"&amp;H8)+(COUNTIF($H$5:$H$979,"="&amp;H8)+1)/2</f>
        <v/>
      </c>
      <c r="O8" s="99">
        <f>COUNTIF($I$5:$I$979,"&lt;"&amp;I8)+(COUNTIF($I$5:$I$979,"="&amp;I8)+1)/2</f>
        <v/>
      </c>
      <c r="P8" s="99">
        <f>COUNTIF($J$5:$J$979,"&lt;"&amp;J8)+(COUNTIF($J$5:$J$979,"="&amp;J8)+1)/2</f>
        <v/>
      </c>
    </row>
    <row r="9" ht="15" customHeight="1" s="68">
      <c r="A9" s="70">
        <f>'01_원자료'!A6</f>
        <v/>
      </c>
      <c r="B9" s="70">
        <f>'01_원자료'!B6</f>
        <v/>
      </c>
      <c r="C9" s="70">
        <f>'01_원자료'!C6</f>
        <v/>
      </c>
      <c r="E9" s="85">
        <f>'01_원자료'!P6*'03_가중치민감도'!$B$5+'01_원자료'!Q6*'03_가중치민감도'!$C$5+'01_원자료'!R6*'03_가중치민감도'!$D$5</f>
        <v/>
      </c>
      <c r="F9" s="85">
        <f>'01_원자료'!P6*'03_가중치민감도'!$B$6+'01_원자료'!Q6*'03_가중치민감도'!$C$6+'01_원자료'!R6*'03_가중치민감도'!$D$6</f>
        <v/>
      </c>
      <c r="G9" s="85">
        <f>'01_원자료'!P6*'03_가중치민감도'!$B$7+'01_원자료'!Q6*'03_가중치민감도'!$C$7+'01_원자료'!R6*'03_가중치민감도'!$D$7</f>
        <v/>
      </c>
      <c r="H9" s="85">
        <f>'01_원자료'!P6*'03_가중치민감도'!$B$8+'01_원자료'!Q6*'03_가중치민감도'!$C$8+'01_원자료'!R6*'03_가중치민감도'!$D$8</f>
        <v/>
      </c>
      <c r="I9" s="85">
        <f>'01_원자료'!P6*'03_가중치민감도'!$B$9+'01_원자료'!Q6*'03_가중치민감도'!$C$9+'01_원자료'!R6*'03_가중치민감도'!$D$9</f>
        <v/>
      </c>
      <c r="J9" s="85">
        <f>'01_원자료'!P6*'03_가중치민감도'!$B$10+'01_원자료'!Q6*'03_가중치민감도'!$C$10+'01_원자료'!R6*'03_가중치민감도'!$D$10</f>
        <v/>
      </c>
      <c r="K9" s="99">
        <f>COUNTIF($E$5:$E$979,"&lt;"&amp;E9)+(COUNTIF($E$5:$E$979,"="&amp;E9)+1)/2</f>
        <v/>
      </c>
      <c r="L9" s="99">
        <f>COUNTIF($F$5:$F$979,"&lt;"&amp;F9)+(COUNTIF($F$5:$F$979,"="&amp;F9)+1)/2</f>
        <v/>
      </c>
      <c r="M9" s="99">
        <f>COUNTIF($G$5:$G$979,"&lt;"&amp;G9)+(COUNTIF($G$5:$G$979,"="&amp;G9)+1)/2</f>
        <v/>
      </c>
      <c r="N9" s="99">
        <f>COUNTIF($H$5:$H$979,"&lt;"&amp;H9)+(COUNTIF($H$5:$H$979,"="&amp;H9)+1)/2</f>
        <v/>
      </c>
      <c r="O9" s="99">
        <f>COUNTIF($I$5:$I$979,"&lt;"&amp;I9)+(COUNTIF($I$5:$I$979,"="&amp;I9)+1)/2</f>
        <v/>
      </c>
      <c r="P9" s="99">
        <f>COUNTIF($J$5:$J$979,"&lt;"&amp;J9)+(COUNTIF($J$5:$J$979,"="&amp;J9)+1)/2</f>
        <v/>
      </c>
    </row>
    <row r="10" ht="15" customHeight="1" s="68">
      <c r="A10" s="70">
        <f>'01_원자료'!A7</f>
        <v/>
      </c>
      <c r="B10" s="70">
        <f>'01_원자료'!B7</f>
        <v/>
      </c>
      <c r="C10" s="70">
        <f>'01_원자료'!C7</f>
        <v/>
      </c>
      <c r="E10" s="85">
        <f>'01_원자료'!P7*'03_가중치민감도'!$B$5+'01_원자료'!Q7*'03_가중치민감도'!$C$5+'01_원자료'!R7*'03_가중치민감도'!$D$5</f>
        <v/>
      </c>
      <c r="F10" s="85">
        <f>'01_원자료'!P7*'03_가중치민감도'!$B$6+'01_원자료'!Q7*'03_가중치민감도'!$C$6+'01_원자료'!R7*'03_가중치민감도'!$D$6</f>
        <v/>
      </c>
      <c r="G10" s="85">
        <f>'01_원자료'!P7*'03_가중치민감도'!$B$7+'01_원자료'!Q7*'03_가중치민감도'!$C$7+'01_원자료'!R7*'03_가중치민감도'!$D$7</f>
        <v/>
      </c>
      <c r="H10" s="85">
        <f>'01_원자료'!P7*'03_가중치민감도'!$B$8+'01_원자료'!Q7*'03_가중치민감도'!$C$8+'01_원자료'!R7*'03_가중치민감도'!$D$8</f>
        <v/>
      </c>
      <c r="I10" s="85">
        <f>'01_원자료'!P7*'03_가중치민감도'!$B$9+'01_원자료'!Q7*'03_가중치민감도'!$C$9+'01_원자료'!R7*'03_가중치민감도'!$D$9</f>
        <v/>
      </c>
      <c r="J10" s="85">
        <f>'01_원자료'!P7*'03_가중치민감도'!$B$10+'01_원자료'!Q7*'03_가중치민감도'!$C$10+'01_원자료'!R7*'03_가중치민감도'!$D$10</f>
        <v/>
      </c>
      <c r="K10" s="99">
        <f>COUNTIF($E$5:$E$979,"&lt;"&amp;E10)+(COUNTIF($E$5:$E$979,"="&amp;E10)+1)/2</f>
        <v/>
      </c>
      <c r="L10" s="99">
        <f>COUNTIF($F$5:$F$979,"&lt;"&amp;F10)+(COUNTIF($F$5:$F$979,"="&amp;F10)+1)/2</f>
        <v/>
      </c>
      <c r="M10" s="99">
        <f>COUNTIF($G$5:$G$979,"&lt;"&amp;G10)+(COUNTIF($G$5:$G$979,"="&amp;G10)+1)/2</f>
        <v/>
      </c>
      <c r="N10" s="99">
        <f>COUNTIF($H$5:$H$979,"&lt;"&amp;H10)+(COUNTIF($H$5:$H$979,"="&amp;H10)+1)/2</f>
        <v/>
      </c>
      <c r="O10" s="99">
        <f>COUNTIF($I$5:$I$979,"&lt;"&amp;I10)+(COUNTIF($I$5:$I$979,"="&amp;I10)+1)/2</f>
        <v/>
      </c>
      <c r="P10" s="99">
        <f>COUNTIF($J$5:$J$979,"&lt;"&amp;J10)+(COUNTIF($J$5:$J$979,"="&amp;J10)+1)/2</f>
        <v/>
      </c>
    </row>
    <row r="11" ht="15" customHeight="1" s="68">
      <c r="A11" s="70">
        <f>'01_원자료'!A8</f>
        <v/>
      </c>
      <c r="B11" s="70">
        <f>'01_원자료'!B8</f>
        <v/>
      </c>
      <c r="C11" s="70">
        <f>'01_원자료'!C8</f>
        <v/>
      </c>
      <c r="E11" s="85">
        <f>'01_원자료'!P8*'03_가중치민감도'!$B$5+'01_원자료'!Q8*'03_가중치민감도'!$C$5+'01_원자료'!R8*'03_가중치민감도'!$D$5</f>
        <v/>
      </c>
      <c r="F11" s="85">
        <f>'01_원자료'!P8*'03_가중치민감도'!$B$6+'01_원자료'!Q8*'03_가중치민감도'!$C$6+'01_원자료'!R8*'03_가중치민감도'!$D$6</f>
        <v/>
      </c>
      <c r="G11" s="85">
        <f>'01_원자료'!P8*'03_가중치민감도'!$B$7+'01_원자료'!Q8*'03_가중치민감도'!$C$7+'01_원자료'!R8*'03_가중치민감도'!$D$7</f>
        <v/>
      </c>
      <c r="H11" s="85">
        <f>'01_원자료'!P8*'03_가중치민감도'!$B$8+'01_원자료'!Q8*'03_가중치민감도'!$C$8+'01_원자료'!R8*'03_가중치민감도'!$D$8</f>
        <v/>
      </c>
      <c r="I11" s="85">
        <f>'01_원자료'!P8*'03_가중치민감도'!$B$9+'01_원자료'!Q8*'03_가중치민감도'!$C$9+'01_원자료'!R8*'03_가중치민감도'!$D$9</f>
        <v/>
      </c>
      <c r="J11" s="85">
        <f>'01_원자료'!P8*'03_가중치민감도'!$B$10+'01_원자료'!Q8*'03_가중치민감도'!$C$10+'01_원자료'!R8*'03_가중치민감도'!$D$10</f>
        <v/>
      </c>
      <c r="K11" s="99">
        <f>COUNTIF($E$5:$E$979,"&lt;"&amp;E11)+(COUNTIF($E$5:$E$979,"="&amp;E11)+1)/2</f>
        <v/>
      </c>
      <c r="L11" s="99">
        <f>COUNTIF($F$5:$F$979,"&lt;"&amp;F11)+(COUNTIF($F$5:$F$979,"="&amp;F11)+1)/2</f>
        <v/>
      </c>
      <c r="M11" s="99">
        <f>COUNTIF($G$5:$G$979,"&lt;"&amp;G11)+(COUNTIF($G$5:$G$979,"="&amp;G11)+1)/2</f>
        <v/>
      </c>
      <c r="N11" s="99">
        <f>COUNTIF($H$5:$H$979,"&lt;"&amp;H11)+(COUNTIF($H$5:$H$979,"="&amp;H11)+1)/2</f>
        <v/>
      </c>
      <c r="O11" s="99">
        <f>COUNTIF($I$5:$I$979,"&lt;"&amp;I11)+(COUNTIF($I$5:$I$979,"="&amp;I11)+1)/2</f>
        <v/>
      </c>
      <c r="P11" s="99">
        <f>COUNTIF($J$5:$J$979,"&lt;"&amp;J11)+(COUNTIF($J$5:$J$979,"="&amp;J11)+1)/2</f>
        <v/>
      </c>
    </row>
    <row r="12" ht="15" customHeight="1" s="68">
      <c r="A12" s="70">
        <f>'01_원자료'!A9</f>
        <v/>
      </c>
      <c r="B12" s="70">
        <f>'01_원자료'!B9</f>
        <v/>
      </c>
      <c r="C12" s="70">
        <f>'01_원자료'!C9</f>
        <v/>
      </c>
      <c r="E12" s="85">
        <f>'01_원자료'!P9*'03_가중치민감도'!$B$5+'01_원자료'!Q9*'03_가중치민감도'!$C$5+'01_원자료'!R9*'03_가중치민감도'!$D$5</f>
        <v/>
      </c>
      <c r="F12" s="85">
        <f>'01_원자료'!P9*'03_가중치민감도'!$B$6+'01_원자료'!Q9*'03_가중치민감도'!$C$6+'01_원자료'!R9*'03_가중치민감도'!$D$6</f>
        <v/>
      </c>
      <c r="G12" s="85">
        <f>'01_원자료'!P9*'03_가중치민감도'!$B$7+'01_원자료'!Q9*'03_가중치민감도'!$C$7+'01_원자료'!R9*'03_가중치민감도'!$D$7</f>
        <v/>
      </c>
      <c r="H12" s="85">
        <f>'01_원자료'!P9*'03_가중치민감도'!$B$8+'01_원자료'!Q9*'03_가중치민감도'!$C$8+'01_원자료'!R9*'03_가중치민감도'!$D$8</f>
        <v/>
      </c>
      <c r="I12" s="85">
        <f>'01_원자료'!P9*'03_가중치민감도'!$B$9+'01_원자료'!Q9*'03_가중치민감도'!$C$9+'01_원자료'!R9*'03_가중치민감도'!$D$9</f>
        <v/>
      </c>
      <c r="J12" s="85">
        <f>'01_원자료'!P9*'03_가중치민감도'!$B$10+'01_원자료'!Q9*'03_가중치민감도'!$C$10+'01_원자료'!R9*'03_가중치민감도'!$D$10</f>
        <v/>
      </c>
      <c r="K12" s="99">
        <f>COUNTIF($E$5:$E$979,"&lt;"&amp;E12)+(COUNTIF($E$5:$E$979,"="&amp;E12)+1)/2</f>
        <v/>
      </c>
      <c r="L12" s="99">
        <f>COUNTIF($F$5:$F$979,"&lt;"&amp;F12)+(COUNTIF($F$5:$F$979,"="&amp;F12)+1)/2</f>
        <v/>
      </c>
      <c r="M12" s="99">
        <f>COUNTIF($G$5:$G$979,"&lt;"&amp;G12)+(COUNTIF($G$5:$G$979,"="&amp;G12)+1)/2</f>
        <v/>
      </c>
      <c r="N12" s="99">
        <f>COUNTIF($H$5:$H$979,"&lt;"&amp;H12)+(COUNTIF($H$5:$H$979,"="&amp;H12)+1)/2</f>
        <v/>
      </c>
      <c r="O12" s="99">
        <f>COUNTIF($I$5:$I$979,"&lt;"&amp;I12)+(COUNTIF($I$5:$I$979,"="&amp;I12)+1)/2</f>
        <v/>
      </c>
      <c r="P12" s="99">
        <f>COUNTIF($J$5:$J$979,"&lt;"&amp;J12)+(COUNTIF($J$5:$J$979,"="&amp;J12)+1)/2</f>
        <v/>
      </c>
    </row>
    <row r="13" ht="15" customHeight="1" s="68">
      <c r="A13" s="70">
        <f>'01_원자료'!A10</f>
        <v/>
      </c>
      <c r="B13" s="70">
        <f>'01_원자료'!B10</f>
        <v/>
      </c>
      <c r="C13" s="70">
        <f>'01_원자료'!C10</f>
        <v/>
      </c>
      <c r="E13" s="85">
        <f>'01_원자료'!P10*'03_가중치민감도'!$B$5+'01_원자료'!Q10*'03_가중치민감도'!$C$5+'01_원자료'!R10*'03_가중치민감도'!$D$5</f>
        <v/>
      </c>
      <c r="F13" s="85">
        <f>'01_원자료'!P10*'03_가중치민감도'!$B$6+'01_원자료'!Q10*'03_가중치민감도'!$C$6+'01_원자료'!R10*'03_가중치민감도'!$D$6</f>
        <v/>
      </c>
      <c r="G13" s="85">
        <f>'01_원자료'!P10*'03_가중치민감도'!$B$7+'01_원자료'!Q10*'03_가중치민감도'!$C$7+'01_원자료'!R10*'03_가중치민감도'!$D$7</f>
        <v/>
      </c>
      <c r="H13" s="85">
        <f>'01_원자료'!P10*'03_가중치민감도'!$B$8+'01_원자료'!Q10*'03_가중치민감도'!$C$8+'01_원자료'!R10*'03_가중치민감도'!$D$8</f>
        <v/>
      </c>
      <c r="I13" s="85">
        <f>'01_원자료'!P10*'03_가중치민감도'!$B$9+'01_원자료'!Q10*'03_가중치민감도'!$C$9+'01_원자료'!R10*'03_가중치민감도'!$D$9</f>
        <v/>
      </c>
      <c r="J13" s="85">
        <f>'01_원자료'!P10*'03_가중치민감도'!$B$10+'01_원자료'!Q10*'03_가중치민감도'!$C$10+'01_원자료'!R10*'03_가중치민감도'!$D$10</f>
        <v/>
      </c>
      <c r="K13" s="99">
        <f>COUNTIF($E$5:$E$979,"&lt;"&amp;E13)+(COUNTIF($E$5:$E$979,"="&amp;E13)+1)/2</f>
        <v/>
      </c>
      <c r="L13" s="99">
        <f>COUNTIF($F$5:$F$979,"&lt;"&amp;F13)+(COUNTIF($F$5:$F$979,"="&amp;F13)+1)/2</f>
        <v/>
      </c>
      <c r="M13" s="99">
        <f>COUNTIF($G$5:$G$979,"&lt;"&amp;G13)+(COUNTIF($G$5:$G$979,"="&amp;G13)+1)/2</f>
        <v/>
      </c>
      <c r="N13" s="99">
        <f>COUNTIF($H$5:$H$979,"&lt;"&amp;H13)+(COUNTIF($H$5:$H$979,"="&amp;H13)+1)/2</f>
        <v/>
      </c>
      <c r="O13" s="99">
        <f>COUNTIF($I$5:$I$979,"&lt;"&amp;I13)+(COUNTIF($I$5:$I$979,"="&amp;I13)+1)/2</f>
        <v/>
      </c>
      <c r="P13" s="99">
        <f>COUNTIF($J$5:$J$979,"&lt;"&amp;J13)+(COUNTIF($J$5:$J$979,"="&amp;J13)+1)/2</f>
        <v/>
      </c>
    </row>
    <row r="14" ht="15" customHeight="1" s="68">
      <c r="A14" s="70">
        <f>'01_원자료'!A11</f>
        <v/>
      </c>
      <c r="B14" s="70">
        <f>'01_원자료'!B11</f>
        <v/>
      </c>
      <c r="C14" s="70">
        <f>'01_원자료'!C11</f>
        <v/>
      </c>
      <c r="E14" s="85">
        <f>'01_원자료'!P11*'03_가중치민감도'!$B$5+'01_원자료'!Q11*'03_가중치민감도'!$C$5+'01_원자료'!R11*'03_가중치민감도'!$D$5</f>
        <v/>
      </c>
      <c r="F14" s="85">
        <f>'01_원자료'!P11*'03_가중치민감도'!$B$6+'01_원자료'!Q11*'03_가중치민감도'!$C$6+'01_원자료'!R11*'03_가중치민감도'!$D$6</f>
        <v/>
      </c>
      <c r="G14" s="85">
        <f>'01_원자료'!P11*'03_가중치민감도'!$B$7+'01_원자료'!Q11*'03_가중치민감도'!$C$7+'01_원자료'!R11*'03_가중치민감도'!$D$7</f>
        <v/>
      </c>
      <c r="H14" s="85">
        <f>'01_원자료'!P11*'03_가중치민감도'!$B$8+'01_원자료'!Q11*'03_가중치민감도'!$C$8+'01_원자료'!R11*'03_가중치민감도'!$D$8</f>
        <v/>
      </c>
      <c r="I14" s="85">
        <f>'01_원자료'!P11*'03_가중치민감도'!$B$9+'01_원자료'!Q11*'03_가중치민감도'!$C$9+'01_원자료'!R11*'03_가중치민감도'!$D$9</f>
        <v/>
      </c>
      <c r="J14" s="85">
        <f>'01_원자료'!P11*'03_가중치민감도'!$B$10+'01_원자료'!Q11*'03_가중치민감도'!$C$10+'01_원자료'!R11*'03_가중치민감도'!$D$10</f>
        <v/>
      </c>
      <c r="K14" s="99">
        <f>COUNTIF($E$5:$E$979,"&lt;"&amp;E14)+(COUNTIF($E$5:$E$979,"="&amp;E14)+1)/2</f>
        <v/>
      </c>
      <c r="L14" s="99">
        <f>COUNTIF($F$5:$F$979,"&lt;"&amp;F14)+(COUNTIF($F$5:$F$979,"="&amp;F14)+1)/2</f>
        <v/>
      </c>
      <c r="M14" s="99">
        <f>COUNTIF($G$5:$G$979,"&lt;"&amp;G14)+(COUNTIF($G$5:$G$979,"="&amp;G14)+1)/2</f>
        <v/>
      </c>
      <c r="N14" s="99">
        <f>COUNTIF($H$5:$H$979,"&lt;"&amp;H14)+(COUNTIF($H$5:$H$979,"="&amp;H14)+1)/2</f>
        <v/>
      </c>
      <c r="O14" s="99">
        <f>COUNTIF($I$5:$I$979,"&lt;"&amp;I14)+(COUNTIF($I$5:$I$979,"="&amp;I14)+1)/2</f>
        <v/>
      </c>
      <c r="P14" s="99">
        <f>COUNTIF($J$5:$J$979,"&lt;"&amp;J14)+(COUNTIF($J$5:$J$979,"="&amp;J14)+1)/2</f>
        <v/>
      </c>
    </row>
    <row r="15" ht="15" customHeight="1" s="68">
      <c r="A15" s="70">
        <f>'01_원자료'!A12</f>
        <v/>
      </c>
      <c r="B15" s="70">
        <f>'01_원자료'!B12</f>
        <v/>
      </c>
      <c r="C15" s="70">
        <f>'01_원자료'!C12</f>
        <v/>
      </c>
      <c r="E15" s="85">
        <f>'01_원자료'!P12*'03_가중치민감도'!$B$5+'01_원자료'!Q12*'03_가중치민감도'!$C$5+'01_원자료'!R12*'03_가중치민감도'!$D$5</f>
        <v/>
      </c>
      <c r="F15" s="85">
        <f>'01_원자료'!P12*'03_가중치민감도'!$B$6+'01_원자료'!Q12*'03_가중치민감도'!$C$6+'01_원자료'!R12*'03_가중치민감도'!$D$6</f>
        <v/>
      </c>
      <c r="G15" s="85">
        <f>'01_원자료'!P12*'03_가중치민감도'!$B$7+'01_원자료'!Q12*'03_가중치민감도'!$C$7+'01_원자료'!R12*'03_가중치민감도'!$D$7</f>
        <v/>
      </c>
      <c r="H15" s="85">
        <f>'01_원자료'!P12*'03_가중치민감도'!$B$8+'01_원자료'!Q12*'03_가중치민감도'!$C$8+'01_원자료'!R12*'03_가중치민감도'!$D$8</f>
        <v/>
      </c>
      <c r="I15" s="85">
        <f>'01_원자료'!P12*'03_가중치민감도'!$B$9+'01_원자료'!Q12*'03_가중치민감도'!$C$9+'01_원자료'!R12*'03_가중치민감도'!$D$9</f>
        <v/>
      </c>
      <c r="J15" s="85">
        <f>'01_원자료'!P12*'03_가중치민감도'!$B$10+'01_원자료'!Q12*'03_가중치민감도'!$C$10+'01_원자료'!R12*'03_가중치민감도'!$D$10</f>
        <v/>
      </c>
      <c r="K15" s="99">
        <f>COUNTIF($E$5:$E$979,"&lt;"&amp;E15)+(COUNTIF($E$5:$E$979,"="&amp;E15)+1)/2</f>
        <v/>
      </c>
      <c r="L15" s="99">
        <f>COUNTIF($F$5:$F$979,"&lt;"&amp;F15)+(COUNTIF($F$5:$F$979,"="&amp;F15)+1)/2</f>
        <v/>
      </c>
      <c r="M15" s="99">
        <f>COUNTIF($G$5:$G$979,"&lt;"&amp;G15)+(COUNTIF($G$5:$G$979,"="&amp;G15)+1)/2</f>
        <v/>
      </c>
      <c r="N15" s="99">
        <f>COUNTIF($H$5:$H$979,"&lt;"&amp;H15)+(COUNTIF($H$5:$H$979,"="&amp;H15)+1)/2</f>
        <v/>
      </c>
      <c r="O15" s="99">
        <f>COUNTIF($I$5:$I$979,"&lt;"&amp;I15)+(COUNTIF($I$5:$I$979,"="&amp;I15)+1)/2</f>
        <v/>
      </c>
      <c r="P15" s="99">
        <f>COUNTIF($J$5:$J$979,"&lt;"&amp;J15)+(COUNTIF($J$5:$J$979,"="&amp;J15)+1)/2</f>
        <v/>
      </c>
    </row>
    <row r="16" ht="15" customHeight="1" s="68">
      <c r="A16" s="70">
        <f>'01_원자료'!A13</f>
        <v/>
      </c>
      <c r="B16" s="70">
        <f>'01_원자료'!B13</f>
        <v/>
      </c>
      <c r="C16" s="70">
        <f>'01_원자료'!C13</f>
        <v/>
      </c>
      <c r="E16" s="85">
        <f>'01_원자료'!P13*'03_가중치민감도'!$B$5+'01_원자료'!Q13*'03_가중치민감도'!$C$5+'01_원자료'!R13*'03_가중치민감도'!$D$5</f>
        <v/>
      </c>
      <c r="F16" s="85">
        <f>'01_원자료'!P13*'03_가중치민감도'!$B$6+'01_원자료'!Q13*'03_가중치민감도'!$C$6+'01_원자료'!R13*'03_가중치민감도'!$D$6</f>
        <v/>
      </c>
      <c r="G16" s="85">
        <f>'01_원자료'!P13*'03_가중치민감도'!$B$7+'01_원자료'!Q13*'03_가중치민감도'!$C$7+'01_원자료'!R13*'03_가중치민감도'!$D$7</f>
        <v/>
      </c>
      <c r="H16" s="85">
        <f>'01_원자료'!P13*'03_가중치민감도'!$B$8+'01_원자료'!Q13*'03_가중치민감도'!$C$8+'01_원자료'!R13*'03_가중치민감도'!$D$8</f>
        <v/>
      </c>
      <c r="I16" s="85">
        <f>'01_원자료'!P13*'03_가중치민감도'!$B$9+'01_원자료'!Q13*'03_가중치민감도'!$C$9+'01_원자료'!R13*'03_가중치민감도'!$D$9</f>
        <v/>
      </c>
      <c r="J16" s="85">
        <f>'01_원자료'!P13*'03_가중치민감도'!$B$10+'01_원자료'!Q13*'03_가중치민감도'!$C$10+'01_원자료'!R13*'03_가중치민감도'!$D$10</f>
        <v/>
      </c>
      <c r="K16" s="99">
        <f>COUNTIF($E$5:$E$979,"&lt;"&amp;E16)+(COUNTIF($E$5:$E$979,"="&amp;E16)+1)/2</f>
        <v/>
      </c>
      <c r="L16" s="99">
        <f>COUNTIF($F$5:$F$979,"&lt;"&amp;F16)+(COUNTIF($F$5:$F$979,"="&amp;F16)+1)/2</f>
        <v/>
      </c>
      <c r="M16" s="99">
        <f>COUNTIF($G$5:$G$979,"&lt;"&amp;G16)+(COUNTIF($G$5:$G$979,"="&amp;G16)+1)/2</f>
        <v/>
      </c>
      <c r="N16" s="99">
        <f>COUNTIF($H$5:$H$979,"&lt;"&amp;H16)+(COUNTIF($H$5:$H$979,"="&amp;H16)+1)/2</f>
        <v/>
      </c>
      <c r="O16" s="99">
        <f>COUNTIF($I$5:$I$979,"&lt;"&amp;I16)+(COUNTIF($I$5:$I$979,"="&amp;I16)+1)/2</f>
        <v/>
      </c>
      <c r="P16" s="99">
        <f>COUNTIF($J$5:$J$979,"&lt;"&amp;J16)+(COUNTIF($J$5:$J$979,"="&amp;J16)+1)/2</f>
        <v/>
      </c>
    </row>
    <row r="17" ht="15" customHeight="1" s="68">
      <c r="A17" s="70">
        <f>'01_원자료'!A14</f>
        <v/>
      </c>
      <c r="B17" s="70">
        <f>'01_원자료'!B14</f>
        <v/>
      </c>
      <c r="C17" s="70">
        <f>'01_원자료'!C14</f>
        <v/>
      </c>
      <c r="E17" s="85">
        <f>'01_원자료'!P14*'03_가중치민감도'!$B$5+'01_원자료'!Q14*'03_가중치민감도'!$C$5+'01_원자료'!R14*'03_가중치민감도'!$D$5</f>
        <v/>
      </c>
      <c r="F17" s="85">
        <f>'01_원자료'!P14*'03_가중치민감도'!$B$6+'01_원자료'!Q14*'03_가중치민감도'!$C$6+'01_원자료'!R14*'03_가중치민감도'!$D$6</f>
        <v/>
      </c>
      <c r="G17" s="85">
        <f>'01_원자료'!P14*'03_가중치민감도'!$B$7+'01_원자료'!Q14*'03_가중치민감도'!$C$7+'01_원자료'!R14*'03_가중치민감도'!$D$7</f>
        <v/>
      </c>
      <c r="H17" s="85">
        <f>'01_원자료'!P14*'03_가중치민감도'!$B$8+'01_원자료'!Q14*'03_가중치민감도'!$C$8+'01_원자료'!R14*'03_가중치민감도'!$D$8</f>
        <v/>
      </c>
      <c r="I17" s="85">
        <f>'01_원자료'!P14*'03_가중치민감도'!$B$9+'01_원자료'!Q14*'03_가중치민감도'!$C$9+'01_원자료'!R14*'03_가중치민감도'!$D$9</f>
        <v/>
      </c>
      <c r="J17" s="85">
        <f>'01_원자료'!P14*'03_가중치민감도'!$B$10+'01_원자료'!Q14*'03_가중치민감도'!$C$10+'01_원자료'!R14*'03_가중치민감도'!$D$10</f>
        <v/>
      </c>
      <c r="K17" s="99">
        <f>COUNTIF($E$5:$E$979,"&lt;"&amp;E17)+(COUNTIF($E$5:$E$979,"="&amp;E17)+1)/2</f>
        <v/>
      </c>
      <c r="L17" s="99">
        <f>COUNTIF($F$5:$F$979,"&lt;"&amp;F17)+(COUNTIF($F$5:$F$979,"="&amp;F17)+1)/2</f>
        <v/>
      </c>
      <c r="M17" s="99">
        <f>COUNTIF($G$5:$G$979,"&lt;"&amp;G17)+(COUNTIF($G$5:$G$979,"="&amp;G17)+1)/2</f>
        <v/>
      </c>
      <c r="N17" s="99">
        <f>COUNTIF($H$5:$H$979,"&lt;"&amp;H17)+(COUNTIF($H$5:$H$979,"="&amp;H17)+1)/2</f>
        <v/>
      </c>
      <c r="O17" s="99">
        <f>COUNTIF($I$5:$I$979,"&lt;"&amp;I17)+(COUNTIF($I$5:$I$979,"="&amp;I17)+1)/2</f>
        <v/>
      </c>
      <c r="P17" s="99">
        <f>COUNTIF($J$5:$J$979,"&lt;"&amp;J17)+(COUNTIF($J$5:$J$979,"="&amp;J17)+1)/2</f>
        <v/>
      </c>
    </row>
    <row r="18" ht="15" customHeight="1" s="68">
      <c r="A18" s="70">
        <f>'01_원자료'!A15</f>
        <v/>
      </c>
      <c r="B18" s="70">
        <f>'01_원자료'!B15</f>
        <v/>
      </c>
      <c r="C18" s="70">
        <f>'01_원자료'!C15</f>
        <v/>
      </c>
      <c r="E18" s="85">
        <f>'01_원자료'!P15*'03_가중치민감도'!$B$5+'01_원자료'!Q15*'03_가중치민감도'!$C$5+'01_원자료'!R15*'03_가중치민감도'!$D$5</f>
        <v/>
      </c>
      <c r="F18" s="85">
        <f>'01_원자료'!P15*'03_가중치민감도'!$B$6+'01_원자료'!Q15*'03_가중치민감도'!$C$6+'01_원자료'!R15*'03_가중치민감도'!$D$6</f>
        <v/>
      </c>
      <c r="G18" s="85">
        <f>'01_원자료'!P15*'03_가중치민감도'!$B$7+'01_원자료'!Q15*'03_가중치민감도'!$C$7+'01_원자료'!R15*'03_가중치민감도'!$D$7</f>
        <v/>
      </c>
      <c r="H18" s="85">
        <f>'01_원자료'!P15*'03_가중치민감도'!$B$8+'01_원자료'!Q15*'03_가중치민감도'!$C$8+'01_원자료'!R15*'03_가중치민감도'!$D$8</f>
        <v/>
      </c>
      <c r="I18" s="85">
        <f>'01_원자료'!P15*'03_가중치민감도'!$B$9+'01_원자료'!Q15*'03_가중치민감도'!$C$9+'01_원자료'!R15*'03_가중치민감도'!$D$9</f>
        <v/>
      </c>
      <c r="J18" s="85">
        <f>'01_원자료'!P15*'03_가중치민감도'!$B$10+'01_원자료'!Q15*'03_가중치민감도'!$C$10+'01_원자료'!R15*'03_가중치민감도'!$D$10</f>
        <v/>
      </c>
      <c r="K18" s="99">
        <f>COUNTIF($E$5:$E$979,"&lt;"&amp;E18)+(COUNTIF($E$5:$E$979,"="&amp;E18)+1)/2</f>
        <v/>
      </c>
      <c r="L18" s="99">
        <f>COUNTIF($F$5:$F$979,"&lt;"&amp;F18)+(COUNTIF($F$5:$F$979,"="&amp;F18)+1)/2</f>
        <v/>
      </c>
      <c r="M18" s="99">
        <f>COUNTIF($G$5:$G$979,"&lt;"&amp;G18)+(COUNTIF($G$5:$G$979,"="&amp;G18)+1)/2</f>
        <v/>
      </c>
      <c r="N18" s="99">
        <f>COUNTIF($H$5:$H$979,"&lt;"&amp;H18)+(COUNTIF($H$5:$H$979,"="&amp;H18)+1)/2</f>
        <v/>
      </c>
      <c r="O18" s="99">
        <f>COUNTIF($I$5:$I$979,"&lt;"&amp;I18)+(COUNTIF($I$5:$I$979,"="&amp;I18)+1)/2</f>
        <v/>
      </c>
      <c r="P18" s="99">
        <f>COUNTIF($J$5:$J$979,"&lt;"&amp;J18)+(COUNTIF($J$5:$J$979,"="&amp;J18)+1)/2</f>
        <v/>
      </c>
    </row>
    <row r="19" ht="15" customHeight="1" s="68">
      <c r="A19" s="70">
        <f>'01_원자료'!A16</f>
        <v/>
      </c>
      <c r="B19" s="70">
        <f>'01_원자료'!B16</f>
        <v/>
      </c>
      <c r="C19" s="70">
        <f>'01_원자료'!C16</f>
        <v/>
      </c>
      <c r="E19" s="85">
        <f>'01_원자료'!P16*'03_가중치민감도'!$B$5+'01_원자료'!Q16*'03_가중치민감도'!$C$5+'01_원자료'!R16*'03_가중치민감도'!$D$5</f>
        <v/>
      </c>
      <c r="F19" s="85">
        <f>'01_원자료'!P16*'03_가중치민감도'!$B$6+'01_원자료'!Q16*'03_가중치민감도'!$C$6+'01_원자료'!R16*'03_가중치민감도'!$D$6</f>
        <v/>
      </c>
      <c r="G19" s="85">
        <f>'01_원자료'!P16*'03_가중치민감도'!$B$7+'01_원자료'!Q16*'03_가중치민감도'!$C$7+'01_원자료'!R16*'03_가중치민감도'!$D$7</f>
        <v/>
      </c>
      <c r="H19" s="85">
        <f>'01_원자료'!P16*'03_가중치민감도'!$B$8+'01_원자료'!Q16*'03_가중치민감도'!$C$8+'01_원자료'!R16*'03_가중치민감도'!$D$8</f>
        <v/>
      </c>
      <c r="I19" s="85">
        <f>'01_원자료'!P16*'03_가중치민감도'!$B$9+'01_원자료'!Q16*'03_가중치민감도'!$C$9+'01_원자료'!R16*'03_가중치민감도'!$D$9</f>
        <v/>
      </c>
      <c r="J19" s="85">
        <f>'01_원자료'!P16*'03_가중치민감도'!$B$10+'01_원자료'!Q16*'03_가중치민감도'!$C$10+'01_원자료'!R16*'03_가중치민감도'!$D$10</f>
        <v/>
      </c>
      <c r="K19" s="99">
        <f>COUNTIF($E$5:$E$979,"&lt;"&amp;E19)+(COUNTIF($E$5:$E$979,"="&amp;E19)+1)/2</f>
        <v/>
      </c>
      <c r="L19" s="99">
        <f>COUNTIF($F$5:$F$979,"&lt;"&amp;F19)+(COUNTIF($F$5:$F$979,"="&amp;F19)+1)/2</f>
        <v/>
      </c>
      <c r="M19" s="99">
        <f>COUNTIF($G$5:$G$979,"&lt;"&amp;G19)+(COUNTIF($G$5:$G$979,"="&amp;G19)+1)/2</f>
        <v/>
      </c>
      <c r="N19" s="99">
        <f>COUNTIF($H$5:$H$979,"&lt;"&amp;H19)+(COUNTIF($H$5:$H$979,"="&amp;H19)+1)/2</f>
        <v/>
      </c>
      <c r="O19" s="99">
        <f>COUNTIF($I$5:$I$979,"&lt;"&amp;I19)+(COUNTIF($I$5:$I$979,"="&amp;I19)+1)/2</f>
        <v/>
      </c>
      <c r="P19" s="99">
        <f>COUNTIF($J$5:$J$979,"&lt;"&amp;J19)+(COUNTIF($J$5:$J$979,"="&amp;J19)+1)/2</f>
        <v/>
      </c>
    </row>
    <row r="20" ht="15" customHeight="1" s="68">
      <c r="A20" s="70">
        <f>'01_원자료'!A17</f>
        <v/>
      </c>
      <c r="B20" s="70">
        <f>'01_원자료'!B17</f>
        <v/>
      </c>
      <c r="C20" s="70">
        <f>'01_원자료'!C17</f>
        <v/>
      </c>
      <c r="E20" s="85">
        <f>'01_원자료'!P17*'03_가중치민감도'!$B$5+'01_원자료'!Q17*'03_가중치민감도'!$C$5+'01_원자료'!R17*'03_가중치민감도'!$D$5</f>
        <v/>
      </c>
      <c r="F20" s="85">
        <f>'01_원자료'!P17*'03_가중치민감도'!$B$6+'01_원자료'!Q17*'03_가중치민감도'!$C$6+'01_원자료'!R17*'03_가중치민감도'!$D$6</f>
        <v/>
      </c>
      <c r="G20" s="85">
        <f>'01_원자료'!P17*'03_가중치민감도'!$B$7+'01_원자료'!Q17*'03_가중치민감도'!$C$7+'01_원자료'!R17*'03_가중치민감도'!$D$7</f>
        <v/>
      </c>
      <c r="H20" s="85">
        <f>'01_원자료'!P17*'03_가중치민감도'!$B$8+'01_원자료'!Q17*'03_가중치민감도'!$C$8+'01_원자료'!R17*'03_가중치민감도'!$D$8</f>
        <v/>
      </c>
      <c r="I20" s="85">
        <f>'01_원자료'!P17*'03_가중치민감도'!$B$9+'01_원자료'!Q17*'03_가중치민감도'!$C$9+'01_원자료'!R17*'03_가중치민감도'!$D$9</f>
        <v/>
      </c>
      <c r="J20" s="85">
        <f>'01_원자료'!P17*'03_가중치민감도'!$B$10+'01_원자료'!Q17*'03_가중치민감도'!$C$10+'01_원자료'!R17*'03_가중치민감도'!$D$10</f>
        <v/>
      </c>
      <c r="K20" s="99">
        <f>COUNTIF($E$5:$E$979,"&lt;"&amp;E20)+(COUNTIF($E$5:$E$979,"="&amp;E20)+1)/2</f>
        <v/>
      </c>
      <c r="L20" s="99">
        <f>COUNTIF($F$5:$F$979,"&lt;"&amp;F20)+(COUNTIF($F$5:$F$979,"="&amp;F20)+1)/2</f>
        <v/>
      </c>
      <c r="M20" s="99">
        <f>COUNTIF($G$5:$G$979,"&lt;"&amp;G20)+(COUNTIF($G$5:$G$979,"="&amp;G20)+1)/2</f>
        <v/>
      </c>
      <c r="N20" s="99">
        <f>COUNTIF($H$5:$H$979,"&lt;"&amp;H20)+(COUNTIF($H$5:$H$979,"="&amp;H20)+1)/2</f>
        <v/>
      </c>
      <c r="O20" s="99">
        <f>COUNTIF($I$5:$I$979,"&lt;"&amp;I20)+(COUNTIF($I$5:$I$979,"="&amp;I20)+1)/2</f>
        <v/>
      </c>
      <c r="P20" s="99">
        <f>COUNTIF($J$5:$J$979,"&lt;"&amp;J20)+(COUNTIF($J$5:$J$979,"="&amp;J20)+1)/2</f>
        <v/>
      </c>
    </row>
    <row r="21" ht="15" customHeight="1" s="68">
      <c r="A21" s="70">
        <f>'01_원자료'!A18</f>
        <v/>
      </c>
      <c r="B21" s="70">
        <f>'01_원자료'!B18</f>
        <v/>
      </c>
      <c r="C21" s="70">
        <f>'01_원자료'!C18</f>
        <v/>
      </c>
      <c r="E21" s="85">
        <f>'01_원자료'!P18*'03_가중치민감도'!$B$5+'01_원자료'!Q18*'03_가중치민감도'!$C$5+'01_원자료'!R18*'03_가중치민감도'!$D$5</f>
        <v/>
      </c>
      <c r="F21" s="85">
        <f>'01_원자료'!P18*'03_가중치민감도'!$B$6+'01_원자료'!Q18*'03_가중치민감도'!$C$6+'01_원자료'!R18*'03_가중치민감도'!$D$6</f>
        <v/>
      </c>
      <c r="G21" s="85">
        <f>'01_원자료'!P18*'03_가중치민감도'!$B$7+'01_원자료'!Q18*'03_가중치민감도'!$C$7+'01_원자료'!R18*'03_가중치민감도'!$D$7</f>
        <v/>
      </c>
      <c r="H21" s="85">
        <f>'01_원자료'!P18*'03_가중치민감도'!$B$8+'01_원자료'!Q18*'03_가중치민감도'!$C$8+'01_원자료'!R18*'03_가중치민감도'!$D$8</f>
        <v/>
      </c>
      <c r="I21" s="85">
        <f>'01_원자료'!P18*'03_가중치민감도'!$B$9+'01_원자료'!Q18*'03_가중치민감도'!$C$9+'01_원자료'!R18*'03_가중치민감도'!$D$9</f>
        <v/>
      </c>
      <c r="J21" s="85">
        <f>'01_원자료'!P18*'03_가중치민감도'!$B$10+'01_원자료'!Q18*'03_가중치민감도'!$C$10+'01_원자료'!R18*'03_가중치민감도'!$D$10</f>
        <v/>
      </c>
      <c r="K21" s="99">
        <f>COUNTIF($E$5:$E$979,"&lt;"&amp;E21)+(COUNTIF($E$5:$E$979,"="&amp;E21)+1)/2</f>
        <v/>
      </c>
      <c r="L21" s="99">
        <f>COUNTIF($F$5:$F$979,"&lt;"&amp;F21)+(COUNTIF($F$5:$F$979,"="&amp;F21)+1)/2</f>
        <v/>
      </c>
      <c r="M21" s="99">
        <f>COUNTIF($G$5:$G$979,"&lt;"&amp;G21)+(COUNTIF($G$5:$G$979,"="&amp;G21)+1)/2</f>
        <v/>
      </c>
      <c r="N21" s="99">
        <f>COUNTIF($H$5:$H$979,"&lt;"&amp;H21)+(COUNTIF($H$5:$H$979,"="&amp;H21)+1)/2</f>
        <v/>
      </c>
      <c r="O21" s="99">
        <f>COUNTIF($I$5:$I$979,"&lt;"&amp;I21)+(COUNTIF($I$5:$I$979,"="&amp;I21)+1)/2</f>
        <v/>
      </c>
      <c r="P21" s="99">
        <f>COUNTIF($J$5:$J$979,"&lt;"&amp;J21)+(COUNTIF($J$5:$J$979,"="&amp;J21)+1)/2</f>
        <v/>
      </c>
    </row>
    <row r="22" ht="15" customHeight="1" s="68">
      <c r="A22" s="70">
        <f>'01_원자료'!A19</f>
        <v/>
      </c>
      <c r="B22" s="70">
        <f>'01_원자료'!B19</f>
        <v/>
      </c>
      <c r="C22" s="70">
        <f>'01_원자료'!C19</f>
        <v/>
      </c>
      <c r="E22" s="85">
        <f>'01_원자료'!P19*'03_가중치민감도'!$B$5+'01_원자료'!Q19*'03_가중치민감도'!$C$5+'01_원자료'!R19*'03_가중치민감도'!$D$5</f>
        <v/>
      </c>
      <c r="F22" s="85">
        <f>'01_원자료'!P19*'03_가중치민감도'!$B$6+'01_원자료'!Q19*'03_가중치민감도'!$C$6+'01_원자료'!R19*'03_가중치민감도'!$D$6</f>
        <v/>
      </c>
      <c r="G22" s="85">
        <f>'01_원자료'!P19*'03_가중치민감도'!$B$7+'01_원자료'!Q19*'03_가중치민감도'!$C$7+'01_원자료'!R19*'03_가중치민감도'!$D$7</f>
        <v/>
      </c>
      <c r="H22" s="85">
        <f>'01_원자료'!P19*'03_가중치민감도'!$B$8+'01_원자료'!Q19*'03_가중치민감도'!$C$8+'01_원자료'!R19*'03_가중치민감도'!$D$8</f>
        <v/>
      </c>
      <c r="I22" s="85">
        <f>'01_원자료'!P19*'03_가중치민감도'!$B$9+'01_원자료'!Q19*'03_가중치민감도'!$C$9+'01_원자료'!R19*'03_가중치민감도'!$D$9</f>
        <v/>
      </c>
      <c r="J22" s="85">
        <f>'01_원자료'!P19*'03_가중치민감도'!$B$10+'01_원자료'!Q19*'03_가중치민감도'!$C$10+'01_원자료'!R19*'03_가중치민감도'!$D$10</f>
        <v/>
      </c>
      <c r="K22" s="99">
        <f>COUNTIF($E$5:$E$979,"&lt;"&amp;E22)+(COUNTIF($E$5:$E$979,"="&amp;E22)+1)/2</f>
        <v/>
      </c>
      <c r="L22" s="99">
        <f>COUNTIF($F$5:$F$979,"&lt;"&amp;F22)+(COUNTIF($F$5:$F$979,"="&amp;F22)+1)/2</f>
        <v/>
      </c>
      <c r="M22" s="99">
        <f>COUNTIF($G$5:$G$979,"&lt;"&amp;G22)+(COUNTIF($G$5:$G$979,"="&amp;G22)+1)/2</f>
        <v/>
      </c>
      <c r="N22" s="99">
        <f>COUNTIF($H$5:$H$979,"&lt;"&amp;H22)+(COUNTIF($H$5:$H$979,"="&amp;H22)+1)/2</f>
        <v/>
      </c>
      <c r="O22" s="99">
        <f>COUNTIF($I$5:$I$979,"&lt;"&amp;I22)+(COUNTIF($I$5:$I$979,"="&amp;I22)+1)/2</f>
        <v/>
      </c>
      <c r="P22" s="99">
        <f>COUNTIF($J$5:$J$979,"&lt;"&amp;J22)+(COUNTIF($J$5:$J$979,"="&amp;J22)+1)/2</f>
        <v/>
      </c>
    </row>
    <row r="23" ht="15" customHeight="1" s="68">
      <c r="A23" s="70">
        <f>'01_원자료'!A20</f>
        <v/>
      </c>
      <c r="B23" s="70">
        <f>'01_원자료'!B20</f>
        <v/>
      </c>
      <c r="C23" s="70">
        <f>'01_원자료'!C20</f>
        <v/>
      </c>
      <c r="E23" s="85">
        <f>'01_원자료'!P20*'03_가중치민감도'!$B$5+'01_원자료'!Q20*'03_가중치민감도'!$C$5+'01_원자료'!R20*'03_가중치민감도'!$D$5</f>
        <v/>
      </c>
      <c r="F23" s="85">
        <f>'01_원자료'!P20*'03_가중치민감도'!$B$6+'01_원자료'!Q20*'03_가중치민감도'!$C$6+'01_원자료'!R20*'03_가중치민감도'!$D$6</f>
        <v/>
      </c>
      <c r="G23" s="85">
        <f>'01_원자료'!P20*'03_가중치민감도'!$B$7+'01_원자료'!Q20*'03_가중치민감도'!$C$7+'01_원자료'!R20*'03_가중치민감도'!$D$7</f>
        <v/>
      </c>
      <c r="H23" s="85">
        <f>'01_원자료'!P20*'03_가중치민감도'!$B$8+'01_원자료'!Q20*'03_가중치민감도'!$C$8+'01_원자료'!R20*'03_가중치민감도'!$D$8</f>
        <v/>
      </c>
      <c r="I23" s="85">
        <f>'01_원자료'!P20*'03_가중치민감도'!$B$9+'01_원자료'!Q20*'03_가중치민감도'!$C$9+'01_원자료'!R20*'03_가중치민감도'!$D$9</f>
        <v/>
      </c>
      <c r="J23" s="85">
        <f>'01_원자료'!P20*'03_가중치민감도'!$B$10+'01_원자료'!Q20*'03_가중치민감도'!$C$10+'01_원자료'!R20*'03_가중치민감도'!$D$10</f>
        <v/>
      </c>
      <c r="K23" s="99">
        <f>COUNTIF($E$5:$E$979,"&lt;"&amp;E23)+(COUNTIF($E$5:$E$979,"="&amp;E23)+1)/2</f>
        <v/>
      </c>
      <c r="L23" s="99">
        <f>COUNTIF($F$5:$F$979,"&lt;"&amp;F23)+(COUNTIF($F$5:$F$979,"="&amp;F23)+1)/2</f>
        <v/>
      </c>
      <c r="M23" s="99">
        <f>COUNTIF($G$5:$G$979,"&lt;"&amp;G23)+(COUNTIF($G$5:$G$979,"="&amp;G23)+1)/2</f>
        <v/>
      </c>
      <c r="N23" s="99">
        <f>COUNTIF($H$5:$H$979,"&lt;"&amp;H23)+(COUNTIF($H$5:$H$979,"="&amp;H23)+1)/2</f>
        <v/>
      </c>
      <c r="O23" s="99">
        <f>COUNTIF($I$5:$I$979,"&lt;"&amp;I23)+(COUNTIF($I$5:$I$979,"="&amp;I23)+1)/2</f>
        <v/>
      </c>
      <c r="P23" s="99">
        <f>COUNTIF($J$5:$J$979,"&lt;"&amp;J23)+(COUNTIF($J$5:$J$979,"="&amp;J23)+1)/2</f>
        <v/>
      </c>
    </row>
    <row r="24" ht="15" customHeight="1" s="68">
      <c r="A24" s="70">
        <f>'01_원자료'!A21</f>
        <v/>
      </c>
      <c r="B24" s="70">
        <f>'01_원자료'!B21</f>
        <v/>
      </c>
      <c r="C24" s="70">
        <f>'01_원자료'!C21</f>
        <v/>
      </c>
      <c r="E24" s="85">
        <f>'01_원자료'!P21*'03_가중치민감도'!$B$5+'01_원자료'!Q21*'03_가중치민감도'!$C$5+'01_원자료'!R21*'03_가중치민감도'!$D$5</f>
        <v/>
      </c>
      <c r="F24" s="85">
        <f>'01_원자료'!P21*'03_가중치민감도'!$B$6+'01_원자료'!Q21*'03_가중치민감도'!$C$6+'01_원자료'!R21*'03_가중치민감도'!$D$6</f>
        <v/>
      </c>
      <c r="G24" s="85">
        <f>'01_원자료'!P21*'03_가중치민감도'!$B$7+'01_원자료'!Q21*'03_가중치민감도'!$C$7+'01_원자료'!R21*'03_가중치민감도'!$D$7</f>
        <v/>
      </c>
      <c r="H24" s="85">
        <f>'01_원자료'!P21*'03_가중치민감도'!$B$8+'01_원자료'!Q21*'03_가중치민감도'!$C$8+'01_원자료'!R21*'03_가중치민감도'!$D$8</f>
        <v/>
      </c>
      <c r="I24" s="85">
        <f>'01_원자료'!P21*'03_가중치민감도'!$B$9+'01_원자료'!Q21*'03_가중치민감도'!$C$9+'01_원자료'!R21*'03_가중치민감도'!$D$9</f>
        <v/>
      </c>
      <c r="J24" s="85">
        <f>'01_원자료'!P21*'03_가중치민감도'!$B$10+'01_원자료'!Q21*'03_가중치민감도'!$C$10+'01_원자료'!R21*'03_가중치민감도'!$D$10</f>
        <v/>
      </c>
      <c r="K24" s="99">
        <f>COUNTIF($E$5:$E$979,"&lt;"&amp;E24)+(COUNTIF($E$5:$E$979,"="&amp;E24)+1)/2</f>
        <v/>
      </c>
      <c r="L24" s="99">
        <f>COUNTIF($F$5:$F$979,"&lt;"&amp;F24)+(COUNTIF($F$5:$F$979,"="&amp;F24)+1)/2</f>
        <v/>
      </c>
      <c r="M24" s="99">
        <f>COUNTIF($G$5:$G$979,"&lt;"&amp;G24)+(COUNTIF($G$5:$G$979,"="&amp;G24)+1)/2</f>
        <v/>
      </c>
      <c r="N24" s="99">
        <f>COUNTIF($H$5:$H$979,"&lt;"&amp;H24)+(COUNTIF($H$5:$H$979,"="&amp;H24)+1)/2</f>
        <v/>
      </c>
      <c r="O24" s="99">
        <f>COUNTIF($I$5:$I$979,"&lt;"&amp;I24)+(COUNTIF($I$5:$I$979,"="&amp;I24)+1)/2</f>
        <v/>
      </c>
      <c r="P24" s="99">
        <f>COUNTIF($J$5:$J$979,"&lt;"&amp;J24)+(COUNTIF($J$5:$J$979,"="&amp;J24)+1)/2</f>
        <v/>
      </c>
    </row>
    <row r="25" ht="15" customHeight="1" s="68">
      <c r="A25" s="70">
        <f>'01_원자료'!A22</f>
        <v/>
      </c>
      <c r="B25" s="70">
        <f>'01_원자료'!B22</f>
        <v/>
      </c>
      <c r="C25" s="70">
        <f>'01_원자료'!C22</f>
        <v/>
      </c>
      <c r="E25" s="85">
        <f>'01_원자료'!P22*'03_가중치민감도'!$B$5+'01_원자료'!Q22*'03_가중치민감도'!$C$5+'01_원자료'!R22*'03_가중치민감도'!$D$5</f>
        <v/>
      </c>
      <c r="F25" s="85">
        <f>'01_원자료'!P22*'03_가중치민감도'!$B$6+'01_원자료'!Q22*'03_가중치민감도'!$C$6+'01_원자료'!R22*'03_가중치민감도'!$D$6</f>
        <v/>
      </c>
      <c r="G25" s="85">
        <f>'01_원자료'!P22*'03_가중치민감도'!$B$7+'01_원자료'!Q22*'03_가중치민감도'!$C$7+'01_원자료'!R22*'03_가중치민감도'!$D$7</f>
        <v/>
      </c>
      <c r="H25" s="85">
        <f>'01_원자료'!P22*'03_가중치민감도'!$B$8+'01_원자료'!Q22*'03_가중치민감도'!$C$8+'01_원자료'!R22*'03_가중치민감도'!$D$8</f>
        <v/>
      </c>
      <c r="I25" s="85">
        <f>'01_원자료'!P22*'03_가중치민감도'!$B$9+'01_원자료'!Q22*'03_가중치민감도'!$C$9+'01_원자료'!R22*'03_가중치민감도'!$D$9</f>
        <v/>
      </c>
      <c r="J25" s="85">
        <f>'01_원자료'!P22*'03_가중치민감도'!$B$10+'01_원자료'!Q22*'03_가중치민감도'!$C$10+'01_원자료'!R22*'03_가중치민감도'!$D$10</f>
        <v/>
      </c>
      <c r="K25" s="99">
        <f>COUNTIF($E$5:$E$979,"&lt;"&amp;E25)+(COUNTIF($E$5:$E$979,"="&amp;E25)+1)/2</f>
        <v/>
      </c>
      <c r="L25" s="99">
        <f>COUNTIF($F$5:$F$979,"&lt;"&amp;F25)+(COUNTIF($F$5:$F$979,"="&amp;F25)+1)/2</f>
        <v/>
      </c>
      <c r="M25" s="99">
        <f>COUNTIF($G$5:$G$979,"&lt;"&amp;G25)+(COUNTIF($G$5:$G$979,"="&amp;G25)+1)/2</f>
        <v/>
      </c>
      <c r="N25" s="99">
        <f>COUNTIF($H$5:$H$979,"&lt;"&amp;H25)+(COUNTIF($H$5:$H$979,"="&amp;H25)+1)/2</f>
        <v/>
      </c>
      <c r="O25" s="99">
        <f>COUNTIF($I$5:$I$979,"&lt;"&amp;I25)+(COUNTIF($I$5:$I$979,"="&amp;I25)+1)/2</f>
        <v/>
      </c>
      <c r="P25" s="99">
        <f>COUNTIF($J$5:$J$979,"&lt;"&amp;J25)+(COUNTIF($J$5:$J$979,"="&amp;J25)+1)/2</f>
        <v/>
      </c>
    </row>
    <row r="26" ht="15" customHeight="1" s="68">
      <c r="A26" s="70">
        <f>'01_원자료'!A23</f>
        <v/>
      </c>
      <c r="B26" s="70">
        <f>'01_원자료'!B23</f>
        <v/>
      </c>
      <c r="C26" s="70">
        <f>'01_원자료'!C23</f>
        <v/>
      </c>
      <c r="E26" s="85">
        <f>'01_원자료'!P23*'03_가중치민감도'!$B$5+'01_원자료'!Q23*'03_가중치민감도'!$C$5+'01_원자료'!R23*'03_가중치민감도'!$D$5</f>
        <v/>
      </c>
      <c r="F26" s="85">
        <f>'01_원자료'!P23*'03_가중치민감도'!$B$6+'01_원자료'!Q23*'03_가중치민감도'!$C$6+'01_원자료'!R23*'03_가중치민감도'!$D$6</f>
        <v/>
      </c>
      <c r="G26" s="85">
        <f>'01_원자료'!P23*'03_가중치민감도'!$B$7+'01_원자료'!Q23*'03_가중치민감도'!$C$7+'01_원자료'!R23*'03_가중치민감도'!$D$7</f>
        <v/>
      </c>
      <c r="H26" s="85">
        <f>'01_원자료'!P23*'03_가중치민감도'!$B$8+'01_원자료'!Q23*'03_가중치민감도'!$C$8+'01_원자료'!R23*'03_가중치민감도'!$D$8</f>
        <v/>
      </c>
      <c r="I26" s="85">
        <f>'01_원자료'!P23*'03_가중치민감도'!$B$9+'01_원자료'!Q23*'03_가중치민감도'!$C$9+'01_원자료'!R23*'03_가중치민감도'!$D$9</f>
        <v/>
      </c>
      <c r="J26" s="85">
        <f>'01_원자료'!P23*'03_가중치민감도'!$B$10+'01_원자료'!Q23*'03_가중치민감도'!$C$10+'01_원자료'!R23*'03_가중치민감도'!$D$10</f>
        <v/>
      </c>
      <c r="K26" s="99">
        <f>COUNTIF($E$5:$E$979,"&lt;"&amp;E26)+(COUNTIF($E$5:$E$979,"="&amp;E26)+1)/2</f>
        <v/>
      </c>
      <c r="L26" s="99">
        <f>COUNTIF($F$5:$F$979,"&lt;"&amp;F26)+(COUNTIF($F$5:$F$979,"="&amp;F26)+1)/2</f>
        <v/>
      </c>
      <c r="M26" s="99">
        <f>COUNTIF($G$5:$G$979,"&lt;"&amp;G26)+(COUNTIF($G$5:$G$979,"="&amp;G26)+1)/2</f>
        <v/>
      </c>
      <c r="N26" s="99">
        <f>COUNTIF($H$5:$H$979,"&lt;"&amp;H26)+(COUNTIF($H$5:$H$979,"="&amp;H26)+1)/2</f>
        <v/>
      </c>
      <c r="O26" s="99">
        <f>COUNTIF($I$5:$I$979,"&lt;"&amp;I26)+(COUNTIF($I$5:$I$979,"="&amp;I26)+1)/2</f>
        <v/>
      </c>
      <c r="P26" s="99">
        <f>COUNTIF($J$5:$J$979,"&lt;"&amp;J26)+(COUNTIF($J$5:$J$979,"="&amp;J26)+1)/2</f>
        <v/>
      </c>
    </row>
    <row r="27" ht="15" customHeight="1" s="68">
      <c r="A27" s="70">
        <f>'01_원자료'!A24</f>
        <v/>
      </c>
      <c r="B27" s="70">
        <f>'01_원자료'!B24</f>
        <v/>
      </c>
      <c r="C27" s="70">
        <f>'01_원자료'!C24</f>
        <v/>
      </c>
      <c r="E27" s="85">
        <f>'01_원자료'!P24*'03_가중치민감도'!$B$5+'01_원자료'!Q24*'03_가중치민감도'!$C$5+'01_원자료'!R24*'03_가중치민감도'!$D$5</f>
        <v/>
      </c>
      <c r="F27" s="85">
        <f>'01_원자료'!P24*'03_가중치민감도'!$B$6+'01_원자료'!Q24*'03_가중치민감도'!$C$6+'01_원자료'!R24*'03_가중치민감도'!$D$6</f>
        <v/>
      </c>
      <c r="G27" s="85">
        <f>'01_원자료'!P24*'03_가중치민감도'!$B$7+'01_원자료'!Q24*'03_가중치민감도'!$C$7+'01_원자료'!R24*'03_가중치민감도'!$D$7</f>
        <v/>
      </c>
      <c r="H27" s="85">
        <f>'01_원자료'!P24*'03_가중치민감도'!$B$8+'01_원자료'!Q24*'03_가중치민감도'!$C$8+'01_원자료'!R24*'03_가중치민감도'!$D$8</f>
        <v/>
      </c>
      <c r="I27" s="85">
        <f>'01_원자료'!P24*'03_가중치민감도'!$B$9+'01_원자료'!Q24*'03_가중치민감도'!$C$9+'01_원자료'!R24*'03_가중치민감도'!$D$9</f>
        <v/>
      </c>
      <c r="J27" s="85">
        <f>'01_원자료'!P24*'03_가중치민감도'!$B$10+'01_원자료'!Q24*'03_가중치민감도'!$C$10+'01_원자료'!R24*'03_가중치민감도'!$D$10</f>
        <v/>
      </c>
      <c r="K27" s="99">
        <f>COUNTIF($E$5:$E$979,"&lt;"&amp;E27)+(COUNTIF($E$5:$E$979,"="&amp;E27)+1)/2</f>
        <v/>
      </c>
      <c r="L27" s="99">
        <f>COUNTIF($F$5:$F$979,"&lt;"&amp;F27)+(COUNTIF($F$5:$F$979,"="&amp;F27)+1)/2</f>
        <v/>
      </c>
      <c r="M27" s="99">
        <f>COUNTIF($G$5:$G$979,"&lt;"&amp;G27)+(COUNTIF($G$5:$G$979,"="&amp;G27)+1)/2</f>
        <v/>
      </c>
      <c r="N27" s="99">
        <f>COUNTIF($H$5:$H$979,"&lt;"&amp;H27)+(COUNTIF($H$5:$H$979,"="&amp;H27)+1)/2</f>
        <v/>
      </c>
      <c r="O27" s="99">
        <f>COUNTIF($I$5:$I$979,"&lt;"&amp;I27)+(COUNTIF($I$5:$I$979,"="&amp;I27)+1)/2</f>
        <v/>
      </c>
      <c r="P27" s="99">
        <f>COUNTIF($J$5:$J$979,"&lt;"&amp;J27)+(COUNTIF($J$5:$J$979,"="&amp;J27)+1)/2</f>
        <v/>
      </c>
    </row>
    <row r="28" ht="15" customHeight="1" s="68">
      <c r="A28" s="70">
        <f>'01_원자료'!A25</f>
        <v/>
      </c>
      <c r="B28" s="70">
        <f>'01_원자료'!B25</f>
        <v/>
      </c>
      <c r="C28" s="70">
        <f>'01_원자료'!C25</f>
        <v/>
      </c>
      <c r="E28" s="85">
        <f>'01_원자료'!P25*'03_가중치민감도'!$B$5+'01_원자료'!Q25*'03_가중치민감도'!$C$5+'01_원자료'!R25*'03_가중치민감도'!$D$5</f>
        <v/>
      </c>
      <c r="F28" s="85">
        <f>'01_원자료'!P25*'03_가중치민감도'!$B$6+'01_원자료'!Q25*'03_가중치민감도'!$C$6+'01_원자료'!R25*'03_가중치민감도'!$D$6</f>
        <v/>
      </c>
      <c r="G28" s="85">
        <f>'01_원자료'!P25*'03_가중치민감도'!$B$7+'01_원자료'!Q25*'03_가중치민감도'!$C$7+'01_원자료'!R25*'03_가중치민감도'!$D$7</f>
        <v/>
      </c>
      <c r="H28" s="85">
        <f>'01_원자료'!P25*'03_가중치민감도'!$B$8+'01_원자료'!Q25*'03_가중치민감도'!$C$8+'01_원자료'!R25*'03_가중치민감도'!$D$8</f>
        <v/>
      </c>
      <c r="I28" s="85">
        <f>'01_원자료'!P25*'03_가중치민감도'!$B$9+'01_원자료'!Q25*'03_가중치민감도'!$C$9+'01_원자료'!R25*'03_가중치민감도'!$D$9</f>
        <v/>
      </c>
      <c r="J28" s="85">
        <f>'01_원자료'!P25*'03_가중치민감도'!$B$10+'01_원자료'!Q25*'03_가중치민감도'!$C$10+'01_원자료'!R25*'03_가중치민감도'!$D$10</f>
        <v/>
      </c>
      <c r="K28" s="99">
        <f>COUNTIF($E$5:$E$979,"&lt;"&amp;E28)+(COUNTIF($E$5:$E$979,"="&amp;E28)+1)/2</f>
        <v/>
      </c>
      <c r="L28" s="99">
        <f>COUNTIF($F$5:$F$979,"&lt;"&amp;F28)+(COUNTIF($F$5:$F$979,"="&amp;F28)+1)/2</f>
        <v/>
      </c>
      <c r="M28" s="99">
        <f>COUNTIF($G$5:$G$979,"&lt;"&amp;G28)+(COUNTIF($G$5:$G$979,"="&amp;G28)+1)/2</f>
        <v/>
      </c>
      <c r="N28" s="99">
        <f>COUNTIF($H$5:$H$979,"&lt;"&amp;H28)+(COUNTIF($H$5:$H$979,"="&amp;H28)+1)/2</f>
        <v/>
      </c>
      <c r="O28" s="99">
        <f>COUNTIF($I$5:$I$979,"&lt;"&amp;I28)+(COUNTIF($I$5:$I$979,"="&amp;I28)+1)/2</f>
        <v/>
      </c>
      <c r="P28" s="99">
        <f>COUNTIF($J$5:$J$979,"&lt;"&amp;J28)+(COUNTIF($J$5:$J$979,"="&amp;J28)+1)/2</f>
        <v/>
      </c>
    </row>
    <row r="29" ht="15" customHeight="1" s="68">
      <c r="A29" s="70">
        <f>'01_원자료'!A26</f>
        <v/>
      </c>
      <c r="B29" s="70">
        <f>'01_원자료'!B26</f>
        <v/>
      </c>
      <c r="C29" s="70">
        <f>'01_원자료'!C26</f>
        <v/>
      </c>
      <c r="E29" s="85">
        <f>'01_원자료'!P26*'03_가중치민감도'!$B$5+'01_원자료'!Q26*'03_가중치민감도'!$C$5+'01_원자료'!R26*'03_가중치민감도'!$D$5</f>
        <v/>
      </c>
      <c r="F29" s="85">
        <f>'01_원자료'!P26*'03_가중치민감도'!$B$6+'01_원자료'!Q26*'03_가중치민감도'!$C$6+'01_원자료'!R26*'03_가중치민감도'!$D$6</f>
        <v/>
      </c>
      <c r="G29" s="85">
        <f>'01_원자료'!P26*'03_가중치민감도'!$B$7+'01_원자료'!Q26*'03_가중치민감도'!$C$7+'01_원자료'!R26*'03_가중치민감도'!$D$7</f>
        <v/>
      </c>
      <c r="H29" s="85">
        <f>'01_원자료'!P26*'03_가중치민감도'!$B$8+'01_원자료'!Q26*'03_가중치민감도'!$C$8+'01_원자료'!R26*'03_가중치민감도'!$D$8</f>
        <v/>
      </c>
      <c r="I29" s="85">
        <f>'01_원자료'!P26*'03_가중치민감도'!$B$9+'01_원자료'!Q26*'03_가중치민감도'!$C$9+'01_원자료'!R26*'03_가중치민감도'!$D$9</f>
        <v/>
      </c>
      <c r="J29" s="85">
        <f>'01_원자료'!P26*'03_가중치민감도'!$B$10+'01_원자료'!Q26*'03_가중치민감도'!$C$10+'01_원자료'!R26*'03_가중치민감도'!$D$10</f>
        <v/>
      </c>
      <c r="K29" s="99">
        <f>COUNTIF($E$5:$E$979,"&lt;"&amp;E29)+(COUNTIF($E$5:$E$979,"="&amp;E29)+1)/2</f>
        <v/>
      </c>
      <c r="L29" s="99">
        <f>COUNTIF($F$5:$F$979,"&lt;"&amp;F29)+(COUNTIF($F$5:$F$979,"="&amp;F29)+1)/2</f>
        <v/>
      </c>
      <c r="M29" s="99">
        <f>COUNTIF($G$5:$G$979,"&lt;"&amp;G29)+(COUNTIF($G$5:$G$979,"="&amp;G29)+1)/2</f>
        <v/>
      </c>
      <c r="N29" s="99">
        <f>COUNTIF($H$5:$H$979,"&lt;"&amp;H29)+(COUNTIF($H$5:$H$979,"="&amp;H29)+1)/2</f>
        <v/>
      </c>
      <c r="O29" s="99">
        <f>COUNTIF($I$5:$I$979,"&lt;"&amp;I29)+(COUNTIF($I$5:$I$979,"="&amp;I29)+1)/2</f>
        <v/>
      </c>
      <c r="P29" s="99">
        <f>COUNTIF($J$5:$J$979,"&lt;"&amp;J29)+(COUNTIF($J$5:$J$979,"="&amp;J29)+1)/2</f>
        <v/>
      </c>
    </row>
    <row r="30" ht="15" customHeight="1" s="68">
      <c r="A30" s="70">
        <f>'01_원자료'!A27</f>
        <v/>
      </c>
      <c r="B30" s="70">
        <f>'01_원자료'!B27</f>
        <v/>
      </c>
      <c r="C30" s="70">
        <f>'01_원자료'!C27</f>
        <v/>
      </c>
      <c r="E30" s="85">
        <f>'01_원자료'!P27*'03_가중치민감도'!$B$5+'01_원자료'!Q27*'03_가중치민감도'!$C$5+'01_원자료'!R27*'03_가중치민감도'!$D$5</f>
        <v/>
      </c>
      <c r="F30" s="85">
        <f>'01_원자료'!P27*'03_가중치민감도'!$B$6+'01_원자료'!Q27*'03_가중치민감도'!$C$6+'01_원자료'!R27*'03_가중치민감도'!$D$6</f>
        <v/>
      </c>
      <c r="G30" s="85">
        <f>'01_원자료'!P27*'03_가중치민감도'!$B$7+'01_원자료'!Q27*'03_가중치민감도'!$C$7+'01_원자료'!R27*'03_가중치민감도'!$D$7</f>
        <v/>
      </c>
      <c r="H30" s="85">
        <f>'01_원자료'!P27*'03_가중치민감도'!$B$8+'01_원자료'!Q27*'03_가중치민감도'!$C$8+'01_원자료'!R27*'03_가중치민감도'!$D$8</f>
        <v/>
      </c>
      <c r="I30" s="85">
        <f>'01_원자료'!P27*'03_가중치민감도'!$B$9+'01_원자료'!Q27*'03_가중치민감도'!$C$9+'01_원자료'!R27*'03_가중치민감도'!$D$9</f>
        <v/>
      </c>
      <c r="J30" s="85">
        <f>'01_원자료'!P27*'03_가중치민감도'!$B$10+'01_원자료'!Q27*'03_가중치민감도'!$C$10+'01_원자료'!R27*'03_가중치민감도'!$D$10</f>
        <v/>
      </c>
      <c r="K30" s="99">
        <f>COUNTIF($E$5:$E$979,"&lt;"&amp;E30)+(COUNTIF($E$5:$E$979,"="&amp;E30)+1)/2</f>
        <v/>
      </c>
      <c r="L30" s="99">
        <f>COUNTIF($F$5:$F$979,"&lt;"&amp;F30)+(COUNTIF($F$5:$F$979,"="&amp;F30)+1)/2</f>
        <v/>
      </c>
      <c r="M30" s="99">
        <f>COUNTIF($G$5:$G$979,"&lt;"&amp;G30)+(COUNTIF($G$5:$G$979,"="&amp;G30)+1)/2</f>
        <v/>
      </c>
      <c r="N30" s="99">
        <f>COUNTIF($H$5:$H$979,"&lt;"&amp;H30)+(COUNTIF($H$5:$H$979,"="&amp;H30)+1)/2</f>
        <v/>
      </c>
      <c r="O30" s="99">
        <f>COUNTIF($I$5:$I$979,"&lt;"&amp;I30)+(COUNTIF($I$5:$I$979,"="&amp;I30)+1)/2</f>
        <v/>
      </c>
      <c r="P30" s="99">
        <f>COUNTIF($J$5:$J$979,"&lt;"&amp;J30)+(COUNTIF($J$5:$J$979,"="&amp;J30)+1)/2</f>
        <v/>
      </c>
    </row>
    <row r="31" ht="15" customHeight="1" s="68">
      <c r="A31" s="70">
        <f>'01_원자료'!A28</f>
        <v/>
      </c>
      <c r="B31" s="70">
        <f>'01_원자료'!B28</f>
        <v/>
      </c>
      <c r="C31" s="70">
        <f>'01_원자료'!C28</f>
        <v/>
      </c>
      <c r="E31" s="85">
        <f>'01_원자료'!P28*'03_가중치민감도'!$B$5+'01_원자료'!Q28*'03_가중치민감도'!$C$5+'01_원자료'!R28*'03_가중치민감도'!$D$5</f>
        <v/>
      </c>
      <c r="F31" s="85">
        <f>'01_원자료'!P28*'03_가중치민감도'!$B$6+'01_원자료'!Q28*'03_가중치민감도'!$C$6+'01_원자료'!R28*'03_가중치민감도'!$D$6</f>
        <v/>
      </c>
      <c r="G31" s="85">
        <f>'01_원자료'!P28*'03_가중치민감도'!$B$7+'01_원자료'!Q28*'03_가중치민감도'!$C$7+'01_원자료'!R28*'03_가중치민감도'!$D$7</f>
        <v/>
      </c>
      <c r="H31" s="85">
        <f>'01_원자료'!P28*'03_가중치민감도'!$B$8+'01_원자료'!Q28*'03_가중치민감도'!$C$8+'01_원자료'!R28*'03_가중치민감도'!$D$8</f>
        <v/>
      </c>
      <c r="I31" s="85">
        <f>'01_원자료'!P28*'03_가중치민감도'!$B$9+'01_원자료'!Q28*'03_가중치민감도'!$C$9+'01_원자료'!R28*'03_가중치민감도'!$D$9</f>
        <v/>
      </c>
      <c r="J31" s="85">
        <f>'01_원자료'!P28*'03_가중치민감도'!$B$10+'01_원자료'!Q28*'03_가중치민감도'!$C$10+'01_원자료'!R28*'03_가중치민감도'!$D$10</f>
        <v/>
      </c>
      <c r="K31" s="99">
        <f>COUNTIF($E$5:$E$979,"&lt;"&amp;E31)+(COUNTIF($E$5:$E$979,"="&amp;E31)+1)/2</f>
        <v/>
      </c>
      <c r="L31" s="99">
        <f>COUNTIF($F$5:$F$979,"&lt;"&amp;F31)+(COUNTIF($F$5:$F$979,"="&amp;F31)+1)/2</f>
        <v/>
      </c>
      <c r="M31" s="99">
        <f>COUNTIF($G$5:$G$979,"&lt;"&amp;G31)+(COUNTIF($G$5:$G$979,"="&amp;G31)+1)/2</f>
        <v/>
      </c>
      <c r="N31" s="99">
        <f>COUNTIF($H$5:$H$979,"&lt;"&amp;H31)+(COUNTIF($H$5:$H$979,"="&amp;H31)+1)/2</f>
        <v/>
      </c>
      <c r="O31" s="99">
        <f>COUNTIF($I$5:$I$979,"&lt;"&amp;I31)+(COUNTIF($I$5:$I$979,"="&amp;I31)+1)/2</f>
        <v/>
      </c>
      <c r="P31" s="99">
        <f>COUNTIF($J$5:$J$979,"&lt;"&amp;J31)+(COUNTIF($J$5:$J$979,"="&amp;J31)+1)/2</f>
        <v/>
      </c>
    </row>
    <row r="32" ht="15" customHeight="1" s="68">
      <c r="A32" s="70">
        <f>'01_원자료'!A29</f>
        <v/>
      </c>
      <c r="B32" s="70">
        <f>'01_원자료'!B29</f>
        <v/>
      </c>
      <c r="C32" s="70">
        <f>'01_원자료'!C29</f>
        <v/>
      </c>
      <c r="E32" s="85">
        <f>'01_원자료'!P29*'03_가중치민감도'!$B$5+'01_원자료'!Q29*'03_가중치민감도'!$C$5+'01_원자료'!R29*'03_가중치민감도'!$D$5</f>
        <v/>
      </c>
      <c r="F32" s="85">
        <f>'01_원자료'!P29*'03_가중치민감도'!$B$6+'01_원자료'!Q29*'03_가중치민감도'!$C$6+'01_원자료'!R29*'03_가중치민감도'!$D$6</f>
        <v/>
      </c>
      <c r="G32" s="85">
        <f>'01_원자료'!P29*'03_가중치민감도'!$B$7+'01_원자료'!Q29*'03_가중치민감도'!$C$7+'01_원자료'!R29*'03_가중치민감도'!$D$7</f>
        <v/>
      </c>
      <c r="H32" s="85">
        <f>'01_원자료'!P29*'03_가중치민감도'!$B$8+'01_원자료'!Q29*'03_가중치민감도'!$C$8+'01_원자료'!R29*'03_가중치민감도'!$D$8</f>
        <v/>
      </c>
      <c r="I32" s="85">
        <f>'01_원자료'!P29*'03_가중치민감도'!$B$9+'01_원자료'!Q29*'03_가중치민감도'!$C$9+'01_원자료'!R29*'03_가중치민감도'!$D$9</f>
        <v/>
      </c>
      <c r="J32" s="85">
        <f>'01_원자료'!P29*'03_가중치민감도'!$B$10+'01_원자료'!Q29*'03_가중치민감도'!$C$10+'01_원자료'!R29*'03_가중치민감도'!$D$10</f>
        <v/>
      </c>
      <c r="K32" s="99">
        <f>COUNTIF($E$5:$E$979,"&lt;"&amp;E32)+(COUNTIF($E$5:$E$979,"="&amp;E32)+1)/2</f>
        <v/>
      </c>
      <c r="L32" s="99">
        <f>COUNTIF($F$5:$F$979,"&lt;"&amp;F32)+(COUNTIF($F$5:$F$979,"="&amp;F32)+1)/2</f>
        <v/>
      </c>
      <c r="M32" s="99">
        <f>COUNTIF($G$5:$G$979,"&lt;"&amp;G32)+(COUNTIF($G$5:$G$979,"="&amp;G32)+1)/2</f>
        <v/>
      </c>
      <c r="N32" s="99">
        <f>COUNTIF($H$5:$H$979,"&lt;"&amp;H32)+(COUNTIF($H$5:$H$979,"="&amp;H32)+1)/2</f>
        <v/>
      </c>
      <c r="O32" s="99">
        <f>COUNTIF($I$5:$I$979,"&lt;"&amp;I32)+(COUNTIF($I$5:$I$979,"="&amp;I32)+1)/2</f>
        <v/>
      </c>
      <c r="P32" s="99">
        <f>COUNTIF($J$5:$J$979,"&lt;"&amp;J32)+(COUNTIF($J$5:$J$979,"="&amp;J32)+1)/2</f>
        <v/>
      </c>
    </row>
    <row r="33" ht="15" customHeight="1" s="68">
      <c r="A33" s="70">
        <f>'01_원자료'!A30</f>
        <v/>
      </c>
      <c r="B33" s="70">
        <f>'01_원자료'!B30</f>
        <v/>
      </c>
      <c r="C33" s="70">
        <f>'01_원자료'!C30</f>
        <v/>
      </c>
      <c r="E33" s="85">
        <f>'01_원자료'!P30*'03_가중치민감도'!$B$5+'01_원자료'!Q30*'03_가중치민감도'!$C$5+'01_원자료'!R30*'03_가중치민감도'!$D$5</f>
        <v/>
      </c>
      <c r="F33" s="85">
        <f>'01_원자료'!P30*'03_가중치민감도'!$B$6+'01_원자료'!Q30*'03_가중치민감도'!$C$6+'01_원자료'!R30*'03_가중치민감도'!$D$6</f>
        <v/>
      </c>
      <c r="G33" s="85">
        <f>'01_원자료'!P30*'03_가중치민감도'!$B$7+'01_원자료'!Q30*'03_가중치민감도'!$C$7+'01_원자료'!R30*'03_가중치민감도'!$D$7</f>
        <v/>
      </c>
      <c r="H33" s="85">
        <f>'01_원자료'!P30*'03_가중치민감도'!$B$8+'01_원자료'!Q30*'03_가중치민감도'!$C$8+'01_원자료'!R30*'03_가중치민감도'!$D$8</f>
        <v/>
      </c>
      <c r="I33" s="85">
        <f>'01_원자료'!P30*'03_가중치민감도'!$B$9+'01_원자료'!Q30*'03_가중치민감도'!$C$9+'01_원자료'!R30*'03_가중치민감도'!$D$9</f>
        <v/>
      </c>
      <c r="J33" s="85">
        <f>'01_원자료'!P30*'03_가중치민감도'!$B$10+'01_원자료'!Q30*'03_가중치민감도'!$C$10+'01_원자료'!R30*'03_가중치민감도'!$D$10</f>
        <v/>
      </c>
      <c r="K33" s="99">
        <f>COUNTIF($E$5:$E$979,"&lt;"&amp;E33)+(COUNTIF($E$5:$E$979,"="&amp;E33)+1)/2</f>
        <v/>
      </c>
      <c r="L33" s="99">
        <f>COUNTIF($F$5:$F$979,"&lt;"&amp;F33)+(COUNTIF($F$5:$F$979,"="&amp;F33)+1)/2</f>
        <v/>
      </c>
      <c r="M33" s="99">
        <f>COUNTIF($G$5:$G$979,"&lt;"&amp;G33)+(COUNTIF($G$5:$G$979,"="&amp;G33)+1)/2</f>
        <v/>
      </c>
      <c r="N33" s="99">
        <f>COUNTIF($H$5:$H$979,"&lt;"&amp;H33)+(COUNTIF($H$5:$H$979,"="&amp;H33)+1)/2</f>
        <v/>
      </c>
      <c r="O33" s="99">
        <f>COUNTIF($I$5:$I$979,"&lt;"&amp;I33)+(COUNTIF($I$5:$I$979,"="&amp;I33)+1)/2</f>
        <v/>
      </c>
      <c r="P33" s="99">
        <f>COUNTIF($J$5:$J$979,"&lt;"&amp;J33)+(COUNTIF($J$5:$J$979,"="&amp;J33)+1)/2</f>
        <v/>
      </c>
    </row>
    <row r="34" ht="15" customHeight="1" s="68">
      <c r="A34" s="70">
        <f>'01_원자료'!A31</f>
        <v/>
      </c>
      <c r="B34" s="70">
        <f>'01_원자료'!B31</f>
        <v/>
      </c>
      <c r="C34" s="70">
        <f>'01_원자료'!C31</f>
        <v/>
      </c>
      <c r="E34" s="85">
        <f>'01_원자료'!P31*'03_가중치민감도'!$B$5+'01_원자료'!Q31*'03_가중치민감도'!$C$5+'01_원자료'!R31*'03_가중치민감도'!$D$5</f>
        <v/>
      </c>
      <c r="F34" s="85">
        <f>'01_원자료'!P31*'03_가중치민감도'!$B$6+'01_원자료'!Q31*'03_가중치민감도'!$C$6+'01_원자료'!R31*'03_가중치민감도'!$D$6</f>
        <v/>
      </c>
      <c r="G34" s="85">
        <f>'01_원자료'!P31*'03_가중치민감도'!$B$7+'01_원자료'!Q31*'03_가중치민감도'!$C$7+'01_원자료'!R31*'03_가중치민감도'!$D$7</f>
        <v/>
      </c>
      <c r="H34" s="85">
        <f>'01_원자료'!P31*'03_가중치민감도'!$B$8+'01_원자료'!Q31*'03_가중치민감도'!$C$8+'01_원자료'!R31*'03_가중치민감도'!$D$8</f>
        <v/>
      </c>
      <c r="I34" s="85">
        <f>'01_원자료'!P31*'03_가중치민감도'!$B$9+'01_원자료'!Q31*'03_가중치민감도'!$C$9+'01_원자료'!R31*'03_가중치민감도'!$D$9</f>
        <v/>
      </c>
      <c r="J34" s="85">
        <f>'01_원자료'!P31*'03_가중치민감도'!$B$10+'01_원자료'!Q31*'03_가중치민감도'!$C$10+'01_원자료'!R31*'03_가중치민감도'!$D$10</f>
        <v/>
      </c>
      <c r="K34" s="99">
        <f>COUNTIF($E$5:$E$979,"&lt;"&amp;E34)+(COUNTIF($E$5:$E$979,"="&amp;E34)+1)/2</f>
        <v/>
      </c>
      <c r="L34" s="99">
        <f>COUNTIF($F$5:$F$979,"&lt;"&amp;F34)+(COUNTIF($F$5:$F$979,"="&amp;F34)+1)/2</f>
        <v/>
      </c>
      <c r="M34" s="99">
        <f>COUNTIF($G$5:$G$979,"&lt;"&amp;G34)+(COUNTIF($G$5:$G$979,"="&amp;G34)+1)/2</f>
        <v/>
      </c>
      <c r="N34" s="99">
        <f>COUNTIF($H$5:$H$979,"&lt;"&amp;H34)+(COUNTIF($H$5:$H$979,"="&amp;H34)+1)/2</f>
        <v/>
      </c>
      <c r="O34" s="99">
        <f>COUNTIF($I$5:$I$979,"&lt;"&amp;I34)+(COUNTIF($I$5:$I$979,"="&amp;I34)+1)/2</f>
        <v/>
      </c>
      <c r="P34" s="99">
        <f>COUNTIF($J$5:$J$979,"&lt;"&amp;J34)+(COUNTIF($J$5:$J$979,"="&amp;J34)+1)/2</f>
        <v/>
      </c>
    </row>
    <row r="35" ht="15" customHeight="1" s="68">
      <c r="A35" s="70">
        <f>'01_원자료'!A32</f>
        <v/>
      </c>
      <c r="B35" s="70">
        <f>'01_원자료'!B32</f>
        <v/>
      </c>
      <c r="C35" s="70">
        <f>'01_원자료'!C32</f>
        <v/>
      </c>
      <c r="E35" s="85">
        <f>'01_원자료'!P32*'03_가중치민감도'!$B$5+'01_원자료'!Q32*'03_가중치민감도'!$C$5+'01_원자료'!R32*'03_가중치민감도'!$D$5</f>
        <v/>
      </c>
      <c r="F35" s="85">
        <f>'01_원자료'!P32*'03_가중치민감도'!$B$6+'01_원자료'!Q32*'03_가중치민감도'!$C$6+'01_원자료'!R32*'03_가중치민감도'!$D$6</f>
        <v/>
      </c>
      <c r="G35" s="85">
        <f>'01_원자료'!P32*'03_가중치민감도'!$B$7+'01_원자료'!Q32*'03_가중치민감도'!$C$7+'01_원자료'!R32*'03_가중치민감도'!$D$7</f>
        <v/>
      </c>
      <c r="H35" s="85">
        <f>'01_원자료'!P32*'03_가중치민감도'!$B$8+'01_원자료'!Q32*'03_가중치민감도'!$C$8+'01_원자료'!R32*'03_가중치민감도'!$D$8</f>
        <v/>
      </c>
      <c r="I35" s="85">
        <f>'01_원자료'!P32*'03_가중치민감도'!$B$9+'01_원자료'!Q32*'03_가중치민감도'!$C$9+'01_원자료'!R32*'03_가중치민감도'!$D$9</f>
        <v/>
      </c>
      <c r="J35" s="85">
        <f>'01_원자료'!P32*'03_가중치민감도'!$B$10+'01_원자료'!Q32*'03_가중치민감도'!$C$10+'01_원자료'!R32*'03_가중치민감도'!$D$10</f>
        <v/>
      </c>
      <c r="K35" s="99">
        <f>COUNTIF($E$5:$E$979,"&lt;"&amp;E35)+(COUNTIF($E$5:$E$979,"="&amp;E35)+1)/2</f>
        <v/>
      </c>
      <c r="L35" s="99">
        <f>COUNTIF($F$5:$F$979,"&lt;"&amp;F35)+(COUNTIF($F$5:$F$979,"="&amp;F35)+1)/2</f>
        <v/>
      </c>
      <c r="M35" s="99">
        <f>COUNTIF($G$5:$G$979,"&lt;"&amp;G35)+(COUNTIF($G$5:$G$979,"="&amp;G35)+1)/2</f>
        <v/>
      </c>
      <c r="N35" s="99">
        <f>COUNTIF($H$5:$H$979,"&lt;"&amp;H35)+(COUNTIF($H$5:$H$979,"="&amp;H35)+1)/2</f>
        <v/>
      </c>
      <c r="O35" s="99">
        <f>COUNTIF($I$5:$I$979,"&lt;"&amp;I35)+(COUNTIF($I$5:$I$979,"="&amp;I35)+1)/2</f>
        <v/>
      </c>
      <c r="P35" s="99">
        <f>COUNTIF($J$5:$J$979,"&lt;"&amp;J35)+(COUNTIF($J$5:$J$979,"="&amp;J35)+1)/2</f>
        <v/>
      </c>
    </row>
    <row r="36" ht="15" customHeight="1" s="68">
      <c r="A36" s="70">
        <f>'01_원자료'!A33</f>
        <v/>
      </c>
      <c r="B36" s="70">
        <f>'01_원자료'!B33</f>
        <v/>
      </c>
      <c r="C36" s="70">
        <f>'01_원자료'!C33</f>
        <v/>
      </c>
      <c r="E36" s="85">
        <f>'01_원자료'!P33*'03_가중치민감도'!$B$5+'01_원자료'!Q33*'03_가중치민감도'!$C$5+'01_원자료'!R33*'03_가중치민감도'!$D$5</f>
        <v/>
      </c>
      <c r="F36" s="85">
        <f>'01_원자료'!P33*'03_가중치민감도'!$B$6+'01_원자료'!Q33*'03_가중치민감도'!$C$6+'01_원자료'!R33*'03_가중치민감도'!$D$6</f>
        <v/>
      </c>
      <c r="G36" s="85">
        <f>'01_원자료'!P33*'03_가중치민감도'!$B$7+'01_원자료'!Q33*'03_가중치민감도'!$C$7+'01_원자료'!R33*'03_가중치민감도'!$D$7</f>
        <v/>
      </c>
      <c r="H36" s="85">
        <f>'01_원자료'!P33*'03_가중치민감도'!$B$8+'01_원자료'!Q33*'03_가중치민감도'!$C$8+'01_원자료'!R33*'03_가중치민감도'!$D$8</f>
        <v/>
      </c>
      <c r="I36" s="85">
        <f>'01_원자료'!P33*'03_가중치민감도'!$B$9+'01_원자료'!Q33*'03_가중치민감도'!$C$9+'01_원자료'!R33*'03_가중치민감도'!$D$9</f>
        <v/>
      </c>
      <c r="J36" s="85">
        <f>'01_원자료'!P33*'03_가중치민감도'!$B$10+'01_원자료'!Q33*'03_가중치민감도'!$C$10+'01_원자료'!R33*'03_가중치민감도'!$D$10</f>
        <v/>
      </c>
      <c r="K36" s="99">
        <f>COUNTIF($E$5:$E$979,"&lt;"&amp;E36)+(COUNTIF($E$5:$E$979,"="&amp;E36)+1)/2</f>
        <v/>
      </c>
      <c r="L36" s="99">
        <f>COUNTIF($F$5:$F$979,"&lt;"&amp;F36)+(COUNTIF($F$5:$F$979,"="&amp;F36)+1)/2</f>
        <v/>
      </c>
      <c r="M36" s="99">
        <f>COUNTIF($G$5:$G$979,"&lt;"&amp;G36)+(COUNTIF($G$5:$G$979,"="&amp;G36)+1)/2</f>
        <v/>
      </c>
      <c r="N36" s="99">
        <f>COUNTIF($H$5:$H$979,"&lt;"&amp;H36)+(COUNTIF($H$5:$H$979,"="&amp;H36)+1)/2</f>
        <v/>
      </c>
      <c r="O36" s="99">
        <f>COUNTIF($I$5:$I$979,"&lt;"&amp;I36)+(COUNTIF($I$5:$I$979,"="&amp;I36)+1)/2</f>
        <v/>
      </c>
      <c r="P36" s="99">
        <f>COUNTIF($J$5:$J$979,"&lt;"&amp;J36)+(COUNTIF($J$5:$J$979,"="&amp;J36)+1)/2</f>
        <v/>
      </c>
    </row>
    <row r="37" ht="15" customHeight="1" s="68">
      <c r="A37" s="70">
        <f>'01_원자료'!A34</f>
        <v/>
      </c>
      <c r="B37" s="70">
        <f>'01_원자료'!B34</f>
        <v/>
      </c>
      <c r="C37" s="70">
        <f>'01_원자료'!C34</f>
        <v/>
      </c>
      <c r="E37" s="85">
        <f>'01_원자료'!P34*'03_가중치민감도'!$B$5+'01_원자료'!Q34*'03_가중치민감도'!$C$5+'01_원자료'!R34*'03_가중치민감도'!$D$5</f>
        <v/>
      </c>
      <c r="F37" s="85">
        <f>'01_원자료'!P34*'03_가중치민감도'!$B$6+'01_원자료'!Q34*'03_가중치민감도'!$C$6+'01_원자료'!R34*'03_가중치민감도'!$D$6</f>
        <v/>
      </c>
      <c r="G37" s="85">
        <f>'01_원자료'!P34*'03_가중치민감도'!$B$7+'01_원자료'!Q34*'03_가중치민감도'!$C$7+'01_원자료'!R34*'03_가중치민감도'!$D$7</f>
        <v/>
      </c>
      <c r="H37" s="85">
        <f>'01_원자료'!P34*'03_가중치민감도'!$B$8+'01_원자료'!Q34*'03_가중치민감도'!$C$8+'01_원자료'!R34*'03_가중치민감도'!$D$8</f>
        <v/>
      </c>
      <c r="I37" s="85">
        <f>'01_원자료'!P34*'03_가중치민감도'!$B$9+'01_원자료'!Q34*'03_가중치민감도'!$C$9+'01_원자료'!R34*'03_가중치민감도'!$D$9</f>
        <v/>
      </c>
      <c r="J37" s="85">
        <f>'01_원자료'!P34*'03_가중치민감도'!$B$10+'01_원자료'!Q34*'03_가중치민감도'!$C$10+'01_원자료'!R34*'03_가중치민감도'!$D$10</f>
        <v/>
      </c>
      <c r="K37" s="99">
        <f>COUNTIF($E$5:$E$979,"&lt;"&amp;E37)+(COUNTIF($E$5:$E$979,"="&amp;E37)+1)/2</f>
        <v/>
      </c>
      <c r="L37" s="99">
        <f>COUNTIF($F$5:$F$979,"&lt;"&amp;F37)+(COUNTIF($F$5:$F$979,"="&amp;F37)+1)/2</f>
        <v/>
      </c>
      <c r="M37" s="99">
        <f>COUNTIF($G$5:$G$979,"&lt;"&amp;G37)+(COUNTIF($G$5:$G$979,"="&amp;G37)+1)/2</f>
        <v/>
      </c>
      <c r="N37" s="99">
        <f>COUNTIF($H$5:$H$979,"&lt;"&amp;H37)+(COUNTIF($H$5:$H$979,"="&amp;H37)+1)/2</f>
        <v/>
      </c>
      <c r="O37" s="99">
        <f>COUNTIF($I$5:$I$979,"&lt;"&amp;I37)+(COUNTIF($I$5:$I$979,"="&amp;I37)+1)/2</f>
        <v/>
      </c>
      <c r="P37" s="99">
        <f>COUNTIF($J$5:$J$979,"&lt;"&amp;J37)+(COUNTIF($J$5:$J$979,"="&amp;J37)+1)/2</f>
        <v/>
      </c>
    </row>
    <row r="38" ht="15" customHeight="1" s="68">
      <c r="A38" s="70">
        <f>'01_원자료'!A35</f>
        <v/>
      </c>
      <c r="B38" s="70">
        <f>'01_원자료'!B35</f>
        <v/>
      </c>
      <c r="C38" s="70">
        <f>'01_원자료'!C35</f>
        <v/>
      </c>
      <c r="E38" s="85">
        <f>'01_원자료'!P35*'03_가중치민감도'!$B$5+'01_원자료'!Q35*'03_가중치민감도'!$C$5+'01_원자료'!R35*'03_가중치민감도'!$D$5</f>
        <v/>
      </c>
      <c r="F38" s="85">
        <f>'01_원자료'!P35*'03_가중치민감도'!$B$6+'01_원자료'!Q35*'03_가중치민감도'!$C$6+'01_원자료'!R35*'03_가중치민감도'!$D$6</f>
        <v/>
      </c>
      <c r="G38" s="85">
        <f>'01_원자료'!P35*'03_가중치민감도'!$B$7+'01_원자료'!Q35*'03_가중치민감도'!$C$7+'01_원자료'!R35*'03_가중치민감도'!$D$7</f>
        <v/>
      </c>
      <c r="H38" s="85">
        <f>'01_원자료'!P35*'03_가중치민감도'!$B$8+'01_원자료'!Q35*'03_가중치민감도'!$C$8+'01_원자료'!R35*'03_가중치민감도'!$D$8</f>
        <v/>
      </c>
      <c r="I38" s="85">
        <f>'01_원자료'!P35*'03_가중치민감도'!$B$9+'01_원자료'!Q35*'03_가중치민감도'!$C$9+'01_원자료'!R35*'03_가중치민감도'!$D$9</f>
        <v/>
      </c>
      <c r="J38" s="85">
        <f>'01_원자료'!P35*'03_가중치민감도'!$B$10+'01_원자료'!Q35*'03_가중치민감도'!$C$10+'01_원자료'!R35*'03_가중치민감도'!$D$10</f>
        <v/>
      </c>
      <c r="K38" s="99">
        <f>COUNTIF($E$5:$E$979,"&lt;"&amp;E38)+(COUNTIF($E$5:$E$979,"="&amp;E38)+1)/2</f>
        <v/>
      </c>
      <c r="L38" s="99">
        <f>COUNTIF($F$5:$F$979,"&lt;"&amp;F38)+(COUNTIF($F$5:$F$979,"="&amp;F38)+1)/2</f>
        <v/>
      </c>
      <c r="M38" s="99">
        <f>COUNTIF($G$5:$G$979,"&lt;"&amp;G38)+(COUNTIF($G$5:$G$979,"="&amp;G38)+1)/2</f>
        <v/>
      </c>
      <c r="N38" s="99">
        <f>COUNTIF($H$5:$H$979,"&lt;"&amp;H38)+(COUNTIF($H$5:$H$979,"="&amp;H38)+1)/2</f>
        <v/>
      </c>
      <c r="O38" s="99">
        <f>COUNTIF($I$5:$I$979,"&lt;"&amp;I38)+(COUNTIF($I$5:$I$979,"="&amp;I38)+1)/2</f>
        <v/>
      </c>
      <c r="P38" s="99">
        <f>COUNTIF($J$5:$J$979,"&lt;"&amp;J38)+(COUNTIF($J$5:$J$979,"="&amp;J38)+1)/2</f>
        <v/>
      </c>
    </row>
    <row r="39" ht="15" customHeight="1" s="68">
      <c r="A39" s="70">
        <f>'01_원자료'!A36</f>
        <v/>
      </c>
      <c r="B39" s="70">
        <f>'01_원자료'!B36</f>
        <v/>
      </c>
      <c r="C39" s="70">
        <f>'01_원자료'!C36</f>
        <v/>
      </c>
      <c r="E39" s="85">
        <f>'01_원자료'!P36*'03_가중치민감도'!$B$5+'01_원자료'!Q36*'03_가중치민감도'!$C$5+'01_원자료'!R36*'03_가중치민감도'!$D$5</f>
        <v/>
      </c>
      <c r="F39" s="85">
        <f>'01_원자료'!P36*'03_가중치민감도'!$B$6+'01_원자료'!Q36*'03_가중치민감도'!$C$6+'01_원자료'!R36*'03_가중치민감도'!$D$6</f>
        <v/>
      </c>
      <c r="G39" s="85">
        <f>'01_원자료'!P36*'03_가중치민감도'!$B$7+'01_원자료'!Q36*'03_가중치민감도'!$C$7+'01_원자료'!R36*'03_가중치민감도'!$D$7</f>
        <v/>
      </c>
      <c r="H39" s="85">
        <f>'01_원자료'!P36*'03_가중치민감도'!$B$8+'01_원자료'!Q36*'03_가중치민감도'!$C$8+'01_원자료'!R36*'03_가중치민감도'!$D$8</f>
        <v/>
      </c>
      <c r="I39" s="85">
        <f>'01_원자료'!P36*'03_가중치민감도'!$B$9+'01_원자료'!Q36*'03_가중치민감도'!$C$9+'01_원자료'!R36*'03_가중치민감도'!$D$9</f>
        <v/>
      </c>
      <c r="J39" s="85">
        <f>'01_원자료'!P36*'03_가중치민감도'!$B$10+'01_원자료'!Q36*'03_가중치민감도'!$C$10+'01_원자료'!R36*'03_가중치민감도'!$D$10</f>
        <v/>
      </c>
      <c r="K39" s="99">
        <f>COUNTIF($E$5:$E$979,"&lt;"&amp;E39)+(COUNTIF($E$5:$E$979,"="&amp;E39)+1)/2</f>
        <v/>
      </c>
      <c r="L39" s="99">
        <f>COUNTIF($F$5:$F$979,"&lt;"&amp;F39)+(COUNTIF($F$5:$F$979,"="&amp;F39)+1)/2</f>
        <v/>
      </c>
      <c r="M39" s="99">
        <f>COUNTIF($G$5:$G$979,"&lt;"&amp;G39)+(COUNTIF($G$5:$G$979,"="&amp;G39)+1)/2</f>
        <v/>
      </c>
      <c r="N39" s="99">
        <f>COUNTIF($H$5:$H$979,"&lt;"&amp;H39)+(COUNTIF($H$5:$H$979,"="&amp;H39)+1)/2</f>
        <v/>
      </c>
      <c r="O39" s="99">
        <f>COUNTIF($I$5:$I$979,"&lt;"&amp;I39)+(COUNTIF($I$5:$I$979,"="&amp;I39)+1)/2</f>
        <v/>
      </c>
      <c r="P39" s="99">
        <f>COUNTIF($J$5:$J$979,"&lt;"&amp;J39)+(COUNTIF($J$5:$J$979,"="&amp;J39)+1)/2</f>
        <v/>
      </c>
    </row>
    <row r="40" ht="15" customHeight="1" s="68">
      <c r="A40" s="70">
        <f>'01_원자료'!A37</f>
        <v/>
      </c>
      <c r="B40" s="70">
        <f>'01_원자료'!B37</f>
        <v/>
      </c>
      <c r="C40" s="70">
        <f>'01_원자료'!C37</f>
        <v/>
      </c>
      <c r="E40" s="85">
        <f>'01_원자료'!P37*'03_가중치민감도'!$B$5+'01_원자료'!Q37*'03_가중치민감도'!$C$5+'01_원자료'!R37*'03_가중치민감도'!$D$5</f>
        <v/>
      </c>
      <c r="F40" s="85">
        <f>'01_원자료'!P37*'03_가중치민감도'!$B$6+'01_원자료'!Q37*'03_가중치민감도'!$C$6+'01_원자료'!R37*'03_가중치민감도'!$D$6</f>
        <v/>
      </c>
      <c r="G40" s="85">
        <f>'01_원자료'!P37*'03_가중치민감도'!$B$7+'01_원자료'!Q37*'03_가중치민감도'!$C$7+'01_원자료'!R37*'03_가중치민감도'!$D$7</f>
        <v/>
      </c>
      <c r="H40" s="85">
        <f>'01_원자료'!P37*'03_가중치민감도'!$B$8+'01_원자료'!Q37*'03_가중치민감도'!$C$8+'01_원자료'!R37*'03_가중치민감도'!$D$8</f>
        <v/>
      </c>
      <c r="I40" s="85">
        <f>'01_원자료'!P37*'03_가중치민감도'!$B$9+'01_원자료'!Q37*'03_가중치민감도'!$C$9+'01_원자료'!R37*'03_가중치민감도'!$D$9</f>
        <v/>
      </c>
      <c r="J40" s="85">
        <f>'01_원자료'!P37*'03_가중치민감도'!$B$10+'01_원자료'!Q37*'03_가중치민감도'!$C$10+'01_원자료'!R37*'03_가중치민감도'!$D$10</f>
        <v/>
      </c>
      <c r="K40" s="99">
        <f>COUNTIF($E$5:$E$979,"&lt;"&amp;E40)+(COUNTIF($E$5:$E$979,"="&amp;E40)+1)/2</f>
        <v/>
      </c>
      <c r="L40" s="99">
        <f>COUNTIF($F$5:$F$979,"&lt;"&amp;F40)+(COUNTIF($F$5:$F$979,"="&amp;F40)+1)/2</f>
        <v/>
      </c>
      <c r="M40" s="99">
        <f>COUNTIF($G$5:$G$979,"&lt;"&amp;G40)+(COUNTIF($G$5:$G$979,"="&amp;G40)+1)/2</f>
        <v/>
      </c>
      <c r="N40" s="99">
        <f>COUNTIF($H$5:$H$979,"&lt;"&amp;H40)+(COUNTIF($H$5:$H$979,"="&amp;H40)+1)/2</f>
        <v/>
      </c>
      <c r="O40" s="99">
        <f>COUNTIF($I$5:$I$979,"&lt;"&amp;I40)+(COUNTIF($I$5:$I$979,"="&amp;I40)+1)/2</f>
        <v/>
      </c>
      <c r="P40" s="99">
        <f>COUNTIF($J$5:$J$979,"&lt;"&amp;J40)+(COUNTIF($J$5:$J$979,"="&amp;J40)+1)/2</f>
        <v/>
      </c>
    </row>
    <row r="41" ht="15" customHeight="1" s="68">
      <c r="A41" s="70">
        <f>'01_원자료'!A38</f>
        <v/>
      </c>
      <c r="B41" s="70">
        <f>'01_원자료'!B38</f>
        <v/>
      </c>
      <c r="C41" s="70">
        <f>'01_원자료'!C38</f>
        <v/>
      </c>
      <c r="E41" s="85">
        <f>'01_원자료'!P38*'03_가중치민감도'!$B$5+'01_원자료'!Q38*'03_가중치민감도'!$C$5+'01_원자료'!R38*'03_가중치민감도'!$D$5</f>
        <v/>
      </c>
      <c r="F41" s="85">
        <f>'01_원자료'!P38*'03_가중치민감도'!$B$6+'01_원자료'!Q38*'03_가중치민감도'!$C$6+'01_원자료'!R38*'03_가중치민감도'!$D$6</f>
        <v/>
      </c>
      <c r="G41" s="85">
        <f>'01_원자료'!P38*'03_가중치민감도'!$B$7+'01_원자료'!Q38*'03_가중치민감도'!$C$7+'01_원자료'!R38*'03_가중치민감도'!$D$7</f>
        <v/>
      </c>
      <c r="H41" s="85">
        <f>'01_원자료'!P38*'03_가중치민감도'!$B$8+'01_원자료'!Q38*'03_가중치민감도'!$C$8+'01_원자료'!R38*'03_가중치민감도'!$D$8</f>
        <v/>
      </c>
      <c r="I41" s="85">
        <f>'01_원자료'!P38*'03_가중치민감도'!$B$9+'01_원자료'!Q38*'03_가중치민감도'!$C$9+'01_원자료'!R38*'03_가중치민감도'!$D$9</f>
        <v/>
      </c>
      <c r="J41" s="85">
        <f>'01_원자료'!P38*'03_가중치민감도'!$B$10+'01_원자료'!Q38*'03_가중치민감도'!$C$10+'01_원자료'!R38*'03_가중치민감도'!$D$10</f>
        <v/>
      </c>
      <c r="K41" s="99">
        <f>COUNTIF($E$5:$E$979,"&lt;"&amp;E41)+(COUNTIF($E$5:$E$979,"="&amp;E41)+1)/2</f>
        <v/>
      </c>
      <c r="L41" s="99">
        <f>COUNTIF($F$5:$F$979,"&lt;"&amp;F41)+(COUNTIF($F$5:$F$979,"="&amp;F41)+1)/2</f>
        <v/>
      </c>
      <c r="M41" s="99">
        <f>COUNTIF($G$5:$G$979,"&lt;"&amp;G41)+(COUNTIF($G$5:$G$979,"="&amp;G41)+1)/2</f>
        <v/>
      </c>
      <c r="N41" s="99">
        <f>COUNTIF($H$5:$H$979,"&lt;"&amp;H41)+(COUNTIF($H$5:$H$979,"="&amp;H41)+1)/2</f>
        <v/>
      </c>
      <c r="O41" s="99">
        <f>COUNTIF($I$5:$I$979,"&lt;"&amp;I41)+(COUNTIF($I$5:$I$979,"="&amp;I41)+1)/2</f>
        <v/>
      </c>
      <c r="P41" s="99">
        <f>COUNTIF($J$5:$J$979,"&lt;"&amp;J41)+(COUNTIF($J$5:$J$979,"="&amp;J41)+1)/2</f>
        <v/>
      </c>
    </row>
    <row r="42" ht="15" customHeight="1" s="68">
      <c r="A42" s="70">
        <f>'01_원자료'!A39</f>
        <v/>
      </c>
      <c r="B42" s="70">
        <f>'01_원자료'!B39</f>
        <v/>
      </c>
      <c r="C42" s="70">
        <f>'01_원자료'!C39</f>
        <v/>
      </c>
      <c r="E42" s="85">
        <f>'01_원자료'!P39*'03_가중치민감도'!$B$5+'01_원자료'!Q39*'03_가중치민감도'!$C$5+'01_원자료'!R39*'03_가중치민감도'!$D$5</f>
        <v/>
      </c>
      <c r="F42" s="85">
        <f>'01_원자료'!P39*'03_가중치민감도'!$B$6+'01_원자료'!Q39*'03_가중치민감도'!$C$6+'01_원자료'!R39*'03_가중치민감도'!$D$6</f>
        <v/>
      </c>
      <c r="G42" s="85">
        <f>'01_원자료'!P39*'03_가중치민감도'!$B$7+'01_원자료'!Q39*'03_가중치민감도'!$C$7+'01_원자료'!R39*'03_가중치민감도'!$D$7</f>
        <v/>
      </c>
      <c r="H42" s="85">
        <f>'01_원자료'!P39*'03_가중치민감도'!$B$8+'01_원자료'!Q39*'03_가중치민감도'!$C$8+'01_원자료'!R39*'03_가중치민감도'!$D$8</f>
        <v/>
      </c>
      <c r="I42" s="85">
        <f>'01_원자료'!P39*'03_가중치민감도'!$B$9+'01_원자료'!Q39*'03_가중치민감도'!$C$9+'01_원자료'!R39*'03_가중치민감도'!$D$9</f>
        <v/>
      </c>
      <c r="J42" s="85">
        <f>'01_원자료'!P39*'03_가중치민감도'!$B$10+'01_원자료'!Q39*'03_가중치민감도'!$C$10+'01_원자료'!R39*'03_가중치민감도'!$D$10</f>
        <v/>
      </c>
      <c r="K42" s="99">
        <f>COUNTIF($E$5:$E$979,"&lt;"&amp;E42)+(COUNTIF($E$5:$E$979,"="&amp;E42)+1)/2</f>
        <v/>
      </c>
      <c r="L42" s="99">
        <f>COUNTIF($F$5:$F$979,"&lt;"&amp;F42)+(COUNTIF($F$5:$F$979,"="&amp;F42)+1)/2</f>
        <v/>
      </c>
      <c r="M42" s="99">
        <f>COUNTIF($G$5:$G$979,"&lt;"&amp;G42)+(COUNTIF($G$5:$G$979,"="&amp;G42)+1)/2</f>
        <v/>
      </c>
      <c r="N42" s="99">
        <f>COUNTIF($H$5:$H$979,"&lt;"&amp;H42)+(COUNTIF($H$5:$H$979,"="&amp;H42)+1)/2</f>
        <v/>
      </c>
      <c r="O42" s="99">
        <f>COUNTIF($I$5:$I$979,"&lt;"&amp;I42)+(COUNTIF($I$5:$I$979,"="&amp;I42)+1)/2</f>
        <v/>
      </c>
      <c r="P42" s="99">
        <f>COUNTIF($J$5:$J$979,"&lt;"&amp;J42)+(COUNTIF($J$5:$J$979,"="&amp;J42)+1)/2</f>
        <v/>
      </c>
    </row>
    <row r="43" ht="15" customHeight="1" s="68">
      <c r="A43" s="70">
        <f>'01_원자료'!A40</f>
        <v/>
      </c>
      <c r="B43" s="70">
        <f>'01_원자료'!B40</f>
        <v/>
      </c>
      <c r="C43" s="70">
        <f>'01_원자료'!C40</f>
        <v/>
      </c>
      <c r="E43" s="85">
        <f>'01_원자료'!P40*'03_가중치민감도'!$B$5+'01_원자료'!Q40*'03_가중치민감도'!$C$5+'01_원자료'!R40*'03_가중치민감도'!$D$5</f>
        <v/>
      </c>
      <c r="F43" s="85">
        <f>'01_원자료'!P40*'03_가중치민감도'!$B$6+'01_원자료'!Q40*'03_가중치민감도'!$C$6+'01_원자료'!R40*'03_가중치민감도'!$D$6</f>
        <v/>
      </c>
      <c r="G43" s="85">
        <f>'01_원자료'!P40*'03_가중치민감도'!$B$7+'01_원자료'!Q40*'03_가중치민감도'!$C$7+'01_원자료'!R40*'03_가중치민감도'!$D$7</f>
        <v/>
      </c>
      <c r="H43" s="85">
        <f>'01_원자료'!P40*'03_가중치민감도'!$B$8+'01_원자료'!Q40*'03_가중치민감도'!$C$8+'01_원자료'!R40*'03_가중치민감도'!$D$8</f>
        <v/>
      </c>
      <c r="I43" s="85">
        <f>'01_원자료'!P40*'03_가중치민감도'!$B$9+'01_원자료'!Q40*'03_가중치민감도'!$C$9+'01_원자료'!R40*'03_가중치민감도'!$D$9</f>
        <v/>
      </c>
      <c r="J43" s="85">
        <f>'01_원자료'!P40*'03_가중치민감도'!$B$10+'01_원자료'!Q40*'03_가중치민감도'!$C$10+'01_원자료'!R40*'03_가중치민감도'!$D$10</f>
        <v/>
      </c>
      <c r="K43" s="99">
        <f>COUNTIF($E$5:$E$979,"&lt;"&amp;E43)+(COUNTIF($E$5:$E$979,"="&amp;E43)+1)/2</f>
        <v/>
      </c>
      <c r="L43" s="99">
        <f>COUNTIF($F$5:$F$979,"&lt;"&amp;F43)+(COUNTIF($F$5:$F$979,"="&amp;F43)+1)/2</f>
        <v/>
      </c>
      <c r="M43" s="99">
        <f>COUNTIF($G$5:$G$979,"&lt;"&amp;G43)+(COUNTIF($G$5:$G$979,"="&amp;G43)+1)/2</f>
        <v/>
      </c>
      <c r="N43" s="99">
        <f>COUNTIF($H$5:$H$979,"&lt;"&amp;H43)+(COUNTIF($H$5:$H$979,"="&amp;H43)+1)/2</f>
        <v/>
      </c>
      <c r="O43" s="99">
        <f>COUNTIF($I$5:$I$979,"&lt;"&amp;I43)+(COUNTIF($I$5:$I$979,"="&amp;I43)+1)/2</f>
        <v/>
      </c>
      <c r="P43" s="99">
        <f>COUNTIF($J$5:$J$979,"&lt;"&amp;J43)+(COUNTIF($J$5:$J$979,"="&amp;J43)+1)/2</f>
        <v/>
      </c>
    </row>
    <row r="44" ht="15" customHeight="1" s="68">
      <c r="A44" s="70">
        <f>'01_원자료'!A41</f>
        <v/>
      </c>
      <c r="B44" s="70">
        <f>'01_원자료'!B41</f>
        <v/>
      </c>
      <c r="C44" s="70">
        <f>'01_원자료'!C41</f>
        <v/>
      </c>
      <c r="E44" s="85">
        <f>'01_원자료'!P41*'03_가중치민감도'!$B$5+'01_원자료'!Q41*'03_가중치민감도'!$C$5+'01_원자료'!R41*'03_가중치민감도'!$D$5</f>
        <v/>
      </c>
      <c r="F44" s="85">
        <f>'01_원자료'!P41*'03_가중치민감도'!$B$6+'01_원자료'!Q41*'03_가중치민감도'!$C$6+'01_원자료'!R41*'03_가중치민감도'!$D$6</f>
        <v/>
      </c>
      <c r="G44" s="85">
        <f>'01_원자료'!P41*'03_가중치민감도'!$B$7+'01_원자료'!Q41*'03_가중치민감도'!$C$7+'01_원자료'!R41*'03_가중치민감도'!$D$7</f>
        <v/>
      </c>
      <c r="H44" s="85">
        <f>'01_원자료'!P41*'03_가중치민감도'!$B$8+'01_원자료'!Q41*'03_가중치민감도'!$C$8+'01_원자료'!R41*'03_가중치민감도'!$D$8</f>
        <v/>
      </c>
      <c r="I44" s="85">
        <f>'01_원자료'!P41*'03_가중치민감도'!$B$9+'01_원자료'!Q41*'03_가중치민감도'!$C$9+'01_원자료'!R41*'03_가중치민감도'!$D$9</f>
        <v/>
      </c>
      <c r="J44" s="85">
        <f>'01_원자료'!P41*'03_가중치민감도'!$B$10+'01_원자료'!Q41*'03_가중치민감도'!$C$10+'01_원자료'!R41*'03_가중치민감도'!$D$10</f>
        <v/>
      </c>
      <c r="K44" s="99">
        <f>COUNTIF($E$5:$E$979,"&lt;"&amp;E44)+(COUNTIF($E$5:$E$979,"="&amp;E44)+1)/2</f>
        <v/>
      </c>
      <c r="L44" s="99">
        <f>COUNTIF($F$5:$F$979,"&lt;"&amp;F44)+(COUNTIF($F$5:$F$979,"="&amp;F44)+1)/2</f>
        <v/>
      </c>
      <c r="M44" s="99">
        <f>COUNTIF($G$5:$G$979,"&lt;"&amp;G44)+(COUNTIF($G$5:$G$979,"="&amp;G44)+1)/2</f>
        <v/>
      </c>
      <c r="N44" s="99">
        <f>COUNTIF($H$5:$H$979,"&lt;"&amp;H44)+(COUNTIF($H$5:$H$979,"="&amp;H44)+1)/2</f>
        <v/>
      </c>
      <c r="O44" s="99">
        <f>COUNTIF($I$5:$I$979,"&lt;"&amp;I44)+(COUNTIF($I$5:$I$979,"="&amp;I44)+1)/2</f>
        <v/>
      </c>
      <c r="P44" s="99">
        <f>COUNTIF($J$5:$J$979,"&lt;"&amp;J44)+(COUNTIF($J$5:$J$979,"="&amp;J44)+1)/2</f>
        <v/>
      </c>
    </row>
    <row r="45" ht="15" customHeight="1" s="68">
      <c r="A45" s="70">
        <f>'01_원자료'!A42</f>
        <v/>
      </c>
      <c r="B45" s="70">
        <f>'01_원자료'!B42</f>
        <v/>
      </c>
      <c r="C45" s="70">
        <f>'01_원자료'!C42</f>
        <v/>
      </c>
      <c r="E45" s="85">
        <f>'01_원자료'!P42*'03_가중치민감도'!$B$5+'01_원자료'!Q42*'03_가중치민감도'!$C$5+'01_원자료'!R42*'03_가중치민감도'!$D$5</f>
        <v/>
      </c>
      <c r="F45" s="85">
        <f>'01_원자료'!P42*'03_가중치민감도'!$B$6+'01_원자료'!Q42*'03_가중치민감도'!$C$6+'01_원자료'!R42*'03_가중치민감도'!$D$6</f>
        <v/>
      </c>
      <c r="G45" s="85">
        <f>'01_원자료'!P42*'03_가중치민감도'!$B$7+'01_원자료'!Q42*'03_가중치민감도'!$C$7+'01_원자료'!R42*'03_가중치민감도'!$D$7</f>
        <v/>
      </c>
      <c r="H45" s="85">
        <f>'01_원자료'!P42*'03_가중치민감도'!$B$8+'01_원자료'!Q42*'03_가중치민감도'!$C$8+'01_원자료'!R42*'03_가중치민감도'!$D$8</f>
        <v/>
      </c>
      <c r="I45" s="85">
        <f>'01_원자료'!P42*'03_가중치민감도'!$B$9+'01_원자료'!Q42*'03_가중치민감도'!$C$9+'01_원자료'!R42*'03_가중치민감도'!$D$9</f>
        <v/>
      </c>
      <c r="J45" s="85">
        <f>'01_원자료'!P42*'03_가중치민감도'!$B$10+'01_원자료'!Q42*'03_가중치민감도'!$C$10+'01_원자료'!R42*'03_가중치민감도'!$D$10</f>
        <v/>
      </c>
      <c r="K45" s="99">
        <f>COUNTIF($E$5:$E$979,"&lt;"&amp;E45)+(COUNTIF($E$5:$E$979,"="&amp;E45)+1)/2</f>
        <v/>
      </c>
      <c r="L45" s="99">
        <f>COUNTIF($F$5:$F$979,"&lt;"&amp;F45)+(COUNTIF($F$5:$F$979,"="&amp;F45)+1)/2</f>
        <v/>
      </c>
      <c r="M45" s="99">
        <f>COUNTIF($G$5:$G$979,"&lt;"&amp;G45)+(COUNTIF($G$5:$G$979,"="&amp;G45)+1)/2</f>
        <v/>
      </c>
      <c r="N45" s="99">
        <f>COUNTIF($H$5:$H$979,"&lt;"&amp;H45)+(COUNTIF($H$5:$H$979,"="&amp;H45)+1)/2</f>
        <v/>
      </c>
      <c r="O45" s="99">
        <f>COUNTIF($I$5:$I$979,"&lt;"&amp;I45)+(COUNTIF($I$5:$I$979,"="&amp;I45)+1)/2</f>
        <v/>
      </c>
      <c r="P45" s="99">
        <f>COUNTIF($J$5:$J$979,"&lt;"&amp;J45)+(COUNTIF($J$5:$J$979,"="&amp;J45)+1)/2</f>
        <v/>
      </c>
    </row>
    <row r="46" ht="15" customHeight="1" s="68">
      <c r="A46" s="70">
        <f>'01_원자료'!A43</f>
        <v/>
      </c>
      <c r="B46" s="70">
        <f>'01_원자료'!B43</f>
        <v/>
      </c>
      <c r="C46" s="70">
        <f>'01_원자료'!C43</f>
        <v/>
      </c>
      <c r="E46" s="85">
        <f>'01_원자료'!P43*'03_가중치민감도'!$B$5+'01_원자료'!Q43*'03_가중치민감도'!$C$5+'01_원자료'!R43*'03_가중치민감도'!$D$5</f>
        <v/>
      </c>
      <c r="F46" s="85">
        <f>'01_원자료'!P43*'03_가중치민감도'!$B$6+'01_원자료'!Q43*'03_가중치민감도'!$C$6+'01_원자료'!R43*'03_가중치민감도'!$D$6</f>
        <v/>
      </c>
      <c r="G46" s="85">
        <f>'01_원자료'!P43*'03_가중치민감도'!$B$7+'01_원자료'!Q43*'03_가중치민감도'!$C$7+'01_원자료'!R43*'03_가중치민감도'!$D$7</f>
        <v/>
      </c>
      <c r="H46" s="85">
        <f>'01_원자료'!P43*'03_가중치민감도'!$B$8+'01_원자료'!Q43*'03_가중치민감도'!$C$8+'01_원자료'!R43*'03_가중치민감도'!$D$8</f>
        <v/>
      </c>
      <c r="I46" s="85">
        <f>'01_원자료'!P43*'03_가중치민감도'!$B$9+'01_원자료'!Q43*'03_가중치민감도'!$C$9+'01_원자료'!R43*'03_가중치민감도'!$D$9</f>
        <v/>
      </c>
      <c r="J46" s="85">
        <f>'01_원자료'!P43*'03_가중치민감도'!$B$10+'01_원자료'!Q43*'03_가중치민감도'!$C$10+'01_원자료'!R43*'03_가중치민감도'!$D$10</f>
        <v/>
      </c>
      <c r="K46" s="99">
        <f>COUNTIF($E$5:$E$979,"&lt;"&amp;E46)+(COUNTIF($E$5:$E$979,"="&amp;E46)+1)/2</f>
        <v/>
      </c>
      <c r="L46" s="99">
        <f>COUNTIF($F$5:$F$979,"&lt;"&amp;F46)+(COUNTIF($F$5:$F$979,"="&amp;F46)+1)/2</f>
        <v/>
      </c>
      <c r="M46" s="99">
        <f>COUNTIF($G$5:$G$979,"&lt;"&amp;G46)+(COUNTIF($G$5:$G$979,"="&amp;G46)+1)/2</f>
        <v/>
      </c>
      <c r="N46" s="99">
        <f>COUNTIF($H$5:$H$979,"&lt;"&amp;H46)+(COUNTIF($H$5:$H$979,"="&amp;H46)+1)/2</f>
        <v/>
      </c>
      <c r="O46" s="99">
        <f>COUNTIF($I$5:$I$979,"&lt;"&amp;I46)+(COUNTIF($I$5:$I$979,"="&amp;I46)+1)/2</f>
        <v/>
      </c>
      <c r="P46" s="99">
        <f>COUNTIF($J$5:$J$979,"&lt;"&amp;J46)+(COUNTIF($J$5:$J$979,"="&amp;J46)+1)/2</f>
        <v/>
      </c>
    </row>
    <row r="47" ht="15" customHeight="1" s="68">
      <c r="A47" s="70">
        <f>'01_원자료'!A44</f>
        <v/>
      </c>
      <c r="B47" s="70">
        <f>'01_원자료'!B44</f>
        <v/>
      </c>
      <c r="C47" s="70">
        <f>'01_원자료'!C44</f>
        <v/>
      </c>
      <c r="E47" s="85">
        <f>'01_원자료'!P44*'03_가중치민감도'!$B$5+'01_원자료'!Q44*'03_가중치민감도'!$C$5+'01_원자료'!R44*'03_가중치민감도'!$D$5</f>
        <v/>
      </c>
      <c r="F47" s="85">
        <f>'01_원자료'!P44*'03_가중치민감도'!$B$6+'01_원자료'!Q44*'03_가중치민감도'!$C$6+'01_원자료'!R44*'03_가중치민감도'!$D$6</f>
        <v/>
      </c>
      <c r="G47" s="85">
        <f>'01_원자료'!P44*'03_가중치민감도'!$B$7+'01_원자료'!Q44*'03_가중치민감도'!$C$7+'01_원자료'!R44*'03_가중치민감도'!$D$7</f>
        <v/>
      </c>
      <c r="H47" s="85">
        <f>'01_원자료'!P44*'03_가중치민감도'!$B$8+'01_원자료'!Q44*'03_가중치민감도'!$C$8+'01_원자료'!R44*'03_가중치민감도'!$D$8</f>
        <v/>
      </c>
      <c r="I47" s="85">
        <f>'01_원자료'!P44*'03_가중치민감도'!$B$9+'01_원자료'!Q44*'03_가중치민감도'!$C$9+'01_원자료'!R44*'03_가중치민감도'!$D$9</f>
        <v/>
      </c>
      <c r="J47" s="85">
        <f>'01_원자료'!P44*'03_가중치민감도'!$B$10+'01_원자료'!Q44*'03_가중치민감도'!$C$10+'01_원자료'!R44*'03_가중치민감도'!$D$10</f>
        <v/>
      </c>
      <c r="K47" s="99">
        <f>COUNTIF($E$5:$E$979,"&lt;"&amp;E47)+(COUNTIF($E$5:$E$979,"="&amp;E47)+1)/2</f>
        <v/>
      </c>
      <c r="L47" s="99">
        <f>COUNTIF($F$5:$F$979,"&lt;"&amp;F47)+(COUNTIF($F$5:$F$979,"="&amp;F47)+1)/2</f>
        <v/>
      </c>
      <c r="M47" s="99">
        <f>COUNTIF($G$5:$G$979,"&lt;"&amp;G47)+(COUNTIF($G$5:$G$979,"="&amp;G47)+1)/2</f>
        <v/>
      </c>
      <c r="N47" s="99">
        <f>COUNTIF($H$5:$H$979,"&lt;"&amp;H47)+(COUNTIF($H$5:$H$979,"="&amp;H47)+1)/2</f>
        <v/>
      </c>
      <c r="O47" s="99">
        <f>COUNTIF($I$5:$I$979,"&lt;"&amp;I47)+(COUNTIF($I$5:$I$979,"="&amp;I47)+1)/2</f>
        <v/>
      </c>
      <c r="P47" s="99">
        <f>COUNTIF($J$5:$J$979,"&lt;"&amp;J47)+(COUNTIF($J$5:$J$979,"="&amp;J47)+1)/2</f>
        <v/>
      </c>
    </row>
    <row r="48" ht="15" customHeight="1" s="68">
      <c r="A48" s="70">
        <f>'01_원자료'!A45</f>
        <v/>
      </c>
      <c r="B48" s="70">
        <f>'01_원자료'!B45</f>
        <v/>
      </c>
      <c r="C48" s="70">
        <f>'01_원자료'!C45</f>
        <v/>
      </c>
      <c r="E48" s="85">
        <f>'01_원자료'!P45*'03_가중치민감도'!$B$5+'01_원자료'!Q45*'03_가중치민감도'!$C$5+'01_원자료'!R45*'03_가중치민감도'!$D$5</f>
        <v/>
      </c>
      <c r="F48" s="85">
        <f>'01_원자료'!P45*'03_가중치민감도'!$B$6+'01_원자료'!Q45*'03_가중치민감도'!$C$6+'01_원자료'!R45*'03_가중치민감도'!$D$6</f>
        <v/>
      </c>
      <c r="G48" s="85">
        <f>'01_원자료'!P45*'03_가중치민감도'!$B$7+'01_원자료'!Q45*'03_가중치민감도'!$C$7+'01_원자료'!R45*'03_가중치민감도'!$D$7</f>
        <v/>
      </c>
      <c r="H48" s="85">
        <f>'01_원자료'!P45*'03_가중치민감도'!$B$8+'01_원자료'!Q45*'03_가중치민감도'!$C$8+'01_원자료'!R45*'03_가중치민감도'!$D$8</f>
        <v/>
      </c>
      <c r="I48" s="85">
        <f>'01_원자료'!P45*'03_가중치민감도'!$B$9+'01_원자료'!Q45*'03_가중치민감도'!$C$9+'01_원자료'!R45*'03_가중치민감도'!$D$9</f>
        <v/>
      </c>
      <c r="J48" s="85">
        <f>'01_원자료'!P45*'03_가중치민감도'!$B$10+'01_원자료'!Q45*'03_가중치민감도'!$C$10+'01_원자료'!R45*'03_가중치민감도'!$D$10</f>
        <v/>
      </c>
      <c r="K48" s="99">
        <f>COUNTIF($E$5:$E$979,"&lt;"&amp;E48)+(COUNTIF($E$5:$E$979,"="&amp;E48)+1)/2</f>
        <v/>
      </c>
      <c r="L48" s="99">
        <f>COUNTIF($F$5:$F$979,"&lt;"&amp;F48)+(COUNTIF($F$5:$F$979,"="&amp;F48)+1)/2</f>
        <v/>
      </c>
      <c r="M48" s="99">
        <f>COUNTIF($G$5:$G$979,"&lt;"&amp;G48)+(COUNTIF($G$5:$G$979,"="&amp;G48)+1)/2</f>
        <v/>
      </c>
      <c r="N48" s="99">
        <f>COUNTIF($H$5:$H$979,"&lt;"&amp;H48)+(COUNTIF($H$5:$H$979,"="&amp;H48)+1)/2</f>
        <v/>
      </c>
      <c r="O48" s="99">
        <f>COUNTIF($I$5:$I$979,"&lt;"&amp;I48)+(COUNTIF($I$5:$I$979,"="&amp;I48)+1)/2</f>
        <v/>
      </c>
      <c r="P48" s="99">
        <f>COUNTIF($J$5:$J$979,"&lt;"&amp;J48)+(COUNTIF($J$5:$J$979,"="&amp;J48)+1)/2</f>
        <v/>
      </c>
    </row>
    <row r="49" ht="15" customHeight="1" s="68">
      <c r="A49" s="70">
        <f>'01_원자료'!A46</f>
        <v/>
      </c>
      <c r="B49" s="70">
        <f>'01_원자료'!B46</f>
        <v/>
      </c>
      <c r="C49" s="70">
        <f>'01_원자료'!C46</f>
        <v/>
      </c>
      <c r="E49" s="85">
        <f>'01_원자료'!P46*'03_가중치민감도'!$B$5+'01_원자료'!Q46*'03_가중치민감도'!$C$5+'01_원자료'!R46*'03_가중치민감도'!$D$5</f>
        <v/>
      </c>
      <c r="F49" s="85">
        <f>'01_원자료'!P46*'03_가중치민감도'!$B$6+'01_원자료'!Q46*'03_가중치민감도'!$C$6+'01_원자료'!R46*'03_가중치민감도'!$D$6</f>
        <v/>
      </c>
      <c r="G49" s="85">
        <f>'01_원자료'!P46*'03_가중치민감도'!$B$7+'01_원자료'!Q46*'03_가중치민감도'!$C$7+'01_원자료'!R46*'03_가중치민감도'!$D$7</f>
        <v/>
      </c>
      <c r="H49" s="85">
        <f>'01_원자료'!P46*'03_가중치민감도'!$B$8+'01_원자료'!Q46*'03_가중치민감도'!$C$8+'01_원자료'!R46*'03_가중치민감도'!$D$8</f>
        <v/>
      </c>
      <c r="I49" s="85">
        <f>'01_원자료'!P46*'03_가중치민감도'!$B$9+'01_원자료'!Q46*'03_가중치민감도'!$C$9+'01_원자료'!R46*'03_가중치민감도'!$D$9</f>
        <v/>
      </c>
      <c r="J49" s="85">
        <f>'01_원자료'!P46*'03_가중치민감도'!$B$10+'01_원자료'!Q46*'03_가중치민감도'!$C$10+'01_원자료'!R46*'03_가중치민감도'!$D$10</f>
        <v/>
      </c>
      <c r="K49" s="99">
        <f>COUNTIF($E$5:$E$979,"&lt;"&amp;E49)+(COUNTIF($E$5:$E$979,"="&amp;E49)+1)/2</f>
        <v/>
      </c>
      <c r="L49" s="99">
        <f>COUNTIF($F$5:$F$979,"&lt;"&amp;F49)+(COUNTIF($F$5:$F$979,"="&amp;F49)+1)/2</f>
        <v/>
      </c>
      <c r="M49" s="99">
        <f>COUNTIF($G$5:$G$979,"&lt;"&amp;G49)+(COUNTIF($G$5:$G$979,"="&amp;G49)+1)/2</f>
        <v/>
      </c>
      <c r="N49" s="99">
        <f>COUNTIF($H$5:$H$979,"&lt;"&amp;H49)+(COUNTIF($H$5:$H$979,"="&amp;H49)+1)/2</f>
        <v/>
      </c>
      <c r="O49" s="99">
        <f>COUNTIF($I$5:$I$979,"&lt;"&amp;I49)+(COUNTIF($I$5:$I$979,"="&amp;I49)+1)/2</f>
        <v/>
      </c>
      <c r="P49" s="99">
        <f>COUNTIF($J$5:$J$979,"&lt;"&amp;J49)+(COUNTIF($J$5:$J$979,"="&amp;J49)+1)/2</f>
        <v/>
      </c>
    </row>
    <row r="50" ht="15" customHeight="1" s="68">
      <c r="A50" s="70">
        <f>'01_원자료'!A47</f>
        <v/>
      </c>
      <c r="B50" s="70">
        <f>'01_원자료'!B47</f>
        <v/>
      </c>
      <c r="C50" s="70">
        <f>'01_원자료'!C47</f>
        <v/>
      </c>
      <c r="E50" s="85">
        <f>'01_원자료'!P47*'03_가중치민감도'!$B$5+'01_원자료'!Q47*'03_가중치민감도'!$C$5+'01_원자료'!R47*'03_가중치민감도'!$D$5</f>
        <v/>
      </c>
      <c r="F50" s="85">
        <f>'01_원자료'!P47*'03_가중치민감도'!$B$6+'01_원자료'!Q47*'03_가중치민감도'!$C$6+'01_원자료'!R47*'03_가중치민감도'!$D$6</f>
        <v/>
      </c>
      <c r="G50" s="85">
        <f>'01_원자료'!P47*'03_가중치민감도'!$B$7+'01_원자료'!Q47*'03_가중치민감도'!$C$7+'01_원자료'!R47*'03_가중치민감도'!$D$7</f>
        <v/>
      </c>
      <c r="H50" s="85">
        <f>'01_원자료'!P47*'03_가중치민감도'!$B$8+'01_원자료'!Q47*'03_가중치민감도'!$C$8+'01_원자료'!R47*'03_가중치민감도'!$D$8</f>
        <v/>
      </c>
      <c r="I50" s="85">
        <f>'01_원자료'!P47*'03_가중치민감도'!$B$9+'01_원자료'!Q47*'03_가중치민감도'!$C$9+'01_원자료'!R47*'03_가중치민감도'!$D$9</f>
        <v/>
      </c>
      <c r="J50" s="85">
        <f>'01_원자료'!P47*'03_가중치민감도'!$B$10+'01_원자료'!Q47*'03_가중치민감도'!$C$10+'01_원자료'!R47*'03_가중치민감도'!$D$10</f>
        <v/>
      </c>
      <c r="K50" s="99">
        <f>COUNTIF($E$5:$E$979,"&lt;"&amp;E50)+(COUNTIF($E$5:$E$979,"="&amp;E50)+1)/2</f>
        <v/>
      </c>
      <c r="L50" s="99">
        <f>COUNTIF($F$5:$F$979,"&lt;"&amp;F50)+(COUNTIF($F$5:$F$979,"="&amp;F50)+1)/2</f>
        <v/>
      </c>
      <c r="M50" s="99">
        <f>COUNTIF($G$5:$G$979,"&lt;"&amp;G50)+(COUNTIF($G$5:$G$979,"="&amp;G50)+1)/2</f>
        <v/>
      </c>
      <c r="N50" s="99">
        <f>COUNTIF($H$5:$H$979,"&lt;"&amp;H50)+(COUNTIF($H$5:$H$979,"="&amp;H50)+1)/2</f>
        <v/>
      </c>
      <c r="O50" s="99">
        <f>COUNTIF($I$5:$I$979,"&lt;"&amp;I50)+(COUNTIF($I$5:$I$979,"="&amp;I50)+1)/2</f>
        <v/>
      </c>
      <c r="P50" s="99">
        <f>COUNTIF($J$5:$J$979,"&lt;"&amp;J50)+(COUNTIF($J$5:$J$979,"="&amp;J50)+1)/2</f>
        <v/>
      </c>
    </row>
    <row r="51" ht="15" customHeight="1" s="68">
      <c r="A51" s="70">
        <f>'01_원자료'!A48</f>
        <v/>
      </c>
      <c r="B51" s="70">
        <f>'01_원자료'!B48</f>
        <v/>
      </c>
      <c r="C51" s="70">
        <f>'01_원자료'!C48</f>
        <v/>
      </c>
      <c r="E51" s="85">
        <f>'01_원자료'!P48*'03_가중치민감도'!$B$5+'01_원자료'!Q48*'03_가중치민감도'!$C$5+'01_원자료'!R48*'03_가중치민감도'!$D$5</f>
        <v/>
      </c>
      <c r="F51" s="85">
        <f>'01_원자료'!P48*'03_가중치민감도'!$B$6+'01_원자료'!Q48*'03_가중치민감도'!$C$6+'01_원자료'!R48*'03_가중치민감도'!$D$6</f>
        <v/>
      </c>
      <c r="G51" s="85">
        <f>'01_원자료'!P48*'03_가중치민감도'!$B$7+'01_원자료'!Q48*'03_가중치민감도'!$C$7+'01_원자료'!R48*'03_가중치민감도'!$D$7</f>
        <v/>
      </c>
      <c r="H51" s="85">
        <f>'01_원자료'!P48*'03_가중치민감도'!$B$8+'01_원자료'!Q48*'03_가중치민감도'!$C$8+'01_원자료'!R48*'03_가중치민감도'!$D$8</f>
        <v/>
      </c>
      <c r="I51" s="85">
        <f>'01_원자료'!P48*'03_가중치민감도'!$B$9+'01_원자료'!Q48*'03_가중치민감도'!$C$9+'01_원자료'!R48*'03_가중치민감도'!$D$9</f>
        <v/>
      </c>
      <c r="J51" s="85">
        <f>'01_원자료'!P48*'03_가중치민감도'!$B$10+'01_원자료'!Q48*'03_가중치민감도'!$C$10+'01_원자료'!R48*'03_가중치민감도'!$D$10</f>
        <v/>
      </c>
      <c r="K51" s="99">
        <f>COUNTIF($E$5:$E$979,"&lt;"&amp;E51)+(COUNTIF($E$5:$E$979,"="&amp;E51)+1)/2</f>
        <v/>
      </c>
      <c r="L51" s="99">
        <f>COUNTIF($F$5:$F$979,"&lt;"&amp;F51)+(COUNTIF($F$5:$F$979,"="&amp;F51)+1)/2</f>
        <v/>
      </c>
      <c r="M51" s="99">
        <f>COUNTIF($G$5:$G$979,"&lt;"&amp;G51)+(COUNTIF($G$5:$G$979,"="&amp;G51)+1)/2</f>
        <v/>
      </c>
      <c r="N51" s="99">
        <f>COUNTIF($H$5:$H$979,"&lt;"&amp;H51)+(COUNTIF($H$5:$H$979,"="&amp;H51)+1)/2</f>
        <v/>
      </c>
      <c r="O51" s="99">
        <f>COUNTIF($I$5:$I$979,"&lt;"&amp;I51)+(COUNTIF($I$5:$I$979,"="&amp;I51)+1)/2</f>
        <v/>
      </c>
      <c r="P51" s="99">
        <f>COUNTIF($J$5:$J$979,"&lt;"&amp;J51)+(COUNTIF($J$5:$J$979,"="&amp;J51)+1)/2</f>
        <v/>
      </c>
    </row>
    <row r="52" ht="15" customHeight="1" s="68">
      <c r="A52" s="70">
        <f>'01_원자료'!A49</f>
        <v/>
      </c>
      <c r="B52" s="70">
        <f>'01_원자료'!B49</f>
        <v/>
      </c>
      <c r="C52" s="70">
        <f>'01_원자료'!C49</f>
        <v/>
      </c>
      <c r="E52" s="85">
        <f>'01_원자료'!P49*'03_가중치민감도'!$B$5+'01_원자료'!Q49*'03_가중치민감도'!$C$5+'01_원자료'!R49*'03_가중치민감도'!$D$5</f>
        <v/>
      </c>
      <c r="F52" s="85">
        <f>'01_원자료'!P49*'03_가중치민감도'!$B$6+'01_원자료'!Q49*'03_가중치민감도'!$C$6+'01_원자료'!R49*'03_가중치민감도'!$D$6</f>
        <v/>
      </c>
      <c r="G52" s="85">
        <f>'01_원자료'!P49*'03_가중치민감도'!$B$7+'01_원자료'!Q49*'03_가중치민감도'!$C$7+'01_원자료'!R49*'03_가중치민감도'!$D$7</f>
        <v/>
      </c>
      <c r="H52" s="85">
        <f>'01_원자료'!P49*'03_가중치민감도'!$B$8+'01_원자료'!Q49*'03_가중치민감도'!$C$8+'01_원자료'!R49*'03_가중치민감도'!$D$8</f>
        <v/>
      </c>
      <c r="I52" s="85">
        <f>'01_원자료'!P49*'03_가중치민감도'!$B$9+'01_원자료'!Q49*'03_가중치민감도'!$C$9+'01_원자료'!R49*'03_가중치민감도'!$D$9</f>
        <v/>
      </c>
      <c r="J52" s="85">
        <f>'01_원자료'!P49*'03_가중치민감도'!$B$10+'01_원자료'!Q49*'03_가중치민감도'!$C$10+'01_원자료'!R49*'03_가중치민감도'!$D$10</f>
        <v/>
      </c>
      <c r="K52" s="99">
        <f>COUNTIF($E$5:$E$979,"&lt;"&amp;E52)+(COUNTIF($E$5:$E$979,"="&amp;E52)+1)/2</f>
        <v/>
      </c>
      <c r="L52" s="99">
        <f>COUNTIF($F$5:$F$979,"&lt;"&amp;F52)+(COUNTIF($F$5:$F$979,"="&amp;F52)+1)/2</f>
        <v/>
      </c>
      <c r="M52" s="99">
        <f>COUNTIF($G$5:$G$979,"&lt;"&amp;G52)+(COUNTIF($G$5:$G$979,"="&amp;G52)+1)/2</f>
        <v/>
      </c>
      <c r="N52" s="99">
        <f>COUNTIF($H$5:$H$979,"&lt;"&amp;H52)+(COUNTIF($H$5:$H$979,"="&amp;H52)+1)/2</f>
        <v/>
      </c>
      <c r="O52" s="99">
        <f>COUNTIF($I$5:$I$979,"&lt;"&amp;I52)+(COUNTIF($I$5:$I$979,"="&amp;I52)+1)/2</f>
        <v/>
      </c>
      <c r="P52" s="99">
        <f>COUNTIF($J$5:$J$979,"&lt;"&amp;J52)+(COUNTIF($J$5:$J$979,"="&amp;J52)+1)/2</f>
        <v/>
      </c>
    </row>
    <row r="53" ht="15" customHeight="1" s="68">
      <c r="A53" s="70">
        <f>'01_원자료'!A50</f>
        <v/>
      </c>
      <c r="B53" s="70">
        <f>'01_원자료'!B50</f>
        <v/>
      </c>
      <c r="C53" s="70">
        <f>'01_원자료'!C50</f>
        <v/>
      </c>
      <c r="E53" s="85">
        <f>'01_원자료'!P50*'03_가중치민감도'!$B$5+'01_원자료'!Q50*'03_가중치민감도'!$C$5+'01_원자료'!R50*'03_가중치민감도'!$D$5</f>
        <v/>
      </c>
      <c r="F53" s="85">
        <f>'01_원자료'!P50*'03_가중치민감도'!$B$6+'01_원자료'!Q50*'03_가중치민감도'!$C$6+'01_원자료'!R50*'03_가중치민감도'!$D$6</f>
        <v/>
      </c>
      <c r="G53" s="85">
        <f>'01_원자료'!P50*'03_가중치민감도'!$B$7+'01_원자료'!Q50*'03_가중치민감도'!$C$7+'01_원자료'!R50*'03_가중치민감도'!$D$7</f>
        <v/>
      </c>
      <c r="H53" s="85">
        <f>'01_원자료'!P50*'03_가중치민감도'!$B$8+'01_원자료'!Q50*'03_가중치민감도'!$C$8+'01_원자료'!R50*'03_가중치민감도'!$D$8</f>
        <v/>
      </c>
      <c r="I53" s="85">
        <f>'01_원자료'!P50*'03_가중치민감도'!$B$9+'01_원자료'!Q50*'03_가중치민감도'!$C$9+'01_원자료'!R50*'03_가중치민감도'!$D$9</f>
        <v/>
      </c>
      <c r="J53" s="85">
        <f>'01_원자료'!P50*'03_가중치민감도'!$B$10+'01_원자료'!Q50*'03_가중치민감도'!$C$10+'01_원자료'!R50*'03_가중치민감도'!$D$10</f>
        <v/>
      </c>
      <c r="K53" s="99">
        <f>COUNTIF($E$5:$E$979,"&lt;"&amp;E53)+(COUNTIF($E$5:$E$979,"="&amp;E53)+1)/2</f>
        <v/>
      </c>
      <c r="L53" s="99">
        <f>COUNTIF($F$5:$F$979,"&lt;"&amp;F53)+(COUNTIF($F$5:$F$979,"="&amp;F53)+1)/2</f>
        <v/>
      </c>
      <c r="M53" s="99">
        <f>COUNTIF($G$5:$G$979,"&lt;"&amp;G53)+(COUNTIF($G$5:$G$979,"="&amp;G53)+1)/2</f>
        <v/>
      </c>
      <c r="N53" s="99">
        <f>COUNTIF($H$5:$H$979,"&lt;"&amp;H53)+(COUNTIF($H$5:$H$979,"="&amp;H53)+1)/2</f>
        <v/>
      </c>
      <c r="O53" s="99">
        <f>COUNTIF($I$5:$I$979,"&lt;"&amp;I53)+(COUNTIF($I$5:$I$979,"="&amp;I53)+1)/2</f>
        <v/>
      </c>
      <c r="P53" s="99">
        <f>COUNTIF($J$5:$J$979,"&lt;"&amp;J53)+(COUNTIF($J$5:$J$979,"="&amp;J53)+1)/2</f>
        <v/>
      </c>
    </row>
    <row r="54" ht="15" customHeight="1" s="68">
      <c r="A54" s="70">
        <f>'01_원자료'!A51</f>
        <v/>
      </c>
      <c r="B54" s="70">
        <f>'01_원자료'!B51</f>
        <v/>
      </c>
      <c r="C54" s="70">
        <f>'01_원자료'!C51</f>
        <v/>
      </c>
      <c r="E54" s="85">
        <f>'01_원자료'!P51*'03_가중치민감도'!$B$5+'01_원자료'!Q51*'03_가중치민감도'!$C$5+'01_원자료'!R51*'03_가중치민감도'!$D$5</f>
        <v/>
      </c>
      <c r="F54" s="85">
        <f>'01_원자료'!P51*'03_가중치민감도'!$B$6+'01_원자료'!Q51*'03_가중치민감도'!$C$6+'01_원자료'!R51*'03_가중치민감도'!$D$6</f>
        <v/>
      </c>
      <c r="G54" s="85">
        <f>'01_원자료'!P51*'03_가중치민감도'!$B$7+'01_원자료'!Q51*'03_가중치민감도'!$C$7+'01_원자료'!R51*'03_가중치민감도'!$D$7</f>
        <v/>
      </c>
      <c r="H54" s="85">
        <f>'01_원자료'!P51*'03_가중치민감도'!$B$8+'01_원자료'!Q51*'03_가중치민감도'!$C$8+'01_원자료'!R51*'03_가중치민감도'!$D$8</f>
        <v/>
      </c>
      <c r="I54" s="85">
        <f>'01_원자료'!P51*'03_가중치민감도'!$B$9+'01_원자료'!Q51*'03_가중치민감도'!$C$9+'01_원자료'!R51*'03_가중치민감도'!$D$9</f>
        <v/>
      </c>
      <c r="J54" s="85">
        <f>'01_원자료'!P51*'03_가중치민감도'!$B$10+'01_원자료'!Q51*'03_가중치민감도'!$C$10+'01_원자료'!R51*'03_가중치민감도'!$D$10</f>
        <v/>
      </c>
      <c r="K54" s="99">
        <f>COUNTIF($E$5:$E$979,"&lt;"&amp;E54)+(COUNTIF($E$5:$E$979,"="&amp;E54)+1)/2</f>
        <v/>
      </c>
      <c r="L54" s="99">
        <f>COUNTIF($F$5:$F$979,"&lt;"&amp;F54)+(COUNTIF($F$5:$F$979,"="&amp;F54)+1)/2</f>
        <v/>
      </c>
      <c r="M54" s="99">
        <f>COUNTIF($G$5:$G$979,"&lt;"&amp;G54)+(COUNTIF($G$5:$G$979,"="&amp;G54)+1)/2</f>
        <v/>
      </c>
      <c r="N54" s="99">
        <f>COUNTIF($H$5:$H$979,"&lt;"&amp;H54)+(COUNTIF($H$5:$H$979,"="&amp;H54)+1)/2</f>
        <v/>
      </c>
      <c r="O54" s="99">
        <f>COUNTIF($I$5:$I$979,"&lt;"&amp;I54)+(COUNTIF($I$5:$I$979,"="&amp;I54)+1)/2</f>
        <v/>
      </c>
      <c r="P54" s="99">
        <f>COUNTIF($J$5:$J$979,"&lt;"&amp;J54)+(COUNTIF($J$5:$J$979,"="&amp;J54)+1)/2</f>
        <v/>
      </c>
    </row>
    <row r="55" ht="15" customHeight="1" s="68">
      <c r="A55" s="70">
        <f>'01_원자료'!A52</f>
        <v/>
      </c>
      <c r="B55" s="70">
        <f>'01_원자료'!B52</f>
        <v/>
      </c>
      <c r="C55" s="70">
        <f>'01_원자료'!C52</f>
        <v/>
      </c>
      <c r="E55" s="85">
        <f>'01_원자료'!P52*'03_가중치민감도'!$B$5+'01_원자료'!Q52*'03_가중치민감도'!$C$5+'01_원자료'!R52*'03_가중치민감도'!$D$5</f>
        <v/>
      </c>
      <c r="F55" s="85">
        <f>'01_원자료'!P52*'03_가중치민감도'!$B$6+'01_원자료'!Q52*'03_가중치민감도'!$C$6+'01_원자료'!R52*'03_가중치민감도'!$D$6</f>
        <v/>
      </c>
      <c r="G55" s="85">
        <f>'01_원자료'!P52*'03_가중치민감도'!$B$7+'01_원자료'!Q52*'03_가중치민감도'!$C$7+'01_원자료'!R52*'03_가중치민감도'!$D$7</f>
        <v/>
      </c>
      <c r="H55" s="85">
        <f>'01_원자료'!P52*'03_가중치민감도'!$B$8+'01_원자료'!Q52*'03_가중치민감도'!$C$8+'01_원자료'!R52*'03_가중치민감도'!$D$8</f>
        <v/>
      </c>
      <c r="I55" s="85">
        <f>'01_원자료'!P52*'03_가중치민감도'!$B$9+'01_원자료'!Q52*'03_가중치민감도'!$C$9+'01_원자료'!R52*'03_가중치민감도'!$D$9</f>
        <v/>
      </c>
      <c r="J55" s="85">
        <f>'01_원자료'!P52*'03_가중치민감도'!$B$10+'01_원자료'!Q52*'03_가중치민감도'!$C$10+'01_원자료'!R52*'03_가중치민감도'!$D$10</f>
        <v/>
      </c>
      <c r="K55" s="99">
        <f>COUNTIF($E$5:$E$979,"&lt;"&amp;E55)+(COUNTIF($E$5:$E$979,"="&amp;E55)+1)/2</f>
        <v/>
      </c>
      <c r="L55" s="99">
        <f>COUNTIF($F$5:$F$979,"&lt;"&amp;F55)+(COUNTIF($F$5:$F$979,"="&amp;F55)+1)/2</f>
        <v/>
      </c>
      <c r="M55" s="99">
        <f>COUNTIF($G$5:$G$979,"&lt;"&amp;G55)+(COUNTIF($G$5:$G$979,"="&amp;G55)+1)/2</f>
        <v/>
      </c>
      <c r="N55" s="99">
        <f>COUNTIF($H$5:$H$979,"&lt;"&amp;H55)+(COUNTIF($H$5:$H$979,"="&amp;H55)+1)/2</f>
        <v/>
      </c>
      <c r="O55" s="99">
        <f>COUNTIF($I$5:$I$979,"&lt;"&amp;I55)+(COUNTIF($I$5:$I$979,"="&amp;I55)+1)/2</f>
        <v/>
      </c>
      <c r="P55" s="99">
        <f>COUNTIF($J$5:$J$979,"&lt;"&amp;J55)+(COUNTIF($J$5:$J$979,"="&amp;J55)+1)/2</f>
        <v/>
      </c>
    </row>
    <row r="56" ht="15" customHeight="1" s="68">
      <c r="A56" s="70">
        <f>'01_원자료'!A53</f>
        <v/>
      </c>
      <c r="B56" s="70">
        <f>'01_원자료'!B53</f>
        <v/>
      </c>
      <c r="C56" s="70">
        <f>'01_원자료'!C53</f>
        <v/>
      </c>
      <c r="E56" s="85">
        <f>'01_원자료'!P53*'03_가중치민감도'!$B$5+'01_원자료'!Q53*'03_가중치민감도'!$C$5+'01_원자료'!R53*'03_가중치민감도'!$D$5</f>
        <v/>
      </c>
      <c r="F56" s="85">
        <f>'01_원자료'!P53*'03_가중치민감도'!$B$6+'01_원자료'!Q53*'03_가중치민감도'!$C$6+'01_원자료'!R53*'03_가중치민감도'!$D$6</f>
        <v/>
      </c>
      <c r="G56" s="85">
        <f>'01_원자료'!P53*'03_가중치민감도'!$B$7+'01_원자료'!Q53*'03_가중치민감도'!$C$7+'01_원자료'!R53*'03_가중치민감도'!$D$7</f>
        <v/>
      </c>
      <c r="H56" s="85">
        <f>'01_원자료'!P53*'03_가중치민감도'!$B$8+'01_원자료'!Q53*'03_가중치민감도'!$C$8+'01_원자료'!R53*'03_가중치민감도'!$D$8</f>
        <v/>
      </c>
      <c r="I56" s="85">
        <f>'01_원자료'!P53*'03_가중치민감도'!$B$9+'01_원자료'!Q53*'03_가중치민감도'!$C$9+'01_원자료'!R53*'03_가중치민감도'!$D$9</f>
        <v/>
      </c>
      <c r="J56" s="85">
        <f>'01_원자료'!P53*'03_가중치민감도'!$B$10+'01_원자료'!Q53*'03_가중치민감도'!$C$10+'01_원자료'!R53*'03_가중치민감도'!$D$10</f>
        <v/>
      </c>
      <c r="K56" s="99">
        <f>COUNTIF($E$5:$E$979,"&lt;"&amp;E56)+(COUNTIF($E$5:$E$979,"="&amp;E56)+1)/2</f>
        <v/>
      </c>
      <c r="L56" s="99">
        <f>COUNTIF($F$5:$F$979,"&lt;"&amp;F56)+(COUNTIF($F$5:$F$979,"="&amp;F56)+1)/2</f>
        <v/>
      </c>
      <c r="M56" s="99">
        <f>COUNTIF($G$5:$G$979,"&lt;"&amp;G56)+(COUNTIF($G$5:$G$979,"="&amp;G56)+1)/2</f>
        <v/>
      </c>
      <c r="N56" s="99">
        <f>COUNTIF($H$5:$H$979,"&lt;"&amp;H56)+(COUNTIF($H$5:$H$979,"="&amp;H56)+1)/2</f>
        <v/>
      </c>
      <c r="O56" s="99">
        <f>COUNTIF($I$5:$I$979,"&lt;"&amp;I56)+(COUNTIF($I$5:$I$979,"="&amp;I56)+1)/2</f>
        <v/>
      </c>
      <c r="P56" s="99">
        <f>COUNTIF($J$5:$J$979,"&lt;"&amp;J56)+(COUNTIF($J$5:$J$979,"="&amp;J56)+1)/2</f>
        <v/>
      </c>
    </row>
    <row r="57" ht="15" customHeight="1" s="68">
      <c r="A57" s="70">
        <f>'01_원자료'!A54</f>
        <v/>
      </c>
      <c r="B57" s="70">
        <f>'01_원자료'!B54</f>
        <v/>
      </c>
      <c r="C57" s="70">
        <f>'01_원자료'!C54</f>
        <v/>
      </c>
      <c r="E57" s="85">
        <f>'01_원자료'!P54*'03_가중치민감도'!$B$5+'01_원자료'!Q54*'03_가중치민감도'!$C$5+'01_원자료'!R54*'03_가중치민감도'!$D$5</f>
        <v/>
      </c>
      <c r="F57" s="85">
        <f>'01_원자료'!P54*'03_가중치민감도'!$B$6+'01_원자료'!Q54*'03_가중치민감도'!$C$6+'01_원자료'!R54*'03_가중치민감도'!$D$6</f>
        <v/>
      </c>
      <c r="G57" s="85">
        <f>'01_원자료'!P54*'03_가중치민감도'!$B$7+'01_원자료'!Q54*'03_가중치민감도'!$C$7+'01_원자료'!R54*'03_가중치민감도'!$D$7</f>
        <v/>
      </c>
      <c r="H57" s="85">
        <f>'01_원자료'!P54*'03_가중치민감도'!$B$8+'01_원자료'!Q54*'03_가중치민감도'!$C$8+'01_원자료'!R54*'03_가중치민감도'!$D$8</f>
        <v/>
      </c>
      <c r="I57" s="85">
        <f>'01_원자료'!P54*'03_가중치민감도'!$B$9+'01_원자료'!Q54*'03_가중치민감도'!$C$9+'01_원자료'!R54*'03_가중치민감도'!$D$9</f>
        <v/>
      </c>
      <c r="J57" s="85">
        <f>'01_원자료'!P54*'03_가중치민감도'!$B$10+'01_원자료'!Q54*'03_가중치민감도'!$C$10+'01_원자료'!R54*'03_가중치민감도'!$D$10</f>
        <v/>
      </c>
      <c r="K57" s="99">
        <f>COUNTIF($E$5:$E$979,"&lt;"&amp;E57)+(COUNTIF($E$5:$E$979,"="&amp;E57)+1)/2</f>
        <v/>
      </c>
      <c r="L57" s="99">
        <f>COUNTIF($F$5:$F$979,"&lt;"&amp;F57)+(COUNTIF($F$5:$F$979,"="&amp;F57)+1)/2</f>
        <v/>
      </c>
      <c r="M57" s="99">
        <f>COUNTIF($G$5:$G$979,"&lt;"&amp;G57)+(COUNTIF($G$5:$G$979,"="&amp;G57)+1)/2</f>
        <v/>
      </c>
      <c r="N57" s="99">
        <f>COUNTIF($H$5:$H$979,"&lt;"&amp;H57)+(COUNTIF($H$5:$H$979,"="&amp;H57)+1)/2</f>
        <v/>
      </c>
      <c r="O57" s="99">
        <f>COUNTIF($I$5:$I$979,"&lt;"&amp;I57)+(COUNTIF($I$5:$I$979,"="&amp;I57)+1)/2</f>
        <v/>
      </c>
      <c r="P57" s="99">
        <f>COUNTIF($J$5:$J$979,"&lt;"&amp;J57)+(COUNTIF($J$5:$J$979,"="&amp;J57)+1)/2</f>
        <v/>
      </c>
    </row>
    <row r="58" ht="15" customHeight="1" s="68">
      <c r="A58" s="70">
        <f>'01_원자료'!A55</f>
        <v/>
      </c>
      <c r="B58" s="70">
        <f>'01_원자료'!B55</f>
        <v/>
      </c>
      <c r="C58" s="70">
        <f>'01_원자료'!C55</f>
        <v/>
      </c>
      <c r="E58" s="85">
        <f>'01_원자료'!P55*'03_가중치민감도'!$B$5+'01_원자료'!Q55*'03_가중치민감도'!$C$5+'01_원자료'!R55*'03_가중치민감도'!$D$5</f>
        <v/>
      </c>
      <c r="F58" s="85">
        <f>'01_원자료'!P55*'03_가중치민감도'!$B$6+'01_원자료'!Q55*'03_가중치민감도'!$C$6+'01_원자료'!R55*'03_가중치민감도'!$D$6</f>
        <v/>
      </c>
      <c r="G58" s="85">
        <f>'01_원자료'!P55*'03_가중치민감도'!$B$7+'01_원자료'!Q55*'03_가중치민감도'!$C$7+'01_원자료'!R55*'03_가중치민감도'!$D$7</f>
        <v/>
      </c>
      <c r="H58" s="85">
        <f>'01_원자료'!P55*'03_가중치민감도'!$B$8+'01_원자료'!Q55*'03_가중치민감도'!$C$8+'01_원자료'!R55*'03_가중치민감도'!$D$8</f>
        <v/>
      </c>
      <c r="I58" s="85">
        <f>'01_원자료'!P55*'03_가중치민감도'!$B$9+'01_원자료'!Q55*'03_가중치민감도'!$C$9+'01_원자료'!R55*'03_가중치민감도'!$D$9</f>
        <v/>
      </c>
      <c r="J58" s="85">
        <f>'01_원자료'!P55*'03_가중치민감도'!$B$10+'01_원자료'!Q55*'03_가중치민감도'!$C$10+'01_원자료'!R55*'03_가중치민감도'!$D$10</f>
        <v/>
      </c>
      <c r="K58" s="99">
        <f>COUNTIF($E$5:$E$979,"&lt;"&amp;E58)+(COUNTIF($E$5:$E$979,"="&amp;E58)+1)/2</f>
        <v/>
      </c>
      <c r="L58" s="99">
        <f>COUNTIF($F$5:$F$979,"&lt;"&amp;F58)+(COUNTIF($F$5:$F$979,"="&amp;F58)+1)/2</f>
        <v/>
      </c>
      <c r="M58" s="99">
        <f>COUNTIF($G$5:$G$979,"&lt;"&amp;G58)+(COUNTIF($G$5:$G$979,"="&amp;G58)+1)/2</f>
        <v/>
      </c>
      <c r="N58" s="99">
        <f>COUNTIF($H$5:$H$979,"&lt;"&amp;H58)+(COUNTIF($H$5:$H$979,"="&amp;H58)+1)/2</f>
        <v/>
      </c>
      <c r="O58" s="99">
        <f>COUNTIF($I$5:$I$979,"&lt;"&amp;I58)+(COUNTIF($I$5:$I$979,"="&amp;I58)+1)/2</f>
        <v/>
      </c>
      <c r="P58" s="99">
        <f>COUNTIF($J$5:$J$979,"&lt;"&amp;J58)+(COUNTIF($J$5:$J$979,"="&amp;J58)+1)/2</f>
        <v/>
      </c>
    </row>
    <row r="59" ht="15" customHeight="1" s="68">
      <c r="A59" s="70">
        <f>'01_원자료'!A56</f>
        <v/>
      </c>
      <c r="B59" s="70">
        <f>'01_원자료'!B56</f>
        <v/>
      </c>
      <c r="C59" s="70">
        <f>'01_원자료'!C56</f>
        <v/>
      </c>
      <c r="E59" s="85">
        <f>'01_원자료'!P56*'03_가중치민감도'!$B$5+'01_원자료'!Q56*'03_가중치민감도'!$C$5+'01_원자료'!R56*'03_가중치민감도'!$D$5</f>
        <v/>
      </c>
      <c r="F59" s="85">
        <f>'01_원자료'!P56*'03_가중치민감도'!$B$6+'01_원자료'!Q56*'03_가중치민감도'!$C$6+'01_원자료'!R56*'03_가중치민감도'!$D$6</f>
        <v/>
      </c>
      <c r="G59" s="85">
        <f>'01_원자료'!P56*'03_가중치민감도'!$B$7+'01_원자료'!Q56*'03_가중치민감도'!$C$7+'01_원자료'!R56*'03_가중치민감도'!$D$7</f>
        <v/>
      </c>
      <c r="H59" s="85">
        <f>'01_원자료'!P56*'03_가중치민감도'!$B$8+'01_원자료'!Q56*'03_가중치민감도'!$C$8+'01_원자료'!R56*'03_가중치민감도'!$D$8</f>
        <v/>
      </c>
      <c r="I59" s="85">
        <f>'01_원자료'!P56*'03_가중치민감도'!$B$9+'01_원자료'!Q56*'03_가중치민감도'!$C$9+'01_원자료'!R56*'03_가중치민감도'!$D$9</f>
        <v/>
      </c>
      <c r="J59" s="85">
        <f>'01_원자료'!P56*'03_가중치민감도'!$B$10+'01_원자료'!Q56*'03_가중치민감도'!$C$10+'01_원자료'!R56*'03_가중치민감도'!$D$10</f>
        <v/>
      </c>
      <c r="K59" s="99">
        <f>COUNTIF($E$5:$E$979,"&lt;"&amp;E59)+(COUNTIF($E$5:$E$979,"="&amp;E59)+1)/2</f>
        <v/>
      </c>
      <c r="L59" s="99">
        <f>COUNTIF($F$5:$F$979,"&lt;"&amp;F59)+(COUNTIF($F$5:$F$979,"="&amp;F59)+1)/2</f>
        <v/>
      </c>
      <c r="M59" s="99">
        <f>COUNTIF($G$5:$G$979,"&lt;"&amp;G59)+(COUNTIF($G$5:$G$979,"="&amp;G59)+1)/2</f>
        <v/>
      </c>
      <c r="N59" s="99">
        <f>COUNTIF($H$5:$H$979,"&lt;"&amp;H59)+(COUNTIF($H$5:$H$979,"="&amp;H59)+1)/2</f>
        <v/>
      </c>
      <c r="O59" s="99">
        <f>COUNTIF($I$5:$I$979,"&lt;"&amp;I59)+(COUNTIF($I$5:$I$979,"="&amp;I59)+1)/2</f>
        <v/>
      </c>
      <c r="P59" s="99">
        <f>COUNTIF($J$5:$J$979,"&lt;"&amp;J59)+(COUNTIF($J$5:$J$979,"="&amp;J59)+1)/2</f>
        <v/>
      </c>
    </row>
    <row r="60" ht="15" customHeight="1" s="68">
      <c r="A60" s="70">
        <f>'01_원자료'!A57</f>
        <v/>
      </c>
      <c r="B60" s="70">
        <f>'01_원자료'!B57</f>
        <v/>
      </c>
      <c r="C60" s="70">
        <f>'01_원자료'!C57</f>
        <v/>
      </c>
      <c r="E60" s="85">
        <f>'01_원자료'!P57*'03_가중치민감도'!$B$5+'01_원자료'!Q57*'03_가중치민감도'!$C$5+'01_원자료'!R57*'03_가중치민감도'!$D$5</f>
        <v/>
      </c>
      <c r="F60" s="85">
        <f>'01_원자료'!P57*'03_가중치민감도'!$B$6+'01_원자료'!Q57*'03_가중치민감도'!$C$6+'01_원자료'!R57*'03_가중치민감도'!$D$6</f>
        <v/>
      </c>
      <c r="G60" s="85">
        <f>'01_원자료'!P57*'03_가중치민감도'!$B$7+'01_원자료'!Q57*'03_가중치민감도'!$C$7+'01_원자료'!R57*'03_가중치민감도'!$D$7</f>
        <v/>
      </c>
      <c r="H60" s="85">
        <f>'01_원자료'!P57*'03_가중치민감도'!$B$8+'01_원자료'!Q57*'03_가중치민감도'!$C$8+'01_원자료'!R57*'03_가중치민감도'!$D$8</f>
        <v/>
      </c>
      <c r="I60" s="85">
        <f>'01_원자료'!P57*'03_가중치민감도'!$B$9+'01_원자료'!Q57*'03_가중치민감도'!$C$9+'01_원자료'!R57*'03_가중치민감도'!$D$9</f>
        <v/>
      </c>
      <c r="J60" s="85">
        <f>'01_원자료'!P57*'03_가중치민감도'!$B$10+'01_원자료'!Q57*'03_가중치민감도'!$C$10+'01_원자료'!R57*'03_가중치민감도'!$D$10</f>
        <v/>
      </c>
      <c r="K60" s="99">
        <f>COUNTIF($E$5:$E$979,"&lt;"&amp;E60)+(COUNTIF($E$5:$E$979,"="&amp;E60)+1)/2</f>
        <v/>
      </c>
      <c r="L60" s="99">
        <f>COUNTIF($F$5:$F$979,"&lt;"&amp;F60)+(COUNTIF($F$5:$F$979,"="&amp;F60)+1)/2</f>
        <v/>
      </c>
      <c r="M60" s="99">
        <f>COUNTIF($G$5:$G$979,"&lt;"&amp;G60)+(COUNTIF($G$5:$G$979,"="&amp;G60)+1)/2</f>
        <v/>
      </c>
      <c r="N60" s="99">
        <f>COUNTIF($H$5:$H$979,"&lt;"&amp;H60)+(COUNTIF($H$5:$H$979,"="&amp;H60)+1)/2</f>
        <v/>
      </c>
      <c r="O60" s="99">
        <f>COUNTIF($I$5:$I$979,"&lt;"&amp;I60)+(COUNTIF($I$5:$I$979,"="&amp;I60)+1)/2</f>
        <v/>
      </c>
      <c r="P60" s="99">
        <f>COUNTIF($J$5:$J$979,"&lt;"&amp;J60)+(COUNTIF($J$5:$J$979,"="&amp;J60)+1)/2</f>
        <v/>
      </c>
    </row>
    <row r="61" ht="15" customHeight="1" s="68">
      <c r="A61" s="70">
        <f>'01_원자료'!A58</f>
        <v/>
      </c>
      <c r="B61" s="70">
        <f>'01_원자료'!B58</f>
        <v/>
      </c>
      <c r="C61" s="70">
        <f>'01_원자료'!C58</f>
        <v/>
      </c>
      <c r="E61" s="85">
        <f>'01_원자료'!P58*'03_가중치민감도'!$B$5+'01_원자료'!Q58*'03_가중치민감도'!$C$5+'01_원자료'!R58*'03_가중치민감도'!$D$5</f>
        <v/>
      </c>
      <c r="F61" s="85">
        <f>'01_원자료'!P58*'03_가중치민감도'!$B$6+'01_원자료'!Q58*'03_가중치민감도'!$C$6+'01_원자료'!R58*'03_가중치민감도'!$D$6</f>
        <v/>
      </c>
      <c r="G61" s="85">
        <f>'01_원자료'!P58*'03_가중치민감도'!$B$7+'01_원자료'!Q58*'03_가중치민감도'!$C$7+'01_원자료'!R58*'03_가중치민감도'!$D$7</f>
        <v/>
      </c>
      <c r="H61" s="85">
        <f>'01_원자료'!P58*'03_가중치민감도'!$B$8+'01_원자료'!Q58*'03_가중치민감도'!$C$8+'01_원자료'!R58*'03_가중치민감도'!$D$8</f>
        <v/>
      </c>
      <c r="I61" s="85">
        <f>'01_원자료'!P58*'03_가중치민감도'!$B$9+'01_원자료'!Q58*'03_가중치민감도'!$C$9+'01_원자료'!R58*'03_가중치민감도'!$D$9</f>
        <v/>
      </c>
      <c r="J61" s="85">
        <f>'01_원자료'!P58*'03_가중치민감도'!$B$10+'01_원자료'!Q58*'03_가중치민감도'!$C$10+'01_원자료'!R58*'03_가중치민감도'!$D$10</f>
        <v/>
      </c>
      <c r="K61" s="99">
        <f>COUNTIF($E$5:$E$979,"&lt;"&amp;E61)+(COUNTIF($E$5:$E$979,"="&amp;E61)+1)/2</f>
        <v/>
      </c>
      <c r="L61" s="99">
        <f>COUNTIF($F$5:$F$979,"&lt;"&amp;F61)+(COUNTIF($F$5:$F$979,"="&amp;F61)+1)/2</f>
        <v/>
      </c>
      <c r="M61" s="99">
        <f>COUNTIF($G$5:$G$979,"&lt;"&amp;G61)+(COUNTIF($G$5:$G$979,"="&amp;G61)+1)/2</f>
        <v/>
      </c>
      <c r="N61" s="99">
        <f>COUNTIF($H$5:$H$979,"&lt;"&amp;H61)+(COUNTIF($H$5:$H$979,"="&amp;H61)+1)/2</f>
        <v/>
      </c>
      <c r="O61" s="99">
        <f>COUNTIF($I$5:$I$979,"&lt;"&amp;I61)+(COUNTIF($I$5:$I$979,"="&amp;I61)+1)/2</f>
        <v/>
      </c>
      <c r="P61" s="99">
        <f>COUNTIF($J$5:$J$979,"&lt;"&amp;J61)+(COUNTIF($J$5:$J$979,"="&amp;J61)+1)/2</f>
        <v/>
      </c>
    </row>
    <row r="62" ht="15" customHeight="1" s="68">
      <c r="A62" s="70">
        <f>'01_원자료'!A59</f>
        <v/>
      </c>
      <c r="B62" s="70">
        <f>'01_원자료'!B59</f>
        <v/>
      </c>
      <c r="C62" s="70">
        <f>'01_원자료'!C59</f>
        <v/>
      </c>
      <c r="E62" s="85">
        <f>'01_원자료'!P59*'03_가중치민감도'!$B$5+'01_원자료'!Q59*'03_가중치민감도'!$C$5+'01_원자료'!R59*'03_가중치민감도'!$D$5</f>
        <v/>
      </c>
      <c r="F62" s="85">
        <f>'01_원자료'!P59*'03_가중치민감도'!$B$6+'01_원자료'!Q59*'03_가중치민감도'!$C$6+'01_원자료'!R59*'03_가중치민감도'!$D$6</f>
        <v/>
      </c>
      <c r="G62" s="85">
        <f>'01_원자료'!P59*'03_가중치민감도'!$B$7+'01_원자료'!Q59*'03_가중치민감도'!$C$7+'01_원자료'!R59*'03_가중치민감도'!$D$7</f>
        <v/>
      </c>
      <c r="H62" s="85">
        <f>'01_원자료'!P59*'03_가중치민감도'!$B$8+'01_원자료'!Q59*'03_가중치민감도'!$C$8+'01_원자료'!R59*'03_가중치민감도'!$D$8</f>
        <v/>
      </c>
      <c r="I62" s="85">
        <f>'01_원자료'!P59*'03_가중치민감도'!$B$9+'01_원자료'!Q59*'03_가중치민감도'!$C$9+'01_원자료'!R59*'03_가중치민감도'!$D$9</f>
        <v/>
      </c>
      <c r="J62" s="85">
        <f>'01_원자료'!P59*'03_가중치민감도'!$B$10+'01_원자료'!Q59*'03_가중치민감도'!$C$10+'01_원자료'!R59*'03_가중치민감도'!$D$10</f>
        <v/>
      </c>
      <c r="K62" s="99">
        <f>COUNTIF($E$5:$E$979,"&lt;"&amp;E62)+(COUNTIF($E$5:$E$979,"="&amp;E62)+1)/2</f>
        <v/>
      </c>
      <c r="L62" s="99">
        <f>COUNTIF($F$5:$F$979,"&lt;"&amp;F62)+(COUNTIF($F$5:$F$979,"="&amp;F62)+1)/2</f>
        <v/>
      </c>
      <c r="M62" s="99">
        <f>COUNTIF($G$5:$G$979,"&lt;"&amp;G62)+(COUNTIF($G$5:$G$979,"="&amp;G62)+1)/2</f>
        <v/>
      </c>
      <c r="N62" s="99">
        <f>COUNTIF($H$5:$H$979,"&lt;"&amp;H62)+(COUNTIF($H$5:$H$979,"="&amp;H62)+1)/2</f>
        <v/>
      </c>
      <c r="O62" s="99">
        <f>COUNTIF($I$5:$I$979,"&lt;"&amp;I62)+(COUNTIF($I$5:$I$979,"="&amp;I62)+1)/2</f>
        <v/>
      </c>
      <c r="P62" s="99">
        <f>COUNTIF($J$5:$J$979,"&lt;"&amp;J62)+(COUNTIF($J$5:$J$979,"="&amp;J62)+1)/2</f>
        <v/>
      </c>
    </row>
    <row r="63" ht="15" customHeight="1" s="68">
      <c r="A63" s="70">
        <f>'01_원자료'!A60</f>
        <v/>
      </c>
      <c r="B63" s="70">
        <f>'01_원자료'!B60</f>
        <v/>
      </c>
      <c r="C63" s="70">
        <f>'01_원자료'!C60</f>
        <v/>
      </c>
      <c r="E63" s="85">
        <f>'01_원자료'!P60*'03_가중치민감도'!$B$5+'01_원자료'!Q60*'03_가중치민감도'!$C$5+'01_원자료'!R60*'03_가중치민감도'!$D$5</f>
        <v/>
      </c>
      <c r="F63" s="85">
        <f>'01_원자료'!P60*'03_가중치민감도'!$B$6+'01_원자료'!Q60*'03_가중치민감도'!$C$6+'01_원자료'!R60*'03_가중치민감도'!$D$6</f>
        <v/>
      </c>
      <c r="G63" s="85">
        <f>'01_원자료'!P60*'03_가중치민감도'!$B$7+'01_원자료'!Q60*'03_가중치민감도'!$C$7+'01_원자료'!R60*'03_가중치민감도'!$D$7</f>
        <v/>
      </c>
      <c r="H63" s="85">
        <f>'01_원자료'!P60*'03_가중치민감도'!$B$8+'01_원자료'!Q60*'03_가중치민감도'!$C$8+'01_원자료'!R60*'03_가중치민감도'!$D$8</f>
        <v/>
      </c>
      <c r="I63" s="85">
        <f>'01_원자료'!P60*'03_가중치민감도'!$B$9+'01_원자료'!Q60*'03_가중치민감도'!$C$9+'01_원자료'!R60*'03_가중치민감도'!$D$9</f>
        <v/>
      </c>
      <c r="J63" s="85">
        <f>'01_원자료'!P60*'03_가중치민감도'!$B$10+'01_원자료'!Q60*'03_가중치민감도'!$C$10+'01_원자료'!R60*'03_가중치민감도'!$D$10</f>
        <v/>
      </c>
      <c r="K63" s="99">
        <f>COUNTIF($E$5:$E$979,"&lt;"&amp;E63)+(COUNTIF($E$5:$E$979,"="&amp;E63)+1)/2</f>
        <v/>
      </c>
      <c r="L63" s="99">
        <f>COUNTIF($F$5:$F$979,"&lt;"&amp;F63)+(COUNTIF($F$5:$F$979,"="&amp;F63)+1)/2</f>
        <v/>
      </c>
      <c r="M63" s="99">
        <f>COUNTIF($G$5:$G$979,"&lt;"&amp;G63)+(COUNTIF($G$5:$G$979,"="&amp;G63)+1)/2</f>
        <v/>
      </c>
      <c r="N63" s="99">
        <f>COUNTIF($H$5:$H$979,"&lt;"&amp;H63)+(COUNTIF($H$5:$H$979,"="&amp;H63)+1)/2</f>
        <v/>
      </c>
      <c r="O63" s="99">
        <f>COUNTIF($I$5:$I$979,"&lt;"&amp;I63)+(COUNTIF($I$5:$I$979,"="&amp;I63)+1)/2</f>
        <v/>
      </c>
      <c r="P63" s="99">
        <f>COUNTIF($J$5:$J$979,"&lt;"&amp;J63)+(COUNTIF($J$5:$J$979,"="&amp;J63)+1)/2</f>
        <v/>
      </c>
    </row>
    <row r="64" ht="15" customHeight="1" s="68">
      <c r="A64" s="70">
        <f>'01_원자료'!A61</f>
        <v/>
      </c>
      <c r="B64" s="70">
        <f>'01_원자료'!B61</f>
        <v/>
      </c>
      <c r="C64" s="70">
        <f>'01_원자료'!C61</f>
        <v/>
      </c>
      <c r="E64" s="85">
        <f>'01_원자료'!P61*'03_가중치민감도'!$B$5+'01_원자료'!Q61*'03_가중치민감도'!$C$5+'01_원자료'!R61*'03_가중치민감도'!$D$5</f>
        <v/>
      </c>
      <c r="F64" s="85">
        <f>'01_원자료'!P61*'03_가중치민감도'!$B$6+'01_원자료'!Q61*'03_가중치민감도'!$C$6+'01_원자료'!R61*'03_가중치민감도'!$D$6</f>
        <v/>
      </c>
      <c r="G64" s="85">
        <f>'01_원자료'!P61*'03_가중치민감도'!$B$7+'01_원자료'!Q61*'03_가중치민감도'!$C$7+'01_원자료'!R61*'03_가중치민감도'!$D$7</f>
        <v/>
      </c>
      <c r="H64" s="85">
        <f>'01_원자료'!P61*'03_가중치민감도'!$B$8+'01_원자료'!Q61*'03_가중치민감도'!$C$8+'01_원자료'!R61*'03_가중치민감도'!$D$8</f>
        <v/>
      </c>
      <c r="I64" s="85">
        <f>'01_원자료'!P61*'03_가중치민감도'!$B$9+'01_원자료'!Q61*'03_가중치민감도'!$C$9+'01_원자료'!R61*'03_가중치민감도'!$D$9</f>
        <v/>
      </c>
      <c r="J64" s="85">
        <f>'01_원자료'!P61*'03_가중치민감도'!$B$10+'01_원자료'!Q61*'03_가중치민감도'!$C$10+'01_원자료'!R61*'03_가중치민감도'!$D$10</f>
        <v/>
      </c>
      <c r="K64" s="99">
        <f>COUNTIF($E$5:$E$979,"&lt;"&amp;E64)+(COUNTIF($E$5:$E$979,"="&amp;E64)+1)/2</f>
        <v/>
      </c>
      <c r="L64" s="99">
        <f>COUNTIF($F$5:$F$979,"&lt;"&amp;F64)+(COUNTIF($F$5:$F$979,"="&amp;F64)+1)/2</f>
        <v/>
      </c>
      <c r="M64" s="99">
        <f>COUNTIF($G$5:$G$979,"&lt;"&amp;G64)+(COUNTIF($G$5:$G$979,"="&amp;G64)+1)/2</f>
        <v/>
      </c>
      <c r="N64" s="99">
        <f>COUNTIF($H$5:$H$979,"&lt;"&amp;H64)+(COUNTIF($H$5:$H$979,"="&amp;H64)+1)/2</f>
        <v/>
      </c>
      <c r="O64" s="99">
        <f>COUNTIF($I$5:$I$979,"&lt;"&amp;I64)+(COUNTIF($I$5:$I$979,"="&amp;I64)+1)/2</f>
        <v/>
      </c>
      <c r="P64" s="99">
        <f>COUNTIF($J$5:$J$979,"&lt;"&amp;J64)+(COUNTIF($J$5:$J$979,"="&amp;J64)+1)/2</f>
        <v/>
      </c>
    </row>
    <row r="65" ht="15" customHeight="1" s="68">
      <c r="A65" s="70">
        <f>'01_원자료'!A62</f>
        <v/>
      </c>
      <c r="B65" s="70">
        <f>'01_원자료'!B62</f>
        <v/>
      </c>
      <c r="C65" s="70">
        <f>'01_원자료'!C62</f>
        <v/>
      </c>
      <c r="E65" s="85">
        <f>'01_원자료'!P62*'03_가중치민감도'!$B$5+'01_원자료'!Q62*'03_가중치민감도'!$C$5+'01_원자료'!R62*'03_가중치민감도'!$D$5</f>
        <v/>
      </c>
      <c r="F65" s="85">
        <f>'01_원자료'!P62*'03_가중치민감도'!$B$6+'01_원자료'!Q62*'03_가중치민감도'!$C$6+'01_원자료'!R62*'03_가중치민감도'!$D$6</f>
        <v/>
      </c>
      <c r="G65" s="85">
        <f>'01_원자료'!P62*'03_가중치민감도'!$B$7+'01_원자료'!Q62*'03_가중치민감도'!$C$7+'01_원자료'!R62*'03_가중치민감도'!$D$7</f>
        <v/>
      </c>
      <c r="H65" s="85">
        <f>'01_원자료'!P62*'03_가중치민감도'!$B$8+'01_원자료'!Q62*'03_가중치민감도'!$C$8+'01_원자료'!R62*'03_가중치민감도'!$D$8</f>
        <v/>
      </c>
      <c r="I65" s="85">
        <f>'01_원자료'!P62*'03_가중치민감도'!$B$9+'01_원자료'!Q62*'03_가중치민감도'!$C$9+'01_원자료'!R62*'03_가중치민감도'!$D$9</f>
        <v/>
      </c>
      <c r="J65" s="85">
        <f>'01_원자료'!P62*'03_가중치민감도'!$B$10+'01_원자료'!Q62*'03_가중치민감도'!$C$10+'01_원자료'!R62*'03_가중치민감도'!$D$10</f>
        <v/>
      </c>
      <c r="K65" s="99">
        <f>COUNTIF($E$5:$E$979,"&lt;"&amp;E65)+(COUNTIF($E$5:$E$979,"="&amp;E65)+1)/2</f>
        <v/>
      </c>
      <c r="L65" s="99">
        <f>COUNTIF($F$5:$F$979,"&lt;"&amp;F65)+(COUNTIF($F$5:$F$979,"="&amp;F65)+1)/2</f>
        <v/>
      </c>
      <c r="M65" s="99">
        <f>COUNTIF($G$5:$G$979,"&lt;"&amp;G65)+(COUNTIF($G$5:$G$979,"="&amp;G65)+1)/2</f>
        <v/>
      </c>
      <c r="N65" s="99">
        <f>COUNTIF($H$5:$H$979,"&lt;"&amp;H65)+(COUNTIF($H$5:$H$979,"="&amp;H65)+1)/2</f>
        <v/>
      </c>
      <c r="O65" s="99">
        <f>COUNTIF($I$5:$I$979,"&lt;"&amp;I65)+(COUNTIF($I$5:$I$979,"="&amp;I65)+1)/2</f>
        <v/>
      </c>
      <c r="P65" s="99">
        <f>COUNTIF($J$5:$J$979,"&lt;"&amp;J65)+(COUNTIF($J$5:$J$979,"="&amp;J65)+1)/2</f>
        <v/>
      </c>
    </row>
    <row r="66" ht="15" customHeight="1" s="68">
      <c r="A66" s="70">
        <f>'01_원자료'!A63</f>
        <v/>
      </c>
      <c r="B66" s="70">
        <f>'01_원자료'!B63</f>
        <v/>
      </c>
      <c r="C66" s="70">
        <f>'01_원자료'!C63</f>
        <v/>
      </c>
      <c r="E66" s="85">
        <f>'01_원자료'!P63*'03_가중치민감도'!$B$5+'01_원자료'!Q63*'03_가중치민감도'!$C$5+'01_원자료'!R63*'03_가중치민감도'!$D$5</f>
        <v/>
      </c>
      <c r="F66" s="85">
        <f>'01_원자료'!P63*'03_가중치민감도'!$B$6+'01_원자료'!Q63*'03_가중치민감도'!$C$6+'01_원자료'!R63*'03_가중치민감도'!$D$6</f>
        <v/>
      </c>
      <c r="G66" s="85">
        <f>'01_원자료'!P63*'03_가중치민감도'!$B$7+'01_원자료'!Q63*'03_가중치민감도'!$C$7+'01_원자료'!R63*'03_가중치민감도'!$D$7</f>
        <v/>
      </c>
      <c r="H66" s="85">
        <f>'01_원자료'!P63*'03_가중치민감도'!$B$8+'01_원자료'!Q63*'03_가중치민감도'!$C$8+'01_원자료'!R63*'03_가중치민감도'!$D$8</f>
        <v/>
      </c>
      <c r="I66" s="85">
        <f>'01_원자료'!P63*'03_가중치민감도'!$B$9+'01_원자료'!Q63*'03_가중치민감도'!$C$9+'01_원자료'!R63*'03_가중치민감도'!$D$9</f>
        <v/>
      </c>
      <c r="J66" s="85">
        <f>'01_원자료'!P63*'03_가중치민감도'!$B$10+'01_원자료'!Q63*'03_가중치민감도'!$C$10+'01_원자료'!R63*'03_가중치민감도'!$D$10</f>
        <v/>
      </c>
      <c r="K66" s="99">
        <f>COUNTIF($E$5:$E$979,"&lt;"&amp;E66)+(COUNTIF($E$5:$E$979,"="&amp;E66)+1)/2</f>
        <v/>
      </c>
      <c r="L66" s="99">
        <f>COUNTIF($F$5:$F$979,"&lt;"&amp;F66)+(COUNTIF($F$5:$F$979,"="&amp;F66)+1)/2</f>
        <v/>
      </c>
      <c r="M66" s="99">
        <f>COUNTIF($G$5:$G$979,"&lt;"&amp;G66)+(COUNTIF($G$5:$G$979,"="&amp;G66)+1)/2</f>
        <v/>
      </c>
      <c r="N66" s="99">
        <f>COUNTIF($H$5:$H$979,"&lt;"&amp;H66)+(COUNTIF($H$5:$H$979,"="&amp;H66)+1)/2</f>
        <v/>
      </c>
      <c r="O66" s="99">
        <f>COUNTIF($I$5:$I$979,"&lt;"&amp;I66)+(COUNTIF($I$5:$I$979,"="&amp;I66)+1)/2</f>
        <v/>
      </c>
      <c r="P66" s="99">
        <f>COUNTIF($J$5:$J$979,"&lt;"&amp;J66)+(COUNTIF($J$5:$J$979,"="&amp;J66)+1)/2</f>
        <v/>
      </c>
    </row>
    <row r="67" ht="15" customHeight="1" s="68">
      <c r="A67" s="70">
        <f>'01_원자료'!A64</f>
        <v/>
      </c>
      <c r="B67" s="70">
        <f>'01_원자료'!B64</f>
        <v/>
      </c>
      <c r="C67" s="70">
        <f>'01_원자료'!C64</f>
        <v/>
      </c>
      <c r="E67" s="85">
        <f>'01_원자료'!P64*'03_가중치민감도'!$B$5+'01_원자료'!Q64*'03_가중치민감도'!$C$5+'01_원자료'!R64*'03_가중치민감도'!$D$5</f>
        <v/>
      </c>
      <c r="F67" s="85">
        <f>'01_원자료'!P64*'03_가중치민감도'!$B$6+'01_원자료'!Q64*'03_가중치민감도'!$C$6+'01_원자료'!R64*'03_가중치민감도'!$D$6</f>
        <v/>
      </c>
      <c r="G67" s="85">
        <f>'01_원자료'!P64*'03_가중치민감도'!$B$7+'01_원자료'!Q64*'03_가중치민감도'!$C$7+'01_원자료'!R64*'03_가중치민감도'!$D$7</f>
        <v/>
      </c>
      <c r="H67" s="85">
        <f>'01_원자료'!P64*'03_가중치민감도'!$B$8+'01_원자료'!Q64*'03_가중치민감도'!$C$8+'01_원자료'!R64*'03_가중치민감도'!$D$8</f>
        <v/>
      </c>
      <c r="I67" s="85">
        <f>'01_원자료'!P64*'03_가중치민감도'!$B$9+'01_원자료'!Q64*'03_가중치민감도'!$C$9+'01_원자료'!R64*'03_가중치민감도'!$D$9</f>
        <v/>
      </c>
      <c r="J67" s="85">
        <f>'01_원자료'!P64*'03_가중치민감도'!$B$10+'01_원자료'!Q64*'03_가중치민감도'!$C$10+'01_원자료'!R64*'03_가중치민감도'!$D$10</f>
        <v/>
      </c>
      <c r="K67" s="99">
        <f>COUNTIF($E$5:$E$979,"&lt;"&amp;E67)+(COUNTIF($E$5:$E$979,"="&amp;E67)+1)/2</f>
        <v/>
      </c>
      <c r="L67" s="99">
        <f>COUNTIF($F$5:$F$979,"&lt;"&amp;F67)+(COUNTIF($F$5:$F$979,"="&amp;F67)+1)/2</f>
        <v/>
      </c>
      <c r="M67" s="99">
        <f>COUNTIF($G$5:$G$979,"&lt;"&amp;G67)+(COUNTIF($G$5:$G$979,"="&amp;G67)+1)/2</f>
        <v/>
      </c>
      <c r="N67" s="99">
        <f>COUNTIF($H$5:$H$979,"&lt;"&amp;H67)+(COUNTIF($H$5:$H$979,"="&amp;H67)+1)/2</f>
        <v/>
      </c>
      <c r="O67" s="99">
        <f>COUNTIF($I$5:$I$979,"&lt;"&amp;I67)+(COUNTIF($I$5:$I$979,"="&amp;I67)+1)/2</f>
        <v/>
      </c>
      <c r="P67" s="99">
        <f>COUNTIF($J$5:$J$979,"&lt;"&amp;J67)+(COUNTIF($J$5:$J$979,"="&amp;J67)+1)/2</f>
        <v/>
      </c>
    </row>
    <row r="68" ht="15" customHeight="1" s="68">
      <c r="A68" s="70">
        <f>'01_원자료'!A65</f>
        <v/>
      </c>
      <c r="B68" s="70">
        <f>'01_원자료'!B65</f>
        <v/>
      </c>
      <c r="C68" s="70">
        <f>'01_원자료'!C65</f>
        <v/>
      </c>
      <c r="E68" s="85">
        <f>'01_원자료'!P65*'03_가중치민감도'!$B$5+'01_원자료'!Q65*'03_가중치민감도'!$C$5+'01_원자료'!R65*'03_가중치민감도'!$D$5</f>
        <v/>
      </c>
      <c r="F68" s="85">
        <f>'01_원자료'!P65*'03_가중치민감도'!$B$6+'01_원자료'!Q65*'03_가중치민감도'!$C$6+'01_원자료'!R65*'03_가중치민감도'!$D$6</f>
        <v/>
      </c>
      <c r="G68" s="85">
        <f>'01_원자료'!P65*'03_가중치민감도'!$B$7+'01_원자료'!Q65*'03_가중치민감도'!$C$7+'01_원자료'!R65*'03_가중치민감도'!$D$7</f>
        <v/>
      </c>
      <c r="H68" s="85">
        <f>'01_원자료'!P65*'03_가중치민감도'!$B$8+'01_원자료'!Q65*'03_가중치민감도'!$C$8+'01_원자료'!R65*'03_가중치민감도'!$D$8</f>
        <v/>
      </c>
      <c r="I68" s="85">
        <f>'01_원자료'!P65*'03_가중치민감도'!$B$9+'01_원자료'!Q65*'03_가중치민감도'!$C$9+'01_원자료'!R65*'03_가중치민감도'!$D$9</f>
        <v/>
      </c>
      <c r="J68" s="85">
        <f>'01_원자료'!P65*'03_가중치민감도'!$B$10+'01_원자료'!Q65*'03_가중치민감도'!$C$10+'01_원자료'!R65*'03_가중치민감도'!$D$10</f>
        <v/>
      </c>
      <c r="K68" s="99">
        <f>COUNTIF($E$5:$E$979,"&lt;"&amp;E68)+(COUNTIF($E$5:$E$979,"="&amp;E68)+1)/2</f>
        <v/>
      </c>
      <c r="L68" s="99">
        <f>COUNTIF($F$5:$F$979,"&lt;"&amp;F68)+(COUNTIF($F$5:$F$979,"="&amp;F68)+1)/2</f>
        <v/>
      </c>
      <c r="M68" s="99">
        <f>COUNTIF($G$5:$G$979,"&lt;"&amp;G68)+(COUNTIF($G$5:$G$979,"="&amp;G68)+1)/2</f>
        <v/>
      </c>
      <c r="N68" s="99">
        <f>COUNTIF($H$5:$H$979,"&lt;"&amp;H68)+(COUNTIF($H$5:$H$979,"="&amp;H68)+1)/2</f>
        <v/>
      </c>
      <c r="O68" s="99">
        <f>COUNTIF($I$5:$I$979,"&lt;"&amp;I68)+(COUNTIF($I$5:$I$979,"="&amp;I68)+1)/2</f>
        <v/>
      </c>
      <c r="P68" s="99">
        <f>COUNTIF($J$5:$J$979,"&lt;"&amp;J68)+(COUNTIF($J$5:$J$979,"="&amp;J68)+1)/2</f>
        <v/>
      </c>
    </row>
    <row r="69" ht="15" customHeight="1" s="68">
      <c r="A69" s="70">
        <f>'01_원자료'!A66</f>
        <v/>
      </c>
      <c r="B69" s="70">
        <f>'01_원자료'!B66</f>
        <v/>
      </c>
      <c r="C69" s="70">
        <f>'01_원자료'!C66</f>
        <v/>
      </c>
      <c r="E69" s="85">
        <f>'01_원자료'!P66*'03_가중치민감도'!$B$5+'01_원자료'!Q66*'03_가중치민감도'!$C$5+'01_원자료'!R66*'03_가중치민감도'!$D$5</f>
        <v/>
      </c>
      <c r="F69" s="85">
        <f>'01_원자료'!P66*'03_가중치민감도'!$B$6+'01_원자료'!Q66*'03_가중치민감도'!$C$6+'01_원자료'!R66*'03_가중치민감도'!$D$6</f>
        <v/>
      </c>
      <c r="G69" s="85">
        <f>'01_원자료'!P66*'03_가중치민감도'!$B$7+'01_원자료'!Q66*'03_가중치민감도'!$C$7+'01_원자료'!R66*'03_가중치민감도'!$D$7</f>
        <v/>
      </c>
      <c r="H69" s="85">
        <f>'01_원자료'!P66*'03_가중치민감도'!$B$8+'01_원자료'!Q66*'03_가중치민감도'!$C$8+'01_원자료'!R66*'03_가중치민감도'!$D$8</f>
        <v/>
      </c>
      <c r="I69" s="85">
        <f>'01_원자료'!P66*'03_가중치민감도'!$B$9+'01_원자료'!Q66*'03_가중치민감도'!$C$9+'01_원자료'!R66*'03_가중치민감도'!$D$9</f>
        <v/>
      </c>
      <c r="J69" s="85">
        <f>'01_원자료'!P66*'03_가중치민감도'!$B$10+'01_원자료'!Q66*'03_가중치민감도'!$C$10+'01_원자료'!R66*'03_가중치민감도'!$D$10</f>
        <v/>
      </c>
      <c r="K69" s="99">
        <f>COUNTIF($E$5:$E$979,"&lt;"&amp;E69)+(COUNTIF($E$5:$E$979,"="&amp;E69)+1)/2</f>
        <v/>
      </c>
      <c r="L69" s="99">
        <f>COUNTIF($F$5:$F$979,"&lt;"&amp;F69)+(COUNTIF($F$5:$F$979,"="&amp;F69)+1)/2</f>
        <v/>
      </c>
      <c r="M69" s="99">
        <f>COUNTIF($G$5:$G$979,"&lt;"&amp;G69)+(COUNTIF($G$5:$G$979,"="&amp;G69)+1)/2</f>
        <v/>
      </c>
      <c r="N69" s="99">
        <f>COUNTIF($H$5:$H$979,"&lt;"&amp;H69)+(COUNTIF($H$5:$H$979,"="&amp;H69)+1)/2</f>
        <v/>
      </c>
      <c r="O69" s="99">
        <f>COUNTIF($I$5:$I$979,"&lt;"&amp;I69)+(COUNTIF($I$5:$I$979,"="&amp;I69)+1)/2</f>
        <v/>
      </c>
      <c r="P69" s="99">
        <f>COUNTIF($J$5:$J$979,"&lt;"&amp;J69)+(COUNTIF($J$5:$J$979,"="&amp;J69)+1)/2</f>
        <v/>
      </c>
    </row>
    <row r="70" ht="15" customHeight="1" s="68">
      <c r="A70" s="70">
        <f>'01_원자료'!A67</f>
        <v/>
      </c>
      <c r="B70" s="70">
        <f>'01_원자료'!B67</f>
        <v/>
      </c>
      <c r="C70" s="70">
        <f>'01_원자료'!C67</f>
        <v/>
      </c>
      <c r="E70" s="85">
        <f>'01_원자료'!P67*'03_가중치민감도'!$B$5+'01_원자료'!Q67*'03_가중치민감도'!$C$5+'01_원자료'!R67*'03_가중치민감도'!$D$5</f>
        <v/>
      </c>
      <c r="F70" s="85">
        <f>'01_원자료'!P67*'03_가중치민감도'!$B$6+'01_원자료'!Q67*'03_가중치민감도'!$C$6+'01_원자료'!R67*'03_가중치민감도'!$D$6</f>
        <v/>
      </c>
      <c r="G70" s="85">
        <f>'01_원자료'!P67*'03_가중치민감도'!$B$7+'01_원자료'!Q67*'03_가중치민감도'!$C$7+'01_원자료'!R67*'03_가중치민감도'!$D$7</f>
        <v/>
      </c>
      <c r="H70" s="85">
        <f>'01_원자료'!P67*'03_가중치민감도'!$B$8+'01_원자료'!Q67*'03_가중치민감도'!$C$8+'01_원자료'!R67*'03_가중치민감도'!$D$8</f>
        <v/>
      </c>
      <c r="I70" s="85">
        <f>'01_원자료'!P67*'03_가중치민감도'!$B$9+'01_원자료'!Q67*'03_가중치민감도'!$C$9+'01_원자료'!R67*'03_가중치민감도'!$D$9</f>
        <v/>
      </c>
      <c r="J70" s="85">
        <f>'01_원자료'!P67*'03_가중치민감도'!$B$10+'01_원자료'!Q67*'03_가중치민감도'!$C$10+'01_원자료'!R67*'03_가중치민감도'!$D$10</f>
        <v/>
      </c>
      <c r="K70" s="99">
        <f>COUNTIF($E$5:$E$979,"&lt;"&amp;E70)+(COUNTIF($E$5:$E$979,"="&amp;E70)+1)/2</f>
        <v/>
      </c>
      <c r="L70" s="99">
        <f>COUNTIF($F$5:$F$979,"&lt;"&amp;F70)+(COUNTIF($F$5:$F$979,"="&amp;F70)+1)/2</f>
        <v/>
      </c>
      <c r="M70" s="99">
        <f>COUNTIF($G$5:$G$979,"&lt;"&amp;G70)+(COUNTIF($G$5:$G$979,"="&amp;G70)+1)/2</f>
        <v/>
      </c>
      <c r="N70" s="99">
        <f>COUNTIF($H$5:$H$979,"&lt;"&amp;H70)+(COUNTIF($H$5:$H$979,"="&amp;H70)+1)/2</f>
        <v/>
      </c>
      <c r="O70" s="99">
        <f>COUNTIF($I$5:$I$979,"&lt;"&amp;I70)+(COUNTIF($I$5:$I$979,"="&amp;I70)+1)/2</f>
        <v/>
      </c>
      <c r="P70" s="99">
        <f>COUNTIF($J$5:$J$979,"&lt;"&amp;J70)+(COUNTIF($J$5:$J$979,"="&amp;J70)+1)/2</f>
        <v/>
      </c>
    </row>
    <row r="71" ht="15" customHeight="1" s="68">
      <c r="A71" s="70">
        <f>'01_원자료'!A68</f>
        <v/>
      </c>
      <c r="B71" s="70">
        <f>'01_원자료'!B68</f>
        <v/>
      </c>
      <c r="C71" s="70">
        <f>'01_원자료'!C68</f>
        <v/>
      </c>
      <c r="E71" s="85">
        <f>'01_원자료'!P68*'03_가중치민감도'!$B$5+'01_원자료'!Q68*'03_가중치민감도'!$C$5+'01_원자료'!R68*'03_가중치민감도'!$D$5</f>
        <v/>
      </c>
      <c r="F71" s="85">
        <f>'01_원자료'!P68*'03_가중치민감도'!$B$6+'01_원자료'!Q68*'03_가중치민감도'!$C$6+'01_원자료'!R68*'03_가중치민감도'!$D$6</f>
        <v/>
      </c>
      <c r="G71" s="85">
        <f>'01_원자료'!P68*'03_가중치민감도'!$B$7+'01_원자료'!Q68*'03_가중치민감도'!$C$7+'01_원자료'!R68*'03_가중치민감도'!$D$7</f>
        <v/>
      </c>
      <c r="H71" s="85">
        <f>'01_원자료'!P68*'03_가중치민감도'!$B$8+'01_원자료'!Q68*'03_가중치민감도'!$C$8+'01_원자료'!R68*'03_가중치민감도'!$D$8</f>
        <v/>
      </c>
      <c r="I71" s="85">
        <f>'01_원자료'!P68*'03_가중치민감도'!$B$9+'01_원자료'!Q68*'03_가중치민감도'!$C$9+'01_원자료'!R68*'03_가중치민감도'!$D$9</f>
        <v/>
      </c>
      <c r="J71" s="85">
        <f>'01_원자료'!P68*'03_가중치민감도'!$B$10+'01_원자료'!Q68*'03_가중치민감도'!$C$10+'01_원자료'!R68*'03_가중치민감도'!$D$10</f>
        <v/>
      </c>
      <c r="K71" s="99">
        <f>COUNTIF($E$5:$E$979,"&lt;"&amp;E71)+(COUNTIF($E$5:$E$979,"="&amp;E71)+1)/2</f>
        <v/>
      </c>
      <c r="L71" s="99">
        <f>COUNTIF($F$5:$F$979,"&lt;"&amp;F71)+(COUNTIF($F$5:$F$979,"="&amp;F71)+1)/2</f>
        <v/>
      </c>
      <c r="M71" s="99">
        <f>COUNTIF($G$5:$G$979,"&lt;"&amp;G71)+(COUNTIF($G$5:$G$979,"="&amp;G71)+1)/2</f>
        <v/>
      </c>
      <c r="N71" s="99">
        <f>COUNTIF($H$5:$H$979,"&lt;"&amp;H71)+(COUNTIF($H$5:$H$979,"="&amp;H71)+1)/2</f>
        <v/>
      </c>
      <c r="O71" s="99">
        <f>COUNTIF($I$5:$I$979,"&lt;"&amp;I71)+(COUNTIF($I$5:$I$979,"="&amp;I71)+1)/2</f>
        <v/>
      </c>
      <c r="P71" s="99">
        <f>COUNTIF($J$5:$J$979,"&lt;"&amp;J71)+(COUNTIF($J$5:$J$979,"="&amp;J71)+1)/2</f>
        <v/>
      </c>
    </row>
    <row r="72" ht="15" customHeight="1" s="68">
      <c r="A72" s="70">
        <f>'01_원자료'!A69</f>
        <v/>
      </c>
      <c r="B72" s="70">
        <f>'01_원자료'!B69</f>
        <v/>
      </c>
      <c r="C72" s="70">
        <f>'01_원자료'!C69</f>
        <v/>
      </c>
      <c r="E72" s="85">
        <f>'01_원자료'!P69*'03_가중치민감도'!$B$5+'01_원자료'!Q69*'03_가중치민감도'!$C$5+'01_원자료'!R69*'03_가중치민감도'!$D$5</f>
        <v/>
      </c>
      <c r="F72" s="85">
        <f>'01_원자료'!P69*'03_가중치민감도'!$B$6+'01_원자료'!Q69*'03_가중치민감도'!$C$6+'01_원자료'!R69*'03_가중치민감도'!$D$6</f>
        <v/>
      </c>
      <c r="G72" s="85">
        <f>'01_원자료'!P69*'03_가중치민감도'!$B$7+'01_원자료'!Q69*'03_가중치민감도'!$C$7+'01_원자료'!R69*'03_가중치민감도'!$D$7</f>
        <v/>
      </c>
      <c r="H72" s="85">
        <f>'01_원자료'!P69*'03_가중치민감도'!$B$8+'01_원자료'!Q69*'03_가중치민감도'!$C$8+'01_원자료'!R69*'03_가중치민감도'!$D$8</f>
        <v/>
      </c>
      <c r="I72" s="85">
        <f>'01_원자료'!P69*'03_가중치민감도'!$B$9+'01_원자료'!Q69*'03_가중치민감도'!$C$9+'01_원자료'!R69*'03_가중치민감도'!$D$9</f>
        <v/>
      </c>
      <c r="J72" s="85">
        <f>'01_원자료'!P69*'03_가중치민감도'!$B$10+'01_원자료'!Q69*'03_가중치민감도'!$C$10+'01_원자료'!R69*'03_가중치민감도'!$D$10</f>
        <v/>
      </c>
      <c r="K72" s="99">
        <f>COUNTIF($E$5:$E$979,"&lt;"&amp;E72)+(COUNTIF($E$5:$E$979,"="&amp;E72)+1)/2</f>
        <v/>
      </c>
      <c r="L72" s="99">
        <f>COUNTIF($F$5:$F$979,"&lt;"&amp;F72)+(COUNTIF($F$5:$F$979,"="&amp;F72)+1)/2</f>
        <v/>
      </c>
      <c r="M72" s="99">
        <f>COUNTIF($G$5:$G$979,"&lt;"&amp;G72)+(COUNTIF($G$5:$G$979,"="&amp;G72)+1)/2</f>
        <v/>
      </c>
      <c r="N72" s="99">
        <f>COUNTIF($H$5:$H$979,"&lt;"&amp;H72)+(COUNTIF($H$5:$H$979,"="&amp;H72)+1)/2</f>
        <v/>
      </c>
      <c r="O72" s="99">
        <f>COUNTIF($I$5:$I$979,"&lt;"&amp;I72)+(COUNTIF($I$5:$I$979,"="&amp;I72)+1)/2</f>
        <v/>
      </c>
      <c r="P72" s="99">
        <f>COUNTIF($J$5:$J$979,"&lt;"&amp;J72)+(COUNTIF($J$5:$J$979,"="&amp;J72)+1)/2</f>
        <v/>
      </c>
    </row>
    <row r="73" ht="15" customHeight="1" s="68">
      <c r="A73" s="70">
        <f>'01_원자료'!A70</f>
        <v/>
      </c>
      <c r="B73" s="70">
        <f>'01_원자료'!B70</f>
        <v/>
      </c>
      <c r="C73" s="70">
        <f>'01_원자료'!C70</f>
        <v/>
      </c>
      <c r="E73" s="85">
        <f>'01_원자료'!P70*'03_가중치민감도'!$B$5+'01_원자료'!Q70*'03_가중치민감도'!$C$5+'01_원자료'!R70*'03_가중치민감도'!$D$5</f>
        <v/>
      </c>
      <c r="F73" s="85">
        <f>'01_원자료'!P70*'03_가중치민감도'!$B$6+'01_원자료'!Q70*'03_가중치민감도'!$C$6+'01_원자료'!R70*'03_가중치민감도'!$D$6</f>
        <v/>
      </c>
      <c r="G73" s="85">
        <f>'01_원자료'!P70*'03_가중치민감도'!$B$7+'01_원자료'!Q70*'03_가중치민감도'!$C$7+'01_원자료'!R70*'03_가중치민감도'!$D$7</f>
        <v/>
      </c>
      <c r="H73" s="85">
        <f>'01_원자료'!P70*'03_가중치민감도'!$B$8+'01_원자료'!Q70*'03_가중치민감도'!$C$8+'01_원자료'!R70*'03_가중치민감도'!$D$8</f>
        <v/>
      </c>
      <c r="I73" s="85">
        <f>'01_원자료'!P70*'03_가중치민감도'!$B$9+'01_원자료'!Q70*'03_가중치민감도'!$C$9+'01_원자료'!R70*'03_가중치민감도'!$D$9</f>
        <v/>
      </c>
      <c r="J73" s="85">
        <f>'01_원자료'!P70*'03_가중치민감도'!$B$10+'01_원자료'!Q70*'03_가중치민감도'!$C$10+'01_원자료'!R70*'03_가중치민감도'!$D$10</f>
        <v/>
      </c>
      <c r="K73" s="99">
        <f>COUNTIF($E$5:$E$979,"&lt;"&amp;E73)+(COUNTIF($E$5:$E$979,"="&amp;E73)+1)/2</f>
        <v/>
      </c>
      <c r="L73" s="99">
        <f>COUNTIF($F$5:$F$979,"&lt;"&amp;F73)+(COUNTIF($F$5:$F$979,"="&amp;F73)+1)/2</f>
        <v/>
      </c>
      <c r="M73" s="99">
        <f>COUNTIF($G$5:$G$979,"&lt;"&amp;G73)+(COUNTIF($G$5:$G$979,"="&amp;G73)+1)/2</f>
        <v/>
      </c>
      <c r="N73" s="99">
        <f>COUNTIF($H$5:$H$979,"&lt;"&amp;H73)+(COUNTIF($H$5:$H$979,"="&amp;H73)+1)/2</f>
        <v/>
      </c>
      <c r="O73" s="99">
        <f>COUNTIF($I$5:$I$979,"&lt;"&amp;I73)+(COUNTIF($I$5:$I$979,"="&amp;I73)+1)/2</f>
        <v/>
      </c>
      <c r="P73" s="99">
        <f>COUNTIF($J$5:$J$979,"&lt;"&amp;J73)+(COUNTIF($J$5:$J$979,"="&amp;J73)+1)/2</f>
        <v/>
      </c>
    </row>
    <row r="74" ht="15" customHeight="1" s="68">
      <c r="A74" s="70">
        <f>'01_원자료'!A71</f>
        <v/>
      </c>
      <c r="B74" s="70">
        <f>'01_원자료'!B71</f>
        <v/>
      </c>
      <c r="C74" s="70">
        <f>'01_원자료'!C71</f>
        <v/>
      </c>
      <c r="E74" s="85">
        <f>'01_원자료'!P71*'03_가중치민감도'!$B$5+'01_원자료'!Q71*'03_가중치민감도'!$C$5+'01_원자료'!R71*'03_가중치민감도'!$D$5</f>
        <v/>
      </c>
      <c r="F74" s="85">
        <f>'01_원자료'!P71*'03_가중치민감도'!$B$6+'01_원자료'!Q71*'03_가중치민감도'!$C$6+'01_원자료'!R71*'03_가중치민감도'!$D$6</f>
        <v/>
      </c>
      <c r="G74" s="85">
        <f>'01_원자료'!P71*'03_가중치민감도'!$B$7+'01_원자료'!Q71*'03_가중치민감도'!$C$7+'01_원자료'!R71*'03_가중치민감도'!$D$7</f>
        <v/>
      </c>
      <c r="H74" s="85">
        <f>'01_원자료'!P71*'03_가중치민감도'!$B$8+'01_원자료'!Q71*'03_가중치민감도'!$C$8+'01_원자료'!R71*'03_가중치민감도'!$D$8</f>
        <v/>
      </c>
      <c r="I74" s="85">
        <f>'01_원자료'!P71*'03_가중치민감도'!$B$9+'01_원자료'!Q71*'03_가중치민감도'!$C$9+'01_원자료'!R71*'03_가중치민감도'!$D$9</f>
        <v/>
      </c>
      <c r="J74" s="85">
        <f>'01_원자료'!P71*'03_가중치민감도'!$B$10+'01_원자료'!Q71*'03_가중치민감도'!$C$10+'01_원자료'!R71*'03_가중치민감도'!$D$10</f>
        <v/>
      </c>
      <c r="K74" s="99">
        <f>COUNTIF($E$5:$E$979,"&lt;"&amp;E74)+(COUNTIF($E$5:$E$979,"="&amp;E74)+1)/2</f>
        <v/>
      </c>
      <c r="L74" s="99">
        <f>COUNTIF($F$5:$F$979,"&lt;"&amp;F74)+(COUNTIF($F$5:$F$979,"="&amp;F74)+1)/2</f>
        <v/>
      </c>
      <c r="M74" s="99">
        <f>COUNTIF($G$5:$G$979,"&lt;"&amp;G74)+(COUNTIF($G$5:$G$979,"="&amp;G74)+1)/2</f>
        <v/>
      </c>
      <c r="N74" s="99">
        <f>COUNTIF($H$5:$H$979,"&lt;"&amp;H74)+(COUNTIF($H$5:$H$979,"="&amp;H74)+1)/2</f>
        <v/>
      </c>
      <c r="O74" s="99">
        <f>COUNTIF($I$5:$I$979,"&lt;"&amp;I74)+(COUNTIF($I$5:$I$979,"="&amp;I74)+1)/2</f>
        <v/>
      </c>
      <c r="P74" s="99">
        <f>COUNTIF($J$5:$J$979,"&lt;"&amp;J74)+(COUNTIF($J$5:$J$979,"="&amp;J74)+1)/2</f>
        <v/>
      </c>
    </row>
    <row r="75" ht="15" customHeight="1" s="68">
      <c r="A75" s="70">
        <f>'01_원자료'!A72</f>
        <v/>
      </c>
      <c r="B75" s="70">
        <f>'01_원자료'!B72</f>
        <v/>
      </c>
      <c r="C75" s="70">
        <f>'01_원자료'!C72</f>
        <v/>
      </c>
      <c r="E75" s="85">
        <f>'01_원자료'!P72*'03_가중치민감도'!$B$5+'01_원자료'!Q72*'03_가중치민감도'!$C$5+'01_원자료'!R72*'03_가중치민감도'!$D$5</f>
        <v/>
      </c>
      <c r="F75" s="85">
        <f>'01_원자료'!P72*'03_가중치민감도'!$B$6+'01_원자료'!Q72*'03_가중치민감도'!$C$6+'01_원자료'!R72*'03_가중치민감도'!$D$6</f>
        <v/>
      </c>
      <c r="G75" s="85">
        <f>'01_원자료'!P72*'03_가중치민감도'!$B$7+'01_원자료'!Q72*'03_가중치민감도'!$C$7+'01_원자료'!R72*'03_가중치민감도'!$D$7</f>
        <v/>
      </c>
      <c r="H75" s="85">
        <f>'01_원자료'!P72*'03_가중치민감도'!$B$8+'01_원자료'!Q72*'03_가중치민감도'!$C$8+'01_원자료'!R72*'03_가중치민감도'!$D$8</f>
        <v/>
      </c>
      <c r="I75" s="85">
        <f>'01_원자료'!P72*'03_가중치민감도'!$B$9+'01_원자료'!Q72*'03_가중치민감도'!$C$9+'01_원자료'!R72*'03_가중치민감도'!$D$9</f>
        <v/>
      </c>
      <c r="J75" s="85">
        <f>'01_원자료'!P72*'03_가중치민감도'!$B$10+'01_원자료'!Q72*'03_가중치민감도'!$C$10+'01_원자료'!R72*'03_가중치민감도'!$D$10</f>
        <v/>
      </c>
      <c r="K75" s="99">
        <f>COUNTIF($E$5:$E$979,"&lt;"&amp;E75)+(COUNTIF($E$5:$E$979,"="&amp;E75)+1)/2</f>
        <v/>
      </c>
      <c r="L75" s="99">
        <f>COUNTIF($F$5:$F$979,"&lt;"&amp;F75)+(COUNTIF($F$5:$F$979,"="&amp;F75)+1)/2</f>
        <v/>
      </c>
      <c r="M75" s="99">
        <f>COUNTIF($G$5:$G$979,"&lt;"&amp;G75)+(COUNTIF($G$5:$G$979,"="&amp;G75)+1)/2</f>
        <v/>
      </c>
      <c r="N75" s="99">
        <f>COUNTIF($H$5:$H$979,"&lt;"&amp;H75)+(COUNTIF($H$5:$H$979,"="&amp;H75)+1)/2</f>
        <v/>
      </c>
      <c r="O75" s="99">
        <f>COUNTIF($I$5:$I$979,"&lt;"&amp;I75)+(COUNTIF($I$5:$I$979,"="&amp;I75)+1)/2</f>
        <v/>
      </c>
      <c r="P75" s="99">
        <f>COUNTIF($J$5:$J$979,"&lt;"&amp;J75)+(COUNTIF($J$5:$J$979,"="&amp;J75)+1)/2</f>
        <v/>
      </c>
    </row>
    <row r="76" ht="15" customHeight="1" s="68">
      <c r="A76" s="70">
        <f>'01_원자료'!A73</f>
        <v/>
      </c>
      <c r="B76" s="70">
        <f>'01_원자료'!B73</f>
        <v/>
      </c>
      <c r="C76" s="70">
        <f>'01_원자료'!C73</f>
        <v/>
      </c>
      <c r="E76" s="85">
        <f>'01_원자료'!P73*'03_가중치민감도'!$B$5+'01_원자료'!Q73*'03_가중치민감도'!$C$5+'01_원자료'!R73*'03_가중치민감도'!$D$5</f>
        <v/>
      </c>
      <c r="F76" s="85">
        <f>'01_원자료'!P73*'03_가중치민감도'!$B$6+'01_원자료'!Q73*'03_가중치민감도'!$C$6+'01_원자료'!R73*'03_가중치민감도'!$D$6</f>
        <v/>
      </c>
      <c r="G76" s="85">
        <f>'01_원자료'!P73*'03_가중치민감도'!$B$7+'01_원자료'!Q73*'03_가중치민감도'!$C$7+'01_원자료'!R73*'03_가중치민감도'!$D$7</f>
        <v/>
      </c>
      <c r="H76" s="85">
        <f>'01_원자료'!P73*'03_가중치민감도'!$B$8+'01_원자료'!Q73*'03_가중치민감도'!$C$8+'01_원자료'!R73*'03_가중치민감도'!$D$8</f>
        <v/>
      </c>
      <c r="I76" s="85">
        <f>'01_원자료'!P73*'03_가중치민감도'!$B$9+'01_원자료'!Q73*'03_가중치민감도'!$C$9+'01_원자료'!R73*'03_가중치민감도'!$D$9</f>
        <v/>
      </c>
      <c r="J76" s="85">
        <f>'01_원자료'!P73*'03_가중치민감도'!$B$10+'01_원자료'!Q73*'03_가중치민감도'!$C$10+'01_원자료'!R73*'03_가중치민감도'!$D$10</f>
        <v/>
      </c>
      <c r="K76" s="99">
        <f>COUNTIF($E$5:$E$979,"&lt;"&amp;E76)+(COUNTIF($E$5:$E$979,"="&amp;E76)+1)/2</f>
        <v/>
      </c>
      <c r="L76" s="99">
        <f>COUNTIF($F$5:$F$979,"&lt;"&amp;F76)+(COUNTIF($F$5:$F$979,"="&amp;F76)+1)/2</f>
        <v/>
      </c>
      <c r="M76" s="99">
        <f>COUNTIF($G$5:$G$979,"&lt;"&amp;G76)+(COUNTIF($G$5:$G$979,"="&amp;G76)+1)/2</f>
        <v/>
      </c>
      <c r="N76" s="99">
        <f>COUNTIF($H$5:$H$979,"&lt;"&amp;H76)+(COUNTIF($H$5:$H$979,"="&amp;H76)+1)/2</f>
        <v/>
      </c>
      <c r="O76" s="99">
        <f>COUNTIF($I$5:$I$979,"&lt;"&amp;I76)+(COUNTIF($I$5:$I$979,"="&amp;I76)+1)/2</f>
        <v/>
      </c>
      <c r="P76" s="99">
        <f>COUNTIF($J$5:$J$979,"&lt;"&amp;J76)+(COUNTIF($J$5:$J$979,"="&amp;J76)+1)/2</f>
        <v/>
      </c>
    </row>
    <row r="77" ht="15" customHeight="1" s="68">
      <c r="A77" s="70">
        <f>'01_원자료'!A74</f>
        <v/>
      </c>
      <c r="B77" s="70">
        <f>'01_원자료'!B74</f>
        <v/>
      </c>
      <c r="C77" s="70">
        <f>'01_원자료'!C74</f>
        <v/>
      </c>
      <c r="E77" s="85">
        <f>'01_원자료'!P74*'03_가중치민감도'!$B$5+'01_원자료'!Q74*'03_가중치민감도'!$C$5+'01_원자료'!R74*'03_가중치민감도'!$D$5</f>
        <v/>
      </c>
      <c r="F77" s="85">
        <f>'01_원자료'!P74*'03_가중치민감도'!$B$6+'01_원자료'!Q74*'03_가중치민감도'!$C$6+'01_원자료'!R74*'03_가중치민감도'!$D$6</f>
        <v/>
      </c>
      <c r="G77" s="85">
        <f>'01_원자료'!P74*'03_가중치민감도'!$B$7+'01_원자료'!Q74*'03_가중치민감도'!$C$7+'01_원자료'!R74*'03_가중치민감도'!$D$7</f>
        <v/>
      </c>
      <c r="H77" s="85">
        <f>'01_원자료'!P74*'03_가중치민감도'!$B$8+'01_원자료'!Q74*'03_가중치민감도'!$C$8+'01_원자료'!R74*'03_가중치민감도'!$D$8</f>
        <v/>
      </c>
      <c r="I77" s="85">
        <f>'01_원자료'!P74*'03_가중치민감도'!$B$9+'01_원자료'!Q74*'03_가중치민감도'!$C$9+'01_원자료'!R74*'03_가중치민감도'!$D$9</f>
        <v/>
      </c>
      <c r="J77" s="85">
        <f>'01_원자료'!P74*'03_가중치민감도'!$B$10+'01_원자료'!Q74*'03_가중치민감도'!$C$10+'01_원자료'!R74*'03_가중치민감도'!$D$10</f>
        <v/>
      </c>
      <c r="K77" s="99">
        <f>COUNTIF($E$5:$E$979,"&lt;"&amp;E77)+(COUNTIF($E$5:$E$979,"="&amp;E77)+1)/2</f>
        <v/>
      </c>
      <c r="L77" s="99">
        <f>COUNTIF($F$5:$F$979,"&lt;"&amp;F77)+(COUNTIF($F$5:$F$979,"="&amp;F77)+1)/2</f>
        <v/>
      </c>
      <c r="M77" s="99">
        <f>COUNTIF($G$5:$G$979,"&lt;"&amp;G77)+(COUNTIF($G$5:$G$979,"="&amp;G77)+1)/2</f>
        <v/>
      </c>
      <c r="N77" s="99">
        <f>COUNTIF($H$5:$H$979,"&lt;"&amp;H77)+(COUNTIF($H$5:$H$979,"="&amp;H77)+1)/2</f>
        <v/>
      </c>
      <c r="O77" s="99">
        <f>COUNTIF($I$5:$I$979,"&lt;"&amp;I77)+(COUNTIF($I$5:$I$979,"="&amp;I77)+1)/2</f>
        <v/>
      </c>
      <c r="P77" s="99">
        <f>COUNTIF($J$5:$J$979,"&lt;"&amp;J77)+(COUNTIF($J$5:$J$979,"="&amp;J77)+1)/2</f>
        <v/>
      </c>
    </row>
    <row r="78" ht="15" customHeight="1" s="68">
      <c r="A78" s="70">
        <f>'01_원자료'!A75</f>
        <v/>
      </c>
      <c r="B78" s="70">
        <f>'01_원자료'!B75</f>
        <v/>
      </c>
      <c r="C78" s="70">
        <f>'01_원자료'!C75</f>
        <v/>
      </c>
      <c r="E78" s="85">
        <f>'01_원자료'!P75*'03_가중치민감도'!$B$5+'01_원자료'!Q75*'03_가중치민감도'!$C$5+'01_원자료'!R75*'03_가중치민감도'!$D$5</f>
        <v/>
      </c>
      <c r="F78" s="85">
        <f>'01_원자료'!P75*'03_가중치민감도'!$B$6+'01_원자료'!Q75*'03_가중치민감도'!$C$6+'01_원자료'!R75*'03_가중치민감도'!$D$6</f>
        <v/>
      </c>
      <c r="G78" s="85">
        <f>'01_원자료'!P75*'03_가중치민감도'!$B$7+'01_원자료'!Q75*'03_가중치민감도'!$C$7+'01_원자료'!R75*'03_가중치민감도'!$D$7</f>
        <v/>
      </c>
      <c r="H78" s="85">
        <f>'01_원자료'!P75*'03_가중치민감도'!$B$8+'01_원자료'!Q75*'03_가중치민감도'!$C$8+'01_원자료'!R75*'03_가중치민감도'!$D$8</f>
        <v/>
      </c>
      <c r="I78" s="85">
        <f>'01_원자료'!P75*'03_가중치민감도'!$B$9+'01_원자료'!Q75*'03_가중치민감도'!$C$9+'01_원자료'!R75*'03_가중치민감도'!$D$9</f>
        <v/>
      </c>
      <c r="J78" s="85">
        <f>'01_원자료'!P75*'03_가중치민감도'!$B$10+'01_원자료'!Q75*'03_가중치민감도'!$C$10+'01_원자료'!R75*'03_가중치민감도'!$D$10</f>
        <v/>
      </c>
      <c r="K78" s="99">
        <f>COUNTIF($E$5:$E$979,"&lt;"&amp;E78)+(COUNTIF($E$5:$E$979,"="&amp;E78)+1)/2</f>
        <v/>
      </c>
      <c r="L78" s="99">
        <f>COUNTIF($F$5:$F$979,"&lt;"&amp;F78)+(COUNTIF($F$5:$F$979,"="&amp;F78)+1)/2</f>
        <v/>
      </c>
      <c r="M78" s="99">
        <f>COUNTIF($G$5:$G$979,"&lt;"&amp;G78)+(COUNTIF($G$5:$G$979,"="&amp;G78)+1)/2</f>
        <v/>
      </c>
      <c r="N78" s="99">
        <f>COUNTIF($H$5:$H$979,"&lt;"&amp;H78)+(COUNTIF($H$5:$H$979,"="&amp;H78)+1)/2</f>
        <v/>
      </c>
      <c r="O78" s="99">
        <f>COUNTIF($I$5:$I$979,"&lt;"&amp;I78)+(COUNTIF($I$5:$I$979,"="&amp;I78)+1)/2</f>
        <v/>
      </c>
      <c r="P78" s="99">
        <f>COUNTIF($J$5:$J$979,"&lt;"&amp;J78)+(COUNTIF($J$5:$J$979,"="&amp;J78)+1)/2</f>
        <v/>
      </c>
    </row>
    <row r="79" ht="15" customHeight="1" s="68">
      <c r="A79" s="70">
        <f>'01_원자료'!A76</f>
        <v/>
      </c>
      <c r="B79" s="70">
        <f>'01_원자료'!B76</f>
        <v/>
      </c>
      <c r="C79" s="70">
        <f>'01_원자료'!C76</f>
        <v/>
      </c>
      <c r="E79" s="85">
        <f>'01_원자료'!P76*'03_가중치민감도'!$B$5+'01_원자료'!Q76*'03_가중치민감도'!$C$5+'01_원자료'!R76*'03_가중치민감도'!$D$5</f>
        <v/>
      </c>
      <c r="F79" s="85">
        <f>'01_원자료'!P76*'03_가중치민감도'!$B$6+'01_원자료'!Q76*'03_가중치민감도'!$C$6+'01_원자료'!R76*'03_가중치민감도'!$D$6</f>
        <v/>
      </c>
      <c r="G79" s="85">
        <f>'01_원자료'!P76*'03_가중치민감도'!$B$7+'01_원자료'!Q76*'03_가중치민감도'!$C$7+'01_원자료'!R76*'03_가중치민감도'!$D$7</f>
        <v/>
      </c>
      <c r="H79" s="85">
        <f>'01_원자료'!P76*'03_가중치민감도'!$B$8+'01_원자료'!Q76*'03_가중치민감도'!$C$8+'01_원자료'!R76*'03_가중치민감도'!$D$8</f>
        <v/>
      </c>
      <c r="I79" s="85">
        <f>'01_원자료'!P76*'03_가중치민감도'!$B$9+'01_원자료'!Q76*'03_가중치민감도'!$C$9+'01_원자료'!R76*'03_가중치민감도'!$D$9</f>
        <v/>
      </c>
      <c r="J79" s="85">
        <f>'01_원자료'!P76*'03_가중치민감도'!$B$10+'01_원자료'!Q76*'03_가중치민감도'!$C$10+'01_원자료'!R76*'03_가중치민감도'!$D$10</f>
        <v/>
      </c>
      <c r="K79" s="99">
        <f>COUNTIF($E$5:$E$979,"&lt;"&amp;E79)+(COUNTIF($E$5:$E$979,"="&amp;E79)+1)/2</f>
        <v/>
      </c>
      <c r="L79" s="99">
        <f>COUNTIF($F$5:$F$979,"&lt;"&amp;F79)+(COUNTIF($F$5:$F$979,"="&amp;F79)+1)/2</f>
        <v/>
      </c>
      <c r="M79" s="99">
        <f>COUNTIF($G$5:$G$979,"&lt;"&amp;G79)+(COUNTIF($G$5:$G$979,"="&amp;G79)+1)/2</f>
        <v/>
      </c>
      <c r="N79" s="99">
        <f>COUNTIF($H$5:$H$979,"&lt;"&amp;H79)+(COUNTIF($H$5:$H$979,"="&amp;H79)+1)/2</f>
        <v/>
      </c>
      <c r="O79" s="99">
        <f>COUNTIF($I$5:$I$979,"&lt;"&amp;I79)+(COUNTIF($I$5:$I$979,"="&amp;I79)+1)/2</f>
        <v/>
      </c>
      <c r="P79" s="99">
        <f>COUNTIF($J$5:$J$979,"&lt;"&amp;J79)+(COUNTIF($J$5:$J$979,"="&amp;J79)+1)/2</f>
        <v/>
      </c>
    </row>
    <row r="80" ht="15" customHeight="1" s="68">
      <c r="A80" s="70">
        <f>'01_원자료'!A77</f>
        <v/>
      </c>
      <c r="B80" s="70">
        <f>'01_원자료'!B77</f>
        <v/>
      </c>
      <c r="C80" s="70">
        <f>'01_원자료'!C77</f>
        <v/>
      </c>
      <c r="E80" s="85">
        <f>'01_원자료'!P77*'03_가중치민감도'!$B$5+'01_원자료'!Q77*'03_가중치민감도'!$C$5+'01_원자료'!R77*'03_가중치민감도'!$D$5</f>
        <v/>
      </c>
      <c r="F80" s="85">
        <f>'01_원자료'!P77*'03_가중치민감도'!$B$6+'01_원자료'!Q77*'03_가중치민감도'!$C$6+'01_원자료'!R77*'03_가중치민감도'!$D$6</f>
        <v/>
      </c>
      <c r="G80" s="85">
        <f>'01_원자료'!P77*'03_가중치민감도'!$B$7+'01_원자료'!Q77*'03_가중치민감도'!$C$7+'01_원자료'!R77*'03_가중치민감도'!$D$7</f>
        <v/>
      </c>
      <c r="H80" s="85">
        <f>'01_원자료'!P77*'03_가중치민감도'!$B$8+'01_원자료'!Q77*'03_가중치민감도'!$C$8+'01_원자료'!R77*'03_가중치민감도'!$D$8</f>
        <v/>
      </c>
      <c r="I80" s="85">
        <f>'01_원자료'!P77*'03_가중치민감도'!$B$9+'01_원자료'!Q77*'03_가중치민감도'!$C$9+'01_원자료'!R77*'03_가중치민감도'!$D$9</f>
        <v/>
      </c>
      <c r="J80" s="85">
        <f>'01_원자료'!P77*'03_가중치민감도'!$B$10+'01_원자료'!Q77*'03_가중치민감도'!$C$10+'01_원자료'!R77*'03_가중치민감도'!$D$10</f>
        <v/>
      </c>
      <c r="K80" s="99">
        <f>COUNTIF($E$5:$E$979,"&lt;"&amp;E80)+(COUNTIF($E$5:$E$979,"="&amp;E80)+1)/2</f>
        <v/>
      </c>
      <c r="L80" s="99">
        <f>COUNTIF($F$5:$F$979,"&lt;"&amp;F80)+(COUNTIF($F$5:$F$979,"="&amp;F80)+1)/2</f>
        <v/>
      </c>
      <c r="M80" s="99">
        <f>COUNTIF($G$5:$G$979,"&lt;"&amp;G80)+(COUNTIF($G$5:$G$979,"="&amp;G80)+1)/2</f>
        <v/>
      </c>
      <c r="N80" s="99">
        <f>COUNTIF($H$5:$H$979,"&lt;"&amp;H80)+(COUNTIF($H$5:$H$979,"="&amp;H80)+1)/2</f>
        <v/>
      </c>
      <c r="O80" s="99">
        <f>COUNTIF($I$5:$I$979,"&lt;"&amp;I80)+(COUNTIF($I$5:$I$979,"="&amp;I80)+1)/2</f>
        <v/>
      </c>
      <c r="P80" s="99">
        <f>COUNTIF($J$5:$J$979,"&lt;"&amp;J80)+(COUNTIF($J$5:$J$979,"="&amp;J80)+1)/2</f>
        <v/>
      </c>
    </row>
    <row r="81" ht="15" customHeight="1" s="68">
      <c r="A81" s="70">
        <f>'01_원자료'!A78</f>
        <v/>
      </c>
      <c r="B81" s="70">
        <f>'01_원자료'!B78</f>
        <v/>
      </c>
      <c r="C81" s="70">
        <f>'01_원자료'!C78</f>
        <v/>
      </c>
      <c r="E81" s="85">
        <f>'01_원자료'!P78*'03_가중치민감도'!$B$5+'01_원자료'!Q78*'03_가중치민감도'!$C$5+'01_원자료'!R78*'03_가중치민감도'!$D$5</f>
        <v/>
      </c>
      <c r="F81" s="85">
        <f>'01_원자료'!P78*'03_가중치민감도'!$B$6+'01_원자료'!Q78*'03_가중치민감도'!$C$6+'01_원자료'!R78*'03_가중치민감도'!$D$6</f>
        <v/>
      </c>
      <c r="G81" s="85">
        <f>'01_원자료'!P78*'03_가중치민감도'!$B$7+'01_원자료'!Q78*'03_가중치민감도'!$C$7+'01_원자료'!R78*'03_가중치민감도'!$D$7</f>
        <v/>
      </c>
      <c r="H81" s="85">
        <f>'01_원자료'!P78*'03_가중치민감도'!$B$8+'01_원자료'!Q78*'03_가중치민감도'!$C$8+'01_원자료'!R78*'03_가중치민감도'!$D$8</f>
        <v/>
      </c>
      <c r="I81" s="85">
        <f>'01_원자료'!P78*'03_가중치민감도'!$B$9+'01_원자료'!Q78*'03_가중치민감도'!$C$9+'01_원자료'!R78*'03_가중치민감도'!$D$9</f>
        <v/>
      </c>
      <c r="J81" s="85">
        <f>'01_원자료'!P78*'03_가중치민감도'!$B$10+'01_원자료'!Q78*'03_가중치민감도'!$C$10+'01_원자료'!R78*'03_가중치민감도'!$D$10</f>
        <v/>
      </c>
      <c r="K81" s="99">
        <f>COUNTIF($E$5:$E$979,"&lt;"&amp;E81)+(COUNTIF($E$5:$E$979,"="&amp;E81)+1)/2</f>
        <v/>
      </c>
      <c r="L81" s="99">
        <f>COUNTIF($F$5:$F$979,"&lt;"&amp;F81)+(COUNTIF($F$5:$F$979,"="&amp;F81)+1)/2</f>
        <v/>
      </c>
      <c r="M81" s="99">
        <f>COUNTIF($G$5:$G$979,"&lt;"&amp;G81)+(COUNTIF($G$5:$G$979,"="&amp;G81)+1)/2</f>
        <v/>
      </c>
      <c r="N81" s="99">
        <f>COUNTIF($H$5:$H$979,"&lt;"&amp;H81)+(COUNTIF($H$5:$H$979,"="&amp;H81)+1)/2</f>
        <v/>
      </c>
      <c r="O81" s="99">
        <f>COUNTIF($I$5:$I$979,"&lt;"&amp;I81)+(COUNTIF($I$5:$I$979,"="&amp;I81)+1)/2</f>
        <v/>
      </c>
      <c r="P81" s="99">
        <f>COUNTIF($J$5:$J$979,"&lt;"&amp;J81)+(COUNTIF($J$5:$J$979,"="&amp;J81)+1)/2</f>
        <v/>
      </c>
    </row>
    <row r="82" ht="15" customHeight="1" s="68">
      <c r="A82" s="70">
        <f>'01_원자료'!A79</f>
        <v/>
      </c>
      <c r="B82" s="70">
        <f>'01_원자료'!B79</f>
        <v/>
      </c>
      <c r="C82" s="70">
        <f>'01_원자료'!C79</f>
        <v/>
      </c>
      <c r="E82" s="85">
        <f>'01_원자료'!P79*'03_가중치민감도'!$B$5+'01_원자료'!Q79*'03_가중치민감도'!$C$5+'01_원자료'!R79*'03_가중치민감도'!$D$5</f>
        <v/>
      </c>
      <c r="F82" s="85">
        <f>'01_원자료'!P79*'03_가중치민감도'!$B$6+'01_원자료'!Q79*'03_가중치민감도'!$C$6+'01_원자료'!R79*'03_가중치민감도'!$D$6</f>
        <v/>
      </c>
      <c r="G82" s="85">
        <f>'01_원자료'!P79*'03_가중치민감도'!$B$7+'01_원자료'!Q79*'03_가중치민감도'!$C$7+'01_원자료'!R79*'03_가중치민감도'!$D$7</f>
        <v/>
      </c>
      <c r="H82" s="85">
        <f>'01_원자료'!P79*'03_가중치민감도'!$B$8+'01_원자료'!Q79*'03_가중치민감도'!$C$8+'01_원자료'!R79*'03_가중치민감도'!$D$8</f>
        <v/>
      </c>
      <c r="I82" s="85">
        <f>'01_원자료'!P79*'03_가중치민감도'!$B$9+'01_원자료'!Q79*'03_가중치민감도'!$C$9+'01_원자료'!R79*'03_가중치민감도'!$D$9</f>
        <v/>
      </c>
      <c r="J82" s="85">
        <f>'01_원자료'!P79*'03_가중치민감도'!$B$10+'01_원자료'!Q79*'03_가중치민감도'!$C$10+'01_원자료'!R79*'03_가중치민감도'!$D$10</f>
        <v/>
      </c>
      <c r="K82" s="99">
        <f>COUNTIF($E$5:$E$979,"&lt;"&amp;E82)+(COUNTIF($E$5:$E$979,"="&amp;E82)+1)/2</f>
        <v/>
      </c>
      <c r="L82" s="99">
        <f>COUNTIF($F$5:$F$979,"&lt;"&amp;F82)+(COUNTIF($F$5:$F$979,"="&amp;F82)+1)/2</f>
        <v/>
      </c>
      <c r="M82" s="99">
        <f>COUNTIF($G$5:$G$979,"&lt;"&amp;G82)+(COUNTIF($G$5:$G$979,"="&amp;G82)+1)/2</f>
        <v/>
      </c>
      <c r="N82" s="99">
        <f>COUNTIF($H$5:$H$979,"&lt;"&amp;H82)+(COUNTIF($H$5:$H$979,"="&amp;H82)+1)/2</f>
        <v/>
      </c>
      <c r="O82" s="99">
        <f>COUNTIF($I$5:$I$979,"&lt;"&amp;I82)+(COUNTIF($I$5:$I$979,"="&amp;I82)+1)/2</f>
        <v/>
      </c>
      <c r="P82" s="99">
        <f>COUNTIF($J$5:$J$979,"&lt;"&amp;J82)+(COUNTIF($J$5:$J$979,"="&amp;J82)+1)/2</f>
        <v/>
      </c>
    </row>
    <row r="83" ht="15" customHeight="1" s="68">
      <c r="A83" s="70">
        <f>'01_원자료'!A80</f>
        <v/>
      </c>
      <c r="B83" s="70">
        <f>'01_원자료'!B80</f>
        <v/>
      </c>
      <c r="C83" s="70">
        <f>'01_원자료'!C80</f>
        <v/>
      </c>
      <c r="E83" s="85">
        <f>'01_원자료'!P80*'03_가중치민감도'!$B$5+'01_원자료'!Q80*'03_가중치민감도'!$C$5+'01_원자료'!R80*'03_가중치민감도'!$D$5</f>
        <v/>
      </c>
      <c r="F83" s="85">
        <f>'01_원자료'!P80*'03_가중치민감도'!$B$6+'01_원자료'!Q80*'03_가중치민감도'!$C$6+'01_원자료'!R80*'03_가중치민감도'!$D$6</f>
        <v/>
      </c>
      <c r="G83" s="85">
        <f>'01_원자료'!P80*'03_가중치민감도'!$B$7+'01_원자료'!Q80*'03_가중치민감도'!$C$7+'01_원자료'!R80*'03_가중치민감도'!$D$7</f>
        <v/>
      </c>
      <c r="H83" s="85">
        <f>'01_원자료'!P80*'03_가중치민감도'!$B$8+'01_원자료'!Q80*'03_가중치민감도'!$C$8+'01_원자료'!R80*'03_가중치민감도'!$D$8</f>
        <v/>
      </c>
      <c r="I83" s="85">
        <f>'01_원자료'!P80*'03_가중치민감도'!$B$9+'01_원자료'!Q80*'03_가중치민감도'!$C$9+'01_원자료'!R80*'03_가중치민감도'!$D$9</f>
        <v/>
      </c>
      <c r="J83" s="85">
        <f>'01_원자료'!P80*'03_가중치민감도'!$B$10+'01_원자료'!Q80*'03_가중치민감도'!$C$10+'01_원자료'!R80*'03_가중치민감도'!$D$10</f>
        <v/>
      </c>
      <c r="K83" s="99">
        <f>COUNTIF($E$5:$E$979,"&lt;"&amp;E83)+(COUNTIF($E$5:$E$979,"="&amp;E83)+1)/2</f>
        <v/>
      </c>
      <c r="L83" s="99">
        <f>COUNTIF($F$5:$F$979,"&lt;"&amp;F83)+(COUNTIF($F$5:$F$979,"="&amp;F83)+1)/2</f>
        <v/>
      </c>
      <c r="M83" s="99">
        <f>COUNTIF($G$5:$G$979,"&lt;"&amp;G83)+(COUNTIF($G$5:$G$979,"="&amp;G83)+1)/2</f>
        <v/>
      </c>
      <c r="N83" s="99">
        <f>COUNTIF($H$5:$H$979,"&lt;"&amp;H83)+(COUNTIF($H$5:$H$979,"="&amp;H83)+1)/2</f>
        <v/>
      </c>
      <c r="O83" s="99">
        <f>COUNTIF($I$5:$I$979,"&lt;"&amp;I83)+(COUNTIF($I$5:$I$979,"="&amp;I83)+1)/2</f>
        <v/>
      </c>
      <c r="P83" s="99">
        <f>COUNTIF($J$5:$J$979,"&lt;"&amp;J83)+(COUNTIF($J$5:$J$979,"="&amp;J83)+1)/2</f>
        <v/>
      </c>
    </row>
    <row r="84" ht="15" customHeight="1" s="68">
      <c r="A84" s="70">
        <f>'01_원자료'!A81</f>
        <v/>
      </c>
      <c r="B84" s="70">
        <f>'01_원자료'!B81</f>
        <v/>
      </c>
      <c r="C84" s="70">
        <f>'01_원자료'!C81</f>
        <v/>
      </c>
      <c r="E84" s="85">
        <f>'01_원자료'!P81*'03_가중치민감도'!$B$5+'01_원자료'!Q81*'03_가중치민감도'!$C$5+'01_원자료'!R81*'03_가중치민감도'!$D$5</f>
        <v/>
      </c>
      <c r="F84" s="85">
        <f>'01_원자료'!P81*'03_가중치민감도'!$B$6+'01_원자료'!Q81*'03_가중치민감도'!$C$6+'01_원자료'!R81*'03_가중치민감도'!$D$6</f>
        <v/>
      </c>
      <c r="G84" s="85">
        <f>'01_원자료'!P81*'03_가중치민감도'!$B$7+'01_원자료'!Q81*'03_가중치민감도'!$C$7+'01_원자료'!R81*'03_가중치민감도'!$D$7</f>
        <v/>
      </c>
      <c r="H84" s="85">
        <f>'01_원자료'!P81*'03_가중치민감도'!$B$8+'01_원자료'!Q81*'03_가중치민감도'!$C$8+'01_원자료'!R81*'03_가중치민감도'!$D$8</f>
        <v/>
      </c>
      <c r="I84" s="85">
        <f>'01_원자료'!P81*'03_가중치민감도'!$B$9+'01_원자료'!Q81*'03_가중치민감도'!$C$9+'01_원자료'!R81*'03_가중치민감도'!$D$9</f>
        <v/>
      </c>
      <c r="J84" s="85">
        <f>'01_원자료'!P81*'03_가중치민감도'!$B$10+'01_원자료'!Q81*'03_가중치민감도'!$C$10+'01_원자료'!R81*'03_가중치민감도'!$D$10</f>
        <v/>
      </c>
      <c r="K84" s="99">
        <f>COUNTIF($E$5:$E$979,"&lt;"&amp;E84)+(COUNTIF($E$5:$E$979,"="&amp;E84)+1)/2</f>
        <v/>
      </c>
      <c r="L84" s="99">
        <f>COUNTIF($F$5:$F$979,"&lt;"&amp;F84)+(COUNTIF($F$5:$F$979,"="&amp;F84)+1)/2</f>
        <v/>
      </c>
      <c r="M84" s="99">
        <f>COUNTIF($G$5:$G$979,"&lt;"&amp;G84)+(COUNTIF($G$5:$G$979,"="&amp;G84)+1)/2</f>
        <v/>
      </c>
      <c r="N84" s="99">
        <f>COUNTIF($H$5:$H$979,"&lt;"&amp;H84)+(COUNTIF($H$5:$H$979,"="&amp;H84)+1)/2</f>
        <v/>
      </c>
      <c r="O84" s="99">
        <f>COUNTIF($I$5:$I$979,"&lt;"&amp;I84)+(COUNTIF($I$5:$I$979,"="&amp;I84)+1)/2</f>
        <v/>
      </c>
      <c r="P84" s="99">
        <f>COUNTIF($J$5:$J$979,"&lt;"&amp;J84)+(COUNTIF($J$5:$J$979,"="&amp;J84)+1)/2</f>
        <v/>
      </c>
    </row>
    <row r="85" ht="15" customHeight="1" s="68">
      <c r="A85" s="70">
        <f>'01_원자료'!A82</f>
        <v/>
      </c>
      <c r="B85" s="70">
        <f>'01_원자료'!B82</f>
        <v/>
      </c>
      <c r="C85" s="70">
        <f>'01_원자료'!C82</f>
        <v/>
      </c>
      <c r="E85" s="85">
        <f>'01_원자료'!P82*'03_가중치민감도'!$B$5+'01_원자료'!Q82*'03_가중치민감도'!$C$5+'01_원자료'!R82*'03_가중치민감도'!$D$5</f>
        <v/>
      </c>
      <c r="F85" s="85">
        <f>'01_원자료'!P82*'03_가중치민감도'!$B$6+'01_원자료'!Q82*'03_가중치민감도'!$C$6+'01_원자료'!R82*'03_가중치민감도'!$D$6</f>
        <v/>
      </c>
      <c r="G85" s="85">
        <f>'01_원자료'!P82*'03_가중치민감도'!$B$7+'01_원자료'!Q82*'03_가중치민감도'!$C$7+'01_원자료'!R82*'03_가중치민감도'!$D$7</f>
        <v/>
      </c>
      <c r="H85" s="85">
        <f>'01_원자료'!P82*'03_가중치민감도'!$B$8+'01_원자료'!Q82*'03_가중치민감도'!$C$8+'01_원자료'!R82*'03_가중치민감도'!$D$8</f>
        <v/>
      </c>
      <c r="I85" s="85">
        <f>'01_원자료'!P82*'03_가중치민감도'!$B$9+'01_원자료'!Q82*'03_가중치민감도'!$C$9+'01_원자료'!R82*'03_가중치민감도'!$D$9</f>
        <v/>
      </c>
      <c r="J85" s="85">
        <f>'01_원자료'!P82*'03_가중치민감도'!$B$10+'01_원자료'!Q82*'03_가중치민감도'!$C$10+'01_원자료'!R82*'03_가중치민감도'!$D$10</f>
        <v/>
      </c>
      <c r="K85" s="99">
        <f>COUNTIF($E$5:$E$979,"&lt;"&amp;E85)+(COUNTIF($E$5:$E$979,"="&amp;E85)+1)/2</f>
        <v/>
      </c>
      <c r="L85" s="99">
        <f>COUNTIF($F$5:$F$979,"&lt;"&amp;F85)+(COUNTIF($F$5:$F$979,"="&amp;F85)+1)/2</f>
        <v/>
      </c>
      <c r="M85" s="99">
        <f>COUNTIF($G$5:$G$979,"&lt;"&amp;G85)+(COUNTIF($G$5:$G$979,"="&amp;G85)+1)/2</f>
        <v/>
      </c>
      <c r="N85" s="99">
        <f>COUNTIF($H$5:$H$979,"&lt;"&amp;H85)+(COUNTIF($H$5:$H$979,"="&amp;H85)+1)/2</f>
        <v/>
      </c>
      <c r="O85" s="99">
        <f>COUNTIF($I$5:$I$979,"&lt;"&amp;I85)+(COUNTIF($I$5:$I$979,"="&amp;I85)+1)/2</f>
        <v/>
      </c>
      <c r="P85" s="99">
        <f>COUNTIF($J$5:$J$979,"&lt;"&amp;J85)+(COUNTIF($J$5:$J$979,"="&amp;J85)+1)/2</f>
        <v/>
      </c>
    </row>
    <row r="86" ht="15" customHeight="1" s="68">
      <c r="A86" s="70">
        <f>'01_원자료'!A83</f>
        <v/>
      </c>
      <c r="B86" s="70">
        <f>'01_원자료'!B83</f>
        <v/>
      </c>
      <c r="C86" s="70">
        <f>'01_원자료'!C83</f>
        <v/>
      </c>
      <c r="E86" s="85">
        <f>'01_원자료'!P83*'03_가중치민감도'!$B$5+'01_원자료'!Q83*'03_가중치민감도'!$C$5+'01_원자료'!R83*'03_가중치민감도'!$D$5</f>
        <v/>
      </c>
      <c r="F86" s="85">
        <f>'01_원자료'!P83*'03_가중치민감도'!$B$6+'01_원자료'!Q83*'03_가중치민감도'!$C$6+'01_원자료'!R83*'03_가중치민감도'!$D$6</f>
        <v/>
      </c>
      <c r="G86" s="85">
        <f>'01_원자료'!P83*'03_가중치민감도'!$B$7+'01_원자료'!Q83*'03_가중치민감도'!$C$7+'01_원자료'!R83*'03_가중치민감도'!$D$7</f>
        <v/>
      </c>
      <c r="H86" s="85">
        <f>'01_원자료'!P83*'03_가중치민감도'!$B$8+'01_원자료'!Q83*'03_가중치민감도'!$C$8+'01_원자료'!R83*'03_가중치민감도'!$D$8</f>
        <v/>
      </c>
      <c r="I86" s="85">
        <f>'01_원자료'!P83*'03_가중치민감도'!$B$9+'01_원자료'!Q83*'03_가중치민감도'!$C$9+'01_원자료'!R83*'03_가중치민감도'!$D$9</f>
        <v/>
      </c>
      <c r="J86" s="85">
        <f>'01_원자료'!P83*'03_가중치민감도'!$B$10+'01_원자료'!Q83*'03_가중치민감도'!$C$10+'01_원자료'!R83*'03_가중치민감도'!$D$10</f>
        <v/>
      </c>
      <c r="K86" s="99">
        <f>COUNTIF($E$5:$E$979,"&lt;"&amp;E86)+(COUNTIF($E$5:$E$979,"="&amp;E86)+1)/2</f>
        <v/>
      </c>
      <c r="L86" s="99">
        <f>COUNTIF($F$5:$F$979,"&lt;"&amp;F86)+(COUNTIF($F$5:$F$979,"="&amp;F86)+1)/2</f>
        <v/>
      </c>
      <c r="M86" s="99">
        <f>COUNTIF($G$5:$G$979,"&lt;"&amp;G86)+(COUNTIF($G$5:$G$979,"="&amp;G86)+1)/2</f>
        <v/>
      </c>
      <c r="N86" s="99">
        <f>COUNTIF($H$5:$H$979,"&lt;"&amp;H86)+(COUNTIF($H$5:$H$979,"="&amp;H86)+1)/2</f>
        <v/>
      </c>
      <c r="O86" s="99">
        <f>COUNTIF($I$5:$I$979,"&lt;"&amp;I86)+(COUNTIF($I$5:$I$979,"="&amp;I86)+1)/2</f>
        <v/>
      </c>
      <c r="P86" s="99">
        <f>COUNTIF($J$5:$J$979,"&lt;"&amp;J86)+(COUNTIF($J$5:$J$979,"="&amp;J86)+1)/2</f>
        <v/>
      </c>
    </row>
    <row r="87" ht="15" customHeight="1" s="68">
      <c r="A87" s="70">
        <f>'01_원자료'!A84</f>
        <v/>
      </c>
      <c r="B87" s="70">
        <f>'01_원자료'!B84</f>
        <v/>
      </c>
      <c r="C87" s="70">
        <f>'01_원자료'!C84</f>
        <v/>
      </c>
      <c r="E87" s="85">
        <f>'01_원자료'!P84*'03_가중치민감도'!$B$5+'01_원자료'!Q84*'03_가중치민감도'!$C$5+'01_원자료'!R84*'03_가중치민감도'!$D$5</f>
        <v/>
      </c>
      <c r="F87" s="85">
        <f>'01_원자료'!P84*'03_가중치민감도'!$B$6+'01_원자료'!Q84*'03_가중치민감도'!$C$6+'01_원자료'!R84*'03_가중치민감도'!$D$6</f>
        <v/>
      </c>
      <c r="G87" s="85">
        <f>'01_원자료'!P84*'03_가중치민감도'!$B$7+'01_원자료'!Q84*'03_가중치민감도'!$C$7+'01_원자료'!R84*'03_가중치민감도'!$D$7</f>
        <v/>
      </c>
      <c r="H87" s="85">
        <f>'01_원자료'!P84*'03_가중치민감도'!$B$8+'01_원자료'!Q84*'03_가중치민감도'!$C$8+'01_원자료'!R84*'03_가중치민감도'!$D$8</f>
        <v/>
      </c>
      <c r="I87" s="85">
        <f>'01_원자료'!P84*'03_가중치민감도'!$B$9+'01_원자료'!Q84*'03_가중치민감도'!$C$9+'01_원자료'!R84*'03_가중치민감도'!$D$9</f>
        <v/>
      </c>
      <c r="J87" s="85">
        <f>'01_원자료'!P84*'03_가중치민감도'!$B$10+'01_원자료'!Q84*'03_가중치민감도'!$C$10+'01_원자료'!R84*'03_가중치민감도'!$D$10</f>
        <v/>
      </c>
      <c r="K87" s="99">
        <f>COUNTIF($E$5:$E$979,"&lt;"&amp;E87)+(COUNTIF($E$5:$E$979,"="&amp;E87)+1)/2</f>
        <v/>
      </c>
      <c r="L87" s="99">
        <f>COUNTIF($F$5:$F$979,"&lt;"&amp;F87)+(COUNTIF($F$5:$F$979,"="&amp;F87)+1)/2</f>
        <v/>
      </c>
      <c r="M87" s="99">
        <f>COUNTIF($G$5:$G$979,"&lt;"&amp;G87)+(COUNTIF($G$5:$G$979,"="&amp;G87)+1)/2</f>
        <v/>
      </c>
      <c r="N87" s="99">
        <f>COUNTIF($H$5:$H$979,"&lt;"&amp;H87)+(COUNTIF($H$5:$H$979,"="&amp;H87)+1)/2</f>
        <v/>
      </c>
      <c r="O87" s="99">
        <f>COUNTIF($I$5:$I$979,"&lt;"&amp;I87)+(COUNTIF($I$5:$I$979,"="&amp;I87)+1)/2</f>
        <v/>
      </c>
      <c r="P87" s="99">
        <f>COUNTIF($J$5:$J$979,"&lt;"&amp;J87)+(COUNTIF($J$5:$J$979,"="&amp;J87)+1)/2</f>
        <v/>
      </c>
    </row>
    <row r="88" ht="15" customHeight="1" s="68">
      <c r="A88" s="70">
        <f>'01_원자료'!A85</f>
        <v/>
      </c>
      <c r="B88" s="70">
        <f>'01_원자료'!B85</f>
        <v/>
      </c>
      <c r="C88" s="70">
        <f>'01_원자료'!C85</f>
        <v/>
      </c>
      <c r="E88" s="85">
        <f>'01_원자료'!P85*'03_가중치민감도'!$B$5+'01_원자료'!Q85*'03_가중치민감도'!$C$5+'01_원자료'!R85*'03_가중치민감도'!$D$5</f>
        <v/>
      </c>
      <c r="F88" s="85">
        <f>'01_원자료'!P85*'03_가중치민감도'!$B$6+'01_원자료'!Q85*'03_가중치민감도'!$C$6+'01_원자료'!R85*'03_가중치민감도'!$D$6</f>
        <v/>
      </c>
      <c r="G88" s="85">
        <f>'01_원자료'!P85*'03_가중치민감도'!$B$7+'01_원자료'!Q85*'03_가중치민감도'!$C$7+'01_원자료'!R85*'03_가중치민감도'!$D$7</f>
        <v/>
      </c>
      <c r="H88" s="85">
        <f>'01_원자료'!P85*'03_가중치민감도'!$B$8+'01_원자료'!Q85*'03_가중치민감도'!$C$8+'01_원자료'!R85*'03_가중치민감도'!$D$8</f>
        <v/>
      </c>
      <c r="I88" s="85">
        <f>'01_원자료'!P85*'03_가중치민감도'!$B$9+'01_원자료'!Q85*'03_가중치민감도'!$C$9+'01_원자료'!R85*'03_가중치민감도'!$D$9</f>
        <v/>
      </c>
      <c r="J88" s="85">
        <f>'01_원자료'!P85*'03_가중치민감도'!$B$10+'01_원자료'!Q85*'03_가중치민감도'!$C$10+'01_원자료'!R85*'03_가중치민감도'!$D$10</f>
        <v/>
      </c>
      <c r="K88" s="99">
        <f>COUNTIF($E$5:$E$979,"&lt;"&amp;E88)+(COUNTIF($E$5:$E$979,"="&amp;E88)+1)/2</f>
        <v/>
      </c>
      <c r="L88" s="99">
        <f>COUNTIF($F$5:$F$979,"&lt;"&amp;F88)+(COUNTIF($F$5:$F$979,"="&amp;F88)+1)/2</f>
        <v/>
      </c>
      <c r="M88" s="99">
        <f>COUNTIF($G$5:$G$979,"&lt;"&amp;G88)+(COUNTIF($G$5:$G$979,"="&amp;G88)+1)/2</f>
        <v/>
      </c>
      <c r="N88" s="99">
        <f>COUNTIF($H$5:$H$979,"&lt;"&amp;H88)+(COUNTIF($H$5:$H$979,"="&amp;H88)+1)/2</f>
        <v/>
      </c>
      <c r="O88" s="99">
        <f>COUNTIF($I$5:$I$979,"&lt;"&amp;I88)+(COUNTIF($I$5:$I$979,"="&amp;I88)+1)/2</f>
        <v/>
      </c>
      <c r="P88" s="99">
        <f>COUNTIF($J$5:$J$979,"&lt;"&amp;J88)+(COUNTIF($J$5:$J$979,"="&amp;J88)+1)/2</f>
        <v/>
      </c>
    </row>
    <row r="89" ht="15" customHeight="1" s="68">
      <c r="A89" s="70">
        <f>'01_원자료'!A86</f>
        <v/>
      </c>
      <c r="B89" s="70">
        <f>'01_원자료'!B86</f>
        <v/>
      </c>
      <c r="C89" s="70">
        <f>'01_원자료'!C86</f>
        <v/>
      </c>
      <c r="E89" s="85">
        <f>'01_원자료'!P86*'03_가중치민감도'!$B$5+'01_원자료'!Q86*'03_가중치민감도'!$C$5+'01_원자료'!R86*'03_가중치민감도'!$D$5</f>
        <v/>
      </c>
      <c r="F89" s="85">
        <f>'01_원자료'!P86*'03_가중치민감도'!$B$6+'01_원자료'!Q86*'03_가중치민감도'!$C$6+'01_원자료'!R86*'03_가중치민감도'!$D$6</f>
        <v/>
      </c>
      <c r="G89" s="85">
        <f>'01_원자료'!P86*'03_가중치민감도'!$B$7+'01_원자료'!Q86*'03_가중치민감도'!$C$7+'01_원자료'!R86*'03_가중치민감도'!$D$7</f>
        <v/>
      </c>
      <c r="H89" s="85">
        <f>'01_원자료'!P86*'03_가중치민감도'!$B$8+'01_원자료'!Q86*'03_가중치민감도'!$C$8+'01_원자료'!R86*'03_가중치민감도'!$D$8</f>
        <v/>
      </c>
      <c r="I89" s="85">
        <f>'01_원자료'!P86*'03_가중치민감도'!$B$9+'01_원자료'!Q86*'03_가중치민감도'!$C$9+'01_원자료'!R86*'03_가중치민감도'!$D$9</f>
        <v/>
      </c>
      <c r="J89" s="85">
        <f>'01_원자료'!P86*'03_가중치민감도'!$B$10+'01_원자료'!Q86*'03_가중치민감도'!$C$10+'01_원자료'!R86*'03_가중치민감도'!$D$10</f>
        <v/>
      </c>
      <c r="K89" s="99">
        <f>COUNTIF($E$5:$E$979,"&lt;"&amp;E89)+(COUNTIF($E$5:$E$979,"="&amp;E89)+1)/2</f>
        <v/>
      </c>
      <c r="L89" s="99">
        <f>COUNTIF($F$5:$F$979,"&lt;"&amp;F89)+(COUNTIF($F$5:$F$979,"="&amp;F89)+1)/2</f>
        <v/>
      </c>
      <c r="M89" s="99">
        <f>COUNTIF($G$5:$G$979,"&lt;"&amp;G89)+(COUNTIF($G$5:$G$979,"="&amp;G89)+1)/2</f>
        <v/>
      </c>
      <c r="N89" s="99">
        <f>COUNTIF($H$5:$H$979,"&lt;"&amp;H89)+(COUNTIF($H$5:$H$979,"="&amp;H89)+1)/2</f>
        <v/>
      </c>
      <c r="O89" s="99">
        <f>COUNTIF($I$5:$I$979,"&lt;"&amp;I89)+(COUNTIF($I$5:$I$979,"="&amp;I89)+1)/2</f>
        <v/>
      </c>
      <c r="P89" s="99">
        <f>COUNTIF($J$5:$J$979,"&lt;"&amp;J89)+(COUNTIF($J$5:$J$979,"="&amp;J89)+1)/2</f>
        <v/>
      </c>
    </row>
    <row r="90" ht="15" customHeight="1" s="68">
      <c r="A90" s="70">
        <f>'01_원자료'!A87</f>
        <v/>
      </c>
      <c r="B90" s="70">
        <f>'01_원자료'!B87</f>
        <v/>
      </c>
      <c r="C90" s="70">
        <f>'01_원자료'!C87</f>
        <v/>
      </c>
      <c r="E90" s="85">
        <f>'01_원자료'!P87*'03_가중치민감도'!$B$5+'01_원자료'!Q87*'03_가중치민감도'!$C$5+'01_원자료'!R87*'03_가중치민감도'!$D$5</f>
        <v/>
      </c>
      <c r="F90" s="85">
        <f>'01_원자료'!P87*'03_가중치민감도'!$B$6+'01_원자료'!Q87*'03_가중치민감도'!$C$6+'01_원자료'!R87*'03_가중치민감도'!$D$6</f>
        <v/>
      </c>
      <c r="G90" s="85">
        <f>'01_원자료'!P87*'03_가중치민감도'!$B$7+'01_원자료'!Q87*'03_가중치민감도'!$C$7+'01_원자료'!R87*'03_가중치민감도'!$D$7</f>
        <v/>
      </c>
      <c r="H90" s="85">
        <f>'01_원자료'!P87*'03_가중치민감도'!$B$8+'01_원자료'!Q87*'03_가중치민감도'!$C$8+'01_원자료'!R87*'03_가중치민감도'!$D$8</f>
        <v/>
      </c>
      <c r="I90" s="85">
        <f>'01_원자료'!P87*'03_가중치민감도'!$B$9+'01_원자료'!Q87*'03_가중치민감도'!$C$9+'01_원자료'!R87*'03_가중치민감도'!$D$9</f>
        <v/>
      </c>
      <c r="J90" s="85">
        <f>'01_원자료'!P87*'03_가중치민감도'!$B$10+'01_원자료'!Q87*'03_가중치민감도'!$C$10+'01_원자료'!R87*'03_가중치민감도'!$D$10</f>
        <v/>
      </c>
      <c r="K90" s="99">
        <f>COUNTIF($E$5:$E$979,"&lt;"&amp;E90)+(COUNTIF($E$5:$E$979,"="&amp;E90)+1)/2</f>
        <v/>
      </c>
      <c r="L90" s="99">
        <f>COUNTIF($F$5:$F$979,"&lt;"&amp;F90)+(COUNTIF($F$5:$F$979,"="&amp;F90)+1)/2</f>
        <v/>
      </c>
      <c r="M90" s="99">
        <f>COUNTIF($G$5:$G$979,"&lt;"&amp;G90)+(COUNTIF($G$5:$G$979,"="&amp;G90)+1)/2</f>
        <v/>
      </c>
      <c r="N90" s="99">
        <f>COUNTIF($H$5:$H$979,"&lt;"&amp;H90)+(COUNTIF($H$5:$H$979,"="&amp;H90)+1)/2</f>
        <v/>
      </c>
      <c r="O90" s="99">
        <f>COUNTIF($I$5:$I$979,"&lt;"&amp;I90)+(COUNTIF($I$5:$I$979,"="&amp;I90)+1)/2</f>
        <v/>
      </c>
      <c r="P90" s="99">
        <f>COUNTIF($J$5:$J$979,"&lt;"&amp;J90)+(COUNTIF($J$5:$J$979,"="&amp;J90)+1)/2</f>
        <v/>
      </c>
    </row>
    <row r="91" ht="15" customHeight="1" s="68">
      <c r="A91" s="70">
        <f>'01_원자료'!A88</f>
        <v/>
      </c>
      <c r="B91" s="70">
        <f>'01_원자료'!B88</f>
        <v/>
      </c>
      <c r="C91" s="70">
        <f>'01_원자료'!C88</f>
        <v/>
      </c>
      <c r="E91" s="85">
        <f>'01_원자료'!P88*'03_가중치민감도'!$B$5+'01_원자료'!Q88*'03_가중치민감도'!$C$5+'01_원자료'!R88*'03_가중치민감도'!$D$5</f>
        <v/>
      </c>
      <c r="F91" s="85">
        <f>'01_원자료'!P88*'03_가중치민감도'!$B$6+'01_원자료'!Q88*'03_가중치민감도'!$C$6+'01_원자료'!R88*'03_가중치민감도'!$D$6</f>
        <v/>
      </c>
      <c r="G91" s="85">
        <f>'01_원자료'!P88*'03_가중치민감도'!$B$7+'01_원자료'!Q88*'03_가중치민감도'!$C$7+'01_원자료'!R88*'03_가중치민감도'!$D$7</f>
        <v/>
      </c>
      <c r="H91" s="85">
        <f>'01_원자료'!P88*'03_가중치민감도'!$B$8+'01_원자료'!Q88*'03_가중치민감도'!$C$8+'01_원자료'!R88*'03_가중치민감도'!$D$8</f>
        <v/>
      </c>
      <c r="I91" s="85">
        <f>'01_원자료'!P88*'03_가중치민감도'!$B$9+'01_원자료'!Q88*'03_가중치민감도'!$C$9+'01_원자료'!R88*'03_가중치민감도'!$D$9</f>
        <v/>
      </c>
      <c r="J91" s="85">
        <f>'01_원자료'!P88*'03_가중치민감도'!$B$10+'01_원자료'!Q88*'03_가중치민감도'!$C$10+'01_원자료'!R88*'03_가중치민감도'!$D$10</f>
        <v/>
      </c>
      <c r="K91" s="99">
        <f>COUNTIF($E$5:$E$979,"&lt;"&amp;E91)+(COUNTIF($E$5:$E$979,"="&amp;E91)+1)/2</f>
        <v/>
      </c>
      <c r="L91" s="99">
        <f>COUNTIF($F$5:$F$979,"&lt;"&amp;F91)+(COUNTIF($F$5:$F$979,"="&amp;F91)+1)/2</f>
        <v/>
      </c>
      <c r="M91" s="99">
        <f>COUNTIF($G$5:$G$979,"&lt;"&amp;G91)+(COUNTIF($G$5:$G$979,"="&amp;G91)+1)/2</f>
        <v/>
      </c>
      <c r="N91" s="99">
        <f>COUNTIF($H$5:$H$979,"&lt;"&amp;H91)+(COUNTIF($H$5:$H$979,"="&amp;H91)+1)/2</f>
        <v/>
      </c>
      <c r="O91" s="99">
        <f>COUNTIF($I$5:$I$979,"&lt;"&amp;I91)+(COUNTIF($I$5:$I$979,"="&amp;I91)+1)/2</f>
        <v/>
      </c>
      <c r="P91" s="99">
        <f>COUNTIF($J$5:$J$979,"&lt;"&amp;J91)+(COUNTIF($J$5:$J$979,"="&amp;J91)+1)/2</f>
        <v/>
      </c>
    </row>
    <row r="92" ht="15" customHeight="1" s="68">
      <c r="A92" s="70">
        <f>'01_원자료'!A89</f>
        <v/>
      </c>
      <c r="B92" s="70">
        <f>'01_원자료'!B89</f>
        <v/>
      </c>
      <c r="C92" s="70">
        <f>'01_원자료'!C89</f>
        <v/>
      </c>
      <c r="E92" s="85">
        <f>'01_원자료'!P89*'03_가중치민감도'!$B$5+'01_원자료'!Q89*'03_가중치민감도'!$C$5+'01_원자료'!R89*'03_가중치민감도'!$D$5</f>
        <v/>
      </c>
      <c r="F92" s="85">
        <f>'01_원자료'!P89*'03_가중치민감도'!$B$6+'01_원자료'!Q89*'03_가중치민감도'!$C$6+'01_원자료'!R89*'03_가중치민감도'!$D$6</f>
        <v/>
      </c>
      <c r="G92" s="85">
        <f>'01_원자료'!P89*'03_가중치민감도'!$B$7+'01_원자료'!Q89*'03_가중치민감도'!$C$7+'01_원자료'!R89*'03_가중치민감도'!$D$7</f>
        <v/>
      </c>
      <c r="H92" s="85">
        <f>'01_원자료'!P89*'03_가중치민감도'!$B$8+'01_원자료'!Q89*'03_가중치민감도'!$C$8+'01_원자료'!R89*'03_가중치민감도'!$D$8</f>
        <v/>
      </c>
      <c r="I92" s="85">
        <f>'01_원자료'!P89*'03_가중치민감도'!$B$9+'01_원자료'!Q89*'03_가중치민감도'!$C$9+'01_원자료'!R89*'03_가중치민감도'!$D$9</f>
        <v/>
      </c>
      <c r="J92" s="85">
        <f>'01_원자료'!P89*'03_가중치민감도'!$B$10+'01_원자료'!Q89*'03_가중치민감도'!$C$10+'01_원자료'!R89*'03_가중치민감도'!$D$10</f>
        <v/>
      </c>
      <c r="K92" s="99">
        <f>COUNTIF($E$5:$E$979,"&lt;"&amp;E92)+(COUNTIF($E$5:$E$979,"="&amp;E92)+1)/2</f>
        <v/>
      </c>
      <c r="L92" s="99">
        <f>COUNTIF($F$5:$F$979,"&lt;"&amp;F92)+(COUNTIF($F$5:$F$979,"="&amp;F92)+1)/2</f>
        <v/>
      </c>
      <c r="M92" s="99">
        <f>COUNTIF($G$5:$G$979,"&lt;"&amp;G92)+(COUNTIF($G$5:$G$979,"="&amp;G92)+1)/2</f>
        <v/>
      </c>
      <c r="N92" s="99">
        <f>COUNTIF($H$5:$H$979,"&lt;"&amp;H92)+(COUNTIF($H$5:$H$979,"="&amp;H92)+1)/2</f>
        <v/>
      </c>
      <c r="O92" s="99">
        <f>COUNTIF($I$5:$I$979,"&lt;"&amp;I92)+(COUNTIF($I$5:$I$979,"="&amp;I92)+1)/2</f>
        <v/>
      </c>
      <c r="P92" s="99">
        <f>COUNTIF($J$5:$J$979,"&lt;"&amp;J92)+(COUNTIF($J$5:$J$979,"="&amp;J92)+1)/2</f>
        <v/>
      </c>
    </row>
    <row r="93" ht="15" customHeight="1" s="68">
      <c r="A93" s="70">
        <f>'01_원자료'!A90</f>
        <v/>
      </c>
      <c r="B93" s="70">
        <f>'01_원자료'!B90</f>
        <v/>
      </c>
      <c r="C93" s="70">
        <f>'01_원자료'!C90</f>
        <v/>
      </c>
      <c r="E93" s="85">
        <f>'01_원자료'!P90*'03_가중치민감도'!$B$5+'01_원자료'!Q90*'03_가중치민감도'!$C$5+'01_원자료'!R90*'03_가중치민감도'!$D$5</f>
        <v/>
      </c>
      <c r="F93" s="85">
        <f>'01_원자료'!P90*'03_가중치민감도'!$B$6+'01_원자료'!Q90*'03_가중치민감도'!$C$6+'01_원자료'!R90*'03_가중치민감도'!$D$6</f>
        <v/>
      </c>
      <c r="G93" s="85">
        <f>'01_원자료'!P90*'03_가중치민감도'!$B$7+'01_원자료'!Q90*'03_가중치민감도'!$C$7+'01_원자료'!R90*'03_가중치민감도'!$D$7</f>
        <v/>
      </c>
      <c r="H93" s="85">
        <f>'01_원자료'!P90*'03_가중치민감도'!$B$8+'01_원자료'!Q90*'03_가중치민감도'!$C$8+'01_원자료'!R90*'03_가중치민감도'!$D$8</f>
        <v/>
      </c>
      <c r="I93" s="85">
        <f>'01_원자료'!P90*'03_가중치민감도'!$B$9+'01_원자료'!Q90*'03_가중치민감도'!$C$9+'01_원자료'!R90*'03_가중치민감도'!$D$9</f>
        <v/>
      </c>
      <c r="J93" s="85">
        <f>'01_원자료'!P90*'03_가중치민감도'!$B$10+'01_원자료'!Q90*'03_가중치민감도'!$C$10+'01_원자료'!R90*'03_가중치민감도'!$D$10</f>
        <v/>
      </c>
      <c r="K93" s="99">
        <f>COUNTIF($E$5:$E$979,"&lt;"&amp;E93)+(COUNTIF($E$5:$E$979,"="&amp;E93)+1)/2</f>
        <v/>
      </c>
      <c r="L93" s="99">
        <f>COUNTIF($F$5:$F$979,"&lt;"&amp;F93)+(COUNTIF($F$5:$F$979,"="&amp;F93)+1)/2</f>
        <v/>
      </c>
      <c r="M93" s="99">
        <f>COUNTIF($G$5:$G$979,"&lt;"&amp;G93)+(COUNTIF($G$5:$G$979,"="&amp;G93)+1)/2</f>
        <v/>
      </c>
      <c r="N93" s="99">
        <f>COUNTIF($H$5:$H$979,"&lt;"&amp;H93)+(COUNTIF($H$5:$H$979,"="&amp;H93)+1)/2</f>
        <v/>
      </c>
      <c r="O93" s="99">
        <f>COUNTIF($I$5:$I$979,"&lt;"&amp;I93)+(COUNTIF($I$5:$I$979,"="&amp;I93)+1)/2</f>
        <v/>
      </c>
      <c r="P93" s="99">
        <f>COUNTIF($J$5:$J$979,"&lt;"&amp;J93)+(COUNTIF($J$5:$J$979,"="&amp;J93)+1)/2</f>
        <v/>
      </c>
    </row>
    <row r="94" ht="15" customHeight="1" s="68">
      <c r="A94" s="70">
        <f>'01_원자료'!A91</f>
        <v/>
      </c>
      <c r="B94" s="70">
        <f>'01_원자료'!B91</f>
        <v/>
      </c>
      <c r="C94" s="70">
        <f>'01_원자료'!C91</f>
        <v/>
      </c>
      <c r="E94" s="85">
        <f>'01_원자료'!P91*'03_가중치민감도'!$B$5+'01_원자료'!Q91*'03_가중치민감도'!$C$5+'01_원자료'!R91*'03_가중치민감도'!$D$5</f>
        <v/>
      </c>
      <c r="F94" s="85">
        <f>'01_원자료'!P91*'03_가중치민감도'!$B$6+'01_원자료'!Q91*'03_가중치민감도'!$C$6+'01_원자료'!R91*'03_가중치민감도'!$D$6</f>
        <v/>
      </c>
      <c r="G94" s="85">
        <f>'01_원자료'!P91*'03_가중치민감도'!$B$7+'01_원자료'!Q91*'03_가중치민감도'!$C$7+'01_원자료'!R91*'03_가중치민감도'!$D$7</f>
        <v/>
      </c>
      <c r="H94" s="85">
        <f>'01_원자료'!P91*'03_가중치민감도'!$B$8+'01_원자료'!Q91*'03_가중치민감도'!$C$8+'01_원자료'!R91*'03_가중치민감도'!$D$8</f>
        <v/>
      </c>
      <c r="I94" s="85">
        <f>'01_원자료'!P91*'03_가중치민감도'!$B$9+'01_원자료'!Q91*'03_가중치민감도'!$C$9+'01_원자료'!R91*'03_가중치민감도'!$D$9</f>
        <v/>
      </c>
      <c r="J94" s="85">
        <f>'01_원자료'!P91*'03_가중치민감도'!$B$10+'01_원자료'!Q91*'03_가중치민감도'!$C$10+'01_원자료'!R91*'03_가중치민감도'!$D$10</f>
        <v/>
      </c>
      <c r="K94" s="99">
        <f>COUNTIF($E$5:$E$979,"&lt;"&amp;E94)+(COUNTIF($E$5:$E$979,"="&amp;E94)+1)/2</f>
        <v/>
      </c>
      <c r="L94" s="99">
        <f>COUNTIF($F$5:$F$979,"&lt;"&amp;F94)+(COUNTIF($F$5:$F$979,"="&amp;F94)+1)/2</f>
        <v/>
      </c>
      <c r="M94" s="99">
        <f>COUNTIF($G$5:$G$979,"&lt;"&amp;G94)+(COUNTIF($G$5:$G$979,"="&amp;G94)+1)/2</f>
        <v/>
      </c>
      <c r="N94" s="99">
        <f>COUNTIF($H$5:$H$979,"&lt;"&amp;H94)+(COUNTIF($H$5:$H$979,"="&amp;H94)+1)/2</f>
        <v/>
      </c>
      <c r="O94" s="99">
        <f>COUNTIF($I$5:$I$979,"&lt;"&amp;I94)+(COUNTIF($I$5:$I$979,"="&amp;I94)+1)/2</f>
        <v/>
      </c>
      <c r="P94" s="99">
        <f>COUNTIF($J$5:$J$979,"&lt;"&amp;J94)+(COUNTIF($J$5:$J$979,"="&amp;J94)+1)/2</f>
        <v/>
      </c>
    </row>
    <row r="95" ht="15" customHeight="1" s="68">
      <c r="A95" s="70">
        <f>'01_원자료'!A92</f>
        <v/>
      </c>
      <c r="B95" s="70">
        <f>'01_원자료'!B92</f>
        <v/>
      </c>
      <c r="C95" s="70">
        <f>'01_원자료'!C92</f>
        <v/>
      </c>
      <c r="E95" s="85">
        <f>'01_원자료'!P92*'03_가중치민감도'!$B$5+'01_원자료'!Q92*'03_가중치민감도'!$C$5+'01_원자료'!R92*'03_가중치민감도'!$D$5</f>
        <v/>
      </c>
      <c r="F95" s="85">
        <f>'01_원자료'!P92*'03_가중치민감도'!$B$6+'01_원자료'!Q92*'03_가중치민감도'!$C$6+'01_원자료'!R92*'03_가중치민감도'!$D$6</f>
        <v/>
      </c>
      <c r="G95" s="85">
        <f>'01_원자료'!P92*'03_가중치민감도'!$B$7+'01_원자료'!Q92*'03_가중치민감도'!$C$7+'01_원자료'!R92*'03_가중치민감도'!$D$7</f>
        <v/>
      </c>
      <c r="H95" s="85">
        <f>'01_원자료'!P92*'03_가중치민감도'!$B$8+'01_원자료'!Q92*'03_가중치민감도'!$C$8+'01_원자료'!R92*'03_가중치민감도'!$D$8</f>
        <v/>
      </c>
      <c r="I95" s="85">
        <f>'01_원자료'!P92*'03_가중치민감도'!$B$9+'01_원자료'!Q92*'03_가중치민감도'!$C$9+'01_원자료'!R92*'03_가중치민감도'!$D$9</f>
        <v/>
      </c>
      <c r="J95" s="85">
        <f>'01_원자료'!P92*'03_가중치민감도'!$B$10+'01_원자료'!Q92*'03_가중치민감도'!$C$10+'01_원자료'!R92*'03_가중치민감도'!$D$10</f>
        <v/>
      </c>
      <c r="K95" s="99">
        <f>COUNTIF($E$5:$E$979,"&lt;"&amp;E95)+(COUNTIF($E$5:$E$979,"="&amp;E95)+1)/2</f>
        <v/>
      </c>
      <c r="L95" s="99">
        <f>COUNTIF($F$5:$F$979,"&lt;"&amp;F95)+(COUNTIF($F$5:$F$979,"="&amp;F95)+1)/2</f>
        <v/>
      </c>
      <c r="M95" s="99">
        <f>COUNTIF($G$5:$G$979,"&lt;"&amp;G95)+(COUNTIF($G$5:$G$979,"="&amp;G95)+1)/2</f>
        <v/>
      </c>
      <c r="N95" s="99">
        <f>COUNTIF($H$5:$H$979,"&lt;"&amp;H95)+(COUNTIF($H$5:$H$979,"="&amp;H95)+1)/2</f>
        <v/>
      </c>
      <c r="O95" s="99">
        <f>COUNTIF($I$5:$I$979,"&lt;"&amp;I95)+(COUNTIF($I$5:$I$979,"="&amp;I95)+1)/2</f>
        <v/>
      </c>
      <c r="P95" s="99">
        <f>COUNTIF($J$5:$J$979,"&lt;"&amp;J95)+(COUNTIF($J$5:$J$979,"="&amp;J95)+1)/2</f>
        <v/>
      </c>
    </row>
    <row r="96" ht="15" customHeight="1" s="68">
      <c r="A96" s="70">
        <f>'01_원자료'!A93</f>
        <v/>
      </c>
      <c r="B96" s="70">
        <f>'01_원자료'!B93</f>
        <v/>
      </c>
      <c r="C96" s="70">
        <f>'01_원자료'!C93</f>
        <v/>
      </c>
      <c r="E96" s="85">
        <f>'01_원자료'!P93*'03_가중치민감도'!$B$5+'01_원자료'!Q93*'03_가중치민감도'!$C$5+'01_원자료'!R93*'03_가중치민감도'!$D$5</f>
        <v/>
      </c>
      <c r="F96" s="85">
        <f>'01_원자료'!P93*'03_가중치민감도'!$B$6+'01_원자료'!Q93*'03_가중치민감도'!$C$6+'01_원자료'!R93*'03_가중치민감도'!$D$6</f>
        <v/>
      </c>
      <c r="G96" s="85">
        <f>'01_원자료'!P93*'03_가중치민감도'!$B$7+'01_원자료'!Q93*'03_가중치민감도'!$C$7+'01_원자료'!R93*'03_가중치민감도'!$D$7</f>
        <v/>
      </c>
      <c r="H96" s="85">
        <f>'01_원자료'!P93*'03_가중치민감도'!$B$8+'01_원자료'!Q93*'03_가중치민감도'!$C$8+'01_원자료'!R93*'03_가중치민감도'!$D$8</f>
        <v/>
      </c>
      <c r="I96" s="85">
        <f>'01_원자료'!P93*'03_가중치민감도'!$B$9+'01_원자료'!Q93*'03_가중치민감도'!$C$9+'01_원자료'!R93*'03_가중치민감도'!$D$9</f>
        <v/>
      </c>
      <c r="J96" s="85">
        <f>'01_원자료'!P93*'03_가중치민감도'!$B$10+'01_원자료'!Q93*'03_가중치민감도'!$C$10+'01_원자료'!R93*'03_가중치민감도'!$D$10</f>
        <v/>
      </c>
      <c r="K96" s="99">
        <f>COUNTIF($E$5:$E$979,"&lt;"&amp;E96)+(COUNTIF($E$5:$E$979,"="&amp;E96)+1)/2</f>
        <v/>
      </c>
      <c r="L96" s="99">
        <f>COUNTIF($F$5:$F$979,"&lt;"&amp;F96)+(COUNTIF($F$5:$F$979,"="&amp;F96)+1)/2</f>
        <v/>
      </c>
      <c r="M96" s="99">
        <f>COUNTIF($G$5:$G$979,"&lt;"&amp;G96)+(COUNTIF($G$5:$G$979,"="&amp;G96)+1)/2</f>
        <v/>
      </c>
      <c r="N96" s="99">
        <f>COUNTIF($H$5:$H$979,"&lt;"&amp;H96)+(COUNTIF($H$5:$H$979,"="&amp;H96)+1)/2</f>
        <v/>
      </c>
      <c r="O96" s="99">
        <f>COUNTIF($I$5:$I$979,"&lt;"&amp;I96)+(COUNTIF($I$5:$I$979,"="&amp;I96)+1)/2</f>
        <v/>
      </c>
      <c r="P96" s="99">
        <f>COUNTIF($J$5:$J$979,"&lt;"&amp;J96)+(COUNTIF($J$5:$J$979,"="&amp;J96)+1)/2</f>
        <v/>
      </c>
    </row>
    <row r="97" ht="15" customHeight="1" s="68">
      <c r="A97" s="70">
        <f>'01_원자료'!A94</f>
        <v/>
      </c>
      <c r="B97" s="70">
        <f>'01_원자료'!B94</f>
        <v/>
      </c>
      <c r="C97" s="70">
        <f>'01_원자료'!C94</f>
        <v/>
      </c>
      <c r="E97" s="85">
        <f>'01_원자료'!P94*'03_가중치민감도'!$B$5+'01_원자료'!Q94*'03_가중치민감도'!$C$5+'01_원자료'!R94*'03_가중치민감도'!$D$5</f>
        <v/>
      </c>
      <c r="F97" s="85">
        <f>'01_원자료'!P94*'03_가중치민감도'!$B$6+'01_원자료'!Q94*'03_가중치민감도'!$C$6+'01_원자료'!R94*'03_가중치민감도'!$D$6</f>
        <v/>
      </c>
      <c r="G97" s="85">
        <f>'01_원자료'!P94*'03_가중치민감도'!$B$7+'01_원자료'!Q94*'03_가중치민감도'!$C$7+'01_원자료'!R94*'03_가중치민감도'!$D$7</f>
        <v/>
      </c>
      <c r="H97" s="85">
        <f>'01_원자료'!P94*'03_가중치민감도'!$B$8+'01_원자료'!Q94*'03_가중치민감도'!$C$8+'01_원자료'!R94*'03_가중치민감도'!$D$8</f>
        <v/>
      </c>
      <c r="I97" s="85">
        <f>'01_원자료'!P94*'03_가중치민감도'!$B$9+'01_원자료'!Q94*'03_가중치민감도'!$C$9+'01_원자료'!R94*'03_가중치민감도'!$D$9</f>
        <v/>
      </c>
      <c r="J97" s="85">
        <f>'01_원자료'!P94*'03_가중치민감도'!$B$10+'01_원자료'!Q94*'03_가중치민감도'!$C$10+'01_원자료'!R94*'03_가중치민감도'!$D$10</f>
        <v/>
      </c>
      <c r="K97" s="99">
        <f>COUNTIF($E$5:$E$979,"&lt;"&amp;E97)+(COUNTIF($E$5:$E$979,"="&amp;E97)+1)/2</f>
        <v/>
      </c>
      <c r="L97" s="99">
        <f>COUNTIF($F$5:$F$979,"&lt;"&amp;F97)+(COUNTIF($F$5:$F$979,"="&amp;F97)+1)/2</f>
        <v/>
      </c>
      <c r="M97" s="99">
        <f>COUNTIF($G$5:$G$979,"&lt;"&amp;G97)+(COUNTIF($G$5:$G$979,"="&amp;G97)+1)/2</f>
        <v/>
      </c>
      <c r="N97" s="99">
        <f>COUNTIF($H$5:$H$979,"&lt;"&amp;H97)+(COUNTIF($H$5:$H$979,"="&amp;H97)+1)/2</f>
        <v/>
      </c>
      <c r="O97" s="99">
        <f>COUNTIF($I$5:$I$979,"&lt;"&amp;I97)+(COUNTIF($I$5:$I$979,"="&amp;I97)+1)/2</f>
        <v/>
      </c>
      <c r="P97" s="99">
        <f>COUNTIF($J$5:$J$979,"&lt;"&amp;J97)+(COUNTIF($J$5:$J$979,"="&amp;J97)+1)/2</f>
        <v/>
      </c>
    </row>
    <row r="98" ht="15" customHeight="1" s="68">
      <c r="A98" s="70">
        <f>'01_원자료'!A95</f>
        <v/>
      </c>
      <c r="B98" s="70">
        <f>'01_원자료'!B95</f>
        <v/>
      </c>
      <c r="C98" s="70">
        <f>'01_원자료'!C95</f>
        <v/>
      </c>
      <c r="E98" s="85">
        <f>'01_원자료'!P95*'03_가중치민감도'!$B$5+'01_원자료'!Q95*'03_가중치민감도'!$C$5+'01_원자료'!R95*'03_가중치민감도'!$D$5</f>
        <v/>
      </c>
      <c r="F98" s="85">
        <f>'01_원자료'!P95*'03_가중치민감도'!$B$6+'01_원자료'!Q95*'03_가중치민감도'!$C$6+'01_원자료'!R95*'03_가중치민감도'!$D$6</f>
        <v/>
      </c>
      <c r="G98" s="85">
        <f>'01_원자료'!P95*'03_가중치민감도'!$B$7+'01_원자료'!Q95*'03_가중치민감도'!$C$7+'01_원자료'!R95*'03_가중치민감도'!$D$7</f>
        <v/>
      </c>
      <c r="H98" s="85">
        <f>'01_원자료'!P95*'03_가중치민감도'!$B$8+'01_원자료'!Q95*'03_가중치민감도'!$C$8+'01_원자료'!R95*'03_가중치민감도'!$D$8</f>
        <v/>
      </c>
      <c r="I98" s="85">
        <f>'01_원자료'!P95*'03_가중치민감도'!$B$9+'01_원자료'!Q95*'03_가중치민감도'!$C$9+'01_원자료'!R95*'03_가중치민감도'!$D$9</f>
        <v/>
      </c>
      <c r="J98" s="85">
        <f>'01_원자료'!P95*'03_가중치민감도'!$B$10+'01_원자료'!Q95*'03_가중치민감도'!$C$10+'01_원자료'!R95*'03_가중치민감도'!$D$10</f>
        <v/>
      </c>
      <c r="K98" s="99">
        <f>COUNTIF($E$5:$E$979,"&lt;"&amp;E98)+(COUNTIF($E$5:$E$979,"="&amp;E98)+1)/2</f>
        <v/>
      </c>
      <c r="L98" s="99">
        <f>COUNTIF($F$5:$F$979,"&lt;"&amp;F98)+(COUNTIF($F$5:$F$979,"="&amp;F98)+1)/2</f>
        <v/>
      </c>
      <c r="M98" s="99">
        <f>COUNTIF($G$5:$G$979,"&lt;"&amp;G98)+(COUNTIF($G$5:$G$979,"="&amp;G98)+1)/2</f>
        <v/>
      </c>
      <c r="N98" s="99">
        <f>COUNTIF($H$5:$H$979,"&lt;"&amp;H98)+(COUNTIF($H$5:$H$979,"="&amp;H98)+1)/2</f>
        <v/>
      </c>
      <c r="O98" s="99">
        <f>COUNTIF($I$5:$I$979,"&lt;"&amp;I98)+(COUNTIF($I$5:$I$979,"="&amp;I98)+1)/2</f>
        <v/>
      </c>
      <c r="P98" s="99">
        <f>COUNTIF($J$5:$J$979,"&lt;"&amp;J98)+(COUNTIF($J$5:$J$979,"="&amp;J98)+1)/2</f>
        <v/>
      </c>
    </row>
    <row r="99" ht="15" customHeight="1" s="68">
      <c r="A99" s="70">
        <f>'01_원자료'!A96</f>
        <v/>
      </c>
      <c r="B99" s="70">
        <f>'01_원자료'!B96</f>
        <v/>
      </c>
      <c r="C99" s="70">
        <f>'01_원자료'!C96</f>
        <v/>
      </c>
      <c r="E99" s="85">
        <f>'01_원자료'!P96*'03_가중치민감도'!$B$5+'01_원자료'!Q96*'03_가중치민감도'!$C$5+'01_원자료'!R96*'03_가중치민감도'!$D$5</f>
        <v/>
      </c>
      <c r="F99" s="85">
        <f>'01_원자료'!P96*'03_가중치민감도'!$B$6+'01_원자료'!Q96*'03_가중치민감도'!$C$6+'01_원자료'!R96*'03_가중치민감도'!$D$6</f>
        <v/>
      </c>
      <c r="G99" s="85">
        <f>'01_원자료'!P96*'03_가중치민감도'!$B$7+'01_원자료'!Q96*'03_가중치민감도'!$C$7+'01_원자료'!R96*'03_가중치민감도'!$D$7</f>
        <v/>
      </c>
      <c r="H99" s="85">
        <f>'01_원자료'!P96*'03_가중치민감도'!$B$8+'01_원자료'!Q96*'03_가중치민감도'!$C$8+'01_원자료'!R96*'03_가중치민감도'!$D$8</f>
        <v/>
      </c>
      <c r="I99" s="85">
        <f>'01_원자료'!P96*'03_가중치민감도'!$B$9+'01_원자료'!Q96*'03_가중치민감도'!$C$9+'01_원자료'!R96*'03_가중치민감도'!$D$9</f>
        <v/>
      </c>
      <c r="J99" s="85">
        <f>'01_원자료'!P96*'03_가중치민감도'!$B$10+'01_원자료'!Q96*'03_가중치민감도'!$C$10+'01_원자료'!R96*'03_가중치민감도'!$D$10</f>
        <v/>
      </c>
      <c r="K99" s="99">
        <f>COUNTIF($E$5:$E$979,"&lt;"&amp;E99)+(COUNTIF($E$5:$E$979,"="&amp;E99)+1)/2</f>
        <v/>
      </c>
      <c r="L99" s="99">
        <f>COUNTIF($F$5:$F$979,"&lt;"&amp;F99)+(COUNTIF($F$5:$F$979,"="&amp;F99)+1)/2</f>
        <v/>
      </c>
      <c r="M99" s="99">
        <f>COUNTIF($G$5:$G$979,"&lt;"&amp;G99)+(COUNTIF($G$5:$G$979,"="&amp;G99)+1)/2</f>
        <v/>
      </c>
      <c r="N99" s="99">
        <f>COUNTIF($H$5:$H$979,"&lt;"&amp;H99)+(COUNTIF($H$5:$H$979,"="&amp;H99)+1)/2</f>
        <v/>
      </c>
      <c r="O99" s="99">
        <f>COUNTIF($I$5:$I$979,"&lt;"&amp;I99)+(COUNTIF($I$5:$I$979,"="&amp;I99)+1)/2</f>
        <v/>
      </c>
      <c r="P99" s="99">
        <f>COUNTIF($J$5:$J$979,"&lt;"&amp;J99)+(COUNTIF($J$5:$J$979,"="&amp;J99)+1)/2</f>
        <v/>
      </c>
    </row>
    <row r="100" ht="15" customHeight="1" s="68">
      <c r="A100" s="70">
        <f>'01_원자료'!A97</f>
        <v/>
      </c>
      <c r="B100" s="70">
        <f>'01_원자료'!B97</f>
        <v/>
      </c>
      <c r="C100" s="70">
        <f>'01_원자료'!C97</f>
        <v/>
      </c>
      <c r="E100" s="85">
        <f>'01_원자료'!P97*'03_가중치민감도'!$B$5+'01_원자료'!Q97*'03_가중치민감도'!$C$5+'01_원자료'!R97*'03_가중치민감도'!$D$5</f>
        <v/>
      </c>
      <c r="F100" s="85">
        <f>'01_원자료'!P97*'03_가중치민감도'!$B$6+'01_원자료'!Q97*'03_가중치민감도'!$C$6+'01_원자료'!R97*'03_가중치민감도'!$D$6</f>
        <v/>
      </c>
      <c r="G100" s="85">
        <f>'01_원자료'!P97*'03_가중치민감도'!$B$7+'01_원자료'!Q97*'03_가중치민감도'!$C$7+'01_원자료'!R97*'03_가중치민감도'!$D$7</f>
        <v/>
      </c>
      <c r="H100" s="85">
        <f>'01_원자료'!P97*'03_가중치민감도'!$B$8+'01_원자료'!Q97*'03_가중치민감도'!$C$8+'01_원자료'!R97*'03_가중치민감도'!$D$8</f>
        <v/>
      </c>
      <c r="I100" s="85">
        <f>'01_원자료'!P97*'03_가중치민감도'!$B$9+'01_원자료'!Q97*'03_가중치민감도'!$C$9+'01_원자료'!R97*'03_가중치민감도'!$D$9</f>
        <v/>
      </c>
      <c r="J100" s="85">
        <f>'01_원자료'!P97*'03_가중치민감도'!$B$10+'01_원자료'!Q97*'03_가중치민감도'!$C$10+'01_원자료'!R97*'03_가중치민감도'!$D$10</f>
        <v/>
      </c>
      <c r="K100" s="99">
        <f>COUNTIF($E$5:$E$979,"&lt;"&amp;E100)+(COUNTIF($E$5:$E$979,"="&amp;E100)+1)/2</f>
        <v/>
      </c>
      <c r="L100" s="99">
        <f>COUNTIF($F$5:$F$979,"&lt;"&amp;F100)+(COUNTIF($F$5:$F$979,"="&amp;F100)+1)/2</f>
        <v/>
      </c>
      <c r="M100" s="99">
        <f>COUNTIF($G$5:$G$979,"&lt;"&amp;G100)+(COUNTIF($G$5:$G$979,"="&amp;G100)+1)/2</f>
        <v/>
      </c>
      <c r="N100" s="99">
        <f>COUNTIF($H$5:$H$979,"&lt;"&amp;H100)+(COUNTIF($H$5:$H$979,"="&amp;H100)+1)/2</f>
        <v/>
      </c>
      <c r="O100" s="99">
        <f>COUNTIF($I$5:$I$979,"&lt;"&amp;I100)+(COUNTIF($I$5:$I$979,"="&amp;I100)+1)/2</f>
        <v/>
      </c>
      <c r="P100" s="99">
        <f>COUNTIF($J$5:$J$979,"&lt;"&amp;J100)+(COUNTIF($J$5:$J$979,"="&amp;J100)+1)/2</f>
        <v/>
      </c>
    </row>
    <row r="101" ht="15" customHeight="1" s="68">
      <c r="A101" s="70">
        <f>'01_원자료'!A98</f>
        <v/>
      </c>
      <c r="B101" s="70">
        <f>'01_원자료'!B98</f>
        <v/>
      </c>
      <c r="C101" s="70">
        <f>'01_원자료'!C98</f>
        <v/>
      </c>
      <c r="E101" s="85">
        <f>'01_원자료'!P98*'03_가중치민감도'!$B$5+'01_원자료'!Q98*'03_가중치민감도'!$C$5+'01_원자료'!R98*'03_가중치민감도'!$D$5</f>
        <v/>
      </c>
      <c r="F101" s="85">
        <f>'01_원자료'!P98*'03_가중치민감도'!$B$6+'01_원자료'!Q98*'03_가중치민감도'!$C$6+'01_원자료'!R98*'03_가중치민감도'!$D$6</f>
        <v/>
      </c>
      <c r="G101" s="85">
        <f>'01_원자료'!P98*'03_가중치민감도'!$B$7+'01_원자료'!Q98*'03_가중치민감도'!$C$7+'01_원자료'!R98*'03_가중치민감도'!$D$7</f>
        <v/>
      </c>
      <c r="H101" s="85">
        <f>'01_원자료'!P98*'03_가중치민감도'!$B$8+'01_원자료'!Q98*'03_가중치민감도'!$C$8+'01_원자료'!R98*'03_가중치민감도'!$D$8</f>
        <v/>
      </c>
      <c r="I101" s="85">
        <f>'01_원자료'!P98*'03_가중치민감도'!$B$9+'01_원자료'!Q98*'03_가중치민감도'!$C$9+'01_원자료'!R98*'03_가중치민감도'!$D$9</f>
        <v/>
      </c>
      <c r="J101" s="85">
        <f>'01_원자료'!P98*'03_가중치민감도'!$B$10+'01_원자료'!Q98*'03_가중치민감도'!$C$10+'01_원자료'!R98*'03_가중치민감도'!$D$10</f>
        <v/>
      </c>
      <c r="K101" s="99">
        <f>COUNTIF($E$5:$E$979,"&lt;"&amp;E101)+(COUNTIF($E$5:$E$979,"="&amp;E101)+1)/2</f>
        <v/>
      </c>
      <c r="L101" s="99">
        <f>COUNTIF($F$5:$F$979,"&lt;"&amp;F101)+(COUNTIF($F$5:$F$979,"="&amp;F101)+1)/2</f>
        <v/>
      </c>
      <c r="M101" s="99">
        <f>COUNTIF($G$5:$G$979,"&lt;"&amp;G101)+(COUNTIF($G$5:$G$979,"="&amp;G101)+1)/2</f>
        <v/>
      </c>
      <c r="N101" s="99">
        <f>COUNTIF($H$5:$H$979,"&lt;"&amp;H101)+(COUNTIF($H$5:$H$979,"="&amp;H101)+1)/2</f>
        <v/>
      </c>
      <c r="O101" s="99">
        <f>COUNTIF($I$5:$I$979,"&lt;"&amp;I101)+(COUNTIF($I$5:$I$979,"="&amp;I101)+1)/2</f>
        <v/>
      </c>
      <c r="P101" s="99">
        <f>COUNTIF($J$5:$J$979,"&lt;"&amp;J101)+(COUNTIF($J$5:$J$979,"="&amp;J101)+1)/2</f>
        <v/>
      </c>
    </row>
    <row r="102" ht="15" customHeight="1" s="68">
      <c r="A102" s="70">
        <f>'01_원자료'!A99</f>
        <v/>
      </c>
      <c r="B102" s="70">
        <f>'01_원자료'!B99</f>
        <v/>
      </c>
      <c r="C102" s="70">
        <f>'01_원자료'!C99</f>
        <v/>
      </c>
      <c r="E102" s="85">
        <f>'01_원자료'!P99*'03_가중치민감도'!$B$5+'01_원자료'!Q99*'03_가중치민감도'!$C$5+'01_원자료'!R99*'03_가중치민감도'!$D$5</f>
        <v/>
      </c>
      <c r="F102" s="85">
        <f>'01_원자료'!P99*'03_가중치민감도'!$B$6+'01_원자료'!Q99*'03_가중치민감도'!$C$6+'01_원자료'!R99*'03_가중치민감도'!$D$6</f>
        <v/>
      </c>
      <c r="G102" s="85">
        <f>'01_원자료'!P99*'03_가중치민감도'!$B$7+'01_원자료'!Q99*'03_가중치민감도'!$C$7+'01_원자료'!R99*'03_가중치민감도'!$D$7</f>
        <v/>
      </c>
      <c r="H102" s="85">
        <f>'01_원자료'!P99*'03_가중치민감도'!$B$8+'01_원자료'!Q99*'03_가중치민감도'!$C$8+'01_원자료'!R99*'03_가중치민감도'!$D$8</f>
        <v/>
      </c>
      <c r="I102" s="85">
        <f>'01_원자료'!P99*'03_가중치민감도'!$B$9+'01_원자료'!Q99*'03_가중치민감도'!$C$9+'01_원자료'!R99*'03_가중치민감도'!$D$9</f>
        <v/>
      </c>
      <c r="J102" s="85">
        <f>'01_원자료'!P99*'03_가중치민감도'!$B$10+'01_원자료'!Q99*'03_가중치민감도'!$C$10+'01_원자료'!R99*'03_가중치민감도'!$D$10</f>
        <v/>
      </c>
      <c r="K102" s="99">
        <f>COUNTIF($E$5:$E$979,"&lt;"&amp;E102)+(COUNTIF($E$5:$E$979,"="&amp;E102)+1)/2</f>
        <v/>
      </c>
      <c r="L102" s="99">
        <f>COUNTIF($F$5:$F$979,"&lt;"&amp;F102)+(COUNTIF($F$5:$F$979,"="&amp;F102)+1)/2</f>
        <v/>
      </c>
      <c r="M102" s="99">
        <f>COUNTIF($G$5:$G$979,"&lt;"&amp;G102)+(COUNTIF($G$5:$G$979,"="&amp;G102)+1)/2</f>
        <v/>
      </c>
      <c r="N102" s="99">
        <f>COUNTIF($H$5:$H$979,"&lt;"&amp;H102)+(COUNTIF($H$5:$H$979,"="&amp;H102)+1)/2</f>
        <v/>
      </c>
      <c r="O102" s="99">
        <f>COUNTIF($I$5:$I$979,"&lt;"&amp;I102)+(COUNTIF($I$5:$I$979,"="&amp;I102)+1)/2</f>
        <v/>
      </c>
      <c r="P102" s="99">
        <f>COUNTIF($J$5:$J$979,"&lt;"&amp;J102)+(COUNTIF($J$5:$J$979,"="&amp;J102)+1)/2</f>
        <v/>
      </c>
    </row>
    <row r="103" ht="15" customHeight="1" s="68">
      <c r="A103" s="70">
        <f>'01_원자료'!A100</f>
        <v/>
      </c>
      <c r="B103" s="70">
        <f>'01_원자료'!B100</f>
        <v/>
      </c>
      <c r="C103" s="70">
        <f>'01_원자료'!C100</f>
        <v/>
      </c>
      <c r="E103" s="85">
        <f>'01_원자료'!P100*'03_가중치민감도'!$B$5+'01_원자료'!Q100*'03_가중치민감도'!$C$5+'01_원자료'!R100*'03_가중치민감도'!$D$5</f>
        <v/>
      </c>
      <c r="F103" s="85">
        <f>'01_원자료'!P100*'03_가중치민감도'!$B$6+'01_원자료'!Q100*'03_가중치민감도'!$C$6+'01_원자료'!R100*'03_가중치민감도'!$D$6</f>
        <v/>
      </c>
      <c r="G103" s="85">
        <f>'01_원자료'!P100*'03_가중치민감도'!$B$7+'01_원자료'!Q100*'03_가중치민감도'!$C$7+'01_원자료'!R100*'03_가중치민감도'!$D$7</f>
        <v/>
      </c>
      <c r="H103" s="85">
        <f>'01_원자료'!P100*'03_가중치민감도'!$B$8+'01_원자료'!Q100*'03_가중치민감도'!$C$8+'01_원자료'!R100*'03_가중치민감도'!$D$8</f>
        <v/>
      </c>
      <c r="I103" s="85">
        <f>'01_원자료'!P100*'03_가중치민감도'!$B$9+'01_원자료'!Q100*'03_가중치민감도'!$C$9+'01_원자료'!R100*'03_가중치민감도'!$D$9</f>
        <v/>
      </c>
      <c r="J103" s="85">
        <f>'01_원자료'!P100*'03_가중치민감도'!$B$10+'01_원자료'!Q100*'03_가중치민감도'!$C$10+'01_원자료'!R100*'03_가중치민감도'!$D$10</f>
        <v/>
      </c>
      <c r="K103" s="99">
        <f>COUNTIF($E$5:$E$979,"&lt;"&amp;E103)+(COUNTIF($E$5:$E$979,"="&amp;E103)+1)/2</f>
        <v/>
      </c>
      <c r="L103" s="99">
        <f>COUNTIF($F$5:$F$979,"&lt;"&amp;F103)+(COUNTIF($F$5:$F$979,"="&amp;F103)+1)/2</f>
        <v/>
      </c>
      <c r="M103" s="99">
        <f>COUNTIF($G$5:$G$979,"&lt;"&amp;G103)+(COUNTIF($G$5:$G$979,"="&amp;G103)+1)/2</f>
        <v/>
      </c>
      <c r="N103" s="99">
        <f>COUNTIF($H$5:$H$979,"&lt;"&amp;H103)+(COUNTIF($H$5:$H$979,"="&amp;H103)+1)/2</f>
        <v/>
      </c>
      <c r="O103" s="99">
        <f>COUNTIF($I$5:$I$979,"&lt;"&amp;I103)+(COUNTIF($I$5:$I$979,"="&amp;I103)+1)/2</f>
        <v/>
      </c>
      <c r="P103" s="99">
        <f>COUNTIF($J$5:$J$979,"&lt;"&amp;J103)+(COUNTIF($J$5:$J$979,"="&amp;J103)+1)/2</f>
        <v/>
      </c>
    </row>
    <row r="104" ht="15" customHeight="1" s="68">
      <c r="A104" s="70">
        <f>'01_원자료'!A101</f>
        <v/>
      </c>
      <c r="B104" s="70">
        <f>'01_원자료'!B101</f>
        <v/>
      </c>
      <c r="C104" s="70">
        <f>'01_원자료'!C101</f>
        <v/>
      </c>
      <c r="E104" s="85">
        <f>'01_원자료'!P101*'03_가중치민감도'!$B$5+'01_원자료'!Q101*'03_가중치민감도'!$C$5+'01_원자료'!R101*'03_가중치민감도'!$D$5</f>
        <v/>
      </c>
      <c r="F104" s="85">
        <f>'01_원자료'!P101*'03_가중치민감도'!$B$6+'01_원자료'!Q101*'03_가중치민감도'!$C$6+'01_원자료'!R101*'03_가중치민감도'!$D$6</f>
        <v/>
      </c>
      <c r="G104" s="85">
        <f>'01_원자료'!P101*'03_가중치민감도'!$B$7+'01_원자료'!Q101*'03_가중치민감도'!$C$7+'01_원자료'!R101*'03_가중치민감도'!$D$7</f>
        <v/>
      </c>
      <c r="H104" s="85">
        <f>'01_원자료'!P101*'03_가중치민감도'!$B$8+'01_원자료'!Q101*'03_가중치민감도'!$C$8+'01_원자료'!R101*'03_가중치민감도'!$D$8</f>
        <v/>
      </c>
      <c r="I104" s="85">
        <f>'01_원자료'!P101*'03_가중치민감도'!$B$9+'01_원자료'!Q101*'03_가중치민감도'!$C$9+'01_원자료'!R101*'03_가중치민감도'!$D$9</f>
        <v/>
      </c>
      <c r="J104" s="85">
        <f>'01_원자료'!P101*'03_가중치민감도'!$B$10+'01_원자료'!Q101*'03_가중치민감도'!$C$10+'01_원자료'!R101*'03_가중치민감도'!$D$10</f>
        <v/>
      </c>
      <c r="K104" s="99">
        <f>COUNTIF($E$5:$E$979,"&lt;"&amp;E104)+(COUNTIF($E$5:$E$979,"="&amp;E104)+1)/2</f>
        <v/>
      </c>
      <c r="L104" s="99">
        <f>COUNTIF($F$5:$F$979,"&lt;"&amp;F104)+(COUNTIF($F$5:$F$979,"="&amp;F104)+1)/2</f>
        <v/>
      </c>
      <c r="M104" s="99">
        <f>COUNTIF($G$5:$G$979,"&lt;"&amp;G104)+(COUNTIF($G$5:$G$979,"="&amp;G104)+1)/2</f>
        <v/>
      </c>
      <c r="N104" s="99">
        <f>COUNTIF($H$5:$H$979,"&lt;"&amp;H104)+(COUNTIF($H$5:$H$979,"="&amp;H104)+1)/2</f>
        <v/>
      </c>
      <c r="O104" s="99">
        <f>COUNTIF($I$5:$I$979,"&lt;"&amp;I104)+(COUNTIF($I$5:$I$979,"="&amp;I104)+1)/2</f>
        <v/>
      </c>
      <c r="P104" s="99">
        <f>COUNTIF($J$5:$J$979,"&lt;"&amp;J104)+(COUNTIF($J$5:$J$979,"="&amp;J104)+1)/2</f>
        <v/>
      </c>
    </row>
    <row r="105" ht="15" customHeight="1" s="68">
      <c r="A105" s="70">
        <f>'01_원자료'!A102</f>
        <v/>
      </c>
      <c r="B105" s="70">
        <f>'01_원자료'!B102</f>
        <v/>
      </c>
      <c r="C105" s="70">
        <f>'01_원자료'!C102</f>
        <v/>
      </c>
      <c r="E105" s="85">
        <f>'01_원자료'!P102*'03_가중치민감도'!$B$5+'01_원자료'!Q102*'03_가중치민감도'!$C$5+'01_원자료'!R102*'03_가중치민감도'!$D$5</f>
        <v/>
      </c>
      <c r="F105" s="85">
        <f>'01_원자료'!P102*'03_가중치민감도'!$B$6+'01_원자료'!Q102*'03_가중치민감도'!$C$6+'01_원자료'!R102*'03_가중치민감도'!$D$6</f>
        <v/>
      </c>
      <c r="G105" s="85">
        <f>'01_원자료'!P102*'03_가중치민감도'!$B$7+'01_원자료'!Q102*'03_가중치민감도'!$C$7+'01_원자료'!R102*'03_가중치민감도'!$D$7</f>
        <v/>
      </c>
      <c r="H105" s="85">
        <f>'01_원자료'!P102*'03_가중치민감도'!$B$8+'01_원자료'!Q102*'03_가중치민감도'!$C$8+'01_원자료'!R102*'03_가중치민감도'!$D$8</f>
        <v/>
      </c>
      <c r="I105" s="85">
        <f>'01_원자료'!P102*'03_가중치민감도'!$B$9+'01_원자료'!Q102*'03_가중치민감도'!$C$9+'01_원자료'!R102*'03_가중치민감도'!$D$9</f>
        <v/>
      </c>
      <c r="J105" s="85">
        <f>'01_원자료'!P102*'03_가중치민감도'!$B$10+'01_원자료'!Q102*'03_가중치민감도'!$C$10+'01_원자료'!R102*'03_가중치민감도'!$D$10</f>
        <v/>
      </c>
      <c r="K105" s="99">
        <f>COUNTIF($E$5:$E$979,"&lt;"&amp;E105)+(COUNTIF($E$5:$E$979,"="&amp;E105)+1)/2</f>
        <v/>
      </c>
      <c r="L105" s="99">
        <f>COUNTIF($F$5:$F$979,"&lt;"&amp;F105)+(COUNTIF($F$5:$F$979,"="&amp;F105)+1)/2</f>
        <v/>
      </c>
      <c r="M105" s="99">
        <f>COUNTIF($G$5:$G$979,"&lt;"&amp;G105)+(COUNTIF($G$5:$G$979,"="&amp;G105)+1)/2</f>
        <v/>
      </c>
      <c r="N105" s="99">
        <f>COUNTIF($H$5:$H$979,"&lt;"&amp;H105)+(COUNTIF($H$5:$H$979,"="&amp;H105)+1)/2</f>
        <v/>
      </c>
      <c r="O105" s="99">
        <f>COUNTIF($I$5:$I$979,"&lt;"&amp;I105)+(COUNTIF($I$5:$I$979,"="&amp;I105)+1)/2</f>
        <v/>
      </c>
      <c r="P105" s="99">
        <f>COUNTIF($J$5:$J$979,"&lt;"&amp;J105)+(COUNTIF($J$5:$J$979,"="&amp;J105)+1)/2</f>
        <v/>
      </c>
    </row>
    <row r="106" ht="15" customHeight="1" s="68">
      <c r="A106" s="70">
        <f>'01_원자료'!A103</f>
        <v/>
      </c>
      <c r="B106" s="70">
        <f>'01_원자료'!B103</f>
        <v/>
      </c>
      <c r="C106" s="70">
        <f>'01_원자료'!C103</f>
        <v/>
      </c>
      <c r="E106" s="85">
        <f>'01_원자료'!P103*'03_가중치민감도'!$B$5+'01_원자료'!Q103*'03_가중치민감도'!$C$5+'01_원자료'!R103*'03_가중치민감도'!$D$5</f>
        <v/>
      </c>
      <c r="F106" s="85">
        <f>'01_원자료'!P103*'03_가중치민감도'!$B$6+'01_원자료'!Q103*'03_가중치민감도'!$C$6+'01_원자료'!R103*'03_가중치민감도'!$D$6</f>
        <v/>
      </c>
      <c r="G106" s="85">
        <f>'01_원자료'!P103*'03_가중치민감도'!$B$7+'01_원자료'!Q103*'03_가중치민감도'!$C$7+'01_원자료'!R103*'03_가중치민감도'!$D$7</f>
        <v/>
      </c>
      <c r="H106" s="85">
        <f>'01_원자료'!P103*'03_가중치민감도'!$B$8+'01_원자료'!Q103*'03_가중치민감도'!$C$8+'01_원자료'!R103*'03_가중치민감도'!$D$8</f>
        <v/>
      </c>
      <c r="I106" s="85">
        <f>'01_원자료'!P103*'03_가중치민감도'!$B$9+'01_원자료'!Q103*'03_가중치민감도'!$C$9+'01_원자료'!R103*'03_가중치민감도'!$D$9</f>
        <v/>
      </c>
      <c r="J106" s="85">
        <f>'01_원자료'!P103*'03_가중치민감도'!$B$10+'01_원자료'!Q103*'03_가중치민감도'!$C$10+'01_원자료'!R103*'03_가중치민감도'!$D$10</f>
        <v/>
      </c>
      <c r="K106" s="99">
        <f>COUNTIF($E$5:$E$979,"&lt;"&amp;E106)+(COUNTIF($E$5:$E$979,"="&amp;E106)+1)/2</f>
        <v/>
      </c>
      <c r="L106" s="99">
        <f>COUNTIF($F$5:$F$979,"&lt;"&amp;F106)+(COUNTIF($F$5:$F$979,"="&amp;F106)+1)/2</f>
        <v/>
      </c>
      <c r="M106" s="99">
        <f>COUNTIF($G$5:$G$979,"&lt;"&amp;G106)+(COUNTIF($G$5:$G$979,"="&amp;G106)+1)/2</f>
        <v/>
      </c>
      <c r="N106" s="99">
        <f>COUNTIF($H$5:$H$979,"&lt;"&amp;H106)+(COUNTIF($H$5:$H$979,"="&amp;H106)+1)/2</f>
        <v/>
      </c>
      <c r="O106" s="99">
        <f>COUNTIF($I$5:$I$979,"&lt;"&amp;I106)+(COUNTIF($I$5:$I$979,"="&amp;I106)+1)/2</f>
        <v/>
      </c>
      <c r="P106" s="99">
        <f>COUNTIF($J$5:$J$979,"&lt;"&amp;J106)+(COUNTIF($J$5:$J$979,"="&amp;J106)+1)/2</f>
        <v/>
      </c>
    </row>
    <row r="107" ht="15" customHeight="1" s="68">
      <c r="A107" s="70">
        <f>'01_원자료'!A104</f>
        <v/>
      </c>
      <c r="B107" s="70">
        <f>'01_원자료'!B104</f>
        <v/>
      </c>
      <c r="C107" s="70">
        <f>'01_원자료'!C104</f>
        <v/>
      </c>
      <c r="E107" s="85">
        <f>'01_원자료'!P104*'03_가중치민감도'!$B$5+'01_원자료'!Q104*'03_가중치민감도'!$C$5+'01_원자료'!R104*'03_가중치민감도'!$D$5</f>
        <v/>
      </c>
      <c r="F107" s="85">
        <f>'01_원자료'!P104*'03_가중치민감도'!$B$6+'01_원자료'!Q104*'03_가중치민감도'!$C$6+'01_원자료'!R104*'03_가중치민감도'!$D$6</f>
        <v/>
      </c>
      <c r="G107" s="85">
        <f>'01_원자료'!P104*'03_가중치민감도'!$B$7+'01_원자료'!Q104*'03_가중치민감도'!$C$7+'01_원자료'!R104*'03_가중치민감도'!$D$7</f>
        <v/>
      </c>
      <c r="H107" s="85">
        <f>'01_원자료'!P104*'03_가중치민감도'!$B$8+'01_원자료'!Q104*'03_가중치민감도'!$C$8+'01_원자료'!R104*'03_가중치민감도'!$D$8</f>
        <v/>
      </c>
      <c r="I107" s="85">
        <f>'01_원자료'!P104*'03_가중치민감도'!$B$9+'01_원자료'!Q104*'03_가중치민감도'!$C$9+'01_원자료'!R104*'03_가중치민감도'!$D$9</f>
        <v/>
      </c>
      <c r="J107" s="85">
        <f>'01_원자료'!P104*'03_가중치민감도'!$B$10+'01_원자료'!Q104*'03_가중치민감도'!$C$10+'01_원자료'!R104*'03_가중치민감도'!$D$10</f>
        <v/>
      </c>
      <c r="K107" s="99">
        <f>COUNTIF($E$5:$E$979,"&lt;"&amp;E107)+(COUNTIF($E$5:$E$979,"="&amp;E107)+1)/2</f>
        <v/>
      </c>
      <c r="L107" s="99">
        <f>COUNTIF($F$5:$F$979,"&lt;"&amp;F107)+(COUNTIF($F$5:$F$979,"="&amp;F107)+1)/2</f>
        <v/>
      </c>
      <c r="M107" s="99">
        <f>COUNTIF($G$5:$G$979,"&lt;"&amp;G107)+(COUNTIF($G$5:$G$979,"="&amp;G107)+1)/2</f>
        <v/>
      </c>
      <c r="N107" s="99">
        <f>COUNTIF($H$5:$H$979,"&lt;"&amp;H107)+(COUNTIF($H$5:$H$979,"="&amp;H107)+1)/2</f>
        <v/>
      </c>
      <c r="O107" s="99">
        <f>COUNTIF($I$5:$I$979,"&lt;"&amp;I107)+(COUNTIF($I$5:$I$979,"="&amp;I107)+1)/2</f>
        <v/>
      </c>
      <c r="P107" s="99">
        <f>COUNTIF($J$5:$J$979,"&lt;"&amp;J107)+(COUNTIF($J$5:$J$979,"="&amp;J107)+1)/2</f>
        <v/>
      </c>
    </row>
    <row r="108" ht="15" customHeight="1" s="68">
      <c r="A108" s="70">
        <f>'01_원자료'!A105</f>
        <v/>
      </c>
      <c r="B108" s="70">
        <f>'01_원자료'!B105</f>
        <v/>
      </c>
      <c r="C108" s="70">
        <f>'01_원자료'!C105</f>
        <v/>
      </c>
      <c r="E108" s="85">
        <f>'01_원자료'!P105*'03_가중치민감도'!$B$5+'01_원자료'!Q105*'03_가중치민감도'!$C$5+'01_원자료'!R105*'03_가중치민감도'!$D$5</f>
        <v/>
      </c>
      <c r="F108" s="85">
        <f>'01_원자료'!P105*'03_가중치민감도'!$B$6+'01_원자료'!Q105*'03_가중치민감도'!$C$6+'01_원자료'!R105*'03_가중치민감도'!$D$6</f>
        <v/>
      </c>
      <c r="G108" s="85">
        <f>'01_원자료'!P105*'03_가중치민감도'!$B$7+'01_원자료'!Q105*'03_가중치민감도'!$C$7+'01_원자료'!R105*'03_가중치민감도'!$D$7</f>
        <v/>
      </c>
      <c r="H108" s="85">
        <f>'01_원자료'!P105*'03_가중치민감도'!$B$8+'01_원자료'!Q105*'03_가중치민감도'!$C$8+'01_원자료'!R105*'03_가중치민감도'!$D$8</f>
        <v/>
      </c>
      <c r="I108" s="85">
        <f>'01_원자료'!P105*'03_가중치민감도'!$B$9+'01_원자료'!Q105*'03_가중치민감도'!$C$9+'01_원자료'!R105*'03_가중치민감도'!$D$9</f>
        <v/>
      </c>
      <c r="J108" s="85">
        <f>'01_원자료'!P105*'03_가중치민감도'!$B$10+'01_원자료'!Q105*'03_가중치민감도'!$C$10+'01_원자료'!R105*'03_가중치민감도'!$D$10</f>
        <v/>
      </c>
      <c r="K108" s="99">
        <f>COUNTIF($E$5:$E$979,"&lt;"&amp;E108)+(COUNTIF($E$5:$E$979,"="&amp;E108)+1)/2</f>
        <v/>
      </c>
      <c r="L108" s="99">
        <f>COUNTIF($F$5:$F$979,"&lt;"&amp;F108)+(COUNTIF($F$5:$F$979,"="&amp;F108)+1)/2</f>
        <v/>
      </c>
      <c r="M108" s="99">
        <f>COUNTIF($G$5:$G$979,"&lt;"&amp;G108)+(COUNTIF($G$5:$G$979,"="&amp;G108)+1)/2</f>
        <v/>
      </c>
      <c r="N108" s="99">
        <f>COUNTIF($H$5:$H$979,"&lt;"&amp;H108)+(COUNTIF($H$5:$H$979,"="&amp;H108)+1)/2</f>
        <v/>
      </c>
      <c r="O108" s="99">
        <f>COUNTIF($I$5:$I$979,"&lt;"&amp;I108)+(COUNTIF($I$5:$I$979,"="&amp;I108)+1)/2</f>
        <v/>
      </c>
      <c r="P108" s="99">
        <f>COUNTIF($J$5:$J$979,"&lt;"&amp;J108)+(COUNTIF($J$5:$J$979,"="&amp;J108)+1)/2</f>
        <v/>
      </c>
    </row>
    <row r="109" ht="15" customHeight="1" s="68">
      <c r="A109" s="70">
        <f>'01_원자료'!A106</f>
        <v/>
      </c>
      <c r="B109" s="70">
        <f>'01_원자료'!B106</f>
        <v/>
      </c>
      <c r="C109" s="70">
        <f>'01_원자료'!C106</f>
        <v/>
      </c>
      <c r="E109" s="85">
        <f>'01_원자료'!P106*'03_가중치민감도'!$B$5+'01_원자료'!Q106*'03_가중치민감도'!$C$5+'01_원자료'!R106*'03_가중치민감도'!$D$5</f>
        <v/>
      </c>
      <c r="F109" s="85">
        <f>'01_원자료'!P106*'03_가중치민감도'!$B$6+'01_원자료'!Q106*'03_가중치민감도'!$C$6+'01_원자료'!R106*'03_가중치민감도'!$D$6</f>
        <v/>
      </c>
      <c r="G109" s="85">
        <f>'01_원자료'!P106*'03_가중치민감도'!$B$7+'01_원자료'!Q106*'03_가중치민감도'!$C$7+'01_원자료'!R106*'03_가중치민감도'!$D$7</f>
        <v/>
      </c>
      <c r="H109" s="85">
        <f>'01_원자료'!P106*'03_가중치민감도'!$B$8+'01_원자료'!Q106*'03_가중치민감도'!$C$8+'01_원자료'!R106*'03_가중치민감도'!$D$8</f>
        <v/>
      </c>
      <c r="I109" s="85">
        <f>'01_원자료'!P106*'03_가중치민감도'!$B$9+'01_원자료'!Q106*'03_가중치민감도'!$C$9+'01_원자료'!R106*'03_가중치민감도'!$D$9</f>
        <v/>
      </c>
      <c r="J109" s="85">
        <f>'01_원자료'!P106*'03_가중치민감도'!$B$10+'01_원자료'!Q106*'03_가중치민감도'!$C$10+'01_원자료'!R106*'03_가중치민감도'!$D$10</f>
        <v/>
      </c>
      <c r="K109" s="99">
        <f>COUNTIF($E$5:$E$979,"&lt;"&amp;E109)+(COUNTIF($E$5:$E$979,"="&amp;E109)+1)/2</f>
        <v/>
      </c>
      <c r="L109" s="99">
        <f>COUNTIF($F$5:$F$979,"&lt;"&amp;F109)+(COUNTIF($F$5:$F$979,"="&amp;F109)+1)/2</f>
        <v/>
      </c>
      <c r="M109" s="99">
        <f>COUNTIF($G$5:$G$979,"&lt;"&amp;G109)+(COUNTIF($G$5:$G$979,"="&amp;G109)+1)/2</f>
        <v/>
      </c>
      <c r="N109" s="99">
        <f>COUNTIF($H$5:$H$979,"&lt;"&amp;H109)+(COUNTIF($H$5:$H$979,"="&amp;H109)+1)/2</f>
        <v/>
      </c>
      <c r="O109" s="99">
        <f>COUNTIF($I$5:$I$979,"&lt;"&amp;I109)+(COUNTIF($I$5:$I$979,"="&amp;I109)+1)/2</f>
        <v/>
      </c>
      <c r="P109" s="99">
        <f>COUNTIF($J$5:$J$979,"&lt;"&amp;J109)+(COUNTIF($J$5:$J$979,"="&amp;J109)+1)/2</f>
        <v/>
      </c>
    </row>
    <row r="110" ht="15" customHeight="1" s="68">
      <c r="A110" s="70">
        <f>'01_원자료'!A107</f>
        <v/>
      </c>
      <c r="B110" s="70">
        <f>'01_원자료'!B107</f>
        <v/>
      </c>
      <c r="C110" s="70">
        <f>'01_원자료'!C107</f>
        <v/>
      </c>
      <c r="E110" s="85">
        <f>'01_원자료'!P107*'03_가중치민감도'!$B$5+'01_원자료'!Q107*'03_가중치민감도'!$C$5+'01_원자료'!R107*'03_가중치민감도'!$D$5</f>
        <v/>
      </c>
      <c r="F110" s="85">
        <f>'01_원자료'!P107*'03_가중치민감도'!$B$6+'01_원자료'!Q107*'03_가중치민감도'!$C$6+'01_원자료'!R107*'03_가중치민감도'!$D$6</f>
        <v/>
      </c>
      <c r="G110" s="85">
        <f>'01_원자료'!P107*'03_가중치민감도'!$B$7+'01_원자료'!Q107*'03_가중치민감도'!$C$7+'01_원자료'!R107*'03_가중치민감도'!$D$7</f>
        <v/>
      </c>
      <c r="H110" s="85">
        <f>'01_원자료'!P107*'03_가중치민감도'!$B$8+'01_원자료'!Q107*'03_가중치민감도'!$C$8+'01_원자료'!R107*'03_가중치민감도'!$D$8</f>
        <v/>
      </c>
      <c r="I110" s="85">
        <f>'01_원자료'!P107*'03_가중치민감도'!$B$9+'01_원자료'!Q107*'03_가중치민감도'!$C$9+'01_원자료'!R107*'03_가중치민감도'!$D$9</f>
        <v/>
      </c>
      <c r="J110" s="85">
        <f>'01_원자료'!P107*'03_가중치민감도'!$B$10+'01_원자료'!Q107*'03_가중치민감도'!$C$10+'01_원자료'!R107*'03_가중치민감도'!$D$10</f>
        <v/>
      </c>
      <c r="K110" s="99">
        <f>COUNTIF($E$5:$E$979,"&lt;"&amp;E110)+(COUNTIF($E$5:$E$979,"="&amp;E110)+1)/2</f>
        <v/>
      </c>
      <c r="L110" s="99">
        <f>COUNTIF($F$5:$F$979,"&lt;"&amp;F110)+(COUNTIF($F$5:$F$979,"="&amp;F110)+1)/2</f>
        <v/>
      </c>
      <c r="M110" s="99">
        <f>COUNTIF($G$5:$G$979,"&lt;"&amp;G110)+(COUNTIF($G$5:$G$979,"="&amp;G110)+1)/2</f>
        <v/>
      </c>
      <c r="N110" s="99">
        <f>COUNTIF($H$5:$H$979,"&lt;"&amp;H110)+(COUNTIF($H$5:$H$979,"="&amp;H110)+1)/2</f>
        <v/>
      </c>
      <c r="O110" s="99">
        <f>COUNTIF($I$5:$I$979,"&lt;"&amp;I110)+(COUNTIF($I$5:$I$979,"="&amp;I110)+1)/2</f>
        <v/>
      </c>
      <c r="P110" s="99">
        <f>COUNTIF($J$5:$J$979,"&lt;"&amp;J110)+(COUNTIF($J$5:$J$979,"="&amp;J110)+1)/2</f>
        <v/>
      </c>
    </row>
    <row r="111" ht="15" customHeight="1" s="68">
      <c r="A111" s="70">
        <f>'01_원자료'!A108</f>
        <v/>
      </c>
      <c r="B111" s="70">
        <f>'01_원자료'!B108</f>
        <v/>
      </c>
      <c r="C111" s="70">
        <f>'01_원자료'!C108</f>
        <v/>
      </c>
      <c r="E111" s="85">
        <f>'01_원자료'!P108*'03_가중치민감도'!$B$5+'01_원자료'!Q108*'03_가중치민감도'!$C$5+'01_원자료'!R108*'03_가중치민감도'!$D$5</f>
        <v/>
      </c>
      <c r="F111" s="85">
        <f>'01_원자료'!P108*'03_가중치민감도'!$B$6+'01_원자료'!Q108*'03_가중치민감도'!$C$6+'01_원자료'!R108*'03_가중치민감도'!$D$6</f>
        <v/>
      </c>
      <c r="G111" s="85">
        <f>'01_원자료'!P108*'03_가중치민감도'!$B$7+'01_원자료'!Q108*'03_가중치민감도'!$C$7+'01_원자료'!R108*'03_가중치민감도'!$D$7</f>
        <v/>
      </c>
      <c r="H111" s="85">
        <f>'01_원자료'!P108*'03_가중치민감도'!$B$8+'01_원자료'!Q108*'03_가중치민감도'!$C$8+'01_원자료'!R108*'03_가중치민감도'!$D$8</f>
        <v/>
      </c>
      <c r="I111" s="85">
        <f>'01_원자료'!P108*'03_가중치민감도'!$B$9+'01_원자료'!Q108*'03_가중치민감도'!$C$9+'01_원자료'!R108*'03_가중치민감도'!$D$9</f>
        <v/>
      </c>
      <c r="J111" s="85">
        <f>'01_원자료'!P108*'03_가중치민감도'!$B$10+'01_원자료'!Q108*'03_가중치민감도'!$C$10+'01_원자료'!R108*'03_가중치민감도'!$D$10</f>
        <v/>
      </c>
      <c r="K111" s="99">
        <f>COUNTIF($E$5:$E$979,"&lt;"&amp;E111)+(COUNTIF($E$5:$E$979,"="&amp;E111)+1)/2</f>
        <v/>
      </c>
      <c r="L111" s="99">
        <f>COUNTIF($F$5:$F$979,"&lt;"&amp;F111)+(COUNTIF($F$5:$F$979,"="&amp;F111)+1)/2</f>
        <v/>
      </c>
      <c r="M111" s="99">
        <f>COUNTIF($G$5:$G$979,"&lt;"&amp;G111)+(COUNTIF($G$5:$G$979,"="&amp;G111)+1)/2</f>
        <v/>
      </c>
      <c r="N111" s="99">
        <f>COUNTIF($H$5:$H$979,"&lt;"&amp;H111)+(COUNTIF($H$5:$H$979,"="&amp;H111)+1)/2</f>
        <v/>
      </c>
      <c r="O111" s="99">
        <f>COUNTIF($I$5:$I$979,"&lt;"&amp;I111)+(COUNTIF($I$5:$I$979,"="&amp;I111)+1)/2</f>
        <v/>
      </c>
      <c r="P111" s="99">
        <f>COUNTIF($J$5:$J$979,"&lt;"&amp;J111)+(COUNTIF($J$5:$J$979,"="&amp;J111)+1)/2</f>
        <v/>
      </c>
    </row>
    <row r="112" ht="15" customHeight="1" s="68">
      <c r="A112" s="70">
        <f>'01_원자료'!A109</f>
        <v/>
      </c>
      <c r="B112" s="70">
        <f>'01_원자료'!B109</f>
        <v/>
      </c>
      <c r="C112" s="70">
        <f>'01_원자료'!C109</f>
        <v/>
      </c>
      <c r="E112" s="85">
        <f>'01_원자료'!P109*'03_가중치민감도'!$B$5+'01_원자료'!Q109*'03_가중치민감도'!$C$5+'01_원자료'!R109*'03_가중치민감도'!$D$5</f>
        <v/>
      </c>
      <c r="F112" s="85">
        <f>'01_원자료'!P109*'03_가중치민감도'!$B$6+'01_원자료'!Q109*'03_가중치민감도'!$C$6+'01_원자료'!R109*'03_가중치민감도'!$D$6</f>
        <v/>
      </c>
      <c r="G112" s="85">
        <f>'01_원자료'!P109*'03_가중치민감도'!$B$7+'01_원자료'!Q109*'03_가중치민감도'!$C$7+'01_원자료'!R109*'03_가중치민감도'!$D$7</f>
        <v/>
      </c>
      <c r="H112" s="85">
        <f>'01_원자료'!P109*'03_가중치민감도'!$B$8+'01_원자료'!Q109*'03_가중치민감도'!$C$8+'01_원자료'!R109*'03_가중치민감도'!$D$8</f>
        <v/>
      </c>
      <c r="I112" s="85">
        <f>'01_원자료'!P109*'03_가중치민감도'!$B$9+'01_원자료'!Q109*'03_가중치민감도'!$C$9+'01_원자료'!R109*'03_가중치민감도'!$D$9</f>
        <v/>
      </c>
      <c r="J112" s="85">
        <f>'01_원자료'!P109*'03_가중치민감도'!$B$10+'01_원자료'!Q109*'03_가중치민감도'!$C$10+'01_원자료'!R109*'03_가중치민감도'!$D$10</f>
        <v/>
      </c>
      <c r="K112" s="99">
        <f>COUNTIF($E$5:$E$979,"&lt;"&amp;E112)+(COUNTIF($E$5:$E$979,"="&amp;E112)+1)/2</f>
        <v/>
      </c>
      <c r="L112" s="99">
        <f>COUNTIF($F$5:$F$979,"&lt;"&amp;F112)+(COUNTIF($F$5:$F$979,"="&amp;F112)+1)/2</f>
        <v/>
      </c>
      <c r="M112" s="99">
        <f>COUNTIF($G$5:$G$979,"&lt;"&amp;G112)+(COUNTIF($G$5:$G$979,"="&amp;G112)+1)/2</f>
        <v/>
      </c>
      <c r="N112" s="99">
        <f>COUNTIF($H$5:$H$979,"&lt;"&amp;H112)+(COUNTIF($H$5:$H$979,"="&amp;H112)+1)/2</f>
        <v/>
      </c>
      <c r="O112" s="99">
        <f>COUNTIF($I$5:$I$979,"&lt;"&amp;I112)+(COUNTIF($I$5:$I$979,"="&amp;I112)+1)/2</f>
        <v/>
      </c>
      <c r="P112" s="99">
        <f>COUNTIF($J$5:$J$979,"&lt;"&amp;J112)+(COUNTIF($J$5:$J$979,"="&amp;J112)+1)/2</f>
        <v/>
      </c>
    </row>
    <row r="113" ht="15" customHeight="1" s="68">
      <c r="A113" s="70">
        <f>'01_원자료'!A110</f>
        <v/>
      </c>
      <c r="B113" s="70">
        <f>'01_원자료'!B110</f>
        <v/>
      </c>
      <c r="C113" s="70">
        <f>'01_원자료'!C110</f>
        <v/>
      </c>
      <c r="E113" s="85">
        <f>'01_원자료'!P110*'03_가중치민감도'!$B$5+'01_원자료'!Q110*'03_가중치민감도'!$C$5+'01_원자료'!R110*'03_가중치민감도'!$D$5</f>
        <v/>
      </c>
      <c r="F113" s="85">
        <f>'01_원자료'!P110*'03_가중치민감도'!$B$6+'01_원자료'!Q110*'03_가중치민감도'!$C$6+'01_원자료'!R110*'03_가중치민감도'!$D$6</f>
        <v/>
      </c>
      <c r="G113" s="85">
        <f>'01_원자료'!P110*'03_가중치민감도'!$B$7+'01_원자료'!Q110*'03_가중치민감도'!$C$7+'01_원자료'!R110*'03_가중치민감도'!$D$7</f>
        <v/>
      </c>
      <c r="H113" s="85">
        <f>'01_원자료'!P110*'03_가중치민감도'!$B$8+'01_원자료'!Q110*'03_가중치민감도'!$C$8+'01_원자료'!R110*'03_가중치민감도'!$D$8</f>
        <v/>
      </c>
      <c r="I113" s="85">
        <f>'01_원자료'!P110*'03_가중치민감도'!$B$9+'01_원자료'!Q110*'03_가중치민감도'!$C$9+'01_원자료'!R110*'03_가중치민감도'!$D$9</f>
        <v/>
      </c>
      <c r="J113" s="85">
        <f>'01_원자료'!P110*'03_가중치민감도'!$B$10+'01_원자료'!Q110*'03_가중치민감도'!$C$10+'01_원자료'!R110*'03_가중치민감도'!$D$10</f>
        <v/>
      </c>
      <c r="K113" s="99">
        <f>COUNTIF($E$5:$E$979,"&lt;"&amp;E113)+(COUNTIF($E$5:$E$979,"="&amp;E113)+1)/2</f>
        <v/>
      </c>
      <c r="L113" s="99">
        <f>COUNTIF($F$5:$F$979,"&lt;"&amp;F113)+(COUNTIF($F$5:$F$979,"="&amp;F113)+1)/2</f>
        <v/>
      </c>
      <c r="M113" s="99">
        <f>COUNTIF($G$5:$G$979,"&lt;"&amp;G113)+(COUNTIF($G$5:$G$979,"="&amp;G113)+1)/2</f>
        <v/>
      </c>
      <c r="N113" s="99">
        <f>COUNTIF($H$5:$H$979,"&lt;"&amp;H113)+(COUNTIF($H$5:$H$979,"="&amp;H113)+1)/2</f>
        <v/>
      </c>
      <c r="O113" s="99">
        <f>COUNTIF($I$5:$I$979,"&lt;"&amp;I113)+(COUNTIF($I$5:$I$979,"="&amp;I113)+1)/2</f>
        <v/>
      </c>
      <c r="P113" s="99">
        <f>COUNTIF($J$5:$J$979,"&lt;"&amp;J113)+(COUNTIF($J$5:$J$979,"="&amp;J113)+1)/2</f>
        <v/>
      </c>
    </row>
    <row r="114" ht="15" customHeight="1" s="68">
      <c r="A114" s="70">
        <f>'01_원자료'!A111</f>
        <v/>
      </c>
      <c r="B114" s="70">
        <f>'01_원자료'!B111</f>
        <v/>
      </c>
      <c r="C114" s="70">
        <f>'01_원자료'!C111</f>
        <v/>
      </c>
      <c r="E114" s="85">
        <f>'01_원자료'!P111*'03_가중치민감도'!$B$5+'01_원자료'!Q111*'03_가중치민감도'!$C$5+'01_원자료'!R111*'03_가중치민감도'!$D$5</f>
        <v/>
      </c>
      <c r="F114" s="85">
        <f>'01_원자료'!P111*'03_가중치민감도'!$B$6+'01_원자료'!Q111*'03_가중치민감도'!$C$6+'01_원자료'!R111*'03_가중치민감도'!$D$6</f>
        <v/>
      </c>
      <c r="G114" s="85">
        <f>'01_원자료'!P111*'03_가중치민감도'!$B$7+'01_원자료'!Q111*'03_가중치민감도'!$C$7+'01_원자료'!R111*'03_가중치민감도'!$D$7</f>
        <v/>
      </c>
      <c r="H114" s="85">
        <f>'01_원자료'!P111*'03_가중치민감도'!$B$8+'01_원자료'!Q111*'03_가중치민감도'!$C$8+'01_원자료'!R111*'03_가중치민감도'!$D$8</f>
        <v/>
      </c>
      <c r="I114" s="85">
        <f>'01_원자료'!P111*'03_가중치민감도'!$B$9+'01_원자료'!Q111*'03_가중치민감도'!$C$9+'01_원자료'!R111*'03_가중치민감도'!$D$9</f>
        <v/>
      </c>
      <c r="J114" s="85">
        <f>'01_원자료'!P111*'03_가중치민감도'!$B$10+'01_원자료'!Q111*'03_가중치민감도'!$C$10+'01_원자료'!R111*'03_가중치민감도'!$D$10</f>
        <v/>
      </c>
      <c r="K114" s="99">
        <f>COUNTIF($E$5:$E$979,"&lt;"&amp;E114)+(COUNTIF($E$5:$E$979,"="&amp;E114)+1)/2</f>
        <v/>
      </c>
      <c r="L114" s="99">
        <f>COUNTIF($F$5:$F$979,"&lt;"&amp;F114)+(COUNTIF($F$5:$F$979,"="&amp;F114)+1)/2</f>
        <v/>
      </c>
      <c r="M114" s="99">
        <f>COUNTIF($G$5:$G$979,"&lt;"&amp;G114)+(COUNTIF($G$5:$G$979,"="&amp;G114)+1)/2</f>
        <v/>
      </c>
      <c r="N114" s="99">
        <f>COUNTIF($H$5:$H$979,"&lt;"&amp;H114)+(COUNTIF($H$5:$H$979,"="&amp;H114)+1)/2</f>
        <v/>
      </c>
      <c r="O114" s="99">
        <f>COUNTIF($I$5:$I$979,"&lt;"&amp;I114)+(COUNTIF($I$5:$I$979,"="&amp;I114)+1)/2</f>
        <v/>
      </c>
      <c r="P114" s="99">
        <f>COUNTIF($J$5:$J$979,"&lt;"&amp;J114)+(COUNTIF($J$5:$J$979,"="&amp;J114)+1)/2</f>
        <v/>
      </c>
    </row>
    <row r="115" ht="15" customHeight="1" s="68">
      <c r="A115" s="70">
        <f>'01_원자료'!A112</f>
        <v/>
      </c>
      <c r="B115" s="70">
        <f>'01_원자료'!B112</f>
        <v/>
      </c>
      <c r="C115" s="70">
        <f>'01_원자료'!C112</f>
        <v/>
      </c>
      <c r="E115" s="85">
        <f>'01_원자료'!P112*'03_가중치민감도'!$B$5+'01_원자료'!Q112*'03_가중치민감도'!$C$5+'01_원자료'!R112*'03_가중치민감도'!$D$5</f>
        <v/>
      </c>
      <c r="F115" s="85">
        <f>'01_원자료'!P112*'03_가중치민감도'!$B$6+'01_원자료'!Q112*'03_가중치민감도'!$C$6+'01_원자료'!R112*'03_가중치민감도'!$D$6</f>
        <v/>
      </c>
      <c r="G115" s="85">
        <f>'01_원자료'!P112*'03_가중치민감도'!$B$7+'01_원자료'!Q112*'03_가중치민감도'!$C$7+'01_원자료'!R112*'03_가중치민감도'!$D$7</f>
        <v/>
      </c>
      <c r="H115" s="85">
        <f>'01_원자료'!P112*'03_가중치민감도'!$B$8+'01_원자료'!Q112*'03_가중치민감도'!$C$8+'01_원자료'!R112*'03_가중치민감도'!$D$8</f>
        <v/>
      </c>
      <c r="I115" s="85">
        <f>'01_원자료'!P112*'03_가중치민감도'!$B$9+'01_원자료'!Q112*'03_가중치민감도'!$C$9+'01_원자료'!R112*'03_가중치민감도'!$D$9</f>
        <v/>
      </c>
      <c r="J115" s="85">
        <f>'01_원자료'!P112*'03_가중치민감도'!$B$10+'01_원자료'!Q112*'03_가중치민감도'!$C$10+'01_원자료'!R112*'03_가중치민감도'!$D$10</f>
        <v/>
      </c>
      <c r="K115" s="99">
        <f>COUNTIF($E$5:$E$979,"&lt;"&amp;E115)+(COUNTIF($E$5:$E$979,"="&amp;E115)+1)/2</f>
        <v/>
      </c>
      <c r="L115" s="99">
        <f>COUNTIF($F$5:$F$979,"&lt;"&amp;F115)+(COUNTIF($F$5:$F$979,"="&amp;F115)+1)/2</f>
        <v/>
      </c>
      <c r="M115" s="99">
        <f>COUNTIF($G$5:$G$979,"&lt;"&amp;G115)+(COUNTIF($G$5:$G$979,"="&amp;G115)+1)/2</f>
        <v/>
      </c>
      <c r="N115" s="99">
        <f>COUNTIF($H$5:$H$979,"&lt;"&amp;H115)+(COUNTIF($H$5:$H$979,"="&amp;H115)+1)/2</f>
        <v/>
      </c>
      <c r="O115" s="99">
        <f>COUNTIF($I$5:$I$979,"&lt;"&amp;I115)+(COUNTIF($I$5:$I$979,"="&amp;I115)+1)/2</f>
        <v/>
      </c>
      <c r="P115" s="99">
        <f>COUNTIF($J$5:$J$979,"&lt;"&amp;J115)+(COUNTIF($J$5:$J$979,"="&amp;J115)+1)/2</f>
        <v/>
      </c>
    </row>
    <row r="116" ht="15" customHeight="1" s="68">
      <c r="A116" s="70">
        <f>'01_원자료'!A113</f>
        <v/>
      </c>
      <c r="B116" s="70">
        <f>'01_원자료'!B113</f>
        <v/>
      </c>
      <c r="C116" s="70">
        <f>'01_원자료'!C113</f>
        <v/>
      </c>
      <c r="E116" s="85">
        <f>'01_원자료'!P113*'03_가중치민감도'!$B$5+'01_원자료'!Q113*'03_가중치민감도'!$C$5+'01_원자료'!R113*'03_가중치민감도'!$D$5</f>
        <v/>
      </c>
      <c r="F116" s="85">
        <f>'01_원자료'!P113*'03_가중치민감도'!$B$6+'01_원자료'!Q113*'03_가중치민감도'!$C$6+'01_원자료'!R113*'03_가중치민감도'!$D$6</f>
        <v/>
      </c>
      <c r="G116" s="85">
        <f>'01_원자료'!P113*'03_가중치민감도'!$B$7+'01_원자료'!Q113*'03_가중치민감도'!$C$7+'01_원자료'!R113*'03_가중치민감도'!$D$7</f>
        <v/>
      </c>
      <c r="H116" s="85">
        <f>'01_원자료'!P113*'03_가중치민감도'!$B$8+'01_원자료'!Q113*'03_가중치민감도'!$C$8+'01_원자료'!R113*'03_가중치민감도'!$D$8</f>
        <v/>
      </c>
      <c r="I116" s="85">
        <f>'01_원자료'!P113*'03_가중치민감도'!$B$9+'01_원자료'!Q113*'03_가중치민감도'!$C$9+'01_원자료'!R113*'03_가중치민감도'!$D$9</f>
        <v/>
      </c>
      <c r="J116" s="85">
        <f>'01_원자료'!P113*'03_가중치민감도'!$B$10+'01_원자료'!Q113*'03_가중치민감도'!$C$10+'01_원자료'!R113*'03_가중치민감도'!$D$10</f>
        <v/>
      </c>
      <c r="K116" s="99">
        <f>COUNTIF($E$5:$E$979,"&lt;"&amp;E116)+(COUNTIF($E$5:$E$979,"="&amp;E116)+1)/2</f>
        <v/>
      </c>
      <c r="L116" s="99">
        <f>COUNTIF($F$5:$F$979,"&lt;"&amp;F116)+(COUNTIF($F$5:$F$979,"="&amp;F116)+1)/2</f>
        <v/>
      </c>
      <c r="M116" s="99">
        <f>COUNTIF($G$5:$G$979,"&lt;"&amp;G116)+(COUNTIF($G$5:$G$979,"="&amp;G116)+1)/2</f>
        <v/>
      </c>
      <c r="N116" s="99">
        <f>COUNTIF($H$5:$H$979,"&lt;"&amp;H116)+(COUNTIF($H$5:$H$979,"="&amp;H116)+1)/2</f>
        <v/>
      </c>
      <c r="O116" s="99">
        <f>COUNTIF($I$5:$I$979,"&lt;"&amp;I116)+(COUNTIF($I$5:$I$979,"="&amp;I116)+1)/2</f>
        <v/>
      </c>
      <c r="P116" s="99">
        <f>COUNTIF($J$5:$J$979,"&lt;"&amp;J116)+(COUNTIF($J$5:$J$979,"="&amp;J116)+1)/2</f>
        <v/>
      </c>
    </row>
    <row r="117" ht="15" customHeight="1" s="68">
      <c r="A117" s="70">
        <f>'01_원자료'!A114</f>
        <v/>
      </c>
      <c r="B117" s="70">
        <f>'01_원자료'!B114</f>
        <v/>
      </c>
      <c r="C117" s="70">
        <f>'01_원자료'!C114</f>
        <v/>
      </c>
      <c r="E117" s="85">
        <f>'01_원자료'!P114*'03_가중치민감도'!$B$5+'01_원자료'!Q114*'03_가중치민감도'!$C$5+'01_원자료'!R114*'03_가중치민감도'!$D$5</f>
        <v/>
      </c>
      <c r="F117" s="85">
        <f>'01_원자료'!P114*'03_가중치민감도'!$B$6+'01_원자료'!Q114*'03_가중치민감도'!$C$6+'01_원자료'!R114*'03_가중치민감도'!$D$6</f>
        <v/>
      </c>
      <c r="G117" s="85">
        <f>'01_원자료'!P114*'03_가중치민감도'!$B$7+'01_원자료'!Q114*'03_가중치민감도'!$C$7+'01_원자료'!R114*'03_가중치민감도'!$D$7</f>
        <v/>
      </c>
      <c r="H117" s="85">
        <f>'01_원자료'!P114*'03_가중치민감도'!$B$8+'01_원자료'!Q114*'03_가중치민감도'!$C$8+'01_원자료'!R114*'03_가중치민감도'!$D$8</f>
        <v/>
      </c>
      <c r="I117" s="85">
        <f>'01_원자료'!P114*'03_가중치민감도'!$B$9+'01_원자료'!Q114*'03_가중치민감도'!$C$9+'01_원자료'!R114*'03_가중치민감도'!$D$9</f>
        <v/>
      </c>
      <c r="J117" s="85">
        <f>'01_원자료'!P114*'03_가중치민감도'!$B$10+'01_원자료'!Q114*'03_가중치민감도'!$C$10+'01_원자료'!R114*'03_가중치민감도'!$D$10</f>
        <v/>
      </c>
      <c r="K117" s="99">
        <f>COUNTIF($E$5:$E$979,"&lt;"&amp;E117)+(COUNTIF($E$5:$E$979,"="&amp;E117)+1)/2</f>
        <v/>
      </c>
      <c r="L117" s="99">
        <f>COUNTIF($F$5:$F$979,"&lt;"&amp;F117)+(COUNTIF($F$5:$F$979,"="&amp;F117)+1)/2</f>
        <v/>
      </c>
      <c r="M117" s="99">
        <f>COUNTIF($G$5:$G$979,"&lt;"&amp;G117)+(COUNTIF($G$5:$G$979,"="&amp;G117)+1)/2</f>
        <v/>
      </c>
      <c r="N117" s="99">
        <f>COUNTIF($H$5:$H$979,"&lt;"&amp;H117)+(COUNTIF($H$5:$H$979,"="&amp;H117)+1)/2</f>
        <v/>
      </c>
      <c r="O117" s="99">
        <f>COUNTIF($I$5:$I$979,"&lt;"&amp;I117)+(COUNTIF($I$5:$I$979,"="&amp;I117)+1)/2</f>
        <v/>
      </c>
      <c r="P117" s="99">
        <f>COUNTIF($J$5:$J$979,"&lt;"&amp;J117)+(COUNTIF($J$5:$J$979,"="&amp;J117)+1)/2</f>
        <v/>
      </c>
    </row>
    <row r="118" ht="15" customHeight="1" s="68">
      <c r="A118" s="70">
        <f>'01_원자료'!A115</f>
        <v/>
      </c>
      <c r="B118" s="70">
        <f>'01_원자료'!B115</f>
        <v/>
      </c>
      <c r="C118" s="70">
        <f>'01_원자료'!C115</f>
        <v/>
      </c>
      <c r="E118" s="85">
        <f>'01_원자료'!P115*'03_가중치민감도'!$B$5+'01_원자료'!Q115*'03_가중치민감도'!$C$5+'01_원자료'!R115*'03_가중치민감도'!$D$5</f>
        <v/>
      </c>
      <c r="F118" s="85">
        <f>'01_원자료'!P115*'03_가중치민감도'!$B$6+'01_원자료'!Q115*'03_가중치민감도'!$C$6+'01_원자료'!R115*'03_가중치민감도'!$D$6</f>
        <v/>
      </c>
      <c r="G118" s="85">
        <f>'01_원자료'!P115*'03_가중치민감도'!$B$7+'01_원자료'!Q115*'03_가중치민감도'!$C$7+'01_원자료'!R115*'03_가중치민감도'!$D$7</f>
        <v/>
      </c>
      <c r="H118" s="85">
        <f>'01_원자료'!P115*'03_가중치민감도'!$B$8+'01_원자료'!Q115*'03_가중치민감도'!$C$8+'01_원자료'!R115*'03_가중치민감도'!$D$8</f>
        <v/>
      </c>
      <c r="I118" s="85">
        <f>'01_원자료'!P115*'03_가중치민감도'!$B$9+'01_원자료'!Q115*'03_가중치민감도'!$C$9+'01_원자료'!R115*'03_가중치민감도'!$D$9</f>
        <v/>
      </c>
      <c r="J118" s="85">
        <f>'01_원자료'!P115*'03_가중치민감도'!$B$10+'01_원자료'!Q115*'03_가중치민감도'!$C$10+'01_원자료'!R115*'03_가중치민감도'!$D$10</f>
        <v/>
      </c>
      <c r="K118" s="99">
        <f>COUNTIF($E$5:$E$979,"&lt;"&amp;E118)+(COUNTIF($E$5:$E$979,"="&amp;E118)+1)/2</f>
        <v/>
      </c>
      <c r="L118" s="99">
        <f>COUNTIF($F$5:$F$979,"&lt;"&amp;F118)+(COUNTIF($F$5:$F$979,"="&amp;F118)+1)/2</f>
        <v/>
      </c>
      <c r="M118" s="99">
        <f>COUNTIF($G$5:$G$979,"&lt;"&amp;G118)+(COUNTIF($G$5:$G$979,"="&amp;G118)+1)/2</f>
        <v/>
      </c>
      <c r="N118" s="99">
        <f>COUNTIF($H$5:$H$979,"&lt;"&amp;H118)+(COUNTIF($H$5:$H$979,"="&amp;H118)+1)/2</f>
        <v/>
      </c>
      <c r="O118" s="99">
        <f>COUNTIF($I$5:$I$979,"&lt;"&amp;I118)+(COUNTIF($I$5:$I$979,"="&amp;I118)+1)/2</f>
        <v/>
      </c>
      <c r="P118" s="99">
        <f>COUNTIF($J$5:$J$979,"&lt;"&amp;J118)+(COUNTIF($J$5:$J$979,"="&amp;J118)+1)/2</f>
        <v/>
      </c>
    </row>
    <row r="119" ht="15" customHeight="1" s="68">
      <c r="A119" s="70">
        <f>'01_원자료'!A116</f>
        <v/>
      </c>
      <c r="B119" s="70">
        <f>'01_원자료'!B116</f>
        <v/>
      </c>
      <c r="C119" s="70">
        <f>'01_원자료'!C116</f>
        <v/>
      </c>
      <c r="E119" s="85">
        <f>'01_원자료'!P116*'03_가중치민감도'!$B$5+'01_원자료'!Q116*'03_가중치민감도'!$C$5+'01_원자료'!R116*'03_가중치민감도'!$D$5</f>
        <v/>
      </c>
      <c r="F119" s="85">
        <f>'01_원자료'!P116*'03_가중치민감도'!$B$6+'01_원자료'!Q116*'03_가중치민감도'!$C$6+'01_원자료'!R116*'03_가중치민감도'!$D$6</f>
        <v/>
      </c>
      <c r="G119" s="85">
        <f>'01_원자료'!P116*'03_가중치민감도'!$B$7+'01_원자료'!Q116*'03_가중치민감도'!$C$7+'01_원자료'!R116*'03_가중치민감도'!$D$7</f>
        <v/>
      </c>
      <c r="H119" s="85">
        <f>'01_원자료'!P116*'03_가중치민감도'!$B$8+'01_원자료'!Q116*'03_가중치민감도'!$C$8+'01_원자료'!R116*'03_가중치민감도'!$D$8</f>
        <v/>
      </c>
      <c r="I119" s="85">
        <f>'01_원자료'!P116*'03_가중치민감도'!$B$9+'01_원자료'!Q116*'03_가중치민감도'!$C$9+'01_원자료'!R116*'03_가중치민감도'!$D$9</f>
        <v/>
      </c>
      <c r="J119" s="85">
        <f>'01_원자료'!P116*'03_가중치민감도'!$B$10+'01_원자료'!Q116*'03_가중치민감도'!$C$10+'01_원자료'!R116*'03_가중치민감도'!$D$10</f>
        <v/>
      </c>
      <c r="K119" s="99">
        <f>COUNTIF($E$5:$E$979,"&lt;"&amp;E119)+(COUNTIF($E$5:$E$979,"="&amp;E119)+1)/2</f>
        <v/>
      </c>
      <c r="L119" s="99">
        <f>COUNTIF($F$5:$F$979,"&lt;"&amp;F119)+(COUNTIF($F$5:$F$979,"="&amp;F119)+1)/2</f>
        <v/>
      </c>
      <c r="M119" s="99">
        <f>COUNTIF($G$5:$G$979,"&lt;"&amp;G119)+(COUNTIF($G$5:$G$979,"="&amp;G119)+1)/2</f>
        <v/>
      </c>
      <c r="N119" s="99">
        <f>COUNTIF($H$5:$H$979,"&lt;"&amp;H119)+(COUNTIF($H$5:$H$979,"="&amp;H119)+1)/2</f>
        <v/>
      </c>
      <c r="O119" s="99">
        <f>COUNTIF($I$5:$I$979,"&lt;"&amp;I119)+(COUNTIF($I$5:$I$979,"="&amp;I119)+1)/2</f>
        <v/>
      </c>
      <c r="P119" s="99">
        <f>COUNTIF($J$5:$J$979,"&lt;"&amp;J119)+(COUNTIF($J$5:$J$979,"="&amp;J119)+1)/2</f>
        <v/>
      </c>
    </row>
    <row r="120" ht="15" customHeight="1" s="68">
      <c r="A120" s="70">
        <f>'01_원자료'!A117</f>
        <v/>
      </c>
      <c r="B120" s="70">
        <f>'01_원자료'!B117</f>
        <v/>
      </c>
      <c r="C120" s="70">
        <f>'01_원자료'!C117</f>
        <v/>
      </c>
      <c r="E120" s="85">
        <f>'01_원자료'!P117*'03_가중치민감도'!$B$5+'01_원자료'!Q117*'03_가중치민감도'!$C$5+'01_원자료'!R117*'03_가중치민감도'!$D$5</f>
        <v/>
      </c>
      <c r="F120" s="85">
        <f>'01_원자료'!P117*'03_가중치민감도'!$B$6+'01_원자료'!Q117*'03_가중치민감도'!$C$6+'01_원자료'!R117*'03_가중치민감도'!$D$6</f>
        <v/>
      </c>
      <c r="G120" s="85">
        <f>'01_원자료'!P117*'03_가중치민감도'!$B$7+'01_원자료'!Q117*'03_가중치민감도'!$C$7+'01_원자료'!R117*'03_가중치민감도'!$D$7</f>
        <v/>
      </c>
      <c r="H120" s="85">
        <f>'01_원자료'!P117*'03_가중치민감도'!$B$8+'01_원자료'!Q117*'03_가중치민감도'!$C$8+'01_원자료'!R117*'03_가중치민감도'!$D$8</f>
        <v/>
      </c>
      <c r="I120" s="85">
        <f>'01_원자료'!P117*'03_가중치민감도'!$B$9+'01_원자료'!Q117*'03_가중치민감도'!$C$9+'01_원자료'!R117*'03_가중치민감도'!$D$9</f>
        <v/>
      </c>
      <c r="J120" s="85">
        <f>'01_원자료'!P117*'03_가중치민감도'!$B$10+'01_원자료'!Q117*'03_가중치민감도'!$C$10+'01_원자료'!R117*'03_가중치민감도'!$D$10</f>
        <v/>
      </c>
      <c r="K120" s="99">
        <f>COUNTIF($E$5:$E$979,"&lt;"&amp;E120)+(COUNTIF($E$5:$E$979,"="&amp;E120)+1)/2</f>
        <v/>
      </c>
      <c r="L120" s="99">
        <f>COUNTIF($F$5:$F$979,"&lt;"&amp;F120)+(COUNTIF($F$5:$F$979,"="&amp;F120)+1)/2</f>
        <v/>
      </c>
      <c r="M120" s="99">
        <f>COUNTIF($G$5:$G$979,"&lt;"&amp;G120)+(COUNTIF($G$5:$G$979,"="&amp;G120)+1)/2</f>
        <v/>
      </c>
      <c r="N120" s="99">
        <f>COUNTIF($H$5:$H$979,"&lt;"&amp;H120)+(COUNTIF($H$5:$H$979,"="&amp;H120)+1)/2</f>
        <v/>
      </c>
      <c r="O120" s="99">
        <f>COUNTIF($I$5:$I$979,"&lt;"&amp;I120)+(COUNTIF($I$5:$I$979,"="&amp;I120)+1)/2</f>
        <v/>
      </c>
      <c r="P120" s="99">
        <f>COUNTIF($J$5:$J$979,"&lt;"&amp;J120)+(COUNTIF($J$5:$J$979,"="&amp;J120)+1)/2</f>
        <v/>
      </c>
    </row>
    <row r="121" ht="15" customHeight="1" s="68">
      <c r="A121" s="70">
        <f>'01_원자료'!A118</f>
        <v/>
      </c>
      <c r="B121" s="70">
        <f>'01_원자료'!B118</f>
        <v/>
      </c>
      <c r="C121" s="70">
        <f>'01_원자료'!C118</f>
        <v/>
      </c>
      <c r="E121" s="85">
        <f>'01_원자료'!P118*'03_가중치민감도'!$B$5+'01_원자료'!Q118*'03_가중치민감도'!$C$5+'01_원자료'!R118*'03_가중치민감도'!$D$5</f>
        <v/>
      </c>
      <c r="F121" s="85">
        <f>'01_원자료'!P118*'03_가중치민감도'!$B$6+'01_원자료'!Q118*'03_가중치민감도'!$C$6+'01_원자료'!R118*'03_가중치민감도'!$D$6</f>
        <v/>
      </c>
      <c r="G121" s="85">
        <f>'01_원자료'!P118*'03_가중치민감도'!$B$7+'01_원자료'!Q118*'03_가중치민감도'!$C$7+'01_원자료'!R118*'03_가중치민감도'!$D$7</f>
        <v/>
      </c>
      <c r="H121" s="85">
        <f>'01_원자료'!P118*'03_가중치민감도'!$B$8+'01_원자료'!Q118*'03_가중치민감도'!$C$8+'01_원자료'!R118*'03_가중치민감도'!$D$8</f>
        <v/>
      </c>
      <c r="I121" s="85">
        <f>'01_원자료'!P118*'03_가중치민감도'!$B$9+'01_원자료'!Q118*'03_가중치민감도'!$C$9+'01_원자료'!R118*'03_가중치민감도'!$D$9</f>
        <v/>
      </c>
      <c r="J121" s="85">
        <f>'01_원자료'!P118*'03_가중치민감도'!$B$10+'01_원자료'!Q118*'03_가중치민감도'!$C$10+'01_원자료'!R118*'03_가중치민감도'!$D$10</f>
        <v/>
      </c>
      <c r="K121" s="99">
        <f>COUNTIF($E$5:$E$979,"&lt;"&amp;E121)+(COUNTIF($E$5:$E$979,"="&amp;E121)+1)/2</f>
        <v/>
      </c>
      <c r="L121" s="99">
        <f>COUNTIF($F$5:$F$979,"&lt;"&amp;F121)+(COUNTIF($F$5:$F$979,"="&amp;F121)+1)/2</f>
        <v/>
      </c>
      <c r="M121" s="99">
        <f>COUNTIF($G$5:$G$979,"&lt;"&amp;G121)+(COUNTIF($G$5:$G$979,"="&amp;G121)+1)/2</f>
        <v/>
      </c>
      <c r="N121" s="99">
        <f>COUNTIF($H$5:$H$979,"&lt;"&amp;H121)+(COUNTIF($H$5:$H$979,"="&amp;H121)+1)/2</f>
        <v/>
      </c>
      <c r="O121" s="99">
        <f>COUNTIF($I$5:$I$979,"&lt;"&amp;I121)+(COUNTIF($I$5:$I$979,"="&amp;I121)+1)/2</f>
        <v/>
      </c>
      <c r="P121" s="99">
        <f>COUNTIF($J$5:$J$979,"&lt;"&amp;J121)+(COUNTIF($J$5:$J$979,"="&amp;J121)+1)/2</f>
        <v/>
      </c>
    </row>
    <row r="122" ht="15" customHeight="1" s="68">
      <c r="A122" s="70">
        <f>'01_원자료'!A119</f>
        <v/>
      </c>
      <c r="B122" s="70">
        <f>'01_원자료'!B119</f>
        <v/>
      </c>
      <c r="C122" s="70">
        <f>'01_원자료'!C119</f>
        <v/>
      </c>
      <c r="E122" s="85">
        <f>'01_원자료'!P119*'03_가중치민감도'!$B$5+'01_원자료'!Q119*'03_가중치민감도'!$C$5+'01_원자료'!R119*'03_가중치민감도'!$D$5</f>
        <v/>
      </c>
      <c r="F122" s="85">
        <f>'01_원자료'!P119*'03_가중치민감도'!$B$6+'01_원자료'!Q119*'03_가중치민감도'!$C$6+'01_원자료'!R119*'03_가중치민감도'!$D$6</f>
        <v/>
      </c>
      <c r="G122" s="85">
        <f>'01_원자료'!P119*'03_가중치민감도'!$B$7+'01_원자료'!Q119*'03_가중치민감도'!$C$7+'01_원자료'!R119*'03_가중치민감도'!$D$7</f>
        <v/>
      </c>
      <c r="H122" s="85">
        <f>'01_원자료'!P119*'03_가중치민감도'!$B$8+'01_원자료'!Q119*'03_가중치민감도'!$C$8+'01_원자료'!R119*'03_가중치민감도'!$D$8</f>
        <v/>
      </c>
      <c r="I122" s="85">
        <f>'01_원자료'!P119*'03_가중치민감도'!$B$9+'01_원자료'!Q119*'03_가중치민감도'!$C$9+'01_원자료'!R119*'03_가중치민감도'!$D$9</f>
        <v/>
      </c>
      <c r="J122" s="85">
        <f>'01_원자료'!P119*'03_가중치민감도'!$B$10+'01_원자료'!Q119*'03_가중치민감도'!$C$10+'01_원자료'!R119*'03_가중치민감도'!$D$10</f>
        <v/>
      </c>
      <c r="K122" s="99">
        <f>COUNTIF($E$5:$E$979,"&lt;"&amp;E122)+(COUNTIF($E$5:$E$979,"="&amp;E122)+1)/2</f>
        <v/>
      </c>
      <c r="L122" s="99">
        <f>COUNTIF($F$5:$F$979,"&lt;"&amp;F122)+(COUNTIF($F$5:$F$979,"="&amp;F122)+1)/2</f>
        <v/>
      </c>
      <c r="M122" s="99">
        <f>COUNTIF($G$5:$G$979,"&lt;"&amp;G122)+(COUNTIF($G$5:$G$979,"="&amp;G122)+1)/2</f>
        <v/>
      </c>
      <c r="N122" s="99">
        <f>COUNTIF($H$5:$H$979,"&lt;"&amp;H122)+(COUNTIF($H$5:$H$979,"="&amp;H122)+1)/2</f>
        <v/>
      </c>
      <c r="O122" s="99">
        <f>COUNTIF($I$5:$I$979,"&lt;"&amp;I122)+(COUNTIF($I$5:$I$979,"="&amp;I122)+1)/2</f>
        <v/>
      </c>
      <c r="P122" s="99">
        <f>COUNTIF($J$5:$J$979,"&lt;"&amp;J122)+(COUNTIF($J$5:$J$979,"="&amp;J122)+1)/2</f>
        <v/>
      </c>
    </row>
    <row r="123" ht="15" customHeight="1" s="68">
      <c r="A123" s="70">
        <f>'01_원자료'!A120</f>
        <v/>
      </c>
      <c r="B123" s="70">
        <f>'01_원자료'!B120</f>
        <v/>
      </c>
      <c r="C123" s="70">
        <f>'01_원자료'!C120</f>
        <v/>
      </c>
      <c r="E123" s="85">
        <f>'01_원자료'!P120*'03_가중치민감도'!$B$5+'01_원자료'!Q120*'03_가중치민감도'!$C$5+'01_원자료'!R120*'03_가중치민감도'!$D$5</f>
        <v/>
      </c>
      <c r="F123" s="85">
        <f>'01_원자료'!P120*'03_가중치민감도'!$B$6+'01_원자료'!Q120*'03_가중치민감도'!$C$6+'01_원자료'!R120*'03_가중치민감도'!$D$6</f>
        <v/>
      </c>
      <c r="G123" s="85">
        <f>'01_원자료'!P120*'03_가중치민감도'!$B$7+'01_원자료'!Q120*'03_가중치민감도'!$C$7+'01_원자료'!R120*'03_가중치민감도'!$D$7</f>
        <v/>
      </c>
      <c r="H123" s="85">
        <f>'01_원자료'!P120*'03_가중치민감도'!$B$8+'01_원자료'!Q120*'03_가중치민감도'!$C$8+'01_원자료'!R120*'03_가중치민감도'!$D$8</f>
        <v/>
      </c>
      <c r="I123" s="85">
        <f>'01_원자료'!P120*'03_가중치민감도'!$B$9+'01_원자료'!Q120*'03_가중치민감도'!$C$9+'01_원자료'!R120*'03_가중치민감도'!$D$9</f>
        <v/>
      </c>
      <c r="J123" s="85">
        <f>'01_원자료'!P120*'03_가중치민감도'!$B$10+'01_원자료'!Q120*'03_가중치민감도'!$C$10+'01_원자료'!R120*'03_가중치민감도'!$D$10</f>
        <v/>
      </c>
      <c r="K123" s="99">
        <f>COUNTIF($E$5:$E$979,"&lt;"&amp;E123)+(COUNTIF($E$5:$E$979,"="&amp;E123)+1)/2</f>
        <v/>
      </c>
      <c r="L123" s="99">
        <f>COUNTIF($F$5:$F$979,"&lt;"&amp;F123)+(COUNTIF($F$5:$F$979,"="&amp;F123)+1)/2</f>
        <v/>
      </c>
      <c r="M123" s="99">
        <f>COUNTIF($G$5:$G$979,"&lt;"&amp;G123)+(COUNTIF($G$5:$G$979,"="&amp;G123)+1)/2</f>
        <v/>
      </c>
      <c r="N123" s="99">
        <f>COUNTIF($H$5:$H$979,"&lt;"&amp;H123)+(COUNTIF($H$5:$H$979,"="&amp;H123)+1)/2</f>
        <v/>
      </c>
      <c r="O123" s="99">
        <f>COUNTIF($I$5:$I$979,"&lt;"&amp;I123)+(COUNTIF($I$5:$I$979,"="&amp;I123)+1)/2</f>
        <v/>
      </c>
      <c r="P123" s="99">
        <f>COUNTIF($J$5:$J$979,"&lt;"&amp;J123)+(COUNTIF($J$5:$J$979,"="&amp;J123)+1)/2</f>
        <v/>
      </c>
    </row>
    <row r="124" ht="15" customHeight="1" s="68">
      <c r="A124" s="70">
        <f>'01_원자료'!A121</f>
        <v/>
      </c>
      <c r="B124" s="70">
        <f>'01_원자료'!B121</f>
        <v/>
      </c>
      <c r="C124" s="70">
        <f>'01_원자료'!C121</f>
        <v/>
      </c>
      <c r="E124" s="85">
        <f>'01_원자료'!P121*'03_가중치민감도'!$B$5+'01_원자료'!Q121*'03_가중치민감도'!$C$5+'01_원자료'!R121*'03_가중치민감도'!$D$5</f>
        <v/>
      </c>
      <c r="F124" s="85">
        <f>'01_원자료'!P121*'03_가중치민감도'!$B$6+'01_원자료'!Q121*'03_가중치민감도'!$C$6+'01_원자료'!R121*'03_가중치민감도'!$D$6</f>
        <v/>
      </c>
      <c r="G124" s="85">
        <f>'01_원자료'!P121*'03_가중치민감도'!$B$7+'01_원자료'!Q121*'03_가중치민감도'!$C$7+'01_원자료'!R121*'03_가중치민감도'!$D$7</f>
        <v/>
      </c>
      <c r="H124" s="85">
        <f>'01_원자료'!P121*'03_가중치민감도'!$B$8+'01_원자료'!Q121*'03_가중치민감도'!$C$8+'01_원자료'!R121*'03_가중치민감도'!$D$8</f>
        <v/>
      </c>
      <c r="I124" s="85">
        <f>'01_원자료'!P121*'03_가중치민감도'!$B$9+'01_원자료'!Q121*'03_가중치민감도'!$C$9+'01_원자료'!R121*'03_가중치민감도'!$D$9</f>
        <v/>
      </c>
      <c r="J124" s="85">
        <f>'01_원자료'!P121*'03_가중치민감도'!$B$10+'01_원자료'!Q121*'03_가중치민감도'!$C$10+'01_원자료'!R121*'03_가중치민감도'!$D$10</f>
        <v/>
      </c>
      <c r="K124" s="99">
        <f>COUNTIF($E$5:$E$979,"&lt;"&amp;E124)+(COUNTIF($E$5:$E$979,"="&amp;E124)+1)/2</f>
        <v/>
      </c>
      <c r="L124" s="99">
        <f>COUNTIF($F$5:$F$979,"&lt;"&amp;F124)+(COUNTIF($F$5:$F$979,"="&amp;F124)+1)/2</f>
        <v/>
      </c>
      <c r="M124" s="99">
        <f>COUNTIF($G$5:$G$979,"&lt;"&amp;G124)+(COUNTIF($G$5:$G$979,"="&amp;G124)+1)/2</f>
        <v/>
      </c>
      <c r="N124" s="99">
        <f>COUNTIF($H$5:$H$979,"&lt;"&amp;H124)+(COUNTIF($H$5:$H$979,"="&amp;H124)+1)/2</f>
        <v/>
      </c>
      <c r="O124" s="99">
        <f>COUNTIF($I$5:$I$979,"&lt;"&amp;I124)+(COUNTIF($I$5:$I$979,"="&amp;I124)+1)/2</f>
        <v/>
      </c>
      <c r="P124" s="99">
        <f>COUNTIF($J$5:$J$979,"&lt;"&amp;J124)+(COUNTIF($J$5:$J$979,"="&amp;J124)+1)/2</f>
        <v/>
      </c>
    </row>
    <row r="125" ht="15" customHeight="1" s="68">
      <c r="A125" s="70">
        <f>'01_원자료'!A122</f>
        <v/>
      </c>
      <c r="B125" s="70">
        <f>'01_원자료'!B122</f>
        <v/>
      </c>
      <c r="C125" s="70">
        <f>'01_원자료'!C122</f>
        <v/>
      </c>
      <c r="E125" s="85">
        <f>'01_원자료'!P122*'03_가중치민감도'!$B$5+'01_원자료'!Q122*'03_가중치민감도'!$C$5+'01_원자료'!R122*'03_가중치민감도'!$D$5</f>
        <v/>
      </c>
      <c r="F125" s="85">
        <f>'01_원자료'!P122*'03_가중치민감도'!$B$6+'01_원자료'!Q122*'03_가중치민감도'!$C$6+'01_원자료'!R122*'03_가중치민감도'!$D$6</f>
        <v/>
      </c>
      <c r="G125" s="85">
        <f>'01_원자료'!P122*'03_가중치민감도'!$B$7+'01_원자료'!Q122*'03_가중치민감도'!$C$7+'01_원자료'!R122*'03_가중치민감도'!$D$7</f>
        <v/>
      </c>
      <c r="H125" s="85">
        <f>'01_원자료'!P122*'03_가중치민감도'!$B$8+'01_원자료'!Q122*'03_가중치민감도'!$C$8+'01_원자료'!R122*'03_가중치민감도'!$D$8</f>
        <v/>
      </c>
      <c r="I125" s="85">
        <f>'01_원자료'!P122*'03_가중치민감도'!$B$9+'01_원자료'!Q122*'03_가중치민감도'!$C$9+'01_원자료'!R122*'03_가중치민감도'!$D$9</f>
        <v/>
      </c>
      <c r="J125" s="85">
        <f>'01_원자료'!P122*'03_가중치민감도'!$B$10+'01_원자료'!Q122*'03_가중치민감도'!$C$10+'01_원자료'!R122*'03_가중치민감도'!$D$10</f>
        <v/>
      </c>
      <c r="K125" s="99">
        <f>COUNTIF($E$5:$E$979,"&lt;"&amp;E125)+(COUNTIF($E$5:$E$979,"="&amp;E125)+1)/2</f>
        <v/>
      </c>
      <c r="L125" s="99">
        <f>COUNTIF($F$5:$F$979,"&lt;"&amp;F125)+(COUNTIF($F$5:$F$979,"="&amp;F125)+1)/2</f>
        <v/>
      </c>
      <c r="M125" s="99">
        <f>COUNTIF($G$5:$G$979,"&lt;"&amp;G125)+(COUNTIF($G$5:$G$979,"="&amp;G125)+1)/2</f>
        <v/>
      </c>
      <c r="N125" s="99">
        <f>COUNTIF($H$5:$H$979,"&lt;"&amp;H125)+(COUNTIF($H$5:$H$979,"="&amp;H125)+1)/2</f>
        <v/>
      </c>
      <c r="O125" s="99">
        <f>COUNTIF($I$5:$I$979,"&lt;"&amp;I125)+(COUNTIF($I$5:$I$979,"="&amp;I125)+1)/2</f>
        <v/>
      </c>
      <c r="P125" s="99">
        <f>COUNTIF($J$5:$J$979,"&lt;"&amp;J125)+(COUNTIF($J$5:$J$979,"="&amp;J125)+1)/2</f>
        <v/>
      </c>
    </row>
    <row r="126" ht="15" customHeight="1" s="68">
      <c r="A126" s="70">
        <f>'01_원자료'!A123</f>
        <v/>
      </c>
      <c r="B126" s="70">
        <f>'01_원자료'!B123</f>
        <v/>
      </c>
      <c r="C126" s="70">
        <f>'01_원자료'!C123</f>
        <v/>
      </c>
      <c r="E126" s="85">
        <f>'01_원자료'!P123*'03_가중치민감도'!$B$5+'01_원자료'!Q123*'03_가중치민감도'!$C$5+'01_원자료'!R123*'03_가중치민감도'!$D$5</f>
        <v/>
      </c>
      <c r="F126" s="85">
        <f>'01_원자료'!P123*'03_가중치민감도'!$B$6+'01_원자료'!Q123*'03_가중치민감도'!$C$6+'01_원자료'!R123*'03_가중치민감도'!$D$6</f>
        <v/>
      </c>
      <c r="G126" s="85">
        <f>'01_원자료'!P123*'03_가중치민감도'!$B$7+'01_원자료'!Q123*'03_가중치민감도'!$C$7+'01_원자료'!R123*'03_가중치민감도'!$D$7</f>
        <v/>
      </c>
      <c r="H126" s="85">
        <f>'01_원자료'!P123*'03_가중치민감도'!$B$8+'01_원자료'!Q123*'03_가중치민감도'!$C$8+'01_원자료'!R123*'03_가중치민감도'!$D$8</f>
        <v/>
      </c>
      <c r="I126" s="85">
        <f>'01_원자료'!P123*'03_가중치민감도'!$B$9+'01_원자료'!Q123*'03_가중치민감도'!$C$9+'01_원자료'!R123*'03_가중치민감도'!$D$9</f>
        <v/>
      </c>
      <c r="J126" s="85">
        <f>'01_원자료'!P123*'03_가중치민감도'!$B$10+'01_원자료'!Q123*'03_가중치민감도'!$C$10+'01_원자료'!R123*'03_가중치민감도'!$D$10</f>
        <v/>
      </c>
      <c r="K126" s="99">
        <f>COUNTIF($E$5:$E$979,"&lt;"&amp;E126)+(COUNTIF($E$5:$E$979,"="&amp;E126)+1)/2</f>
        <v/>
      </c>
      <c r="L126" s="99">
        <f>COUNTIF($F$5:$F$979,"&lt;"&amp;F126)+(COUNTIF($F$5:$F$979,"="&amp;F126)+1)/2</f>
        <v/>
      </c>
      <c r="M126" s="99">
        <f>COUNTIF($G$5:$G$979,"&lt;"&amp;G126)+(COUNTIF($G$5:$G$979,"="&amp;G126)+1)/2</f>
        <v/>
      </c>
      <c r="N126" s="99">
        <f>COUNTIF($H$5:$H$979,"&lt;"&amp;H126)+(COUNTIF($H$5:$H$979,"="&amp;H126)+1)/2</f>
        <v/>
      </c>
      <c r="O126" s="99">
        <f>COUNTIF($I$5:$I$979,"&lt;"&amp;I126)+(COUNTIF($I$5:$I$979,"="&amp;I126)+1)/2</f>
        <v/>
      </c>
      <c r="P126" s="99">
        <f>COUNTIF($J$5:$J$979,"&lt;"&amp;J126)+(COUNTIF($J$5:$J$979,"="&amp;J126)+1)/2</f>
        <v/>
      </c>
    </row>
    <row r="127" ht="15" customHeight="1" s="68">
      <c r="A127" s="70">
        <f>'01_원자료'!A124</f>
        <v/>
      </c>
      <c r="B127" s="70">
        <f>'01_원자료'!B124</f>
        <v/>
      </c>
      <c r="C127" s="70">
        <f>'01_원자료'!C124</f>
        <v/>
      </c>
      <c r="E127" s="85">
        <f>'01_원자료'!P124*'03_가중치민감도'!$B$5+'01_원자료'!Q124*'03_가중치민감도'!$C$5+'01_원자료'!R124*'03_가중치민감도'!$D$5</f>
        <v/>
      </c>
      <c r="F127" s="85">
        <f>'01_원자료'!P124*'03_가중치민감도'!$B$6+'01_원자료'!Q124*'03_가중치민감도'!$C$6+'01_원자료'!R124*'03_가중치민감도'!$D$6</f>
        <v/>
      </c>
      <c r="G127" s="85">
        <f>'01_원자료'!P124*'03_가중치민감도'!$B$7+'01_원자료'!Q124*'03_가중치민감도'!$C$7+'01_원자료'!R124*'03_가중치민감도'!$D$7</f>
        <v/>
      </c>
      <c r="H127" s="85">
        <f>'01_원자료'!P124*'03_가중치민감도'!$B$8+'01_원자료'!Q124*'03_가중치민감도'!$C$8+'01_원자료'!R124*'03_가중치민감도'!$D$8</f>
        <v/>
      </c>
      <c r="I127" s="85">
        <f>'01_원자료'!P124*'03_가중치민감도'!$B$9+'01_원자료'!Q124*'03_가중치민감도'!$C$9+'01_원자료'!R124*'03_가중치민감도'!$D$9</f>
        <v/>
      </c>
      <c r="J127" s="85">
        <f>'01_원자료'!P124*'03_가중치민감도'!$B$10+'01_원자료'!Q124*'03_가중치민감도'!$C$10+'01_원자료'!R124*'03_가중치민감도'!$D$10</f>
        <v/>
      </c>
      <c r="K127" s="99">
        <f>COUNTIF($E$5:$E$979,"&lt;"&amp;E127)+(COUNTIF($E$5:$E$979,"="&amp;E127)+1)/2</f>
        <v/>
      </c>
      <c r="L127" s="99">
        <f>COUNTIF($F$5:$F$979,"&lt;"&amp;F127)+(COUNTIF($F$5:$F$979,"="&amp;F127)+1)/2</f>
        <v/>
      </c>
      <c r="M127" s="99">
        <f>COUNTIF($G$5:$G$979,"&lt;"&amp;G127)+(COUNTIF($G$5:$G$979,"="&amp;G127)+1)/2</f>
        <v/>
      </c>
      <c r="N127" s="99">
        <f>COUNTIF($H$5:$H$979,"&lt;"&amp;H127)+(COUNTIF($H$5:$H$979,"="&amp;H127)+1)/2</f>
        <v/>
      </c>
      <c r="O127" s="99">
        <f>COUNTIF($I$5:$I$979,"&lt;"&amp;I127)+(COUNTIF($I$5:$I$979,"="&amp;I127)+1)/2</f>
        <v/>
      </c>
      <c r="P127" s="99">
        <f>COUNTIF($J$5:$J$979,"&lt;"&amp;J127)+(COUNTIF($J$5:$J$979,"="&amp;J127)+1)/2</f>
        <v/>
      </c>
    </row>
    <row r="128" ht="15" customHeight="1" s="68">
      <c r="A128" s="70">
        <f>'01_원자료'!A125</f>
        <v/>
      </c>
      <c r="B128" s="70">
        <f>'01_원자료'!B125</f>
        <v/>
      </c>
      <c r="C128" s="70">
        <f>'01_원자료'!C125</f>
        <v/>
      </c>
      <c r="E128" s="85">
        <f>'01_원자료'!P125*'03_가중치민감도'!$B$5+'01_원자료'!Q125*'03_가중치민감도'!$C$5+'01_원자료'!R125*'03_가중치민감도'!$D$5</f>
        <v/>
      </c>
      <c r="F128" s="85">
        <f>'01_원자료'!P125*'03_가중치민감도'!$B$6+'01_원자료'!Q125*'03_가중치민감도'!$C$6+'01_원자료'!R125*'03_가중치민감도'!$D$6</f>
        <v/>
      </c>
      <c r="G128" s="85">
        <f>'01_원자료'!P125*'03_가중치민감도'!$B$7+'01_원자료'!Q125*'03_가중치민감도'!$C$7+'01_원자료'!R125*'03_가중치민감도'!$D$7</f>
        <v/>
      </c>
      <c r="H128" s="85">
        <f>'01_원자료'!P125*'03_가중치민감도'!$B$8+'01_원자료'!Q125*'03_가중치민감도'!$C$8+'01_원자료'!R125*'03_가중치민감도'!$D$8</f>
        <v/>
      </c>
      <c r="I128" s="85">
        <f>'01_원자료'!P125*'03_가중치민감도'!$B$9+'01_원자료'!Q125*'03_가중치민감도'!$C$9+'01_원자료'!R125*'03_가중치민감도'!$D$9</f>
        <v/>
      </c>
      <c r="J128" s="85">
        <f>'01_원자료'!P125*'03_가중치민감도'!$B$10+'01_원자료'!Q125*'03_가중치민감도'!$C$10+'01_원자료'!R125*'03_가중치민감도'!$D$10</f>
        <v/>
      </c>
      <c r="K128" s="99">
        <f>COUNTIF($E$5:$E$979,"&lt;"&amp;E128)+(COUNTIF($E$5:$E$979,"="&amp;E128)+1)/2</f>
        <v/>
      </c>
      <c r="L128" s="99">
        <f>COUNTIF($F$5:$F$979,"&lt;"&amp;F128)+(COUNTIF($F$5:$F$979,"="&amp;F128)+1)/2</f>
        <v/>
      </c>
      <c r="M128" s="99">
        <f>COUNTIF($G$5:$G$979,"&lt;"&amp;G128)+(COUNTIF($G$5:$G$979,"="&amp;G128)+1)/2</f>
        <v/>
      </c>
      <c r="N128" s="99">
        <f>COUNTIF($H$5:$H$979,"&lt;"&amp;H128)+(COUNTIF($H$5:$H$979,"="&amp;H128)+1)/2</f>
        <v/>
      </c>
      <c r="O128" s="99">
        <f>COUNTIF($I$5:$I$979,"&lt;"&amp;I128)+(COUNTIF($I$5:$I$979,"="&amp;I128)+1)/2</f>
        <v/>
      </c>
      <c r="P128" s="99">
        <f>COUNTIF($J$5:$J$979,"&lt;"&amp;J128)+(COUNTIF($J$5:$J$979,"="&amp;J128)+1)/2</f>
        <v/>
      </c>
    </row>
    <row r="129" ht="15" customHeight="1" s="68">
      <c r="A129" s="70">
        <f>'01_원자료'!A126</f>
        <v/>
      </c>
      <c r="B129" s="70">
        <f>'01_원자료'!B126</f>
        <v/>
      </c>
      <c r="C129" s="70">
        <f>'01_원자료'!C126</f>
        <v/>
      </c>
      <c r="E129" s="85">
        <f>'01_원자료'!P126*'03_가중치민감도'!$B$5+'01_원자료'!Q126*'03_가중치민감도'!$C$5+'01_원자료'!R126*'03_가중치민감도'!$D$5</f>
        <v/>
      </c>
      <c r="F129" s="85">
        <f>'01_원자료'!P126*'03_가중치민감도'!$B$6+'01_원자료'!Q126*'03_가중치민감도'!$C$6+'01_원자료'!R126*'03_가중치민감도'!$D$6</f>
        <v/>
      </c>
      <c r="G129" s="85">
        <f>'01_원자료'!P126*'03_가중치민감도'!$B$7+'01_원자료'!Q126*'03_가중치민감도'!$C$7+'01_원자료'!R126*'03_가중치민감도'!$D$7</f>
        <v/>
      </c>
      <c r="H129" s="85">
        <f>'01_원자료'!P126*'03_가중치민감도'!$B$8+'01_원자료'!Q126*'03_가중치민감도'!$C$8+'01_원자료'!R126*'03_가중치민감도'!$D$8</f>
        <v/>
      </c>
      <c r="I129" s="85">
        <f>'01_원자료'!P126*'03_가중치민감도'!$B$9+'01_원자료'!Q126*'03_가중치민감도'!$C$9+'01_원자료'!R126*'03_가중치민감도'!$D$9</f>
        <v/>
      </c>
      <c r="J129" s="85">
        <f>'01_원자료'!P126*'03_가중치민감도'!$B$10+'01_원자료'!Q126*'03_가중치민감도'!$C$10+'01_원자료'!R126*'03_가중치민감도'!$D$10</f>
        <v/>
      </c>
      <c r="K129" s="99">
        <f>COUNTIF($E$5:$E$979,"&lt;"&amp;E129)+(COUNTIF($E$5:$E$979,"="&amp;E129)+1)/2</f>
        <v/>
      </c>
      <c r="L129" s="99">
        <f>COUNTIF($F$5:$F$979,"&lt;"&amp;F129)+(COUNTIF($F$5:$F$979,"="&amp;F129)+1)/2</f>
        <v/>
      </c>
      <c r="M129" s="99">
        <f>COUNTIF($G$5:$G$979,"&lt;"&amp;G129)+(COUNTIF($G$5:$G$979,"="&amp;G129)+1)/2</f>
        <v/>
      </c>
      <c r="N129" s="99">
        <f>COUNTIF($H$5:$H$979,"&lt;"&amp;H129)+(COUNTIF($H$5:$H$979,"="&amp;H129)+1)/2</f>
        <v/>
      </c>
      <c r="O129" s="99">
        <f>COUNTIF($I$5:$I$979,"&lt;"&amp;I129)+(COUNTIF($I$5:$I$979,"="&amp;I129)+1)/2</f>
        <v/>
      </c>
      <c r="P129" s="99">
        <f>COUNTIF($J$5:$J$979,"&lt;"&amp;J129)+(COUNTIF($J$5:$J$979,"="&amp;J129)+1)/2</f>
        <v/>
      </c>
    </row>
    <row r="130" ht="15" customHeight="1" s="68">
      <c r="A130" s="70">
        <f>'01_원자료'!A127</f>
        <v/>
      </c>
      <c r="B130" s="70">
        <f>'01_원자료'!B127</f>
        <v/>
      </c>
      <c r="C130" s="70">
        <f>'01_원자료'!C127</f>
        <v/>
      </c>
      <c r="E130" s="85">
        <f>'01_원자료'!P127*'03_가중치민감도'!$B$5+'01_원자료'!Q127*'03_가중치민감도'!$C$5+'01_원자료'!R127*'03_가중치민감도'!$D$5</f>
        <v/>
      </c>
      <c r="F130" s="85">
        <f>'01_원자료'!P127*'03_가중치민감도'!$B$6+'01_원자료'!Q127*'03_가중치민감도'!$C$6+'01_원자료'!R127*'03_가중치민감도'!$D$6</f>
        <v/>
      </c>
      <c r="G130" s="85">
        <f>'01_원자료'!P127*'03_가중치민감도'!$B$7+'01_원자료'!Q127*'03_가중치민감도'!$C$7+'01_원자료'!R127*'03_가중치민감도'!$D$7</f>
        <v/>
      </c>
      <c r="H130" s="85">
        <f>'01_원자료'!P127*'03_가중치민감도'!$B$8+'01_원자료'!Q127*'03_가중치민감도'!$C$8+'01_원자료'!R127*'03_가중치민감도'!$D$8</f>
        <v/>
      </c>
      <c r="I130" s="85">
        <f>'01_원자료'!P127*'03_가중치민감도'!$B$9+'01_원자료'!Q127*'03_가중치민감도'!$C$9+'01_원자료'!R127*'03_가중치민감도'!$D$9</f>
        <v/>
      </c>
      <c r="J130" s="85">
        <f>'01_원자료'!P127*'03_가중치민감도'!$B$10+'01_원자료'!Q127*'03_가중치민감도'!$C$10+'01_원자료'!R127*'03_가중치민감도'!$D$10</f>
        <v/>
      </c>
      <c r="K130" s="99">
        <f>COUNTIF($E$5:$E$979,"&lt;"&amp;E130)+(COUNTIF($E$5:$E$979,"="&amp;E130)+1)/2</f>
        <v/>
      </c>
      <c r="L130" s="99">
        <f>COUNTIF($F$5:$F$979,"&lt;"&amp;F130)+(COUNTIF($F$5:$F$979,"="&amp;F130)+1)/2</f>
        <v/>
      </c>
      <c r="M130" s="99">
        <f>COUNTIF($G$5:$G$979,"&lt;"&amp;G130)+(COUNTIF($G$5:$G$979,"="&amp;G130)+1)/2</f>
        <v/>
      </c>
      <c r="N130" s="99">
        <f>COUNTIF($H$5:$H$979,"&lt;"&amp;H130)+(COUNTIF($H$5:$H$979,"="&amp;H130)+1)/2</f>
        <v/>
      </c>
      <c r="O130" s="99">
        <f>COUNTIF($I$5:$I$979,"&lt;"&amp;I130)+(COUNTIF($I$5:$I$979,"="&amp;I130)+1)/2</f>
        <v/>
      </c>
      <c r="P130" s="99">
        <f>COUNTIF($J$5:$J$979,"&lt;"&amp;J130)+(COUNTIF($J$5:$J$979,"="&amp;J130)+1)/2</f>
        <v/>
      </c>
    </row>
    <row r="131" ht="15" customHeight="1" s="68">
      <c r="A131" s="70">
        <f>'01_원자료'!A128</f>
        <v/>
      </c>
      <c r="B131" s="70">
        <f>'01_원자료'!B128</f>
        <v/>
      </c>
      <c r="C131" s="70">
        <f>'01_원자료'!C128</f>
        <v/>
      </c>
      <c r="E131" s="85">
        <f>'01_원자료'!P128*'03_가중치민감도'!$B$5+'01_원자료'!Q128*'03_가중치민감도'!$C$5+'01_원자료'!R128*'03_가중치민감도'!$D$5</f>
        <v/>
      </c>
      <c r="F131" s="85">
        <f>'01_원자료'!P128*'03_가중치민감도'!$B$6+'01_원자료'!Q128*'03_가중치민감도'!$C$6+'01_원자료'!R128*'03_가중치민감도'!$D$6</f>
        <v/>
      </c>
      <c r="G131" s="85">
        <f>'01_원자료'!P128*'03_가중치민감도'!$B$7+'01_원자료'!Q128*'03_가중치민감도'!$C$7+'01_원자료'!R128*'03_가중치민감도'!$D$7</f>
        <v/>
      </c>
      <c r="H131" s="85">
        <f>'01_원자료'!P128*'03_가중치민감도'!$B$8+'01_원자료'!Q128*'03_가중치민감도'!$C$8+'01_원자료'!R128*'03_가중치민감도'!$D$8</f>
        <v/>
      </c>
      <c r="I131" s="85">
        <f>'01_원자료'!P128*'03_가중치민감도'!$B$9+'01_원자료'!Q128*'03_가중치민감도'!$C$9+'01_원자료'!R128*'03_가중치민감도'!$D$9</f>
        <v/>
      </c>
      <c r="J131" s="85">
        <f>'01_원자료'!P128*'03_가중치민감도'!$B$10+'01_원자료'!Q128*'03_가중치민감도'!$C$10+'01_원자료'!R128*'03_가중치민감도'!$D$10</f>
        <v/>
      </c>
      <c r="K131" s="99">
        <f>COUNTIF($E$5:$E$979,"&lt;"&amp;E131)+(COUNTIF($E$5:$E$979,"="&amp;E131)+1)/2</f>
        <v/>
      </c>
      <c r="L131" s="99">
        <f>COUNTIF($F$5:$F$979,"&lt;"&amp;F131)+(COUNTIF($F$5:$F$979,"="&amp;F131)+1)/2</f>
        <v/>
      </c>
      <c r="M131" s="99">
        <f>COUNTIF($G$5:$G$979,"&lt;"&amp;G131)+(COUNTIF($G$5:$G$979,"="&amp;G131)+1)/2</f>
        <v/>
      </c>
      <c r="N131" s="99">
        <f>COUNTIF($H$5:$H$979,"&lt;"&amp;H131)+(COUNTIF($H$5:$H$979,"="&amp;H131)+1)/2</f>
        <v/>
      </c>
      <c r="O131" s="99">
        <f>COUNTIF($I$5:$I$979,"&lt;"&amp;I131)+(COUNTIF($I$5:$I$979,"="&amp;I131)+1)/2</f>
        <v/>
      </c>
      <c r="P131" s="99">
        <f>COUNTIF($J$5:$J$979,"&lt;"&amp;J131)+(COUNTIF($J$5:$J$979,"="&amp;J131)+1)/2</f>
        <v/>
      </c>
    </row>
    <row r="132" ht="15" customHeight="1" s="68">
      <c r="A132" s="70">
        <f>'01_원자료'!A129</f>
        <v/>
      </c>
      <c r="B132" s="70">
        <f>'01_원자료'!B129</f>
        <v/>
      </c>
      <c r="C132" s="70">
        <f>'01_원자료'!C129</f>
        <v/>
      </c>
      <c r="E132" s="85">
        <f>'01_원자료'!P129*'03_가중치민감도'!$B$5+'01_원자료'!Q129*'03_가중치민감도'!$C$5+'01_원자료'!R129*'03_가중치민감도'!$D$5</f>
        <v/>
      </c>
      <c r="F132" s="85">
        <f>'01_원자료'!P129*'03_가중치민감도'!$B$6+'01_원자료'!Q129*'03_가중치민감도'!$C$6+'01_원자료'!R129*'03_가중치민감도'!$D$6</f>
        <v/>
      </c>
      <c r="G132" s="85">
        <f>'01_원자료'!P129*'03_가중치민감도'!$B$7+'01_원자료'!Q129*'03_가중치민감도'!$C$7+'01_원자료'!R129*'03_가중치민감도'!$D$7</f>
        <v/>
      </c>
      <c r="H132" s="85">
        <f>'01_원자료'!P129*'03_가중치민감도'!$B$8+'01_원자료'!Q129*'03_가중치민감도'!$C$8+'01_원자료'!R129*'03_가중치민감도'!$D$8</f>
        <v/>
      </c>
      <c r="I132" s="85">
        <f>'01_원자료'!P129*'03_가중치민감도'!$B$9+'01_원자료'!Q129*'03_가중치민감도'!$C$9+'01_원자료'!R129*'03_가중치민감도'!$D$9</f>
        <v/>
      </c>
      <c r="J132" s="85">
        <f>'01_원자료'!P129*'03_가중치민감도'!$B$10+'01_원자료'!Q129*'03_가중치민감도'!$C$10+'01_원자료'!R129*'03_가중치민감도'!$D$10</f>
        <v/>
      </c>
      <c r="K132" s="99">
        <f>COUNTIF($E$5:$E$979,"&lt;"&amp;E132)+(COUNTIF($E$5:$E$979,"="&amp;E132)+1)/2</f>
        <v/>
      </c>
      <c r="L132" s="99">
        <f>COUNTIF($F$5:$F$979,"&lt;"&amp;F132)+(COUNTIF($F$5:$F$979,"="&amp;F132)+1)/2</f>
        <v/>
      </c>
      <c r="M132" s="99">
        <f>COUNTIF($G$5:$G$979,"&lt;"&amp;G132)+(COUNTIF($G$5:$G$979,"="&amp;G132)+1)/2</f>
        <v/>
      </c>
      <c r="N132" s="99">
        <f>COUNTIF($H$5:$H$979,"&lt;"&amp;H132)+(COUNTIF($H$5:$H$979,"="&amp;H132)+1)/2</f>
        <v/>
      </c>
      <c r="O132" s="99">
        <f>COUNTIF($I$5:$I$979,"&lt;"&amp;I132)+(COUNTIF($I$5:$I$979,"="&amp;I132)+1)/2</f>
        <v/>
      </c>
      <c r="P132" s="99">
        <f>COUNTIF($J$5:$J$979,"&lt;"&amp;J132)+(COUNTIF($J$5:$J$979,"="&amp;J132)+1)/2</f>
        <v/>
      </c>
    </row>
    <row r="133" ht="15" customHeight="1" s="68">
      <c r="A133" s="70">
        <f>'01_원자료'!A130</f>
        <v/>
      </c>
      <c r="B133" s="70">
        <f>'01_원자료'!B130</f>
        <v/>
      </c>
      <c r="C133" s="70">
        <f>'01_원자료'!C130</f>
        <v/>
      </c>
      <c r="E133" s="85">
        <f>'01_원자료'!P130*'03_가중치민감도'!$B$5+'01_원자료'!Q130*'03_가중치민감도'!$C$5+'01_원자료'!R130*'03_가중치민감도'!$D$5</f>
        <v/>
      </c>
      <c r="F133" s="85">
        <f>'01_원자료'!P130*'03_가중치민감도'!$B$6+'01_원자료'!Q130*'03_가중치민감도'!$C$6+'01_원자료'!R130*'03_가중치민감도'!$D$6</f>
        <v/>
      </c>
      <c r="G133" s="85">
        <f>'01_원자료'!P130*'03_가중치민감도'!$B$7+'01_원자료'!Q130*'03_가중치민감도'!$C$7+'01_원자료'!R130*'03_가중치민감도'!$D$7</f>
        <v/>
      </c>
      <c r="H133" s="85">
        <f>'01_원자료'!P130*'03_가중치민감도'!$B$8+'01_원자료'!Q130*'03_가중치민감도'!$C$8+'01_원자료'!R130*'03_가중치민감도'!$D$8</f>
        <v/>
      </c>
      <c r="I133" s="85">
        <f>'01_원자료'!P130*'03_가중치민감도'!$B$9+'01_원자료'!Q130*'03_가중치민감도'!$C$9+'01_원자료'!R130*'03_가중치민감도'!$D$9</f>
        <v/>
      </c>
      <c r="J133" s="85">
        <f>'01_원자료'!P130*'03_가중치민감도'!$B$10+'01_원자료'!Q130*'03_가중치민감도'!$C$10+'01_원자료'!R130*'03_가중치민감도'!$D$10</f>
        <v/>
      </c>
      <c r="K133" s="99">
        <f>COUNTIF($E$5:$E$979,"&lt;"&amp;E133)+(COUNTIF($E$5:$E$979,"="&amp;E133)+1)/2</f>
        <v/>
      </c>
      <c r="L133" s="99">
        <f>COUNTIF($F$5:$F$979,"&lt;"&amp;F133)+(COUNTIF($F$5:$F$979,"="&amp;F133)+1)/2</f>
        <v/>
      </c>
      <c r="M133" s="99">
        <f>COUNTIF($G$5:$G$979,"&lt;"&amp;G133)+(COUNTIF($G$5:$G$979,"="&amp;G133)+1)/2</f>
        <v/>
      </c>
      <c r="N133" s="99">
        <f>COUNTIF($H$5:$H$979,"&lt;"&amp;H133)+(COUNTIF($H$5:$H$979,"="&amp;H133)+1)/2</f>
        <v/>
      </c>
      <c r="O133" s="99">
        <f>COUNTIF($I$5:$I$979,"&lt;"&amp;I133)+(COUNTIF($I$5:$I$979,"="&amp;I133)+1)/2</f>
        <v/>
      </c>
      <c r="P133" s="99">
        <f>COUNTIF($J$5:$J$979,"&lt;"&amp;J133)+(COUNTIF($J$5:$J$979,"="&amp;J133)+1)/2</f>
        <v/>
      </c>
    </row>
    <row r="134" ht="15" customHeight="1" s="68">
      <c r="A134" s="70">
        <f>'01_원자료'!A131</f>
        <v/>
      </c>
      <c r="B134" s="70">
        <f>'01_원자료'!B131</f>
        <v/>
      </c>
      <c r="C134" s="70">
        <f>'01_원자료'!C131</f>
        <v/>
      </c>
      <c r="E134" s="85">
        <f>'01_원자료'!P131*'03_가중치민감도'!$B$5+'01_원자료'!Q131*'03_가중치민감도'!$C$5+'01_원자료'!R131*'03_가중치민감도'!$D$5</f>
        <v/>
      </c>
      <c r="F134" s="85">
        <f>'01_원자료'!P131*'03_가중치민감도'!$B$6+'01_원자료'!Q131*'03_가중치민감도'!$C$6+'01_원자료'!R131*'03_가중치민감도'!$D$6</f>
        <v/>
      </c>
      <c r="G134" s="85">
        <f>'01_원자료'!P131*'03_가중치민감도'!$B$7+'01_원자료'!Q131*'03_가중치민감도'!$C$7+'01_원자료'!R131*'03_가중치민감도'!$D$7</f>
        <v/>
      </c>
      <c r="H134" s="85">
        <f>'01_원자료'!P131*'03_가중치민감도'!$B$8+'01_원자료'!Q131*'03_가중치민감도'!$C$8+'01_원자료'!R131*'03_가중치민감도'!$D$8</f>
        <v/>
      </c>
      <c r="I134" s="85">
        <f>'01_원자료'!P131*'03_가중치민감도'!$B$9+'01_원자료'!Q131*'03_가중치민감도'!$C$9+'01_원자료'!R131*'03_가중치민감도'!$D$9</f>
        <v/>
      </c>
      <c r="J134" s="85">
        <f>'01_원자료'!P131*'03_가중치민감도'!$B$10+'01_원자료'!Q131*'03_가중치민감도'!$C$10+'01_원자료'!R131*'03_가중치민감도'!$D$10</f>
        <v/>
      </c>
      <c r="K134" s="99">
        <f>COUNTIF($E$5:$E$979,"&lt;"&amp;E134)+(COUNTIF($E$5:$E$979,"="&amp;E134)+1)/2</f>
        <v/>
      </c>
      <c r="L134" s="99">
        <f>COUNTIF($F$5:$F$979,"&lt;"&amp;F134)+(COUNTIF($F$5:$F$979,"="&amp;F134)+1)/2</f>
        <v/>
      </c>
      <c r="M134" s="99">
        <f>COUNTIF($G$5:$G$979,"&lt;"&amp;G134)+(COUNTIF($G$5:$G$979,"="&amp;G134)+1)/2</f>
        <v/>
      </c>
      <c r="N134" s="99">
        <f>COUNTIF($H$5:$H$979,"&lt;"&amp;H134)+(COUNTIF($H$5:$H$979,"="&amp;H134)+1)/2</f>
        <v/>
      </c>
      <c r="O134" s="99">
        <f>COUNTIF($I$5:$I$979,"&lt;"&amp;I134)+(COUNTIF($I$5:$I$979,"="&amp;I134)+1)/2</f>
        <v/>
      </c>
      <c r="P134" s="99">
        <f>COUNTIF($J$5:$J$979,"&lt;"&amp;J134)+(COUNTIF($J$5:$J$979,"="&amp;J134)+1)/2</f>
        <v/>
      </c>
    </row>
    <row r="135" ht="15" customHeight="1" s="68">
      <c r="A135" s="70">
        <f>'01_원자료'!A132</f>
        <v/>
      </c>
      <c r="B135" s="70">
        <f>'01_원자료'!B132</f>
        <v/>
      </c>
      <c r="C135" s="70">
        <f>'01_원자료'!C132</f>
        <v/>
      </c>
      <c r="E135" s="85">
        <f>'01_원자료'!P132*'03_가중치민감도'!$B$5+'01_원자료'!Q132*'03_가중치민감도'!$C$5+'01_원자료'!R132*'03_가중치민감도'!$D$5</f>
        <v/>
      </c>
      <c r="F135" s="85">
        <f>'01_원자료'!P132*'03_가중치민감도'!$B$6+'01_원자료'!Q132*'03_가중치민감도'!$C$6+'01_원자료'!R132*'03_가중치민감도'!$D$6</f>
        <v/>
      </c>
      <c r="G135" s="85">
        <f>'01_원자료'!P132*'03_가중치민감도'!$B$7+'01_원자료'!Q132*'03_가중치민감도'!$C$7+'01_원자료'!R132*'03_가중치민감도'!$D$7</f>
        <v/>
      </c>
      <c r="H135" s="85">
        <f>'01_원자료'!P132*'03_가중치민감도'!$B$8+'01_원자료'!Q132*'03_가중치민감도'!$C$8+'01_원자료'!R132*'03_가중치민감도'!$D$8</f>
        <v/>
      </c>
      <c r="I135" s="85">
        <f>'01_원자료'!P132*'03_가중치민감도'!$B$9+'01_원자료'!Q132*'03_가중치민감도'!$C$9+'01_원자료'!R132*'03_가중치민감도'!$D$9</f>
        <v/>
      </c>
      <c r="J135" s="85">
        <f>'01_원자료'!P132*'03_가중치민감도'!$B$10+'01_원자료'!Q132*'03_가중치민감도'!$C$10+'01_원자료'!R132*'03_가중치민감도'!$D$10</f>
        <v/>
      </c>
      <c r="K135" s="99">
        <f>COUNTIF($E$5:$E$979,"&lt;"&amp;E135)+(COUNTIF($E$5:$E$979,"="&amp;E135)+1)/2</f>
        <v/>
      </c>
      <c r="L135" s="99">
        <f>COUNTIF($F$5:$F$979,"&lt;"&amp;F135)+(COUNTIF($F$5:$F$979,"="&amp;F135)+1)/2</f>
        <v/>
      </c>
      <c r="M135" s="99">
        <f>COUNTIF($G$5:$G$979,"&lt;"&amp;G135)+(COUNTIF($G$5:$G$979,"="&amp;G135)+1)/2</f>
        <v/>
      </c>
      <c r="N135" s="99">
        <f>COUNTIF($H$5:$H$979,"&lt;"&amp;H135)+(COUNTIF($H$5:$H$979,"="&amp;H135)+1)/2</f>
        <v/>
      </c>
      <c r="O135" s="99">
        <f>COUNTIF($I$5:$I$979,"&lt;"&amp;I135)+(COUNTIF($I$5:$I$979,"="&amp;I135)+1)/2</f>
        <v/>
      </c>
      <c r="P135" s="99">
        <f>COUNTIF($J$5:$J$979,"&lt;"&amp;J135)+(COUNTIF($J$5:$J$979,"="&amp;J135)+1)/2</f>
        <v/>
      </c>
    </row>
    <row r="136" ht="15" customHeight="1" s="68">
      <c r="A136" s="70">
        <f>'01_원자료'!A133</f>
        <v/>
      </c>
      <c r="B136" s="70">
        <f>'01_원자료'!B133</f>
        <v/>
      </c>
      <c r="C136" s="70">
        <f>'01_원자료'!C133</f>
        <v/>
      </c>
      <c r="E136" s="85">
        <f>'01_원자료'!P133*'03_가중치민감도'!$B$5+'01_원자료'!Q133*'03_가중치민감도'!$C$5+'01_원자료'!R133*'03_가중치민감도'!$D$5</f>
        <v/>
      </c>
      <c r="F136" s="85">
        <f>'01_원자료'!P133*'03_가중치민감도'!$B$6+'01_원자료'!Q133*'03_가중치민감도'!$C$6+'01_원자료'!R133*'03_가중치민감도'!$D$6</f>
        <v/>
      </c>
      <c r="G136" s="85">
        <f>'01_원자료'!P133*'03_가중치민감도'!$B$7+'01_원자료'!Q133*'03_가중치민감도'!$C$7+'01_원자료'!R133*'03_가중치민감도'!$D$7</f>
        <v/>
      </c>
      <c r="H136" s="85">
        <f>'01_원자료'!P133*'03_가중치민감도'!$B$8+'01_원자료'!Q133*'03_가중치민감도'!$C$8+'01_원자료'!R133*'03_가중치민감도'!$D$8</f>
        <v/>
      </c>
      <c r="I136" s="85">
        <f>'01_원자료'!P133*'03_가중치민감도'!$B$9+'01_원자료'!Q133*'03_가중치민감도'!$C$9+'01_원자료'!R133*'03_가중치민감도'!$D$9</f>
        <v/>
      </c>
      <c r="J136" s="85">
        <f>'01_원자료'!P133*'03_가중치민감도'!$B$10+'01_원자료'!Q133*'03_가중치민감도'!$C$10+'01_원자료'!R133*'03_가중치민감도'!$D$10</f>
        <v/>
      </c>
      <c r="K136" s="99">
        <f>COUNTIF($E$5:$E$979,"&lt;"&amp;E136)+(COUNTIF($E$5:$E$979,"="&amp;E136)+1)/2</f>
        <v/>
      </c>
      <c r="L136" s="99">
        <f>COUNTIF($F$5:$F$979,"&lt;"&amp;F136)+(COUNTIF($F$5:$F$979,"="&amp;F136)+1)/2</f>
        <v/>
      </c>
      <c r="M136" s="99">
        <f>COUNTIF($G$5:$G$979,"&lt;"&amp;G136)+(COUNTIF($G$5:$G$979,"="&amp;G136)+1)/2</f>
        <v/>
      </c>
      <c r="N136" s="99">
        <f>COUNTIF($H$5:$H$979,"&lt;"&amp;H136)+(COUNTIF($H$5:$H$979,"="&amp;H136)+1)/2</f>
        <v/>
      </c>
      <c r="O136" s="99">
        <f>COUNTIF($I$5:$I$979,"&lt;"&amp;I136)+(COUNTIF($I$5:$I$979,"="&amp;I136)+1)/2</f>
        <v/>
      </c>
      <c r="P136" s="99">
        <f>COUNTIF($J$5:$J$979,"&lt;"&amp;J136)+(COUNTIF($J$5:$J$979,"="&amp;J136)+1)/2</f>
        <v/>
      </c>
    </row>
    <row r="137" ht="15" customHeight="1" s="68">
      <c r="A137" s="70">
        <f>'01_원자료'!A134</f>
        <v/>
      </c>
      <c r="B137" s="70">
        <f>'01_원자료'!B134</f>
        <v/>
      </c>
      <c r="C137" s="70">
        <f>'01_원자료'!C134</f>
        <v/>
      </c>
      <c r="E137" s="85">
        <f>'01_원자료'!P134*'03_가중치민감도'!$B$5+'01_원자료'!Q134*'03_가중치민감도'!$C$5+'01_원자료'!R134*'03_가중치민감도'!$D$5</f>
        <v/>
      </c>
      <c r="F137" s="85">
        <f>'01_원자료'!P134*'03_가중치민감도'!$B$6+'01_원자료'!Q134*'03_가중치민감도'!$C$6+'01_원자료'!R134*'03_가중치민감도'!$D$6</f>
        <v/>
      </c>
      <c r="G137" s="85">
        <f>'01_원자료'!P134*'03_가중치민감도'!$B$7+'01_원자료'!Q134*'03_가중치민감도'!$C$7+'01_원자료'!R134*'03_가중치민감도'!$D$7</f>
        <v/>
      </c>
      <c r="H137" s="85">
        <f>'01_원자료'!P134*'03_가중치민감도'!$B$8+'01_원자료'!Q134*'03_가중치민감도'!$C$8+'01_원자료'!R134*'03_가중치민감도'!$D$8</f>
        <v/>
      </c>
      <c r="I137" s="85">
        <f>'01_원자료'!P134*'03_가중치민감도'!$B$9+'01_원자료'!Q134*'03_가중치민감도'!$C$9+'01_원자료'!R134*'03_가중치민감도'!$D$9</f>
        <v/>
      </c>
      <c r="J137" s="85">
        <f>'01_원자료'!P134*'03_가중치민감도'!$B$10+'01_원자료'!Q134*'03_가중치민감도'!$C$10+'01_원자료'!R134*'03_가중치민감도'!$D$10</f>
        <v/>
      </c>
      <c r="K137" s="99">
        <f>COUNTIF($E$5:$E$979,"&lt;"&amp;E137)+(COUNTIF($E$5:$E$979,"="&amp;E137)+1)/2</f>
        <v/>
      </c>
      <c r="L137" s="99">
        <f>COUNTIF($F$5:$F$979,"&lt;"&amp;F137)+(COUNTIF($F$5:$F$979,"="&amp;F137)+1)/2</f>
        <v/>
      </c>
      <c r="M137" s="99">
        <f>COUNTIF($G$5:$G$979,"&lt;"&amp;G137)+(COUNTIF($G$5:$G$979,"="&amp;G137)+1)/2</f>
        <v/>
      </c>
      <c r="N137" s="99">
        <f>COUNTIF($H$5:$H$979,"&lt;"&amp;H137)+(COUNTIF($H$5:$H$979,"="&amp;H137)+1)/2</f>
        <v/>
      </c>
      <c r="O137" s="99">
        <f>COUNTIF($I$5:$I$979,"&lt;"&amp;I137)+(COUNTIF($I$5:$I$979,"="&amp;I137)+1)/2</f>
        <v/>
      </c>
      <c r="P137" s="99">
        <f>COUNTIF($J$5:$J$979,"&lt;"&amp;J137)+(COUNTIF($J$5:$J$979,"="&amp;J137)+1)/2</f>
        <v/>
      </c>
    </row>
    <row r="138" ht="15" customHeight="1" s="68">
      <c r="A138" s="70">
        <f>'01_원자료'!A135</f>
        <v/>
      </c>
      <c r="B138" s="70">
        <f>'01_원자료'!B135</f>
        <v/>
      </c>
      <c r="C138" s="70">
        <f>'01_원자료'!C135</f>
        <v/>
      </c>
      <c r="E138" s="85">
        <f>'01_원자료'!P135*'03_가중치민감도'!$B$5+'01_원자료'!Q135*'03_가중치민감도'!$C$5+'01_원자료'!R135*'03_가중치민감도'!$D$5</f>
        <v/>
      </c>
      <c r="F138" s="85">
        <f>'01_원자료'!P135*'03_가중치민감도'!$B$6+'01_원자료'!Q135*'03_가중치민감도'!$C$6+'01_원자료'!R135*'03_가중치민감도'!$D$6</f>
        <v/>
      </c>
      <c r="G138" s="85">
        <f>'01_원자료'!P135*'03_가중치민감도'!$B$7+'01_원자료'!Q135*'03_가중치민감도'!$C$7+'01_원자료'!R135*'03_가중치민감도'!$D$7</f>
        <v/>
      </c>
      <c r="H138" s="85">
        <f>'01_원자료'!P135*'03_가중치민감도'!$B$8+'01_원자료'!Q135*'03_가중치민감도'!$C$8+'01_원자료'!R135*'03_가중치민감도'!$D$8</f>
        <v/>
      </c>
      <c r="I138" s="85">
        <f>'01_원자료'!P135*'03_가중치민감도'!$B$9+'01_원자료'!Q135*'03_가중치민감도'!$C$9+'01_원자료'!R135*'03_가중치민감도'!$D$9</f>
        <v/>
      </c>
      <c r="J138" s="85">
        <f>'01_원자료'!P135*'03_가중치민감도'!$B$10+'01_원자료'!Q135*'03_가중치민감도'!$C$10+'01_원자료'!R135*'03_가중치민감도'!$D$10</f>
        <v/>
      </c>
      <c r="K138" s="99">
        <f>COUNTIF($E$5:$E$979,"&lt;"&amp;E138)+(COUNTIF($E$5:$E$979,"="&amp;E138)+1)/2</f>
        <v/>
      </c>
      <c r="L138" s="99">
        <f>COUNTIF($F$5:$F$979,"&lt;"&amp;F138)+(COUNTIF($F$5:$F$979,"="&amp;F138)+1)/2</f>
        <v/>
      </c>
      <c r="M138" s="99">
        <f>COUNTIF($G$5:$G$979,"&lt;"&amp;G138)+(COUNTIF($G$5:$G$979,"="&amp;G138)+1)/2</f>
        <v/>
      </c>
      <c r="N138" s="99">
        <f>COUNTIF($H$5:$H$979,"&lt;"&amp;H138)+(COUNTIF($H$5:$H$979,"="&amp;H138)+1)/2</f>
        <v/>
      </c>
      <c r="O138" s="99">
        <f>COUNTIF($I$5:$I$979,"&lt;"&amp;I138)+(COUNTIF($I$5:$I$979,"="&amp;I138)+1)/2</f>
        <v/>
      </c>
      <c r="P138" s="99">
        <f>COUNTIF($J$5:$J$979,"&lt;"&amp;J138)+(COUNTIF($J$5:$J$979,"="&amp;J138)+1)/2</f>
        <v/>
      </c>
    </row>
    <row r="139" ht="15" customHeight="1" s="68">
      <c r="A139" s="70">
        <f>'01_원자료'!A136</f>
        <v/>
      </c>
      <c r="B139" s="70">
        <f>'01_원자료'!B136</f>
        <v/>
      </c>
      <c r="C139" s="70">
        <f>'01_원자료'!C136</f>
        <v/>
      </c>
      <c r="E139" s="85">
        <f>'01_원자료'!P136*'03_가중치민감도'!$B$5+'01_원자료'!Q136*'03_가중치민감도'!$C$5+'01_원자료'!R136*'03_가중치민감도'!$D$5</f>
        <v/>
      </c>
      <c r="F139" s="85">
        <f>'01_원자료'!P136*'03_가중치민감도'!$B$6+'01_원자료'!Q136*'03_가중치민감도'!$C$6+'01_원자료'!R136*'03_가중치민감도'!$D$6</f>
        <v/>
      </c>
      <c r="G139" s="85">
        <f>'01_원자료'!P136*'03_가중치민감도'!$B$7+'01_원자료'!Q136*'03_가중치민감도'!$C$7+'01_원자료'!R136*'03_가중치민감도'!$D$7</f>
        <v/>
      </c>
      <c r="H139" s="85">
        <f>'01_원자료'!P136*'03_가중치민감도'!$B$8+'01_원자료'!Q136*'03_가중치민감도'!$C$8+'01_원자료'!R136*'03_가중치민감도'!$D$8</f>
        <v/>
      </c>
      <c r="I139" s="85">
        <f>'01_원자료'!P136*'03_가중치민감도'!$B$9+'01_원자료'!Q136*'03_가중치민감도'!$C$9+'01_원자료'!R136*'03_가중치민감도'!$D$9</f>
        <v/>
      </c>
      <c r="J139" s="85">
        <f>'01_원자료'!P136*'03_가중치민감도'!$B$10+'01_원자료'!Q136*'03_가중치민감도'!$C$10+'01_원자료'!R136*'03_가중치민감도'!$D$10</f>
        <v/>
      </c>
      <c r="K139" s="99">
        <f>COUNTIF($E$5:$E$979,"&lt;"&amp;E139)+(COUNTIF($E$5:$E$979,"="&amp;E139)+1)/2</f>
        <v/>
      </c>
      <c r="L139" s="99">
        <f>COUNTIF($F$5:$F$979,"&lt;"&amp;F139)+(COUNTIF($F$5:$F$979,"="&amp;F139)+1)/2</f>
        <v/>
      </c>
      <c r="M139" s="99">
        <f>COUNTIF($G$5:$G$979,"&lt;"&amp;G139)+(COUNTIF($G$5:$G$979,"="&amp;G139)+1)/2</f>
        <v/>
      </c>
      <c r="N139" s="99">
        <f>COUNTIF($H$5:$H$979,"&lt;"&amp;H139)+(COUNTIF($H$5:$H$979,"="&amp;H139)+1)/2</f>
        <v/>
      </c>
      <c r="O139" s="99">
        <f>COUNTIF($I$5:$I$979,"&lt;"&amp;I139)+(COUNTIF($I$5:$I$979,"="&amp;I139)+1)/2</f>
        <v/>
      </c>
      <c r="P139" s="99">
        <f>COUNTIF($J$5:$J$979,"&lt;"&amp;J139)+(COUNTIF($J$5:$J$979,"="&amp;J139)+1)/2</f>
        <v/>
      </c>
    </row>
    <row r="140" ht="15" customHeight="1" s="68">
      <c r="A140" s="70">
        <f>'01_원자료'!A137</f>
        <v/>
      </c>
      <c r="B140" s="70">
        <f>'01_원자료'!B137</f>
        <v/>
      </c>
      <c r="C140" s="70">
        <f>'01_원자료'!C137</f>
        <v/>
      </c>
      <c r="E140" s="85">
        <f>'01_원자료'!P137*'03_가중치민감도'!$B$5+'01_원자료'!Q137*'03_가중치민감도'!$C$5+'01_원자료'!R137*'03_가중치민감도'!$D$5</f>
        <v/>
      </c>
      <c r="F140" s="85">
        <f>'01_원자료'!P137*'03_가중치민감도'!$B$6+'01_원자료'!Q137*'03_가중치민감도'!$C$6+'01_원자료'!R137*'03_가중치민감도'!$D$6</f>
        <v/>
      </c>
      <c r="G140" s="85">
        <f>'01_원자료'!P137*'03_가중치민감도'!$B$7+'01_원자료'!Q137*'03_가중치민감도'!$C$7+'01_원자료'!R137*'03_가중치민감도'!$D$7</f>
        <v/>
      </c>
      <c r="H140" s="85">
        <f>'01_원자료'!P137*'03_가중치민감도'!$B$8+'01_원자료'!Q137*'03_가중치민감도'!$C$8+'01_원자료'!R137*'03_가중치민감도'!$D$8</f>
        <v/>
      </c>
      <c r="I140" s="85">
        <f>'01_원자료'!P137*'03_가중치민감도'!$B$9+'01_원자료'!Q137*'03_가중치민감도'!$C$9+'01_원자료'!R137*'03_가중치민감도'!$D$9</f>
        <v/>
      </c>
      <c r="J140" s="85">
        <f>'01_원자료'!P137*'03_가중치민감도'!$B$10+'01_원자료'!Q137*'03_가중치민감도'!$C$10+'01_원자료'!R137*'03_가중치민감도'!$D$10</f>
        <v/>
      </c>
      <c r="K140" s="99">
        <f>COUNTIF($E$5:$E$979,"&lt;"&amp;E140)+(COUNTIF($E$5:$E$979,"="&amp;E140)+1)/2</f>
        <v/>
      </c>
      <c r="L140" s="99">
        <f>COUNTIF($F$5:$F$979,"&lt;"&amp;F140)+(COUNTIF($F$5:$F$979,"="&amp;F140)+1)/2</f>
        <v/>
      </c>
      <c r="M140" s="99">
        <f>COUNTIF($G$5:$G$979,"&lt;"&amp;G140)+(COUNTIF($G$5:$G$979,"="&amp;G140)+1)/2</f>
        <v/>
      </c>
      <c r="N140" s="99">
        <f>COUNTIF($H$5:$H$979,"&lt;"&amp;H140)+(COUNTIF($H$5:$H$979,"="&amp;H140)+1)/2</f>
        <v/>
      </c>
      <c r="O140" s="99">
        <f>COUNTIF($I$5:$I$979,"&lt;"&amp;I140)+(COUNTIF($I$5:$I$979,"="&amp;I140)+1)/2</f>
        <v/>
      </c>
      <c r="P140" s="99">
        <f>COUNTIF($J$5:$J$979,"&lt;"&amp;J140)+(COUNTIF($J$5:$J$979,"="&amp;J140)+1)/2</f>
        <v/>
      </c>
    </row>
    <row r="141" ht="15" customHeight="1" s="68">
      <c r="A141" s="70">
        <f>'01_원자료'!A138</f>
        <v/>
      </c>
      <c r="B141" s="70">
        <f>'01_원자료'!B138</f>
        <v/>
      </c>
      <c r="C141" s="70">
        <f>'01_원자료'!C138</f>
        <v/>
      </c>
      <c r="E141" s="85">
        <f>'01_원자료'!P138*'03_가중치민감도'!$B$5+'01_원자료'!Q138*'03_가중치민감도'!$C$5+'01_원자료'!R138*'03_가중치민감도'!$D$5</f>
        <v/>
      </c>
      <c r="F141" s="85">
        <f>'01_원자료'!P138*'03_가중치민감도'!$B$6+'01_원자료'!Q138*'03_가중치민감도'!$C$6+'01_원자료'!R138*'03_가중치민감도'!$D$6</f>
        <v/>
      </c>
      <c r="G141" s="85">
        <f>'01_원자료'!P138*'03_가중치민감도'!$B$7+'01_원자료'!Q138*'03_가중치민감도'!$C$7+'01_원자료'!R138*'03_가중치민감도'!$D$7</f>
        <v/>
      </c>
      <c r="H141" s="85">
        <f>'01_원자료'!P138*'03_가중치민감도'!$B$8+'01_원자료'!Q138*'03_가중치민감도'!$C$8+'01_원자료'!R138*'03_가중치민감도'!$D$8</f>
        <v/>
      </c>
      <c r="I141" s="85">
        <f>'01_원자료'!P138*'03_가중치민감도'!$B$9+'01_원자료'!Q138*'03_가중치민감도'!$C$9+'01_원자료'!R138*'03_가중치민감도'!$D$9</f>
        <v/>
      </c>
      <c r="J141" s="85">
        <f>'01_원자료'!P138*'03_가중치민감도'!$B$10+'01_원자료'!Q138*'03_가중치민감도'!$C$10+'01_원자료'!R138*'03_가중치민감도'!$D$10</f>
        <v/>
      </c>
      <c r="K141" s="99">
        <f>COUNTIF($E$5:$E$979,"&lt;"&amp;E141)+(COUNTIF($E$5:$E$979,"="&amp;E141)+1)/2</f>
        <v/>
      </c>
      <c r="L141" s="99">
        <f>COUNTIF($F$5:$F$979,"&lt;"&amp;F141)+(COUNTIF($F$5:$F$979,"="&amp;F141)+1)/2</f>
        <v/>
      </c>
      <c r="M141" s="99">
        <f>COUNTIF($G$5:$G$979,"&lt;"&amp;G141)+(COUNTIF($G$5:$G$979,"="&amp;G141)+1)/2</f>
        <v/>
      </c>
      <c r="N141" s="99">
        <f>COUNTIF($H$5:$H$979,"&lt;"&amp;H141)+(COUNTIF($H$5:$H$979,"="&amp;H141)+1)/2</f>
        <v/>
      </c>
      <c r="O141" s="99">
        <f>COUNTIF($I$5:$I$979,"&lt;"&amp;I141)+(COUNTIF($I$5:$I$979,"="&amp;I141)+1)/2</f>
        <v/>
      </c>
      <c r="P141" s="99">
        <f>COUNTIF($J$5:$J$979,"&lt;"&amp;J141)+(COUNTIF($J$5:$J$979,"="&amp;J141)+1)/2</f>
        <v/>
      </c>
    </row>
    <row r="142" ht="15" customHeight="1" s="68">
      <c r="A142" s="70">
        <f>'01_원자료'!A139</f>
        <v/>
      </c>
      <c r="B142" s="70">
        <f>'01_원자료'!B139</f>
        <v/>
      </c>
      <c r="C142" s="70">
        <f>'01_원자료'!C139</f>
        <v/>
      </c>
      <c r="E142" s="85">
        <f>'01_원자료'!P139*'03_가중치민감도'!$B$5+'01_원자료'!Q139*'03_가중치민감도'!$C$5+'01_원자료'!R139*'03_가중치민감도'!$D$5</f>
        <v/>
      </c>
      <c r="F142" s="85">
        <f>'01_원자료'!P139*'03_가중치민감도'!$B$6+'01_원자료'!Q139*'03_가중치민감도'!$C$6+'01_원자료'!R139*'03_가중치민감도'!$D$6</f>
        <v/>
      </c>
      <c r="G142" s="85">
        <f>'01_원자료'!P139*'03_가중치민감도'!$B$7+'01_원자료'!Q139*'03_가중치민감도'!$C$7+'01_원자료'!R139*'03_가중치민감도'!$D$7</f>
        <v/>
      </c>
      <c r="H142" s="85">
        <f>'01_원자료'!P139*'03_가중치민감도'!$B$8+'01_원자료'!Q139*'03_가중치민감도'!$C$8+'01_원자료'!R139*'03_가중치민감도'!$D$8</f>
        <v/>
      </c>
      <c r="I142" s="85">
        <f>'01_원자료'!P139*'03_가중치민감도'!$B$9+'01_원자료'!Q139*'03_가중치민감도'!$C$9+'01_원자료'!R139*'03_가중치민감도'!$D$9</f>
        <v/>
      </c>
      <c r="J142" s="85">
        <f>'01_원자료'!P139*'03_가중치민감도'!$B$10+'01_원자료'!Q139*'03_가중치민감도'!$C$10+'01_원자료'!R139*'03_가중치민감도'!$D$10</f>
        <v/>
      </c>
      <c r="K142" s="99">
        <f>COUNTIF($E$5:$E$979,"&lt;"&amp;E142)+(COUNTIF($E$5:$E$979,"="&amp;E142)+1)/2</f>
        <v/>
      </c>
      <c r="L142" s="99">
        <f>COUNTIF($F$5:$F$979,"&lt;"&amp;F142)+(COUNTIF($F$5:$F$979,"="&amp;F142)+1)/2</f>
        <v/>
      </c>
      <c r="M142" s="99">
        <f>COUNTIF($G$5:$G$979,"&lt;"&amp;G142)+(COUNTIF($G$5:$G$979,"="&amp;G142)+1)/2</f>
        <v/>
      </c>
      <c r="N142" s="99">
        <f>COUNTIF($H$5:$H$979,"&lt;"&amp;H142)+(COUNTIF($H$5:$H$979,"="&amp;H142)+1)/2</f>
        <v/>
      </c>
      <c r="O142" s="99">
        <f>COUNTIF($I$5:$I$979,"&lt;"&amp;I142)+(COUNTIF($I$5:$I$979,"="&amp;I142)+1)/2</f>
        <v/>
      </c>
      <c r="P142" s="99">
        <f>COUNTIF($J$5:$J$979,"&lt;"&amp;J142)+(COUNTIF($J$5:$J$979,"="&amp;J142)+1)/2</f>
        <v/>
      </c>
    </row>
    <row r="143" ht="15" customHeight="1" s="68">
      <c r="A143" s="70">
        <f>'01_원자료'!A140</f>
        <v/>
      </c>
      <c r="B143" s="70">
        <f>'01_원자료'!B140</f>
        <v/>
      </c>
      <c r="C143" s="70">
        <f>'01_원자료'!C140</f>
        <v/>
      </c>
      <c r="E143" s="85">
        <f>'01_원자료'!P140*'03_가중치민감도'!$B$5+'01_원자료'!Q140*'03_가중치민감도'!$C$5+'01_원자료'!R140*'03_가중치민감도'!$D$5</f>
        <v/>
      </c>
      <c r="F143" s="85">
        <f>'01_원자료'!P140*'03_가중치민감도'!$B$6+'01_원자료'!Q140*'03_가중치민감도'!$C$6+'01_원자료'!R140*'03_가중치민감도'!$D$6</f>
        <v/>
      </c>
      <c r="G143" s="85">
        <f>'01_원자료'!P140*'03_가중치민감도'!$B$7+'01_원자료'!Q140*'03_가중치민감도'!$C$7+'01_원자료'!R140*'03_가중치민감도'!$D$7</f>
        <v/>
      </c>
      <c r="H143" s="85">
        <f>'01_원자료'!P140*'03_가중치민감도'!$B$8+'01_원자료'!Q140*'03_가중치민감도'!$C$8+'01_원자료'!R140*'03_가중치민감도'!$D$8</f>
        <v/>
      </c>
      <c r="I143" s="85">
        <f>'01_원자료'!P140*'03_가중치민감도'!$B$9+'01_원자료'!Q140*'03_가중치민감도'!$C$9+'01_원자료'!R140*'03_가중치민감도'!$D$9</f>
        <v/>
      </c>
      <c r="J143" s="85">
        <f>'01_원자료'!P140*'03_가중치민감도'!$B$10+'01_원자료'!Q140*'03_가중치민감도'!$C$10+'01_원자료'!R140*'03_가중치민감도'!$D$10</f>
        <v/>
      </c>
      <c r="K143" s="99">
        <f>COUNTIF($E$5:$E$979,"&lt;"&amp;E143)+(COUNTIF($E$5:$E$979,"="&amp;E143)+1)/2</f>
        <v/>
      </c>
      <c r="L143" s="99">
        <f>COUNTIF($F$5:$F$979,"&lt;"&amp;F143)+(COUNTIF($F$5:$F$979,"="&amp;F143)+1)/2</f>
        <v/>
      </c>
      <c r="M143" s="99">
        <f>COUNTIF($G$5:$G$979,"&lt;"&amp;G143)+(COUNTIF($G$5:$G$979,"="&amp;G143)+1)/2</f>
        <v/>
      </c>
      <c r="N143" s="99">
        <f>COUNTIF($H$5:$H$979,"&lt;"&amp;H143)+(COUNTIF($H$5:$H$979,"="&amp;H143)+1)/2</f>
        <v/>
      </c>
      <c r="O143" s="99">
        <f>COUNTIF($I$5:$I$979,"&lt;"&amp;I143)+(COUNTIF($I$5:$I$979,"="&amp;I143)+1)/2</f>
        <v/>
      </c>
      <c r="P143" s="99">
        <f>COUNTIF($J$5:$J$979,"&lt;"&amp;J143)+(COUNTIF($J$5:$J$979,"="&amp;J143)+1)/2</f>
        <v/>
      </c>
    </row>
    <row r="144" ht="15" customHeight="1" s="68">
      <c r="A144" s="70">
        <f>'01_원자료'!A141</f>
        <v/>
      </c>
      <c r="B144" s="70">
        <f>'01_원자료'!B141</f>
        <v/>
      </c>
      <c r="C144" s="70">
        <f>'01_원자료'!C141</f>
        <v/>
      </c>
      <c r="E144" s="85">
        <f>'01_원자료'!P141*'03_가중치민감도'!$B$5+'01_원자료'!Q141*'03_가중치민감도'!$C$5+'01_원자료'!R141*'03_가중치민감도'!$D$5</f>
        <v/>
      </c>
      <c r="F144" s="85">
        <f>'01_원자료'!P141*'03_가중치민감도'!$B$6+'01_원자료'!Q141*'03_가중치민감도'!$C$6+'01_원자료'!R141*'03_가중치민감도'!$D$6</f>
        <v/>
      </c>
      <c r="G144" s="85">
        <f>'01_원자료'!P141*'03_가중치민감도'!$B$7+'01_원자료'!Q141*'03_가중치민감도'!$C$7+'01_원자료'!R141*'03_가중치민감도'!$D$7</f>
        <v/>
      </c>
      <c r="H144" s="85">
        <f>'01_원자료'!P141*'03_가중치민감도'!$B$8+'01_원자료'!Q141*'03_가중치민감도'!$C$8+'01_원자료'!R141*'03_가중치민감도'!$D$8</f>
        <v/>
      </c>
      <c r="I144" s="85">
        <f>'01_원자료'!P141*'03_가중치민감도'!$B$9+'01_원자료'!Q141*'03_가중치민감도'!$C$9+'01_원자료'!R141*'03_가중치민감도'!$D$9</f>
        <v/>
      </c>
      <c r="J144" s="85">
        <f>'01_원자료'!P141*'03_가중치민감도'!$B$10+'01_원자료'!Q141*'03_가중치민감도'!$C$10+'01_원자료'!R141*'03_가중치민감도'!$D$10</f>
        <v/>
      </c>
      <c r="K144" s="99">
        <f>COUNTIF($E$5:$E$979,"&lt;"&amp;E144)+(COUNTIF($E$5:$E$979,"="&amp;E144)+1)/2</f>
        <v/>
      </c>
      <c r="L144" s="99">
        <f>COUNTIF($F$5:$F$979,"&lt;"&amp;F144)+(COUNTIF($F$5:$F$979,"="&amp;F144)+1)/2</f>
        <v/>
      </c>
      <c r="M144" s="99">
        <f>COUNTIF($G$5:$G$979,"&lt;"&amp;G144)+(COUNTIF($G$5:$G$979,"="&amp;G144)+1)/2</f>
        <v/>
      </c>
      <c r="N144" s="99">
        <f>COUNTIF($H$5:$H$979,"&lt;"&amp;H144)+(COUNTIF($H$5:$H$979,"="&amp;H144)+1)/2</f>
        <v/>
      </c>
      <c r="O144" s="99">
        <f>COUNTIF($I$5:$I$979,"&lt;"&amp;I144)+(COUNTIF($I$5:$I$979,"="&amp;I144)+1)/2</f>
        <v/>
      </c>
      <c r="P144" s="99">
        <f>COUNTIF($J$5:$J$979,"&lt;"&amp;J144)+(COUNTIF($J$5:$J$979,"="&amp;J144)+1)/2</f>
        <v/>
      </c>
    </row>
    <row r="145" ht="15" customHeight="1" s="68">
      <c r="A145" s="70">
        <f>'01_원자료'!A142</f>
        <v/>
      </c>
      <c r="B145" s="70">
        <f>'01_원자료'!B142</f>
        <v/>
      </c>
      <c r="C145" s="70">
        <f>'01_원자료'!C142</f>
        <v/>
      </c>
      <c r="E145" s="85">
        <f>'01_원자료'!P142*'03_가중치민감도'!$B$5+'01_원자료'!Q142*'03_가중치민감도'!$C$5+'01_원자료'!R142*'03_가중치민감도'!$D$5</f>
        <v/>
      </c>
      <c r="F145" s="85">
        <f>'01_원자료'!P142*'03_가중치민감도'!$B$6+'01_원자료'!Q142*'03_가중치민감도'!$C$6+'01_원자료'!R142*'03_가중치민감도'!$D$6</f>
        <v/>
      </c>
      <c r="G145" s="85">
        <f>'01_원자료'!P142*'03_가중치민감도'!$B$7+'01_원자료'!Q142*'03_가중치민감도'!$C$7+'01_원자료'!R142*'03_가중치민감도'!$D$7</f>
        <v/>
      </c>
      <c r="H145" s="85">
        <f>'01_원자료'!P142*'03_가중치민감도'!$B$8+'01_원자료'!Q142*'03_가중치민감도'!$C$8+'01_원자료'!R142*'03_가중치민감도'!$D$8</f>
        <v/>
      </c>
      <c r="I145" s="85">
        <f>'01_원자료'!P142*'03_가중치민감도'!$B$9+'01_원자료'!Q142*'03_가중치민감도'!$C$9+'01_원자료'!R142*'03_가중치민감도'!$D$9</f>
        <v/>
      </c>
      <c r="J145" s="85">
        <f>'01_원자료'!P142*'03_가중치민감도'!$B$10+'01_원자료'!Q142*'03_가중치민감도'!$C$10+'01_원자료'!R142*'03_가중치민감도'!$D$10</f>
        <v/>
      </c>
      <c r="K145" s="99">
        <f>COUNTIF($E$5:$E$979,"&lt;"&amp;E145)+(COUNTIF($E$5:$E$979,"="&amp;E145)+1)/2</f>
        <v/>
      </c>
      <c r="L145" s="99">
        <f>COUNTIF($F$5:$F$979,"&lt;"&amp;F145)+(COUNTIF($F$5:$F$979,"="&amp;F145)+1)/2</f>
        <v/>
      </c>
      <c r="M145" s="99">
        <f>COUNTIF($G$5:$G$979,"&lt;"&amp;G145)+(COUNTIF($G$5:$G$979,"="&amp;G145)+1)/2</f>
        <v/>
      </c>
      <c r="N145" s="99">
        <f>COUNTIF($H$5:$H$979,"&lt;"&amp;H145)+(COUNTIF($H$5:$H$979,"="&amp;H145)+1)/2</f>
        <v/>
      </c>
      <c r="O145" s="99">
        <f>COUNTIF($I$5:$I$979,"&lt;"&amp;I145)+(COUNTIF($I$5:$I$979,"="&amp;I145)+1)/2</f>
        <v/>
      </c>
      <c r="P145" s="99">
        <f>COUNTIF($J$5:$J$979,"&lt;"&amp;J145)+(COUNTIF($J$5:$J$979,"="&amp;J145)+1)/2</f>
        <v/>
      </c>
    </row>
    <row r="146" ht="15" customHeight="1" s="68">
      <c r="A146" s="70">
        <f>'01_원자료'!A143</f>
        <v/>
      </c>
      <c r="B146" s="70">
        <f>'01_원자료'!B143</f>
        <v/>
      </c>
      <c r="C146" s="70">
        <f>'01_원자료'!C143</f>
        <v/>
      </c>
      <c r="E146" s="85">
        <f>'01_원자료'!P143*'03_가중치민감도'!$B$5+'01_원자료'!Q143*'03_가중치민감도'!$C$5+'01_원자료'!R143*'03_가중치민감도'!$D$5</f>
        <v/>
      </c>
      <c r="F146" s="85">
        <f>'01_원자료'!P143*'03_가중치민감도'!$B$6+'01_원자료'!Q143*'03_가중치민감도'!$C$6+'01_원자료'!R143*'03_가중치민감도'!$D$6</f>
        <v/>
      </c>
      <c r="G146" s="85">
        <f>'01_원자료'!P143*'03_가중치민감도'!$B$7+'01_원자료'!Q143*'03_가중치민감도'!$C$7+'01_원자료'!R143*'03_가중치민감도'!$D$7</f>
        <v/>
      </c>
      <c r="H146" s="85">
        <f>'01_원자료'!P143*'03_가중치민감도'!$B$8+'01_원자료'!Q143*'03_가중치민감도'!$C$8+'01_원자료'!R143*'03_가중치민감도'!$D$8</f>
        <v/>
      </c>
      <c r="I146" s="85">
        <f>'01_원자료'!P143*'03_가중치민감도'!$B$9+'01_원자료'!Q143*'03_가중치민감도'!$C$9+'01_원자료'!R143*'03_가중치민감도'!$D$9</f>
        <v/>
      </c>
      <c r="J146" s="85">
        <f>'01_원자료'!P143*'03_가중치민감도'!$B$10+'01_원자료'!Q143*'03_가중치민감도'!$C$10+'01_원자료'!R143*'03_가중치민감도'!$D$10</f>
        <v/>
      </c>
      <c r="K146" s="99">
        <f>COUNTIF($E$5:$E$979,"&lt;"&amp;E146)+(COUNTIF($E$5:$E$979,"="&amp;E146)+1)/2</f>
        <v/>
      </c>
      <c r="L146" s="99">
        <f>COUNTIF($F$5:$F$979,"&lt;"&amp;F146)+(COUNTIF($F$5:$F$979,"="&amp;F146)+1)/2</f>
        <v/>
      </c>
      <c r="M146" s="99">
        <f>COUNTIF($G$5:$G$979,"&lt;"&amp;G146)+(COUNTIF($G$5:$G$979,"="&amp;G146)+1)/2</f>
        <v/>
      </c>
      <c r="N146" s="99">
        <f>COUNTIF($H$5:$H$979,"&lt;"&amp;H146)+(COUNTIF($H$5:$H$979,"="&amp;H146)+1)/2</f>
        <v/>
      </c>
      <c r="O146" s="99">
        <f>COUNTIF($I$5:$I$979,"&lt;"&amp;I146)+(COUNTIF($I$5:$I$979,"="&amp;I146)+1)/2</f>
        <v/>
      </c>
      <c r="P146" s="99">
        <f>COUNTIF($J$5:$J$979,"&lt;"&amp;J146)+(COUNTIF($J$5:$J$979,"="&amp;J146)+1)/2</f>
        <v/>
      </c>
    </row>
    <row r="147" ht="15" customHeight="1" s="68">
      <c r="A147" s="70">
        <f>'01_원자료'!A144</f>
        <v/>
      </c>
      <c r="B147" s="70">
        <f>'01_원자료'!B144</f>
        <v/>
      </c>
      <c r="C147" s="70">
        <f>'01_원자료'!C144</f>
        <v/>
      </c>
      <c r="E147" s="85">
        <f>'01_원자료'!P144*'03_가중치민감도'!$B$5+'01_원자료'!Q144*'03_가중치민감도'!$C$5+'01_원자료'!R144*'03_가중치민감도'!$D$5</f>
        <v/>
      </c>
      <c r="F147" s="85">
        <f>'01_원자료'!P144*'03_가중치민감도'!$B$6+'01_원자료'!Q144*'03_가중치민감도'!$C$6+'01_원자료'!R144*'03_가중치민감도'!$D$6</f>
        <v/>
      </c>
      <c r="G147" s="85">
        <f>'01_원자료'!P144*'03_가중치민감도'!$B$7+'01_원자료'!Q144*'03_가중치민감도'!$C$7+'01_원자료'!R144*'03_가중치민감도'!$D$7</f>
        <v/>
      </c>
      <c r="H147" s="85">
        <f>'01_원자료'!P144*'03_가중치민감도'!$B$8+'01_원자료'!Q144*'03_가중치민감도'!$C$8+'01_원자료'!R144*'03_가중치민감도'!$D$8</f>
        <v/>
      </c>
      <c r="I147" s="85">
        <f>'01_원자료'!P144*'03_가중치민감도'!$B$9+'01_원자료'!Q144*'03_가중치민감도'!$C$9+'01_원자료'!R144*'03_가중치민감도'!$D$9</f>
        <v/>
      </c>
      <c r="J147" s="85">
        <f>'01_원자료'!P144*'03_가중치민감도'!$B$10+'01_원자료'!Q144*'03_가중치민감도'!$C$10+'01_원자료'!R144*'03_가중치민감도'!$D$10</f>
        <v/>
      </c>
      <c r="K147" s="99">
        <f>COUNTIF($E$5:$E$979,"&lt;"&amp;E147)+(COUNTIF($E$5:$E$979,"="&amp;E147)+1)/2</f>
        <v/>
      </c>
      <c r="L147" s="99">
        <f>COUNTIF($F$5:$F$979,"&lt;"&amp;F147)+(COUNTIF($F$5:$F$979,"="&amp;F147)+1)/2</f>
        <v/>
      </c>
      <c r="M147" s="99">
        <f>COUNTIF($G$5:$G$979,"&lt;"&amp;G147)+(COUNTIF($G$5:$G$979,"="&amp;G147)+1)/2</f>
        <v/>
      </c>
      <c r="N147" s="99">
        <f>COUNTIF($H$5:$H$979,"&lt;"&amp;H147)+(COUNTIF($H$5:$H$979,"="&amp;H147)+1)/2</f>
        <v/>
      </c>
      <c r="O147" s="99">
        <f>COUNTIF($I$5:$I$979,"&lt;"&amp;I147)+(COUNTIF($I$5:$I$979,"="&amp;I147)+1)/2</f>
        <v/>
      </c>
      <c r="P147" s="99">
        <f>COUNTIF($J$5:$J$979,"&lt;"&amp;J147)+(COUNTIF($J$5:$J$979,"="&amp;J147)+1)/2</f>
        <v/>
      </c>
    </row>
    <row r="148" ht="15" customHeight="1" s="68">
      <c r="A148" s="70">
        <f>'01_원자료'!A145</f>
        <v/>
      </c>
      <c r="B148" s="70">
        <f>'01_원자료'!B145</f>
        <v/>
      </c>
      <c r="C148" s="70">
        <f>'01_원자료'!C145</f>
        <v/>
      </c>
      <c r="E148" s="85">
        <f>'01_원자료'!P145*'03_가중치민감도'!$B$5+'01_원자료'!Q145*'03_가중치민감도'!$C$5+'01_원자료'!R145*'03_가중치민감도'!$D$5</f>
        <v/>
      </c>
      <c r="F148" s="85">
        <f>'01_원자료'!P145*'03_가중치민감도'!$B$6+'01_원자료'!Q145*'03_가중치민감도'!$C$6+'01_원자료'!R145*'03_가중치민감도'!$D$6</f>
        <v/>
      </c>
      <c r="G148" s="85">
        <f>'01_원자료'!P145*'03_가중치민감도'!$B$7+'01_원자료'!Q145*'03_가중치민감도'!$C$7+'01_원자료'!R145*'03_가중치민감도'!$D$7</f>
        <v/>
      </c>
      <c r="H148" s="85">
        <f>'01_원자료'!P145*'03_가중치민감도'!$B$8+'01_원자료'!Q145*'03_가중치민감도'!$C$8+'01_원자료'!R145*'03_가중치민감도'!$D$8</f>
        <v/>
      </c>
      <c r="I148" s="85">
        <f>'01_원자료'!P145*'03_가중치민감도'!$B$9+'01_원자료'!Q145*'03_가중치민감도'!$C$9+'01_원자료'!R145*'03_가중치민감도'!$D$9</f>
        <v/>
      </c>
      <c r="J148" s="85">
        <f>'01_원자료'!P145*'03_가중치민감도'!$B$10+'01_원자료'!Q145*'03_가중치민감도'!$C$10+'01_원자료'!R145*'03_가중치민감도'!$D$10</f>
        <v/>
      </c>
      <c r="K148" s="99">
        <f>COUNTIF($E$5:$E$979,"&lt;"&amp;E148)+(COUNTIF($E$5:$E$979,"="&amp;E148)+1)/2</f>
        <v/>
      </c>
      <c r="L148" s="99">
        <f>COUNTIF($F$5:$F$979,"&lt;"&amp;F148)+(COUNTIF($F$5:$F$979,"="&amp;F148)+1)/2</f>
        <v/>
      </c>
      <c r="M148" s="99">
        <f>COUNTIF($G$5:$G$979,"&lt;"&amp;G148)+(COUNTIF($G$5:$G$979,"="&amp;G148)+1)/2</f>
        <v/>
      </c>
      <c r="N148" s="99">
        <f>COUNTIF($H$5:$H$979,"&lt;"&amp;H148)+(COUNTIF($H$5:$H$979,"="&amp;H148)+1)/2</f>
        <v/>
      </c>
      <c r="O148" s="99">
        <f>COUNTIF($I$5:$I$979,"&lt;"&amp;I148)+(COUNTIF($I$5:$I$979,"="&amp;I148)+1)/2</f>
        <v/>
      </c>
      <c r="P148" s="99">
        <f>COUNTIF($J$5:$J$979,"&lt;"&amp;J148)+(COUNTIF($J$5:$J$979,"="&amp;J148)+1)/2</f>
        <v/>
      </c>
    </row>
    <row r="149" ht="15" customHeight="1" s="68">
      <c r="A149" s="70">
        <f>'01_원자료'!A146</f>
        <v/>
      </c>
      <c r="B149" s="70">
        <f>'01_원자료'!B146</f>
        <v/>
      </c>
      <c r="C149" s="70">
        <f>'01_원자료'!C146</f>
        <v/>
      </c>
      <c r="E149" s="85">
        <f>'01_원자료'!P146*'03_가중치민감도'!$B$5+'01_원자료'!Q146*'03_가중치민감도'!$C$5+'01_원자료'!R146*'03_가중치민감도'!$D$5</f>
        <v/>
      </c>
      <c r="F149" s="85">
        <f>'01_원자료'!P146*'03_가중치민감도'!$B$6+'01_원자료'!Q146*'03_가중치민감도'!$C$6+'01_원자료'!R146*'03_가중치민감도'!$D$6</f>
        <v/>
      </c>
      <c r="G149" s="85">
        <f>'01_원자료'!P146*'03_가중치민감도'!$B$7+'01_원자료'!Q146*'03_가중치민감도'!$C$7+'01_원자료'!R146*'03_가중치민감도'!$D$7</f>
        <v/>
      </c>
      <c r="H149" s="85">
        <f>'01_원자료'!P146*'03_가중치민감도'!$B$8+'01_원자료'!Q146*'03_가중치민감도'!$C$8+'01_원자료'!R146*'03_가중치민감도'!$D$8</f>
        <v/>
      </c>
      <c r="I149" s="85">
        <f>'01_원자료'!P146*'03_가중치민감도'!$B$9+'01_원자료'!Q146*'03_가중치민감도'!$C$9+'01_원자료'!R146*'03_가중치민감도'!$D$9</f>
        <v/>
      </c>
      <c r="J149" s="85">
        <f>'01_원자료'!P146*'03_가중치민감도'!$B$10+'01_원자료'!Q146*'03_가중치민감도'!$C$10+'01_원자료'!R146*'03_가중치민감도'!$D$10</f>
        <v/>
      </c>
      <c r="K149" s="99">
        <f>COUNTIF($E$5:$E$979,"&lt;"&amp;E149)+(COUNTIF($E$5:$E$979,"="&amp;E149)+1)/2</f>
        <v/>
      </c>
      <c r="L149" s="99">
        <f>COUNTIF($F$5:$F$979,"&lt;"&amp;F149)+(COUNTIF($F$5:$F$979,"="&amp;F149)+1)/2</f>
        <v/>
      </c>
      <c r="M149" s="99">
        <f>COUNTIF($G$5:$G$979,"&lt;"&amp;G149)+(COUNTIF($G$5:$G$979,"="&amp;G149)+1)/2</f>
        <v/>
      </c>
      <c r="N149" s="99">
        <f>COUNTIF($H$5:$H$979,"&lt;"&amp;H149)+(COUNTIF($H$5:$H$979,"="&amp;H149)+1)/2</f>
        <v/>
      </c>
      <c r="O149" s="99">
        <f>COUNTIF($I$5:$I$979,"&lt;"&amp;I149)+(COUNTIF($I$5:$I$979,"="&amp;I149)+1)/2</f>
        <v/>
      </c>
      <c r="P149" s="99">
        <f>COUNTIF($J$5:$J$979,"&lt;"&amp;J149)+(COUNTIF($J$5:$J$979,"="&amp;J149)+1)/2</f>
        <v/>
      </c>
    </row>
    <row r="150" ht="15" customHeight="1" s="68">
      <c r="A150" s="70">
        <f>'01_원자료'!A147</f>
        <v/>
      </c>
      <c r="B150" s="70">
        <f>'01_원자료'!B147</f>
        <v/>
      </c>
      <c r="C150" s="70">
        <f>'01_원자료'!C147</f>
        <v/>
      </c>
      <c r="E150" s="85">
        <f>'01_원자료'!P147*'03_가중치민감도'!$B$5+'01_원자료'!Q147*'03_가중치민감도'!$C$5+'01_원자료'!R147*'03_가중치민감도'!$D$5</f>
        <v/>
      </c>
      <c r="F150" s="85">
        <f>'01_원자료'!P147*'03_가중치민감도'!$B$6+'01_원자료'!Q147*'03_가중치민감도'!$C$6+'01_원자료'!R147*'03_가중치민감도'!$D$6</f>
        <v/>
      </c>
      <c r="G150" s="85">
        <f>'01_원자료'!P147*'03_가중치민감도'!$B$7+'01_원자료'!Q147*'03_가중치민감도'!$C$7+'01_원자료'!R147*'03_가중치민감도'!$D$7</f>
        <v/>
      </c>
      <c r="H150" s="85">
        <f>'01_원자료'!P147*'03_가중치민감도'!$B$8+'01_원자료'!Q147*'03_가중치민감도'!$C$8+'01_원자료'!R147*'03_가중치민감도'!$D$8</f>
        <v/>
      </c>
      <c r="I150" s="85">
        <f>'01_원자료'!P147*'03_가중치민감도'!$B$9+'01_원자료'!Q147*'03_가중치민감도'!$C$9+'01_원자료'!R147*'03_가중치민감도'!$D$9</f>
        <v/>
      </c>
      <c r="J150" s="85">
        <f>'01_원자료'!P147*'03_가중치민감도'!$B$10+'01_원자료'!Q147*'03_가중치민감도'!$C$10+'01_원자료'!R147*'03_가중치민감도'!$D$10</f>
        <v/>
      </c>
      <c r="K150" s="99">
        <f>COUNTIF($E$5:$E$979,"&lt;"&amp;E150)+(COUNTIF($E$5:$E$979,"="&amp;E150)+1)/2</f>
        <v/>
      </c>
      <c r="L150" s="99">
        <f>COUNTIF($F$5:$F$979,"&lt;"&amp;F150)+(COUNTIF($F$5:$F$979,"="&amp;F150)+1)/2</f>
        <v/>
      </c>
      <c r="M150" s="99">
        <f>COUNTIF($G$5:$G$979,"&lt;"&amp;G150)+(COUNTIF($G$5:$G$979,"="&amp;G150)+1)/2</f>
        <v/>
      </c>
      <c r="N150" s="99">
        <f>COUNTIF($H$5:$H$979,"&lt;"&amp;H150)+(COUNTIF($H$5:$H$979,"="&amp;H150)+1)/2</f>
        <v/>
      </c>
      <c r="O150" s="99">
        <f>COUNTIF($I$5:$I$979,"&lt;"&amp;I150)+(COUNTIF($I$5:$I$979,"="&amp;I150)+1)/2</f>
        <v/>
      </c>
      <c r="P150" s="99">
        <f>COUNTIF($J$5:$J$979,"&lt;"&amp;J150)+(COUNTIF($J$5:$J$979,"="&amp;J150)+1)/2</f>
        <v/>
      </c>
    </row>
    <row r="151" ht="15" customHeight="1" s="68">
      <c r="A151" s="70">
        <f>'01_원자료'!A148</f>
        <v/>
      </c>
      <c r="B151" s="70">
        <f>'01_원자료'!B148</f>
        <v/>
      </c>
      <c r="C151" s="70">
        <f>'01_원자료'!C148</f>
        <v/>
      </c>
      <c r="E151" s="85">
        <f>'01_원자료'!P148*'03_가중치민감도'!$B$5+'01_원자료'!Q148*'03_가중치민감도'!$C$5+'01_원자료'!R148*'03_가중치민감도'!$D$5</f>
        <v/>
      </c>
      <c r="F151" s="85">
        <f>'01_원자료'!P148*'03_가중치민감도'!$B$6+'01_원자료'!Q148*'03_가중치민감도'!$C$6+'01_원자료'!R148*'03_가중치민감도'!$D$6</f>
        <v/>
      </c>
      <c r="G151" s="85">
        <f>'01_원자료'!P148*'03_가중치민감도'!$B$7+'01_원자료'!Q148*'03_가중치민감도'!$C$7+'01_원자료'!R148*'03_가중치민감도'!$D$7</f>
        <v/>
      </c>
      <c r="H151" s="85">
        <f>'01_원자료'!P148*'03_가중치민감도'!$B$8+'01_원자료'!Q148*'03_가중치민감도'!$C$8+'01_원자료'!R148*'03_가중치민감도'!$D$8</f>
        <v/>
      </c>
      <c r="I151" s="85">
        <f>'01_원자료'!P148*'03_가중치민감도'!$B$9+'01_원자료'!Q148*'03_가중치민감도'!$C$9+'01_원자료'!R148*'03_가중치민감도'!$D$9</f>
        <v/>
      </c>
      <c r="J151" s="85">
        <f>'01_원자료'!P148*'03_가중치민감도'!$B$10+'01_원자료'!Q148*'03_가중치민감도'!$C$10+'01_원자료'!R148*'03_가중치민감도'!$D$10</f>
        <v/>
      </c>
      <c r="K151" s="99">
        <f>COUNTIF($E$5:$E$979,"&lt;"&amp;E151)+(COUNTIF($E$5:$E$979,"="&amp;E151)+1)/2</f>
        <v/>
      </c>
      <c r="L151" s="99">
        <f>COUNTIF($F$5:$F$979,"&lt;"&amp;F151)+(COUNTIF($F$5:$F$979,"="&amp;F151)+1)/2</f>
        <v/>
      </c>
      <c r="M151" s="99">
        <f>COUNTIF($G$5:$G$979,"&lt;"&amp;G151)+(COUNTIF($G$5:$G$979,"="&amp;G151)+1)/2</f>
        <v/>
      </c>
      <c r="N151" s="99">
        <f>COUNTIF($H$5:$H$979,"&lt;"&amp;H151)+(COUNTIF($H$5:$H$979,"="&amp;H151)+1)/2</f>
        <v/>
      </c>
      <c r="O151" s="99">
        <f>COUNTIF($I$5:$I$979,"&lt;"&amp;I151)+(COUNTIF($I$5:$I$979,"="&amp;I151)+1)/2</f>
        <v/>
      </c>
      <c r="P151" s="99">
        <f>COUNTIF($J$5:$J$979,"&lt;"&amp;J151)+(COUNTIF($J$5:$J$979,"="&amp;J151)+1)/2</f>
        <v/>
      </c>
    </row>
    <row r="152" ht="15" customHeight="1" s="68">
      <c r="A152" s="70">
        <f>'01_원자료'!A149</f>
        <v/>
      </c>
      <c r="B152" s="70">
        <f>'01_원자료'!B149</f>
        <v/>
      </c>
      <c r="C152" s="70">
        <f>'01_원자료'!C149</f>
        <v/>
      </c>
      <c r="E152" s="85">
        <f>'01_원자료'!P149*'03_가중치민감도'!$B$5+'01_원자료'!Q149*'03_가중치민감도'!$C$5+'01_원자료'!R149*'03_가중치민감도'!$D$5</f>
        <v/>
      </c>
      <c r="F152" s="85">
        <f>'01_원자료'!P149*'03_가중치민감도'!$B$6+'01_원자료'!Q149*'03_가중치민감도'!$C$6+'01_원자료'!R149*'03_가중치민감도'!$D$6</f>
        <v/>
      </c>
      <c r="G152" s="85">
        <f>'01_원자료'!P149*'03_가중치민감도'!$B$7+'01_원자료'!Q149*'03_가중치민감도'!$C$7+'01_원자료'!R149*'03_가중치민감도'!$D$7</f>
        <v/>
      </c>
      <c r="H152" s="85">
        <f>'01_원자료'!P149*'03_가중치민감도'!$B$8+'01_원자료'!Q149*'03_가중치민감도'!$C$8+'01_원자료'!R149*'03_가중치민감도'!$D$8</f>
        <v/>
      </c>
      <c r="I152" s="85">
        <f>'01_원자료'!P149*'03_가중치민감도'!$B$9+'01_원자료'!Q149*'03_가중치민감도'!$C$9+'01_원자료'!R149*'03_가중치민감도'!$D$9</f>
        <v/>
      </c>
      <c r="J152" s="85">
        <f>'01_원자료'!P149*'03_가중치민감도'!$B$10+'01_원자료'!Q149*'03_가중치민감도'!$C$10+'01_원자료'!R149*'03_가중치민감도'!$D$10</f>
        <v/>
      </c>
      <c r="K152" s="99">
        <f>COUNTIF($E$5:$E$979,"&lt;"&amp;E152)+(COUNTIF($E$5:$E$979,"="&amp;E152)+1)/2</f>
        <v/>
      </c>
      <c r="L152" s="99">
        <f>COUNTIF($F$5:$F$979,"&lt;"&amp;F152)+(COUNTIF($F$5:$F$979,"="&amp;F152)+1)/2</f>
        <v/>
      </c>
      <c r="M152" s="99">
        <f>COUNTIF($G$5:$G$979,"&lt;"&amp;G152)+(COUNTIF($G$5:$G$979,"="&amp;G152)+1)/2</f>
        <v/>
      </c>
      <c r="N152" s="99">
        <f>COUNTIF($H$5:$H$979,"&lt;"&amp;H152)+(COUNTIF($H$5:$H$979,"="&amp;H152)+1)/2</f>
        <v/>
      </c>
      <c r="O152" s="99">
        <f>COUNTIF($I$5:$I$979,"&lt;"&amp;I152)+(COUNTIF($I$5:$I$979,"="&amp;I152)+1)/2</f>
        <v/>
      </c>
      <c r="P152" s="99">
        <f>COUNTIF($J$5:$J$979,"&lt;"&amp;J152)+(COUNTIF($J$5:$J$979,"="&amp;J152)+1)/2</f>
        <v/>
      </c>
    </row>
    <row r="153" ht="15" customHeight="1" s="68">
      <c r="A153" s="70">
        <f>'01_원자료'!A150</f>
        <v/>
      </c>
      <c r="B153" s="70">
        <f>'01_원자료'!B150</f>
        <v/>
      </c>
      <c r="C153" s="70">
        <f>'01_원자료'!C150</f>
        <v/>
      </c>
      <c r="E153" s="85">
        <f>'01_원자료'!P150*'03_가중치민감도'!$B$5+'01_원자료'!Q150*'03_가중치민감도'!$C$5+'01_원자료'!R150*'03_가중치민감도'!$D$5</f>
        <v/>
      </c>
      <c r="F153" s="85">
        <f>'01_원자료'!P150*'03_가중치민감도'!$B$6+'01_원자료'!Q150*'03_가중치민감도'!$C$6+'01_원자료'!R150*'03_가중치민감도'!$D$6</f>
        <v/>
      </c>
      <c r="G153" s="85">
        <f>'01_원자료'!P150*'03_가중치민감도'!$B$7+'01_원자료'!Q150*'03_가중치민감도'!$C$7+'01_원자료'!R150*'03_가중치민감도'!$D$7</f>
        <v/>
      </c>
      <c r="H153" s="85">
        <f>'01_원자료'!P150*'03_가중치민감도'!$B$8+'01_원자료'!Q150*'03_가중치민감도'!$C$8+'01_원자료'!R150*'03_가중치민감도'!$D$8</f>
        <v/>
      </c>
      <c r="I153" s="85">
        <f>'01_원자료'!P150*'03_가중치민감도'!$B$9+'01_원자료'!Q150*'03_가중치민감도'!$C$9+'01_원자료'!R150*'03_가중치민감도'!$D$9</f>
        <v/>
      </c>
      <c r="J153" s="85">
        <f>'01_원자료'!P150*'03_가중치민감도'!$B$10+'01_원자료'!Q150*'03_가중치민감도'!$C$10+'01_원자료'!R150*'03_가중치민감도'!$D$10</f>
        <v/>
      </c>
      <c r="K153" s="99">
        <f>COUNTIF($E$5:$E$979,"&lt;"&amp;E153)+(COUNTIF($E$5:$E$979,"="&amp;E153)+1)/2</f>
        <v/>
      </c>
      <c r="L153" s="99">
        <f>COUNTIF($F$5:$F$979,"&lt;"&amp;F153)+(COUNTIF($F$5:$F$979,"="&amp;F153)+1)/2</f>
        <v/>
      </c>
      <c r="M153" s="99">
        <f>COUNTIF($G$5:$G$979,"&lt;"&amp;G153)+(COUNTIF($G$5:$G$979,"="&amp;G153)+1)/2</f>
        <v/>
      </c>
      <c r="N153" s="99">
        <f>COUNTIF($H$5:$H$979,"&lt;"&amp;H153)+(COUNTIF($H$5:$H$979,"="&amp;H153)+1)/2</f>
        <v/>
      </c>
      <c r="O153" s="99">
        <f>COUNTIF($I$5:$I$979,"&lt;"&amp;I153)+(COUNTIF($I$5:$I$979,"="&amp;I153)+1)/2</f>
        <v/>
      </c>
      <c r="P153" s="99">
        <f>COUNTIF($J$5:$J$979,"&lt;"&amp;J153)+(COUNTIF($J$5:$J$979,"="&amp;J153)+1)/2</f>
        <v/>
      </c>
    </row>
    <row r="154" ht="15" customHeight="1" s="68">
      <c r="A154" s="70">
        <f>'01_원자료'!A151</f>
        <v/>
      </c>
      <c r="B154" s="70">
        <f>'01_원자료'!B151</f>
        <v/>
      </c>
      <c r="C154" s="70">
        <f>'01_원자료'!C151</f>
        <v/>
      </c>
      <c r="E154" s="85">
        <f>'01_원자료'!P151*'03_가중치민감도'!$B$5+'01_원자료'!Q151*'03_가중치민감도'!$C$5+'01_원자료'!R151*'03_가중치민감도'!$D$5</f>
        <v/>
      </c>
      <c r="F154" s="85">
        <f>'01_원자료'!P151*'03_가중치민감도'!$B$6+'01_원자료'!Q151*'03_가중치민감도'!$C$6+'01_원자료'!R151*'03_가중치민감도'!$D$6</f>
        <v/>
      </c>
      <c r="G154" s="85">
        <f>'01_원자료'!P151*'03_가중치민감도'!$B$7+'01_원자료'!Q151*'03_가중치민감도'!$C$7+'01_원자료'!R151*'03_가중치민감도'!$D$7</f>
        <v/>
      </c>
      <c r="H154" s="85">
        <f>'01_원자료'!P151*'03_가중치민감도'!$B$8+'01_원자료'!Q151*'03_가중치민감도'!$C$8+'01_원자료'!R151*'03_가중치민감도'!$D$8</f>
        <v/>
      </c>
      <c r="I154" s="85">
        <f>'01_원자료'!P151*'03_가중치민감도'!$B$9+'01_원자료'!Q151*'03_가중치민감도'!$C$9+'01_원자료'!R151*'03_가중치민감도'!$D$9</f>
        <v/>
      </c>
      <c r="J154" s="85">
        <f>'01_원자료'!P151*'03_가중치민감도'!$B$10+'01_원자료'!Q151*'03_가중치민감도'!$C$10+'01_원자료'!R151*'03_가중치민감도'!$D$10</f>
        <v/>
      </c>
      <c r="K154" s="99">
        <f>COUNTIF($E$5:$E$979,"&lt;"&amp;E154)+(COUNTIF($E$5:$E$979,"="&amp;E154)+1)/2</f>
        <v/>
      </c>
      <c r="L154" s="99">
        <f>COUNTIF($F$5:$F$979,"&lt;"&amp;F154)+(COUNTIF($F$5:$F$979,"="&amp;F154)+1)/2</f>
        <v/>
      </c>
      <c r="M154" s="99">
        <f>COUNTIF($G$5:$G$979,"&lt;"&amp;G154)+(COUNTIF($G$5:$G$979,"="&amp;G154)+1)/2</f>
        <v/>
      </c>
      <c r="N154" s="99">
        <f>COUNTIF($H$5:$H$979,"&lt;"&amp;H154)+(COUNTIF($H$5:$H$979,"="&amp;H154)+1)/2</f>
        <v/>
      </c>
      <c r="O154" s="99">
        <f>COUNTIF($I$5:$I$979,"&lt;"&amp;I154)+(COUNTIF($I$5:$I$979,"="&amp;I154)+1)/2</f>
        <v/>
      </c>
      <c r="P154" s="99">
        <f>COUNTIF($J$5:$J$979,"&lt;"&amp;J154)+(COUNTIF($J$5:$J$979,"="&amp;J154)+1)/2</f>
        <v/>
      </c>
    </row>
    <row r="155" ht="15" customHeight="1" s="68">
      <c r="A155" s="70">
        <f>'01_원자료'!A152</f>
        <v/>
      </c>
      <c r="B155" s="70">
        <f>'01_원자료'!B152</f>
        <v/>
      </c>
      <c r="C155" s="70">
        <f>'01_원자료'!C152</f>
        <v/>
      </c>
      <c r="E155" s="85">
        <f>'01_원자료'!P152*'03_가중치민감도'!$B$5+'01_원자료'!Q152*'03_가중치민감도'!$C$5+'01_원자료'!R152*'03_가중치민감도'!$D$5</f>
        <v/>
      </c>
      <c r="F155" s="85">
        <f>'01_원자료'!P152*'03_가중치민감도'!$B$6+'01_원자료'!Q152*'03_가중치민감도'!$C$6+'01_원자료'!R152*'03_가중치민감도'!$D$6</f>
        <v/>
      </c>
      <c r="G155" s="85">
        <f>'01_원자료'!P152*'03_가중치민감도'!$B$7+'01_원자료'!Q152*'03_가중치민감도'!$C$7+'01_원자료'!R152*'03_가중치민감도'!$D$7</f>
        <v/>
      </c>
      <c r="H155" s="85">
        <f>'01_원자료'!P152*'03_가중치민감도'!$B$8+'01_원자료'!Q152*'03_가중치민감도'!$C$8+'01_원자료'!R152*'03_가중치민감도'!$D$8</f>
        <v/>
      </c>
      <c r="I155" s="85">
        <f>'01_원자료'!P152*'03_가중치민감도'!$B$9+'01_원자료'!Q152*'03_가중치민감도'!$C$9+'01_원자료'!R152*'03_가중치민감도'!$D$9</f>
        <v/>
      </c>
      <c r="J155" s="85">
        <f>'01_원자료'!P152*'03_가중치민감도'!$B$10+'01_원자료'!Q152*'03_가중치민감도'!$C$10+'01_원자료'!R152*'03_가중치민감도'!$D$10</f>
        <v/>
      </c>
      <c r="K155" s="99">
        <f>COUNTIF($E$5:$E$979,"&lt;"&amp;E155)+(COUNTIF($E$5:$E$979,"="&amp;E155)+1)/2</f>
        <v/>
      </c>
      <c r="L155" s="99">
        <f>COUNTIF($F$5:$F$979,"&lt;"&amp;F155)+(COUNTIF($F$5:$F$979,"="&amp;F155)+1)/2</f>
        <v/>
      </c>
      <c r="M155" s="99">
        <f>COUNTIF($G$5:$G$979,"&lt;"&amp;G155)+(COUNTIF($G$5:$G$979,"="&amp;G155)+1)/2</f>
        <v/>
      </c>
      <c r="N155" s="99">
        <f>COUNTIF($H$5:$H$979,"&lt;"&amp;H155)+(COUNTIF($H$5:$H$979,"="&amp;H155)+1)/2</f>
        <v/>
      </c>
      <c r="O155" s="99">
        <f>COUNTIF($I$5:$I$979,"&lt;"&amp;I155)+(COUNTIF($I$5:$I$979,"="&amp;I155)+1)/2</f>
        <v/>
      </c>
      <c r="P155" s="99">
        <f>COUNTIF($J$5:$J$979,"&lt;"&amp;J155)+(COUNTIF($J$5:$J$979,"="&amp;J155)+1)/2</f>
        <v/>
      </c>
    </row>
    <row r="156" ht="15" customHeight="1" s="68">
      <c r="A156" s="70">
        <f>'01_원자료'!A153</f>
        <v/>
      </c>
      <c r="B156" s="70">
        <f>'01_원자료'!B153</f>
        <v/>
      </c>
      <c r="C156" s="70">
        <f>'01_원자료'!C153</f>
        <v/>
      </c>
      <c r="E156" s="85">
        <f>'01_원자료'!P153*'03_가중치민감도'!$B$5+'01_원자료'!Q153*'03_가중치민감도'!$C$5+'01_원자료'!R153*'03_가중치민감도'!$D$5</f>
        <v/>
      </c>
      <c r="F156" s="85">
        <f>'01_원자료'!P153*'03_가중치민감도'!$B$6+'01_원자료'!Q153*'03_가중치민감도'!$C$6+'01_원자료'!R153*'03_가중치민감도'!$D$6</f>
        <v/>
      </c>
      <c r="G156" s="85">
        <f>'01_원자료'!P153*'03_가중치민감도'!$B$7+'01_원자료'!Q153*'03_가중치민감도'!$C$7+'01_원자료'!R153*'03_가중치민감도'!$D$7</f>
        <v/>
      </c>
      <c r="H156" s="85">
        <f>'01_원자료'!P153*'03_가중치민감도'!$B$8+'01_원자료'!Q153*'03_가중치민감도'!$C$8+'01_원자료'!R153*'03_가중치민감도'!$D$8</f>
        <v/>
      </c>
      <c r="I156" s="85">
        <f>'01_원자료'!P153*'03_가중치민감도'!$B$9+'01_원자료'!Q153*'03_가중치민감도'!$C$9+'01_원자료'!R153*'03_가중치민감도'!$D$9</f>
        <v/>
      </c>
      <c r="J156" s="85">
        <f>'01_원자료'!P153*'03_가중치민감도'!$B$10+'01_원자료'!Q153*'03_가중치민감도'!$C$10+'01_원자료'!R153*'03_가중치민감도'!$D$10</f>
        <v/>
      </c>
      <c r="K156" s="99">
        <f>COUNTIF($E$5:$E$979,"&lt;"&amp;E156)+(COUNTIF($E$5:$E$979,"="&amp;E156)+1)/2</f>
        <v/>
      </c>
      <c r="L156" s="99">
        <f>COUNTIF($F$5:$F$979,"&lt;"&amp;F156)+(COUNTIF($F$5:$F$979,"="&amp;F156)+1)/2</f>
        <v/>
      </c>
      <c r="M156" s="99">
        <f>COUNTIF($G$5:$G$979,"&lt;"&amp;G156)+(COUNTIF($G$5:$G$979,"="&amp;G156)+1)/2</f>
        <v/>
      </c>
      <c r="N156" s="99">
        <f>COUNTIF($H$5:$H$979,"&lt;"&amp;H156)+(COUNTIF($H$5:$H$979,"="&amp;H156)+1)/2</f>
        <v/>
      </c>
      <c r="O156" s="99">
        <f>COUNTIF($I$5:$I$979,"&lt;"&amp;I156)+(COUNTIF($I$5:$I$979,"="&amp;I156)+1)/2</f>
        <v/>
      </c>
      <c r="P156" s="99">
        <f>COUNTIF($J$5:$J$979,"&lt;"&amp;J156)+(COUNTIF($J$5:$J$979,"="&amp;J156)+1)/2</f>
        <v/>
      </c>
    </row>
    <row r="157" ht="15" customHeight="1" s="68">
      <c r="A157" s="70">
        <f>'01_원자료'!A154</f>
        <v/>
      </c>
      <c r="B157" s="70">
        <f>'01_원자료'!B154</f>
        <v/>
      </c>
      <c r="C157" s="70">
        <f>'01_원자료'!C154</f>
        <v/>
      </c>
      <c r="E157" s="85">
        <f>'01_원자료'!P154*'03_가중치민감도'!$B$5+'01_원자료'!Q154*'03_가중치민감도'!$C$5+'01_원자료'!R154*'03_가중치민감도'!$D$5</f>
        <v/>
      </c>
      <c r="F157" s="85">
        <f>'01_원자료'!P154*'03_가중치민감도'!$B$6+'01_원자료'!Q154*'03_가중치민감도'!$C$6+'01_원자료'!R154*'03_가중치민감도'!$D$6</f>
        <v/>
      </c>
      <c r="G157" s="85">
        <f>'01_원자료'!P154*'03_가중치민감도'!$B$7+'01_원자료'!Q154*'03_가중치민감도'!$C$7+'01_원자료'!R154*'03_가중치민감도'!$D$7</f>
        <v/>
      </c>
      <c r="H157" s="85">
        <f>'01_원자료'!P154*'03_가중치민감도'!$B$8+'01_원자료'!Q154*'03_가중치민감도'!$C$8+'01_원자료'!R154*'03_가중치민감도'!$D$8</f>
        <v/>
      </c>
      <c r="I157" s="85">
        <f>'01_원자료'!P154*'03_가중치민감도'!$B$9+'01_원자료'!Q154*'03_가중치민감도'!$C$9+'01_원자료'!R154*'03_가중치민감도'!$D$9</f>
        <v/>
      </c>
      <c r="J157" s="85">
        <f>'01_원자료'!P154*'03_가중치민감도'!$B$10+'01_원자료'!Q154*'03_가중치민감도'!$C$10+'01_원자료'!R154*'03_가중치민감도'!$D$10</f>
        <v/>
      </c>
      <c r="K157" s="99">
        <f>COUNTIF($E$5:$E$979,"&lt;"&amp;E157)+(COUNTIF($E$5:$E$979,"="&amp;E157)+1)/2</f>
        <v/>
      </c>
      <c r="L157" s="99">
        <f>COUNTIF($F$5:$F$979,"&lt;"&amp;F157)+(COUNTIF($F$5:$F$979,"="&amp;F157)+1)/2</f>
        <v/>
      </c>
      <c r="M157" s="99">
        <f>COUNTIF($G$5:$G$979,"&lt;"&amp;G157)+(COUNTIF($G$5:$G$979,"="&amp;G157)+1)/2</f>
        <v/>
      </c>
      <c r="N157" s="99">
        <f>COUNTIF($H$5:$H$979,"&lt;"&amp;H157)+(COUNTIF($H$5:$H$979,"="&amp;H157)+1)/2</f>
        <v/>
      </c>
      <c r="O157" s="99">
        <f>COUNTIF($I$5:$I$979,"&lt;"&amp;I157)+(COUNTIF($I$5:$I$979,"="&amp;I157)+1)/2</f>
        <v/>
      </c>
      <c r="P157" s="99">
        <f>COUNTIF($J$5:$J$979,"&lt;"&amp;J157)+(COUNTIF($J$5:$J$979,"="&amp;J157)+1)/2</f>
        <v/>
      </c>
    </row>
    <row r="158" ht="15" customHeight="1" s="68">
      <c r="A158" s="70">
        <f>'01_원자료'!A155</f>
        <v/>
      </c>
      <c r="B158" s="70">
        <f>'01_원자료'!B155</f>
        <v/>
      </c>
      <c r="C158" s="70">
        <f>'01_원자료'!C155</f>
        <v/>
      </c>
      <c r="E158" s="85">
        <f>'01_원자료'!P155*'03_가중치민감도'!$B$5+'01_원자료'!Q155*'03_가중치민감도'!$C$5+'01_원자료'!R155*'03_가중치민감도'!$D$5</f>
        <v/>
      </c>
      <c r="F158" s="85">
        <f>'01_원자료'!P155*'03_가중치민감도'!$B$6+'01_원자료'!Q155*'03_가중치민감도'!$C$6+'01_원자료'!R155*'03_가중치민감도'!$D$6</f>
        <v/>
      </c>
      <c r="G158" s="85">
        <f>'01_원자료'!P155*'03_가중치민감도'!$B$7+'01_원자료'!Q155*'03_가중치민감도'!$C$7+'01_원자료'!R155*'03_가중치민감도'!$D$7</f>
        <v/>
      </c>
      <c r="H158" s="85">
        <f>'01_원자료'!P155*'03_가중치민감도'!$B$8+'01_원자료'!Q155*'03_가중치민감도'!$C$8+'01_원자료'!R155*'03_가중치민감도'!$D$8</f>
        <v/>
      </c>
      <c r="I158" s="85">
        <f>'01_원자료'!P155*'03_가중치민감도'!$B$9+'01_원자료'!Q155*'03_가중치민감도'!$C$9+'01_원자료'!R155*'03_가중치민감도'!$D$9</f>
        <v/>
      </c>
      <c r="J158" s="85">
        <f>'01_원자료'!P155*'03_가중치민감도'!$B$10+'01_원자료'!Q155*'03_가중치민감도'!$C$10+'01_원자료'!R155*'03_가중치민감도'!$D$10</f>
        <v/>
      </c>
      <c r="K158" s="99">
        <f>COUNTIF($E$5:$E$979,"&lt;"&amp;E158)+(COUNTIF($E$5:$E$979,"="&amp;E158)+1)/2</f>
        <v/>
      </c>
      <c r="L158" s="99">
        <f>COUNTIF($F$5:$F$979,"&lt;"&amp;F158)+(COUNTIF($F$5:$F$979,"="&amp;F158)+1)/2</f>
        <v/>
      </c>
      <c r="M158" s="99">
        <f>COUNTIF($G$5:$G$979,"&lt;"&amp;G158)+(COUNTIF($G$5:$G$979,"="&amp;G158)+1)/2</f>
        <v/>
      </c>
      <c r="N158" s="99">
        <f>COUNTIF($H$5:$H$979,"&lt;"&amp;H158)+(COUNTIF($H$5:$H$979,"="&amp;H158)+1)/2</f>
        <v/>
      </c>
      <c r="O158" s="99">
        <f>COUNTIF($I$5:$I$979,"&lt;"&amp;I158)+(COUNTIF($I$5:$I$979,"="&amp;I158)+1)/2</f>
        <v/>
      </c>
      <c r="P158" s="99">
        <f>COUNTIF($J$5:$J$979,"&lt;"&amp;J158)+(COUNTIF($J$5:$J$979,"="&amp;J158)+1)/2</f>
        <v/>
      </c>
    </row>
    <row r="159" ht="15" customHeight="1" s="68">
      <c r="A159" s="70">
        <f>'01_원자료'!A156</f>
        <v/>
      </c>
      <c r="B159" s="70">
        <f>'01_원자료'!B156</f>
        <v/>
      </c>
      <c r="C159" s="70">
        <f>'01_원자료'!C156</f>
        <v/>
      </c>
      <c r="E159" s="85">
        <f>'01_원자료'!P156*'03_가중치민감도'!$B$5+'01_원자료'!Q156*'03_가중치민감도'!$C$5+'01_원자료'!R156*'03_가중치민감도'!$D$5</f>
        <v/>
      </c>
      <c r="F159" s="85">
        <f>'01_원자료'!P156*'03_가중치민감도'!$B$6+'01_원자료'!Q156*'03_가중치민감도'!$C$6+'01_원자료'!R156*'03_가중치민감도'!$D$6</f>
        <v/>
      </c>
      <c r="G159" s="85">
        <f>'01_원자료'!P156*'03_가중치민감도'!$B$7+'01_원자료'!Q156*'03_가중치민감도'!$C$7+'01_원자료'!R156*'03_가중치민감도'!$D$7</f>
        <v/>
      </c>
      <c r="H159" s="85">
        <f>'01_원자료'!P156*'03_가중치민감도'!$B$8+'01_원자료'!Q156*'03_가중치민감도'!$C$8+'01_원자료'!R156*'03_가중치민감도'!$D$8</f>
        <v/>
      </c>
      <c r="I159" s="85">
        <f>'01_원자료'!P156*'03_가중치민감도'!$B$9+'01_원자료'!Q156*'03_가중치민감도'!$C$9+'01_원자료'!R156*'03_가중치민감도'!$D$9</f>
        <v/>
      </c>
      <c r="J159" s="85">
        <f>'01_원자료'!P156*'03_가중치민감도'!$B$10+'01_원자료'!Q156*'03_가중치민감도'!$C$10+'01_원자료'!R156*'03_가중치민감도'!$D$10</f>
        <v/>
      </c>
      <c r="K159" s="99">
        <f>COUNTIF($E$5:$E$979,"&lt;"&amp;E159)+(COUNTIF($E$5:$E$979,"="&amp;E159)+1)/2</f>
        <v/>
      </c>
      <c r="L159" s="99">
        <f>COUNTIF($F$5:$F$979,"&lt;"&amp;F159)+(COUNTIF($F$5:$F$979,"="&amp;F159)+1)/2</f>
        <v/>
      </c>
      <c r="M159" s="99">
        <f>COUNTIF($G$5:$G$979,"&lt;"&amp;G159)+(COUNTIF($G$5:$G$979,"="&amp;G159)+1)/2</f>
        <v/>
      </c>
      <c r="N159" s="99">
        <f>COUNTIF($H$5:$H$979,"&lt;"&amp;H159)+(COUNTIF($H$5:$H$979,"="&amp;H159)+1)/2</f>
        <v/>
      </c>
      <c r="O159" s="99">
        <f>COUNTIF($I$5:$I$979,"&lt;"&amp;I159)+(COUNTIF($I$5:$I$979,"="&amp;I159)+1)/2</f>
        <v/>
      </c>
      <c r="P159" s="99">
        <f>COUNTIF($J$5:$J$979,"&lt;"&amp;J159)+(COUNTIF($J$5:$J$979,"="&amp;J159)+1)/2</f>
        <v/>
      </c>
    </row>
    <row r="160" ht="15" customHeight="1" s="68">
      <c r="A160" s="70">
        <f>'01_원자료'!A157</f>
        <v/>
      </c>
      <c r="B160" s="70">
        <f>'01_원자료'!B157</f>
        <v/>
      </c>
      <c r="C160" s="70">
        <f>'01_원자료'!C157</f>
        <v/>
      </c>
      <c r="E160" s="85">
        <f>'01_원자료'!P157*'03_가중치민감도'!$B$5+'01_원자료'!Q157*'03_가중치민감도'!$C$5+'01_원자료'!R157*'03_가중치민감도'!$D$5</f>
        <v/>
      </c>
      <c r="F160" s="85">
        <f>'01_원자료'!P157*'03_가중치민감도'!$B$6+'01_원자료'!Q157*'03_가중치민감도'!$C$6+'01_원자료'!R157*'03_가중치민감도'!$D$6</f>
        <v/>
      </c>
      <c r="G160" s="85">
        <f>'01_원자료'!P157*'03_가중치민감도'!$B$7+'01_원자료'!Q157*'03_가중치민감도'!$C$7+'01_원자료'!R157*'03_가중치민감도'!$D$7</f>
        <v/>
      </c>
      <c r="H160" s="85">
        <f>'01_원자료'!P157*'03_가중치민감도'!$B$8+'01_원자료'!Q157*'03_가중치민감도'!$C$8+'01_원자료'!R157*'03_가중치민감도'!$D$8</f>
        <v/>
      </c>
      <c r="I160" s="85">
        <f>'01_원자료'!P157*'03_가중치민감도'!$B$9+'01_원자료'!Q157*'03_가중치민감도'!$C$9+'01_원자료'!R157*'03_가중치민감도'!$D$9</f>
        <v/>
      </c>
      <c r="J160" s="85">
        <f>'01_원자료'!P157*'03_가중치민감도'!$B$10+'01_원자료'!Q157*'03_가중치민감도'!$C$10+'01_원자료'!R157*'03_가중치민감도'!$D$10</f>
        <v/>
      </c>
      <c r="K160" s="99">
        <f>COUNTIF($E$5:$E$979,"&lt;"&amp;E160)+(COUNTIF($E$5:$E$979,"="&amp;E160)+1)/2</f>
        <v/>
      </c>
      <c r="L160" s="99">
        <f>COUNTIF($F$5:$F$979,"&lt;"&amp;F160)+(COUNTIF($F$5:$F$979,"="&amp;F160)+1)/2</f>
        <v/>
      </c>
      <c r="M160" s="99">
        <f>COUNTIF($G$5:$G$979,"&lt;"&amp;G160)+(COUNTIF($G$5:$G$979,"="&amp;G160)+1)/2</f>
        <v/>
      </c>
      <c r="N160" s="99">
        <f>COUNTIF($H$5:$H$979,"&lt;"&amp;H160)+(COUNTIF($H$5:$H$979,"="&amp;H160)+1)/2</f>
        <v/>
      </c>
      <c r="O160" s="99">
        <f>COUNTIF($I$5:$I$979,"&lt;"&amp;I160)+(COUNTIF($I$5:$I$979,"="&amp;I160)+1)/2</f>
        <v/>
      </c>
      <c r="P160" s="99">
        <f>COUNTIF($J$5:$J$979,"&lt;"&amp;J160)+(COUNTIF($J$5:$J$979,"="&amp;J160)+1)/2</f>
        <v/>
      </c>
    </row>
    <row r="161" ht="15" customHeight="1" s="68">
      <c r="A161" s="70">
        <f>'01_원자료'!A158</f>
        <v/>
      </c>
      <c r="B161" s="70">
        <f>'01_원자료'!B158</f>
        <v/>
      </c>
      <c r="C161" s="70">
        <f>'01_원자료'!C158</f>
        <v/>
      </c>
      <c r="E161" s="85">
        <f>'01_원자료'!P158*'03_가중치민감도'!$B$5+'01_원자료'!Q158*'03_가중치민감도'!$C$5+'01_원자료'!R158*'03_가중치민감도'!$D$5</f>
        <v/>
      </c>
      <c r="F161" s="85">
        <f>'01_원자료'!P158*'03_가중치민감도'!$B$6+'01_원자료'!Q158*'03_가중치민감도'!$C$6+'01_원자료'!R158*'03_가중치민감도'!$D$6</f>
        <v/>
      </c>
      <c r="G161" s="85">
        <f>'01_원자료'!P158*'03_가중치민감도'!$B$7+'01_원자료'!Q158*'03_가중치민감도'!$C$7+'01_원자료'!R158*'03_가중치민감도'!$D$7</f>
        <v/>
      </c>
      <c r="H161" s="85">
        <f>'01_원자료'!P158*'03_가중치민감도'!$B$8+'01_원자료'!Q158*'03_가중치민감도'!$C$8+'01_원자료'!R158*'03_가중치민감도'!$D$8</f>
        <v/>
      </c>
      <c r="I161" s="85">
        <f>'01_원자료'!P158*'03_가중치민감도'!$B$9+'01_원자료'!Q158*'03_가중치민감도'!$C$9+'01_원자료'!R158*'03_가중치민감도'!$D$9</f>
        <v/>
      </c>
      <c r="J161" s="85">
        <f>'01_원자료'!P158*'03_가중치민감도'!$B$10+'01_원자료'!Q158*'03_가중치민감도'!$C$10+'01_원자료'!R158*'03_가중치민감도'!$D$10</f>
        <v/>
      </c>
      <c r="K161" s="99">
        <f>COUNTIF($E$5:$E$979,"&lt;"&amp;E161)+(COUNTIF($E$5:$E$979,"="&amp;E161)+1)/2</f>
        <v/>
      </c>
      <c r="L161" s="99">
        <f>COUNTIF($F$5:$F$979,"&lt;"&amp;F161)+(COUNTIF($F$5:$F$979,"="&amp;F161)+1)/2</f>
        <v/>
      </c>
      <c r="M161" s="99">
        <f>COUNTIF($G$5:$G$979,"&lt;"&amp;G161)+(COUNTIF($G$5:$G$979,"="&amp;G161)+1)/2</f>
        <v/>
      </c>
      <c r="N161" s="99">
        <f>COUNTIF($H$5:$H$979,"&lt;"&amp;H161)+(COUNTIF($H$5:$H$979,"="&amp;H161)+1)/2</f>
        <v/>
      </c>
      <c r="O161" s="99">
        <f>COUNTIF($I$5:$I$979,"&lt;"&amp;I161)+(COUNTIF($I$5:$I$979,"="&amp;I161)+1)/2</f>
        <v/>
      </c>
      <c r="P161" s="99">
        <f>COUNTIF($J$5:$J$979,"&lt;"&amp;J161)+(COUNTIF($J$5:$J$979,"="&amp;J161)+1)/2</f>
        <v/>
      </c>
    </row>
    <row r="162" ht="15" customHeight="1" s="68">
      <c r="A162" s="70">
        <f>'01_원자료'!A159</f>
        <v/>
      </c>
      <c r="B162" s="70">
        <f>'01_원자료'!B159</f>
        <v/>
      </c>
      <c r="C162" s="70">
        <f>'01_원자료'!C159</f>
        <v/>
      </c>
      <c r="E162" s="85">
        <f>'01_원자료'!P159*'03_가중치민감도'!$B$5+'01_원자료'!Q159*'03_가중치민감도'!$C$5+'01_원자료'!R159*'03_가중치민감도'!$D$5</f>
        <v/>
      </c>
      <c r="F162" s="85">
        <f>'01_원자료'!P159*'03_가중치민감도'!$B$6+'01_원자료'!Q159*'03_가중치민감도'!$C$6+'01_원자료'!R159*'03_가중치민감도'!$D$6</f>
        <v/>
      </c>
      <c r="G162" s="85">
        <f>'01_원자료'!P159*'03_가중치민감도'!$B$7+'01_원자료'!Q159*'03_가중치민감도'!$C$7+'01_원자료'!R159*'03_가중치민감도'!$D$7</f>
        <v/>
      </c>
      <c r="H162" s="85">
        <f>'01_원자료'!P159*'03_가중치민감도'!$B$8+'01_원자료'!Q159*'03_가중치민감도'!$C$8+'01_원자료'!R159*'03_가중치민감도'!$D$8</f>
        <v/>
      </c>
      <c r="I162" s="85">
        <f>'01_원자료'!P159*'03_가중치민감도'!$B$9+'01_원자료'!Q159*'03_가중치민감도'!$C$9+'01_원자료'!R159*'03_가중치민감도'!$D$9</f>
        <v/>
      </c>
      <c r="J162" s="85">
        <f>'01_원자료'!P159*'03_가중치민감도'!$B$10+'01_원자료'!Q159*'03_가중치민감도'!$C$10+'01_원자료'!R159*'03_가중치민감도'!$D$10</f>
        <v/>
      </c>
      <c r="K162" s="99">
        <f>COUNTIF($E$5:$E$979,"&lt;"&amp;E162)+(COUNTIF($E$5:$E$979,"="&amp;E162)+1)/2</f>
        <v/>
      </c>
      <c r="L162" s="99">
        <f>COUNTIF($F$5:$F$979,"&lt;"&amp;F162)+(COUNTIF($F$5:$F$979,"="&amp;F162)+1)/2</f>
        <v/>
      </c>
      <c r="M162" s="99">
        <f>COUNTIF($G$5:$G$979,"&lt;"&amp;G162)+(COUNTIF($G$5:$G$979,"="&amp;G162)+1)/2</f>
        <v/>
      </c>
      <c r="N162" s="99">
        <f>COUNTIF($H$5:$H$979,"&lt;"&amp;H162)+(COUNTIF($H$5:$H$979,"="&amp;H162)+1)/2</f>
        <v/>
      </c>
      <c r="O162" s="99">
        <f>COUNTIF($I$5:$I$979,"&lt;"&amp;I162)+(COUNTIF($I$5:$I$979,"="&amp;I162)+1)/2</f>
        <v/>
      </c>
      <c r="P162" s="99">
        <f>COUNTIF($J$5:$J$979,"&lt;"&amp;J162)+(COUNTIF($J$5:$J$979,"="&amp;J162)+1)/2</f>
        <v/>
      </c>
    </row>
    <row r="163" ht="15" customHeight="1" s="68">
      <c r="A163" s="70">
        <f>'01_원자료'!A160</f>
        <v/>
      </c>
      <c r="B163" s="70">
        <f>'01_원자료'!B160</f>
        <v/>
      </c>
      <c r="C163" s="70">
        <f>'01_원자료'!C160</f>
        <v/>
      </c>
      <c r="E163" s="85">
        <f>'01_원자료'!P160*'03_가중치민감도'!$B$5+'01_원자료'!Q160*'03_가중치민감도'!$C$5+'01_원자료'!R160*'03_가중치민감도'!$D$5</f>
        <v/>
      </c>
      <c r="F163" s="85">
        <f>'01_원자료'!P160*'03_가중치민감도'!$B$6+'01_원자료'!Q160*'03_가중치민감도'!$C$6+'01_원자료'!R160*'03_가중치민감도'!$D$6</f>
        <v/>
      </c>
      <c r="G163" s="85">
        <f>'01_원자료'!P160*'03_가중치민감도'!$B$7+'01_원자료'!Q160*'03_가중치민감도'!$C$7+'01_원자료'!R160*'03_가중치민감도'!$D$7</f>
        <v/>
      </c>
      <c r="H163" s="85">
        <f>'01_원자료'!P160*'03_가중치민감도'!$B$8+'01_원자료'!Q160*'03_가중치민감도'!$C$8+'01_원자료'!R160*'03_가중치민감도'!$D$8</f>
        <v/>
      </c>
      <c r="I163" s="85">
        <f>'01_원자료'!P160*'03_가중치민감도'!$B$9+'01_원자료'!Q160*'03_가중치민감도'!$C$9+'01_원자료'!R160*'03_가중치민감도'!$D$9</f>
        <v/>
      </c>
      <c r="J163" s="85">
        <f>'01_원자료'!P160*'03_가중치민감도'!$B$10+'01_원자료'!Q160*'03_가중치민감도'!$C$10+'01_원자료'!R160*'03_가중치민감도'!$D$10</f>
        <v/>
      </c>
      <c r="K163" s="99">
        <f>COUNTIF($E$5:$E$979,"&lt;"&amp;E163)+(COUNTIF($E$5:$E$979,"="&amp;E163)+1)/2</f>
        <v/>
      </c>
      <c r="L163" s="99">
        <f>COUNTIF($F$5:$F$979,"&lt;"&amp;F163)+(COUNTIF($F$5:$F$979,"="&amp;F163)+1)/2</f>
        <v/>
      </c>
      <c r="M163" s="99">
        <f>COUNTIF($G$5:$G$979,"&lt;"&amp;G163)+(COUNTIF($G$5:$G$979,"="&amp;G163)+1)/2</f>
        <v/>
      </c>
      <c r="N163" s="99">
        <f>COUNTIF($H$5:$H$979,"&lt;"&amp;H163)+(COUNTIF($H$5:$H$979,"="&amp;H163)+1)/2</f>
        <v/>
      </c>
      <c r="O163" s="99">
        <f>COUNTIF($I$5:$I$979,"&lt;"&amp;I163)+(COUNTIF($I$5:$I$979,"="&amp;I163)+1)/2</f>
        <v/>
      </c>
      <c r="P163" s="99">
        <f>COUNTIF($J$5:$J$979,"&lt;"&amp;J163)+(COUNTIF($J$5:$J$979,"="&amp;J163)+1)/2</f>
        <v/>
      </c>
    </row>
    <row r="164" ht="15" customHeight="1" s="68">
      <c r="A164" s="70">
        <f>'01_원자료'!A161</f>
        <v/>
      </c>
      <c r="B164" s="70">
        <f>'01_원자료'!B161</f>
        <v/>
      </c>
      <c r="C164" s="70">
        <f>'01_원자료'!C161</f>
        <v/>
      </c>
      <c r="E164" s="85">
        <f>'01_원자료'!P161*'03_가중치민감도'!$B$5+'01_원자료'!Q161*'03_가중치민감도'!$C$5+'01_원자료'!R161*'03_가중치민감도'!$D$5</f>
        <v/>
      </c>
      <c r="F164" s="85">
        <f>'01_원자료'!P161*'03_가중치민감도'!$B$6+'01_원자료'!Q161*'03_가중치민감도'!$C$6+'01_원자료'!R161*'03_가중치민감도'!$D$6</f>
        <v/>
      </c>
      <c r="G164" s="85">
        <f>'01_원자료'!P161*'03_가중치민감도'!$B$7+'01_원자료'!Q161*'03_가중치민감도'!$C$7+'01_원자료'!R161*'03_가중치민감도'!$D$7</f>
        <v/>
      </c>
      <c r="H164" s="85">
        <f>'01_원자료'!P161*'03_가중치민감도'!$B$8+'01_원자료'!Q161*'03_가중치민감도'!$C$8+'01_원자료'!R161*'03_가중치민감도'!$D$8</f>
        <v/>
      </c>
      <c r="I164" s="85">
        <f>'01_원자료'!P161*'03_가중치민감도'!$B$9+'01_원자료'!Q161*'03_가중치민감도'!$C$9+'01_원자료'!R161*'03_가중치민감도'!$D$9</f>
        <v/>
      </c>
      <c r="J164" s="85">
        <f>'01_원자료'!P161*'03_가중치민감도'!$B$10+'01_원자료'!Q161*'03_가중치민감도'!$C$10+'01_원자료'!R161*'03_가중치민감도'!$D$10</f>
        <v/>
      </c>
      <c r="K164" s="99">
        <f>COUNTIF($E$5:$E$979,"&lt;"&amp;E164)+(COUNTIF($E$5:$E$979,"="&amp;E164)+1)/2</f>
        <v/>
      </c>
      <c r="L164" s="99">
        <f>COUNTIF($F$5:$F$979,"&lt;"&amp;F164)+(COUNTIF($F$5:$F$979,"="&amp;F164)+1)/2</f>
        <v/>
      </c>
      <c r="M164" s="99">
        <f>COUNTIF($G$5:$G$979,"&lt;"&amp;G164)+(COUNTIF($G$5:$G$979,"="&amp;G164)+1)/2</f>
        <v/>
      </c>
      <c r="N164" s="99">
        <f>COUNTIF($H$5:$H$979,"&lt;"&amp;H164)+(COUNTIF($H$5:$H$979,"="&amp;H164)+1)/2</f>
        <v/>
      </c>
      <c r="O164" s="99">
        <f>COUNTIF($I$5:$I$979,"&lt;"&amp;I164)+(COUNTIF($I$5:$I$979,"="&amp;I164)+1)/2</f>
        <v/>
      </c>
      <c r="P164" s="99">
        <f>COUNTIF($J$5:$J$979,"&lt;"&amp;J164)+(COUNTIF($J$5:$J$979,"="&amp;J164)+1)/2</f>
        <v/>
      </c>
    </row>
    <row r="165" ht="15" customHeight="1" s="68">
      <c r="A165" s="70">
        <f>'01_원자료'!A162</f>
        <v/>
      </c>
      <c r="B165" s="70">
        <f>'01_원자료'!B162</f>
        <v/>
      </c>
      <c r="C165" s="70">
        <f>'01_원자료'!C162</f>
        <v/>
      </c>
      <c r="E165" s="85">
        <f>'01_원자료'!P162*'03_가중치민감도'!$B$5+'01_원자료'!Q162*'03_가중치민감도'!$C$5+'01_원자료'!R162*'03_가중치민감도'!$D$5</f>
        <v/>
      </c>
      <c r="F165" s="85">
        <f>'01_원자료'!P162*'03_가중치민감도'!$B$6+'01_원자료'!Q162*'03_가중치민감도'!$C$6+'01_원자료'!R162*'03_가중치민감도'!$D$6</f>
        <v/>
      </c>
      <c r="G165" s="85">
        <f>'01_원자료'!P162*'03_가중치민감도'!$B$7+'01_원자료'!Q162*'03_가중치민감도'!$C$7+'01_원자료'!R162*'03_가중치민감도'!$D$7</f>
        <v/>
      </c>
      <c r="H165" s="85">
        <f>'01_원자료'!P162*'03_가중치민감도'!$B$8+'01_원자료'!Q162*'03_가중치민감도'!$C$8+'01_원자료'!R162*'03_가중치민감도'!$D$8</f>
        <v/>
      </c>
      <c r="I165" s="85">
        <f>'01_원자료'!P162*'03_가중치민감도'!$B$9+'01_원자료'!Q162*'03_가중치민감도'!$C$9+'01_원자료'!R162*'03_가중치민감도'!$D$9</f>
        <v/>
      </c>
      <c r="J165" s="85">
        <f>'01_원자료'!P162*'03_가중치민감도'!$B$10+'01_원자료'!Q162*'03_가중치민감도'!$C$10+'01_원자료'!R162*'03_가중치민감도'!$D$10</f>
        <v/>
      </c>
      <c r="K165" s="99">
        <f>COUNTIF($E$5:$E$979,"&lt;"&amp;E165)+(COUNTIF($E$5:$E$979,"="&amp;E165)+1)/2</f>
        <v/>
      </c>
      <c r="L165" s="99">
        <f>COUNTIF($F$5:$F$979,"&lt;"&amp;F165)+(COUNTIF($F$5:$F$979,"="&amp;F165)+1)/2</f>
        <v/>
      </c>
      <c r="M165" s="99">
        <f>COUNTIF($G$5:$G$979,"&lt;"&amp;G165)+(COUNTIF($G$5:$G$979,"="&amp;G165)+1)/2</f>
        <v/>
      </c>
      <c r="N165" s="99">
        <f>COUNTIF($H$5:$H$979,"&lt;"&amp;H165)+(COUNTIF($H$5:$H$979,"="&amp;H165)+1)/2</f>
        <v/>
      </c>
      <c r="O165" s="99">
        <f>COUNTIF($I$5:$I$979,"&lt;"&amp;I165)+(COUNTIF($I$5:$I$979,"="&amp;I165)+1)/2</f>
        <v/>
      </c>
      <c r="P165" s="99">
        <f>COUNTIF($J$5:$J$979,"&lt;"&amp;J165)+(COUNTIF($J$5:$J$979,"="&amp;J165)+1)/2</f>
        <v/>
      </c>
    </row>
    <row r="166" ht="15" customHeight="1" s="68">
      <c r="A166" s="70">
        <f>'01_원자료'!A163</f>
        <v/>
      </c>
      <c r="B166" s="70">
        <f>'01_원자료'!B163</f>
        <v/>
      </c>
      <c r="C166" s="70">
        <f>'01_원자료'!C163</f>
        <v/>
      </c>
      <c r="E166" s="85">
        <f>'01_원자료'!P163*'03_가중치민감도'!$B$5+'01_원자료'!Q163*'03_가중치민감도'!$C$5+'01_원자료'!R163*'03_가중치민감도'!$D$5</f>
        <v/>
      </c>
      <c r="F166" s="85">
        <f>'01_원자료'!P163*'03_가중치민감도'!$B$6+'01_원자료'!Q163*'03_가중치민감도'!$C$6+'01_원자료'!R163*'03_가중치민감도'!$D$6</f>
        <v/>
      </c>
      <c r="G166" s="85">
        <f>'01_원자료'!P163*'03_가중치민감도'!$B$7+'01_원자료'!Q163*'03_가중치민감도'!$C$7+'01_원자료'!R163*'03_가중치민감도'!$D$7</f>
        <v/>
      </c>
      <c r="H166" s="85">
        <f>'01_원자료'!P163*'03_가중치민감도'!$B$8+'01_원자료'!Q163*'03_가중치민감도'!$C$8+'01_원자료'!R163*'03_가중치민감도'!$D$8</f>
        <v/>
      </c>
      <c r="I166" s="85">
        <f>'01_원자료'!P163*'03_가중치민감도'!$B$9+'01_원자료'!Q163*'03_가중치민감도'!$C$9+'01_원자료'!R163*'03_가중치민감도'!$D$9</f>
        <v/>
      </c>
      <c r="J166" s="85">
        <f>'01_원자료'!P163*'03_가중치민감도'!$B$10+'01_원자료'!Q163*'03_가중치민감도'!$C$10+'01_원자료'!R163*'03_가중치민감도'!$D$10</f>
        <v/>
      </c>
      <c r="K166" s="99">
        <f>COUNTIF($E$5:$E$979,"&lt;"&amp;E166)+(COUNTIF($E$5:$E$979,"="&amp;E166)+1)/2</f>
        <v/>
      </c>
      <c r="L166" s="99">
        <f>COUNTIF($F$5:$F$979,"&lt;"&amp;F166)+(COUNTIF($F$5:$F$979,"="&amp;F166)+1)/2</f>
        <v/>
      </c>
      <c r="M166" s="99">
        <f>COUNTIF($G$5:$G$979,"&lt;"&amp;G166)+(COUNTIF($G$5:$G$979,"="&amp;G166)+1)/2</f>
        <v/>
      </c>
      <c r="N166" s="99">
        <f>COUNTIF($H$5:$H$979,"&lt;"&amp;H166)+(COUNTIF($H$5:$H$979,"="&amp;H166)+1)/2</f>
        <v/>
      </c>
      <c r="O166" s="99">
        <f>COUNTIF($I$5:$I$979,"&lt;"&amp;I166)+(COUNTIF($I$5:$I$979,"="&amp;I166)+1)/2</f>
        <v/>
      </c>
      <c r="P166" s="99">
        <f>COUNTIF($J$5:$J$979,"&lt;"&amp;J166)+(COUNTIF($J$5:$J$979,"="&amp;J166)+1)/2</f>
        <v/>
      </c>
    </row>
    <row r="167" ht="15" customHeight="1" s="68">
      <c r="A167" s="70">
        <f>'01_원자료'!A164</f>
        <v/>
      </c>
      <c r="B167" s="70">
        <f>'01_원자료'!B164</f>
        <v/>
      </c>
      <c r="C167" s="70">
        <f>'01_원자료'!C164</f>
        <v/>
      </c>
      <c r="E167" s="85">
        <f>'01_원자료'!P164*'03_가중치민감도'!$B$5+'01_원자료'!Q164*'03_가중치민감도'!$C$5+'01_원자료'!R164*'03_가중치민감도'!$D$5</f>
        <v/>
      </c>
      <c r="F167" s="85">
        <f>'01_원자료'!P164*'03_가중치민감도'!$B$6+'01_원자료'!Q164*'03_가중치민감도'!$C$6+'01_원자료'!R164*'03_가중치민감도'!$D$6</f>
        <v/>
      </c>
      <c r="G167" s="85">
        <f>'01_원자료'!P164*'03_가중치민감도'!$B$7+'01_원자료'!Q164*'03_가중치민감도'!$C$7+'01_원자료'!R164*'03_가중치민감도'!$D$7</f>
        <v/>
      </c>
      <c r="H167" s="85">
        <f>'01_원자료'!P164*'03_가중치민감도'!$B$8+'01_원자료'!Q164*'03_가중치민감도'!$C$8+'01_원자료'!R164*'03_가중치민감도'!$D$8</f>
        <v/>
      </c>
      <c r="I167" s="85">
        <f>'01_원자료'!P164*'03_가중치민감도'!$B$9+'01_원자료'!Q164*'03_가중치민감도'!$C$9+'01_원자료'!R164*'03_가중치민감도'!$D$9</f>
        <v/>
      </c>
      <c r="J167" s="85">
        <f>'01_원자료'!P164*'03_가중치민감도'!$B$10+'01_원자료'!Q164*'03_가중치민감도'!$C$10+'01_원자료'!R164*'03_가중치민감도'!$D$10</f>
        <v/>
      </c>
      <c r="K167" s="99">
        <f>COUNTIF($E$5:$E$979,"&lt;"&amp;E167)+(COUNTIF($E$5:$E$979,"="&amp;E167)+1)/2</f>
        <v/>
      </c>
      <c r="L167" s="99">
        <f>COUNTIF($F$5:$F$979,"&lt;"&amp;F167)+(COUNTIF($F$5:$F$979,"="&amp;F167)+1)/2</f>
        <v/>
      </c>
      <c r="M167" s="99">
        <f>COUNTIF($G$5:$G$979,"&lt;"&amp;G167)+(COUNTIF($G$5:$G$979,"="&amp;G167)+1)/2</f>
        <v/>
      </c>
      <c r="N167" s="99">
        <f>COUNTIF($H$5:$H$979,"&lt;"&amp;H167)+(COUNTIF($H$5:$H$979,"="&amp;H167)+1)/2</f>
        <v/>
      </c>
      <c r="O167" s="99">
        <f>COUNTIF($I$5:$I$979,"&lt;"&amp;I167)+(COUNTIF($I$5:$I$979,"="&amp;I167)+1)/2</f>
        <v/>
      </c>
      <c r="P167" s="99">
        <f>COUNTIF($J$5:$J$979,"&lt;"&amp;J167)+(COUNTIF($J$5:$J$979,"="&amp;J167)+1)/2</f>
        <v/>
      </c>
    </row>
    <row r="168" ht="15" customHeight="1" s="68">
      <c r="A168" s="70">
        <f>'01_원자료'!A165</f>
        <v/>
      </c>
      <c r="B168" s="70">
        <f>'01_원자료'!B165</f>
        <v/>
      </c>
      <c r="C168" s="70">
        <f>'01_원자료'!C165</f>
        <v/>
      </c>
      <c r="E168" s="85">
        <f>'01_원자료'!P165*'03_가중치민감도'!$B$5+'01_원자료'!Q165*'03_가중치민감도'!$C$5+'01_원자료'!R165*'03_가중치민감도'!$D$5</f>
        <v/>
      </c>
      <c r="F168" s="85">
        <f>'01_원자료'!P165*'03_가중치민감도'!$B$6+'01_원자료'!Q165*'03_가중치민감도'!$C$6+'01_원자료'!R165*'03_가중치민감도'!$D$6</f>
        <v/>
      </c>
      <c r="G168" s="85">
        <f>'01_원자료'!P165*'03_가중치민감도'!$B$7+'01_원자료'!Q165*'03_가중치민감도'!$C$7+'01_원자료'!R165*'03_가중치민감도'!$D$7</f>
        <v/>
      </c>
      <c r="H168" s="85">
        <f>'01_원자료'!P165*'03_가중치민감도'!$B$8+'01_원자료'!Q165*'03_가중치민감도'!$C$8+'01_원자료'!R165*'03_가중치민감도'!$D$8</f>
        <v/>
      </c>
      <c r="I168" s="85">
        <f>'01_원자료'!P165*'03_가중치민감도'!$B$9+'01_원자료'!Q165*'03_가중치민감도'!$C$9+'01_원자료'!R165*'03_가중치민감도'!$D$9</f>
        <v/>
      </c>
      <c r="J168" s="85">
        <f>'01_원자료'!P165*'03_가중치민감도'!$B$10+'01_원자료'!Q165*'03_가중치민감도'!$C$10+'01_원자료'!R165*'03_가중치민감도'!$D$10</f>
        <v/>
      </c>
      <c r="K168" s="99">
        <f>COUNTIF($E$5:$E$979,"&lt;"&amp;E168)+(COUNTIF($E$5:$E$979,"="&amp;E168)+1)/2</f>
        <v/>
      </c>
      <c r="L168" s="99">
        <f>COUNTIF($F$5:$F$979,"&lt;"&amp;F168)+(COUNTIF($F$5:$F$979,"="&amp;F168)+1)/2</f>
        <v/>
      </c>
      <c r="M168" s="99">
        <f>COUNTIF($G$5:$G$979,"&lt;"&amp;G168)+(COUNTIF($G$5:$G$979,"="&amp;G168)+1)/2</f>
        <v/>
      </c>
      <c r="N168" s="99">
        <f>COUNTIF($H$5:$H$979,"&lt;"&amp;H168)+(COUNTIF($H$5:$H$979,"="&amp;H168)+1)/2</f>
        <v/>
      </c>
      <c r="O168" s="99">
        <f>COUNTIF($I$5:$I$979,"&lt;"&amp;I168)+(COUNTIF($I$5:$I$979,"="&amp;I168)+1)/2</f>
        <v/>
      </c>
      <c r="P168" s="99">
        <f>COUNTIF($J$5:$J$979,"&lt;"&amp;J168)+(COUNTIF($J$5:$J$979,"="&amp;J168)+1)/2</f>
        <v/>
      </c>
    </row>
    <row r="169" ht="15" customHeight="1" s="68">
      <c r="A169" s="70">
        <f>'01_원자료'!A166</f>
        <v/>
      </c>
      <c r="B169" s="70">
        <f>'01_원자료'!B166</f>
        <v/>
      </c>
      <c r="C169" s="70">
        <f>'01_원자료'!C166</f>
        <v/>
      </c>
      <c r="E169" s="85">
        <f>'01_원자료'!P166*'03_가중치민감도'!$B$5+'01_원자료'!Q166*'03_가중치민감도'!$C$5+'01_원자료'!R166*'03_가중치민감도'!$D$5</f>
        <v/>
      </c>
      <c r="F169" s="85">
        <f>'01_원자료'!P166*'03_가중치민감도'!$B$6+'01_원자료'!Q166*'03_가중치민감도'!$C$6+'01_원자료'!R166*'03_가중치민감도'!$D$6</f>
        <v/>
      </c>
      <c r="G169" s="85">
        <f>'01_원자료'!P166*'03_가중치민감도'!$B$7+'01_원자료'!Q166*'03_가중치민감도'!$C$7+'01_원자료'!R166*'03_가중치민감도'!$D$7</f>
        <v/>
      </c>
      <c r="H169" s="85">
        <f>'01_원자료'!P166*'03_가중치민감도'!$B$8+'01_원자료'!Q166*'03_가중치민감도'!$C$8+'01_원자료'!R166*'03_가중치민감도'!$D$8</f>
        <v/>
      </c>
      <c r="I169" s="85">
        <f>'01_원자료'!P166*'03_가중치민감도'!$B$9+'01_원자료'!Q166*'03_가중치민감도'!$C$9+'01_원자료'!R166*'03_가중치민감도'!$D$9</f>
        <v/>
      </c>
      <c r="J169" s="85">
        <f>'01_원자료'!P166*'03_가중치민감도'!$B$10+'01_원자료'!Q166*'03_가중치민감도'!$C$10+'01_원자료'!R166*'03_가중치민감도'!$D$10</f>
        <v/>
      </c>
      <c r="K169" s="99">
        <f>COUNTIF($E$5:$E$979,"&lt;"&amp;E169)+(COUNTIF($E$5:$E$979,"="&amp;E169)+1)/2</f>
        <v/>
      </c>
      <c r="L169" s="99">
        <f>COUNTIF($F$5:$F$979,"&lt;"&amp;F169)+(COUNTIF($F$5:$F$979,"="&amp;F169)+1)/2</f>
        <v/>
      </c>
      <c r="M169" s="99">
        <f>COUNTIF($G$5:$G$979,"&lt;"&amp;G169)+(COUNTIF($G$5:$G$979,"="&amp;G169)+1)/2</f>
        <v/>
      </c>
      <c r="N169" s="99">
        <f>COUNTIF($H$5:$H$979,"&lt;"&amp;H169)+(COUNTIF($H$5:$H$979,"="&amp;H169)+1)/2</f>
        <v/>
      </c>
      <c r="O169" s="99">
        <f>COUNTIF($I$5:$I$979,"&lt;"&amp;I169)+(COUNTIF($I$5:$I$979,"="&amp;I169)+1)/2</f>
        <v/>
      </c>
      <c r="P169" s="99">
        <f>COUNTIF($J$5:$J$979,"&lt;"&amp;J169)+(COUNTIF($J$5:$J$979,"="&amp;J169)+1)/2</f>
        <v/>
      </c>
    </row>
    <row r="170" ht="15" customHeight="1" s="68">
      <c r="A170" s="70">
        <f>'01_원자료'!A167</f>
        <v/>
      </c>
      <c r="B170" s="70">
        <f>'01_원자료'!B167</f>
        <v/>
      </c>
      <c r="C170" s="70">
        <f>'01_원자료'!C167</f>
        <v/>
      </c>
      <c r="E170" s="85">
        <f>'01_원자료'!P167*'03_가중치민감도'!$B$5+'01_원자료'!Q167*'03_가중치민감도'!$C$5+'01_원자료'!R167*'03_가중치민감도'!$D$5</f>
        <v/>
      </c>
      <c r="F170" s="85">
        <f>'01_원자료'!P167*'03_가중치민감도'!$B$6+'01_원자료'!Q167*'03_가중치민감도'!$C$6+'01_원자료'!R167*'03_가중치민감도'!$D$6</f>
        <v/>
      </c>
      <c r="G170" s="85">
        <f>'01_원자료'!P167*'03_가중치민감도'!$B$7+'01_원자료'!Q167*'03_가중치민감도'!$C$7+'01_원자료'!R167*'03_가중치민감도'!$D$7</f>
        <v/>
      </c>
      <c r="H170" s="85">
        <f>'01_원자료'!P167*'03_가중치민감도'!$B$8+'01_원자료'!Q167*'03_가중치민감도'!$C$8+'01_원자료'!R167*'03_가중치민감도'!$D$8</f>
        <v/>
      </c>
      <c r="I170" s="85">
        <f>'01_원자료'!P167*'03_가중치민감도'!$B$9+'01_원자료'!Q167*'03_가중치민감도'!$C$9+'01_원자료'!R167*'03_가중치민감도'!$D$9</f>
        <v/>
      </c>
      <c r="J170" s="85">
        <f>'01_원자료'!P167*'03_가중치민감도'!$B$10+'01_원자료'!Q167*'03_가중치민감도'!$C$10+'01_원자료'!R167*'03_가중치민감도'!$D$10</f>
        <v/>
      </c>
      <c r="K170" s="99">
        <f>COUNTIF($E$5:$E$979,"&lt;"&amp;E170)+(COUNTIF($E$5:$E$979,"="&amp;E170)+1)/2</f>
        <v/>
      </c>
      <c r="L170" s="99">
        <f>COUNTIF($F$5:$F$979,"&lt;"&amp;F170)+(COUNTIF($F$5:$F$979,"="&amp;F170)+1)/2</f>
        <v/>
      </c>
      <c r="M170" s="99">
        <f>COUNTIF($G$5:$G$979,"&lt;"&amp;G170)+(COUNTIF($G$5:$G$979,"="&amp;G170)+1)/2</f>
        <v/>
      </c>
      <c r="N170" s="99">
        <f>COUNTIF($H$5:$H$979,"&lt;"&amp;H170)+(COUNTIF($H$5:$H$979,"="&amp;H170)+1)/2</f>
        <v/>
      </c>
      <c r="O170" s="99">
        <f>COUNTIF($I$5:$I$979,"&lt;"&amp;I170)+(COUNTIF($I$5:$I$979,"="&amp;I170)+1)/2</f>
        <v/>
      </c>
      <c r="P170" s="99">
        <f>COUNTIF($J$5:$J$979,"&lt;"&amp;J170)+(COUNTIF($J$5:$J$979,"="&amp;J170)+1)/2</f>
        <v/>
      </c>
    </row>
    <row r="171" ht="15" customHeight="1" s="68">
      <c r="A171" s="70">
        <f>'01_원자료'!A168</f>
        <v/>
      </c>
      <c r="B171" s="70">
        <f>'01_원자료'!B168</f>
        <v/>
      </c>
      <c r="C171" s="70">
        <f>'01_원자료'!C168</f>
        <v/>
      </c>
      <c r="E171" s="85">
        <f>'01_원자료'!P168*'03_가중치민감도'!$B$5+'01_원자료'!Q168*'03_가중치민감도'!$C$5+'01_원자료'!R168*'03_가중치민감도'!$D$5</f>
        <v/>
      </c>
      <c r="F171" s="85">
        <f>'01_원자료'!P168*'03_가중치민감도'!$B$6+'01_원자료'!Q168*'03_가중치민감도'!$C$6+'01_원자료'!R168*'03_가중치민감도'!$D$6</f>
        <v/>
      </c>
      <c r="G171" s="85">
        <f>'01_원자료'!P168*'03_가중치민감도'!$B$7+'01_원자료'!Q168*'03_가중치민감도'!$C$7+'01_원자료'!R168*'03_가중치민감도'!$D$7</f>
        <v/>
      </c>
      <c r="H171" s="85">
        <f>'01_원자료'!P168*'03_가중치민감도'!$B$8+'01_원자료'!Q168*'03_가중치민감도'!$C$8+'01_원자료'!R168*'03_가중치민감도'!$D$8</f>
        <v/>
      </c>
      <c r="I171" s="85">
        <f>'01_원자료'!P168*'03_가중치민감도'!$B$9+'01_원자료'!Q168*'03_가중치민감도'!$C$9+'01_원자료'!R168*'03_가중치민감도'!$D$9</f>
        <v/>
      </c>
      <c r="J171" s="85">
        <f>'01_원자료'!P168*'03_가중치민감도'!$B$10+'01_원자료'!Q168*'03_가중치민감도'!$C$10+'01_원자료'!R168*'03_가중치민감도'!$D$10</f>
        <v/>
      </c>
      <c r="K171" s="99">
        <f>COUNTIF($E$5:$E$979,"&lt;"&amp;E171)+(COUNTIF($E$5:$E$979,"="&amp;E171)+1)/2</f>
        <v/>
      </c>
      <c r="L171" s="99">
        <f>COUNTIF($F$5:$F$979,"&lt;"&amp;F171)+(COUNTIF($F$5:$F$979,"="&amp;F171)+1)/2</f>
        <v/>
      </c>
      <c r="M171" s="99">
        <f>COUNTIF($G$5:$G$979,"&lt;"&amp;G171)+(COUNTIF($G$5:$G$979,"="&amp;G171)+1)/2</f>
        <v/>
      </c>
      <c r="N171" s="99">
        <f>COUNTIF($H$5:$H$979,"&lt;"&amp;H171)+(COUNTIF($H$5:$H$979,"="&amp;H171)+1)/2</f>
        <v/>
      </c>
      <c r="O171" s="99">
        <f>COUNTIF($I$5:$I$979,"&lt;"&amp;I171)+(COUNTIF($I$5:$I$979,"="&amp;I171)+1)/2</f>
        <v/>
      </c>
      <c r="P171" s="99">
        <f>COUNTIF($J$5:$J$979,"&lt;"&amp;J171)+(COUNTIF($J$5:$J$979,"="&amp;J171)+1)/2</f>
        <v/>
      </c>
    </row>
    <row r="172" ht="15" customHeight="1" s="68">
      <c r="A172" s="70">
        <f>'01_원자료'!A169</f>
        <v/>
      </c>
      <c r="B172" s="70">
        <f>'01_원자료'!B169</f>
        <v/>
      </c>
      <c r="C172" s="70">
        <f>'01_원자료'!C169</f>
        <v/>
      </c>
      <c r="E172" s="85">
        <f>'01_원자료'!P169*'03_가중치민감도'!$B$5+'01_원자료'!Q169*'03_가중치민감도'!$C$5+'01_원자료'!R169*'03_가중치민감도'!$D$5</f>
        <v/>
      </c>
      <c r="F172" s="85">
        <f>'01_원자료'!P169*'03_가중치민감도'!$B$6+'01_원자료'!Q169*'03_가중치민감도'!$C$6+'01_원자료'!R169*'03_가중치민감도'!$D$6</f>
        <v/>
      </c>
      <c r="G172" s="85">
        <f>'01_원자료'!P169*'03_가중치민감도'!$B$7+'01_원자료'!Q169*'03_가중치민감도'!$C$7+'01_원자료'!R169*'03_가중치민감도'!$D$7</f>
        <v/>
      </c>
      <c r="H172" s="85">
        <f>'01_원자료'!P169*'03_가중치민감도'!$B$8+'01_원자료'!Q169*'03_가중치민감도'!$C$8+'01_원자료'!R169*'03_가중치민감도'!$D$8</f>
        <v/>
      </c>
      <c r="I172" s="85">
        <f>'01_원자료'!P169*'03_가중치민감도'!$B$9+'01_원자료'!Q169*'03_가중치민감도'!$C$9+'01_원자료'!R169*'03_가중치민감도'!$D$9</f>
        <v/>
      </c>
      <c r="J172" s="85">
        <f>'01_원자료'!P169*'03_가중치민감도'!$B$10+'01_원자료'!Q169*'03_가중치민감도'!$C$10+'01_원자료'!R169*'03_가중치민감도'!$D$10</f>
        <v/>
      </c>
      <c r="K172" s="99">
        <f>COUNTIF($E$5:$E$979,"&lt;"&amp;E172)+(COUNTIF($E$5:$E$979,"="&amp;E172)+1)/2</f>
        <v/>
      </c>
      <c r="L172" s="99">
        <f>COUNTIF($F$5:$F$979,"&lt;"&amp;F172)+(COUNTIF($F$5:$F$979,"="&amp;F172)+1)/2</f>
        <v/>
      </c>
      <c r="M172" s="99">
        <f>COUNTIF($G$5:$G$979,"&lt;"&amp;G172)+(COUNTIF($G$5:$G$979,"="&amp;G172)+1)/2</f>
        <v/>
      </c>
      <c r="N172" s="99">
        <f>COUNTIF($H$5:$H$979,"&lt;"&amp;H172)+(COUNTIF($H$5:$H$979,"="&amp;H172)+1)/2</f>
        <v/>
      </c>
      <c r="O172" s="99">
        <f>COUNTIF($I$5:$I$979,"&lt;"&amp;I172)+(COUNTIF($I$5:$I$979,"="&amp;I172)+1)/2</f>
        <v/>
      </c>
      <c r="P172" s="99">
        <f>COUNTIF($J$5:$J$979,"&lt;"&amp;J172)+(COUNTIF($J$5:$J$979,"="&amp;J172)+1)/2</f>
        <v/>
      </c>
    </row>
    <row r="173" ht="15" customHeight="1" s="68">
      <c r="A173" s="70">
        <f>'01_원자료'!A170</f>
        <v/>
      </c>
      <c r="B173" s="70">
        <f>'01_원자료'!B170</f>
        <v/>
      </c>
      <c r="C173" s="70">
        <f>'01_원자료'!C170</f>
        <v/>
      </c>
      <c r="E173" s="85">
        <f>'01_원자료'!P170*'03_가중치민감도'!$B$5+'01_원자료'!Q170*'03_가중치민감도'!$C$5+'01_원자료'!R170*'03_가중치민감도'!$D$5</f>
        <v/>
      </c>
      <c r="F173" s="85">
        <f>'01_원자료'!P170*'03_가중치민감도'!$B$6+'01_원자료'!Q170*'03_가중치민감도'!$C$6+'01_원자료'!R170*'03_가중치민감도'!$D$6</f>
        <v/>
      </c>
      <c r="G173" s="85">
        <f>'01_원자료'!P170*'03_가중치민감도'!$B$7+'01_원자료'!Q170*'03_가중치민감도'!$C$7+'01_원자료'!R170*'03_가중치민감도'!$D$7</f>
        <v/>
      </c>
      <c r="H173" s="85">
        <f>'01_원자료'!P170*'03_가중치민감도'!$B$8+'01_원자료'!Q170*'03_가중치민감도'!$C$8+'01_원자료'!R170*'03_가중치민감도'!$D$8</f>
        <v/>
      </c>
      <c r="I173" s="85">
        <f>'01_원자료'!P170*'03_가중치민감도'!$B$9+'01_원자료'!Q170*'03_가중치민감도'!$C$9+'01_원자료'!R170*'03_가중치민감도'!$D$9</f>
        <v/>
      </c>
      <c r="J173" s="85">
        <f>'01_원자료'!P170*'03_가중치민감도'!$B$10+'01_원자료'!Q170*'03_가중치민감도'!$C$10+'01_원자료'!R170*'03_가중치민감도'!$D$10</f>
        <v/>
      </c>
      <c r="K173" s="99">
        <f>COUNTIF($E$5:$E$979,"&lt;"&amp;E173)+(COUNTIF($E$5:$E$979,"="&amp;E173)+1)/2</f>
        <v/>
      </c>
      <c r="L173" s="99">
        <f>COUNTIF($F$5:$F$979,"&lt;"&amp;F173)+(COUNTIF($F$5:$F$979,"="&amp;F173)+1)/2</f>
        <v/>
      </c>
      <c r="M173" s="99">
        <f>COUNTIF($G$5:$G$979,"&lt;"&amp;G173)+(COUNTIF($G$5:$G$979,"="&amp;G173)+1)/2</f>
        <v/>
      </c>
      <c r="N173" s="99">
        <f>COUNTIF($H$5:$H$979,"&lt;"&amp;H173)+(COUNTIF($H$5:$H$979,"="&amp;H173)+1)/2</f>
        <v/>
      </c>
      <c r="O173" s="99">
        <f>COUNTIF($I$5:$I$979,"&lt;"&amp;I173)+(COUNTIF($I$5:$I$979,"="&amp;I173)+1)/2</f>
        <v/>
      </c>
      <c r="P173" s="99">
        <f>COUNTIF($J$5:$J$979,"&lt;"&amp;J173)+(COUNTIF($J$5:$J$979,"="&amp;J173)+1)/2</f>
        <v/>
      </c>
    </row>
    <row r="174" ht="15" customHeight="1" s="68">
      <c r="A174" s="70">
        <f>'01_원자료'!A171</f>
        <v/>
      </c>
      <c r="B174" s="70">
        <f>'01_원자료'!B171</f>
        <v/>
      </c>
      <c r="C174" s="70">
        <f>'01_원자료'!C171</f>
        <v/>
      </c>
      <c r="E174" s="85">
        <f>'01_원자료'!P171*'03_가중치민감도'!$B$5+'01_원자료'!Q171*'03_가중치민감도'!$C$5+'01_원자료'!R171*'03_가중치민감도'!$D$5</f>
        <v/>
      </c>
      <c r="F174" s="85">
        <f>'01_원자료'!P171*'03_가중치민감도'!$B$6+'01_원자료'!Q171*'03_가중치민감도'!$C$6+'01_원자료'!R171*'03_가중치민감도'!$D$6</f>
        <v/>
      </c>
      <c r="G174" s="85">
        <f>'01_원자료'!P171*'03_가중치민감도'!$B$7+'01_원자료'!Q171*'03_가중치민감도'!$C$7+'01_원자료'!R171*'03_가중치민감도'!$D$7</f>
        <v/>
      </c>
      <c r="H174" s="85">
        <f>'01_원자료'!P171*'03_가중치민감도'!$B$8+'01_원자료'!Q171*'03_가중치민감도'!$C$8+'01_원자료'!R171*'03_가중치민감도'!$D$8</f>
        <v/>
      </c>
      <c r="I174" s="85">
        <f>'01_원자료'!P171*'03_가중치민감도'!$B$9+'01_원자료'!Q171*'03_가중치민감도'!$C$9+'01_원자료'!R171*'03_가중치민감도'!$D$9</f>
        <v/>
      </c>
      <c r="J174" s="85">
        <f>'01_원자료'!P171*'03_가중치민감도'!$B$10+'01_원자료'!Q171*'03_가중치민감도'!$C$10+'01_원자료'!R171*'03_가중치민감도'!$D$10</f>
        <v/>
      </c>
      <c r="K174" s="99">
        <f>COUNTIF($E$5:$E$979,"&lt;"&amp;E174)+(COUNTIF($E$5:$E$979,"="&amp;E174)+1)/2</f>
        <v/>
      </c>
      <c r="L174" s="99">
        <f>COUNTIF($F$5:$F$979,"&lt;"&amp;F174)+(COUNTIF($F$5:$F$979,"="&amp;F174)+1)/2</f>
        <v/>
      </c>
      <c r="M174" s="99">
        <f>COUNTIF($G$5:$G$979,"&lt;"&amp;G174)+(COUNTIF($G$5:$G$979,"="&amp;G174)+1)/2</f>
        <v/>
      </c>
      <c r="N174" s="99">
        <f>COUNTIF($H$5:$H$979,"&lt;"&amp;H174)+(COUNTIF($H$5:$H$979,"="&amp;H174)+1)/2</f>
        <v/>
      </c>
      <c r="O174" s="99">
        <f>COUNTIF($I$5:$I$979,"&lt;"&amp;I174)+(COUNTIF($I$5:$I$979,"="&amp;I174)+1)/2</f>
        <v/>
      </c>
      <c r="P174" s="99">
        <f>COUNTIF($J$5:$J$979,"&lt;"&amp;J174)+(COUNTIF($J$5:$J$979,"="&amp;J174)+1)/2</f>
        <v/>
      </c>
    </row>
    <row r="175" ht="15" customHeight="1" s="68">
      <c r="A175" s="70">
        <f>'01_원자료'!A172</f>
        <v/>
      </c>
      <c r="B175" s="70">
        <f>'01_원자료'!B172</f>
        <v/>
      </c>
      <c r="C175" s="70">
        <f>'01_원자료'!C172</f>
        <v/>
      </c>
      <c r="E175" s="85">
        <f>'01_원자료'!P172*'03_가중치민감도'!$B$5+'01_원자료'!Q172*'03_가중치민감도'!$C$5+'01_원자료'!R172*'03_가중치민감도'!$D$5</f>
        <v/>
      </c>
      <c r="F175" s="85">
        <f>'01_원자료'!P172*'03_가중치민감도'!$B$6+'01_원자료'!Q172*'03_가중치민감도'!$C$6+'01_원자료'!R172*'03_가중치민감도'!$D$6</f>
        <v/>
      </c>
      <c r="G175" s="85">
        <f>'01_원자료'!P172*'03_가중치민감도'!$B$7+'01_원자료'!Q172*'03_가중치민감도'!$C$7+'01_원자료'!R172*'03_가중치민감도'!$D$7</f>
        <v/>
      </c>
      <c r="H175" s="85">
        <f>'01_원자료'!P172*'03_가중치민감도'!$B$8+'01_원자료'!Q172*'03_가중치민감도'!$C$8+'01_원자료'!R172*'03_가중치민감도'!$D$8</f>
        <v/>
      </c>
      <c r="I175" s="85">
        <f>'01_원자료'!P172*'03_가중치민감도'!$B$9+'01_원자료'!Q172*'03_가중치민감도'!$C$9+'01_원자료'!R172*'03_가중치민감도'!$D$9</f>
        <v/>
      </c>
      <c r="J175" s="85">
        <f>'01_원자료'!P172*'03_가중치민감도'!$B$10+'01_원자료'!Q172*'03_가중치민감도'!$C$10+'01_원자료'!R172*'03_가중치민감도'!$D$10</f>
        <v/>
      </c>
      <c r="K175" s="99">
        <f>COUNTIF($E$5:$E$979,"&lt;"&amp;E175)+(COUNTIF($E$5:$E$979,"="&amp;E175)+1)/2</f>
        <v/>
      </c>
      <c r="L175" s="99">
        <f>COUNTIF($F$5:$F$979,"&lt;"&amp;F175)+(COUNTIF($F$5:$F$979,"="&amp;F175)+1)/2</f>
        <v/>
      </c>
      <c r="M175" s="99">
        <f>COUNTIF($G$5:$G$979,"&lt;"&amp;G175)+(COUNTIF($G$5:$G$979,"="&amp;G175)+1)/2</f>
        <v/>
      </c>
      <c r="N175" s="99">
        <f>COUNTIF($H$5:$H$979,"&lt;"&amp;H175)+(COUNTIF($H$5:$H$979,"="&amp;H175)+1)/2</f>
        <v/>
      </c>
      <c r="O175" s="99">
        <f>COUNTIF($I$5:$I$979,"&lt;"&amp;I175)+(COUNTIF($I$5:$I$979,"="&amp;I175)+1)/2</f>
        <v/>
      </c>
      <c r="P175" s="99">
        <f>COUNTIF($J$5:$J$979,"&lt;"&amp;J175)+(COUNTIF($J$5:$J$979,"="&amp;J175)+1)/2</f>
        <v/>
      </c>
    </row>
    <row r="176" ht="15" customHeight="1" s="68">
      <c r="A176" s="70">
        <f>'01_원자료'!A173</f>
        <v/>
      </c>
      <c r="B176" s="70">
        <f>'01_원자료'!B173</f>
        <v/>
      </c>
      <c r="C176" s="70">
        <f>'01_원자료'!C173</f>
        <v/>
      </c>
      <c r="E176" s="85">
        <f>'01_원자료'!P173*'03_가중치민감도'!$B$5+'01_원자료'!Q173*'03_가중치민감도'!$C$5+'01_원자료'!R173*'03_가중치민감도'!$D$5</f>
        <v/>
      </c>
      <c r="F176" s="85">
        <f>'01_원자료'!P173*'03_가중치민감도'!$B$6+'01_원자료'!Q173*'03_가중치민감도'!$C$6+'01_원자료'!R173*'03_가중치민감도'!$D$6</f>
        <v/>
      </c>
      <c r="G176" s="85">
        <f>'01_원자료'!P173*'03_가중치민감도'!$B$7+'01_원자료'!Q173*'03_가중치민감도'!$C$7+'01_원자료'!R173*'03_가중치민감도'!$D$7</f>
        <v/>
      </c>
      <c r="H176" s="85">
        <f>'01_원자료'!P173*'03_가중치민감도'!$B$8+'01_원자료'!Q173*'03_가중치민감도'!$C$8+'01_원자료'!R173*'03_가중치민감도'!$D$8</f>
        <v/>
      </c>
      <c r="I176" s="85">
        <f>'01_원자료'!P173*'03_가중치민감도'!$B$9+'01_원자료'!Q173*'03_가중치민감도'!$C$9+'01_원자료'!R173*'03_가중치민감도'!$D$9</f>
        <v/>
      </c>
      <c r="J176" s="85">
        <f>'01_원자료'!P173*'03_가중치민감도'!$B$10+'01_원자료'!Q173*'03_가중치민감도'!$C$10+'01_원자료'!R173*'03_가중치민감도'!$D$10</f>
        <v/>
      </c>
      <c r="K176" s="99">
        <f>COUNTIF($E$5:$E$979,"&lt;"&amp;E176)+(COUNTIF($E$5:$E$979,"="&amp;E176)+1)/2</f>
        <v/>
      </c>
      <c r="L176" s="99">
        <f>COUNTIF($F$5:$F$979,"&lt;"&amp;F176)+(COUNTIF($F$5:$F$979,"="&amp;F176)+1)/2</f>
        <v/>
      </c>
      <c r="M176" s="99">
        <f>COUNTIF($G$5:$G$979,"&lt;"&amp;G176)+(COUNTIF($G$5:$G$979,"="&amp;G176)+1)/2</f>
        <v/>
      </c>
      <c r="N176" s="99">
        <f>COUNTIF($H$5:$H$979,"&lt;"&amp;H176)+(COUNTIF($H$5:$H$979,"="&amp;H176)+1)/2</f>
        <v/>
      </c>
      <c r="O176" s="99">
        <f>COUNTIF($I$5:$I$979,"&lt;"&amp;I176)+(COUNTIF($I$5:$I$979,"="&amp;I176)+1)/2</f>
        <v/>
      </c>
      <c r="P176" s="99">
        <f>COUNTIF($J$5:$J$979,"&lt;"&amp;J176)+(COUNTIF($J$5:$J$979,"="&amp;J176)+1)/2</f>
        <v/>
      </c>
    </row>
    <row r="177" ht="15" customHeight="1" s="68">
      <c r="A177" s="70">
        <f>'01_원자료'!A174</f>
        <v/>
      </c>
      <c r="B177" s="70">
        <f>'01_원자료'!B174</f>
        <v/>
      </c>
      <c r="C177" s="70">
        <f>'01_원자료'!C174</f>
        <v/>
      </c>
      <c r="E177" s="85">
        <f>'01_원자료'!P174*'03_가중치민감도'!$B$5+'01_원자료'!Q174*'03_가중치민감도'!$C$5+'01_원자료'!R174*'03_가중치민감도'!$D$5</f>
        <v/>
      </c>
      <c r="F177" s="85">
        <f>'01_원자료'!P174*'03_가중치민감도'!$B$6+'01_원자료'!Q174*'03_가중치민감도'!$C$6+'01_원자료'!R174*'03_가중치민감도'!$D$6</f>
        <v/>
      </c>
      <c r="G177" s="85">
        <f>'01_원자료'!P174*'03_가중치민감도'!$B$7+'01_원자료'!Q174*'03_가중치민감도'!$C$7+'01_원자료'!R174*'03_가중치민감도'!$D$7</f>
        <v/>
      </c>
      <c r="H177" s="85">
        <f>'01_원자료'!P174*'03_가중치민감도'!$B$8+'01_원자료'!Q174*'03_가중치민감도'!$C$8+'01_원자료'!R174*'03_가중치민감도'!$D$8</f>
        <v/>
      </c>
      <c r="I177" s="85">
        <f>'01_원자료'!P174*'03_가중치민감도'!$B$9+'01_원자료'!Q174*'03_가중치민감도'!$C$9+'01_원자료'!R174*'03_가중치민감도'!$D$9</f>
        <v/>
      </c>
      <c r="J177" s="85">
        <f>'01_원자료'!P174*'03_가중치민감도'!$B$10+'01_원자료'!Q174*'03_가중치민감도'!$C$10+'01_원자료'!R174*'03_가중치민감도'!$D$10</f>
        <v/>
      </c>
      <c r="K177" s="99">
        <f>COUNTIF($E$5:$E$979,"&lt;"&amp;E177)+(COUNTIF($E$5:$E$979,"="&amp;E177)+1)/2</f>
        <v/>
      </c>
      <c r="L177" s="99">
        <f>COUNTIF($F$5:$F$979,"&lt;"&amp;F177)+(COUNTIF($F$5:$F$979,"="&amp;F177)+1)/2</f>
        <v/>
      </c>
      <c r="M177" s="99">
        <f>COUNTIF($G$5:$G$979,"&lt;"&amp;G177)+(COUNTIF($G$5:$G$979,"="&amp;G177)+1)/2</f>
        <v/>
      </c>
      <c r="N177" s="99">
        <f>COUNTIF($H$5:$H$979,"&lt;"&amp;H177)+(COUNTIF($H$5:$H$979,"="&amp;H177)+1)/2</f>
        <v/>
      </c>
      <c r="O177" s="99">
        <f>COUNTIF($I$5:$I$979,"&lt;"&amp;I177)+(COUNTIF($I$5:$I$979,"="&amp;I177)+1)/2</f>
        <v/>
      </c>
      <c r="P177" s="99">
        <f>COUNTIF($J$5:$J$979,"&lt;"&amp;J177)+(COUNTIF($J$5:$J$979,"="&amp;J177)+1)/2</f>
        <v/>
      </c>
    </row>
    <row r="178" ht="15" customHeight="1" s="68">
      <c r="A178" s="70">
        <f>'01_원자료'!A175</f>
        <v/>
      </c>
      <c r="B178" s="70">
        <f>'01_원자료'!B175</f>
        <v/>
      </c>
      <c r="C178" s="70">
        <f>'01_원자료'!C175</f>
        <v/>
      </c>
      <c r="E178" s="85">
        <f>'01_원자료'!P175*'03_가중치민감도'!$B$5+'01_원자료'!Q175*'03_가중치민감도'!$C$5+'01_원자료'!R175*'03_가중치민감도'!$D$5</f>
        <v/>
      </c>
      <c r="F178" s="85">
        <f>'01_원자료'!P175*'03_가중치민감도'!$B$6+'01_원자료'!Q175*'03_가중치민감도'!$C$6+'01_원자료'!R175*'03_가중치민감도'!$D$6</f>
        <v/>
      </c>
      <c r="G178" s="85">
        <f>'01_원자료'!P175*'03_가중치민감도'!$B$7+'01_원자료'!Q175*'03_가중치민감도'!$C$7+'01_원자료'!R175*'03_가중치민감도'!$D$7</f>
        <v/>
      </c>
      <c r="H178" s="85">
        <f>'01_원자료'!P175*'03_가중치민감도'!$B$8+'01_원자료'!Q175*'03_가중치민감도'!$C$8+'01_원자료'!R175*'03_가중치민감도'!$D$8</f>
        <v/>
      </c>
      <c r="I178" s="85">
        <f>'01_원자료'!P175*'03_가중치민감도'!$B$9+'01_원자료'!Q175*'03_가중치민감도'!$C$9+'01_원자료'!R175*'03_가중치민감도'!$D$9</f>
        <v/>
      </c>
      <c r="J178" s="85">
        <f>'01_원자료'!P175*'03_가중치민감도'!$B$10+'01_원자료'!Q175*'03_가중치민감도'!$C$10+'01_원자료'!R175*'03_가중치민감도'!$D$10</f>
        <v/>
      </c>
      <c r="K178" s="99">
        <f>COUNTIF($E$5:$E$979,"&lt;"&amp;E178)+(COUNTIF($E$5:$E$979,"="&amp;E178)+1)/2</f>
        <v/>
      </c>
      <c r="L178" s="99">
        <f>COUNTIF($F$5:$F$979,"&lt;"&amp;F178)+(COUNTIF($F$5:$F$979,"="&amp;F178)+1)/2</f>
        <v/>
      </c>
      <c r="M178" s="99">
        <f>COUNTIF($G$5:$G$979,"&lt;"&amp;G178)+(COUNTIF($G$5:$G$979,"="&amp;G178)+1)/2</f>
        <v/>
      </c>
      <c r="N178" s="99">
        <f>COUNTIF($H$5:$H$979,"&lt;"&amp;H178)+(COUNTIF($H$5:$H$979,"="&amp;H178)+1)/2</f>
        <v/>
      </c>
      <c r="O178" s="99">
        <f>COUNTIF($I$5:$I$979,"&lt;"&amp;I178)+(COUNTIF($I$5:$I$979,"="&amp;I178)+1)/2</f>
        <v/>
      </c>
      <c r="P178" s="99">
        <f>COUNTIF($J$5:$J$979,"&lt;"&amp;J178)+(COUNTIF($J$5:$J$979,"="&amp;J178)+1)/2</f>
        <v/>
      </c>
    </row>
    <row r="179" ht="15" customHeight="1" s="68">
      <c r="A179" s="70">
        <f>'01_원자료'!A176</f>
        <v/>
      </c>
      <c r="B179" s="70">
        <f>'01_원자료'!B176</f>
        <v/>
      </c>
      <c r="C179" s="70">
        <f>'01_원자료'!C176</f>
        <v/>
      </c>
      <c r="E179" s="85">
        <f>'01_원자료'!P176*'03_가중치민감도'!$B$5+'01_원자료'!Q176*'03_가중치민감도'!$C$5+'01_원자료'!R176*'03_가중치민감도'!$D$5</f>
        <v/>
      </c>
      <c r="F179" s="85">
        <f>'01_원자료'!P176*'03_가중치민감도'!$B$6+'01_원자료'!Q176*'03_가중치민감도'!$C$6+'01_원자료'!R176*'03_가중치민감도'!$D$6</f>
        <v/>
      </c>
      <c r="G179" s="85">
        <f>'01_원자료'!P176*'03_가중치민감도'!$B$7+'01_원자료'!Q176*'03_가중치민감도'!$C$7+'01_원자료'!R176*'03_가중치민감도'!$D$7</f>
        <v/>
      </c>
      <c r="H179" s="85">
        <f>'01_원자료'!P176*'03_가중치민감도'!$B$8+'01_원자료'!Q176*'03_가중치민감도'!$C$8+'01_원자료'!R176*'03_가중치민감도'!$D$8</f>
        <v/>
      </c>
      <c r="I179" s="85">
        <f>'01_원자료'!P176*'03_가중치민감도'!$B$9+'01_원자료'!Q176*'03_가중치민감도'!$C$9+'01_원자료'!R176*'03_가중치민감도'!$D$9</f>
        <v/>
      </c>
      <c r="J179" s="85">
        <f>'01_원자료'!P176*'03_가중치민감도'!$B$10+'01_원자료'!Q176*'03_가중치민감도'!$C$10+'01_원자료'!R176*'03_가중치민감도'!$D$10</f>
        <v/>
      </c>
      <c r="K179" s="99">
        <f>COUNTIF($E$5:$E$979,"&lt;"&amp;E179)+(COUNTIF($E$5:$E$979,"="&amp;E179)+1)/2</f>
        <v/>
      </c>
      <c r="L179" s="99">
        <f>COUNTIF($F$5:$F$979,"&lt;"&amp;F179)+(COUNTIF($F$5:$F$979,"="&amp;F179)+1)/2</f>
        <v/>
      </c>
      <c r="M179" s="99">
        <f>COUNTIF($G$5:$G$979,"&lt;"&amp;G179)+(COUNTIF($G$5:$G$979,"="&amp;G179)+1)/2</f>
        <v/>
      </c>
      <c r="N179" s="99">
        <f>COUNTIF($H$5:$H$979,"&lt;"&amp;H179)+(COUNTIF($H$5:$H$979,"="&amp;H179)+1)/2</f>
        <v/>
      </c>
      <c r="O179" s="99">
        <f>COUNTIF($I$5:$I$979,"&lt;"&amp;I179)+(COUNTIF($I$5:$I$979,"="&amp;I179)+1)/2</f>
        <v/>
      </c>
      <c r="P179" s="99">
        <f>COUNTIF($J$5:$J$979,"&lt;"&amp;J179)+(COUNTIF($J$5:$J$979,"="&amp;J179)+1)/2</f>
        <v/>
      </c>
    </row>
    <row r="180" ht="15" customHeight="1" s="68">
      <c r="A180" s="70">
        <f>'01_원자료'!A177</f>
        <v/>
      </c>
      <c r="B180" s="70">
        <f>'01_원자료'!B177</f>
        <v/>
      </c>
      <c r="C180" s="70">
        <f>'01_원자료'!C177</f>
        <v/>
      </c>
      <c r="E180" s="85">
        <f>'01_원자료'!P177*'03_가중치민감도'!$B$5+'01_원자료'!Q177*'03_가중치민감도'!$C$5+'01_원자료'!R177*'03_가중치민감도'!$D$5</f>
        <v/>
      </c>
      <c r="F180" s="85">
        <f>'01_원자료'!P177*'03_가중치민감도'!$B$6+'01_원자료'!Q177*'03_가중치민감도'!$C$6+'01_원자료'!R177*'03_가중치민감도'!$D$6</f>
        <v/>
      </c>
      <c r="G180" s="85">
        <f>'01_원자료'!P177*'03_가중치민감도'!$B$7+'01_원자료'!Q177*'03_가중치민감도'!$C$7+'01_원자료'!R177*'03_가중치민감도'!$D$7</f>
        <v/>
      </c>
      <c r="H180" s="85">
        <f>'01_원자료'!P177*'03_가중치민감도'!$B$8+'01_원자료'!Q177*'03_가중치민감도'!$C$8+'01_원자료'!R177*'03_가중치민감도'!$D$8</f>
        <v/>
      </c>
      <c r="I180" s="85">
        <f>'01_원자료'!P177*'03_가중치민감도'!$B$9+'01_원자료'!Q177*'03_가중치민감도'!$C$9+'01_원자료'!R177*'03_가중치민감도'!$D$9</f>
        <v/>
      </c>
      <c r="J180" s="85">
        <f>'01_원자료'!P177*'03_가중치민감도'!$B$10+'01_원자료'!Q177*'03_가중치민감도'!$C$10+'01_원자료'!R177*'03_가중치민감도'!$D$10</f>
        <v/>
      </c>
      <c r="K180" s="99">
        <f>COUNTIF($E$5:$E$979,"&lt;"&amp;E180)+(COUNTIF($E$5:$E$979,"="&amp;E180)+1)/2</f>
        <v/>
      </c>
      <c r="L180" s="99">
        <f>COUNTIF($F$5:$F$979,"&lt;"&amp;F180)+(COUNTIF($F$5:$F$979,"="&amp;F180)+1)/2</f>
        <v/>
      </c>
      <c r="M180" s="99">
        <f>COUNTIF($G$5:$G$979,"&lt;"&amp;G180)+(COUNTIF($G$5:$G$979,"="&amp;G180)+1)/2</f>
        <v/>
      </c>
      <c r="N180" s="99">
        <f>COUNTIF($H$5:$H$979,"&lt;"&amp;H180)+(COUNTIF($H$5:$H$979,"="&amp;H180)+1)/2</f>
        <v/>
      </c>
      <c r="O180" s="99">
        <f>COUNTIF($I$5:$I$979,"&lt;"&amp;I180)+(COUNTIF($I$5:$I$979,"="&amp;I180)+1)/2</f>
        <v/>
      </c>
      <c r="P180" s="99">
        <f>COUNTIF($J$5:$J$979,"&lt;"&amp;J180)+(COUNTIF($J$5:$J$979,"="&amp;J180)+1)/2</f>
        <v/>
      </c>
    </row>
    <row r="181" ht="15" customHeight="1" s="68">
      <c r="A181" s="70">
        <f>'01_원자료'!A178</f>
        <v/>
      </c>
      <c r="B181" s="70">
        <f>'01_원자료'!B178</f>
        <v/>
      </c>
      <c r="C181" s="70">
        <f>'01_원자료'!C178</f>
        <v/>
      </c>
      <c r="E181" s="85">
        <f>'01_원자료'!P178*'03_가중치민감도'!$B$5+'01_원자료'!Q178*'03_가중치민감도'!$C$5+'01_원자료'!R178*'03_가중치민감도'!$D$5</f>
        <v/>
      </c>
      <c r="F181" s="85">
        <f>'01_원자료'!P178*'03_가중치민감도'!$B$6+'01_원자료'!Q178*'03_가중치민감도'!$C$6+'01_원자료'!R178*'03_가중치민감도'!$D$6</f>
        <v/>
      </c>
      <c r="G181" s="85">
        <f>'01_원자료'!P178*'03_가중치민감도'!$B$7+'01_원자료'!Q178*'03_가중치민감도'!$C$7+'01_원자료'!R178*'03_가중치민감도'!$D$7</f>
        <v/>
      </c>
      <c r="H181" s="85">
        <f>'01_원자료'!P178*'03_가중치민감도'!$B$8+'01_원자료'!Q178*'03_가중치민감도'!$C$8+'01_원자료'!R178*'03_가중치민감도'!$D$8</f>
        <v/>
      </c>
      <c r="I181" s="85">
        <f>'01_원자료'!P178*'03_가중치민감도'!$B$9+'01_원자료'!Q178*'03_가중치민감도'!$C$9+'01_원자료'!R178*'03_가중치민감도'!$D$9</f>
        <v/>
      </c>
      <c r="J181" s="85">
        <f>'01_원자료'!P178*'03_가중치민감도'!$B$10+'01_원자료'!Q178*'03_가중치민감도'!$C$10+'01_원자료'!R178*'03_가중치민감도'!$D$10</f>
        <v/>
      </c>
      <c r="K181" s="99">
        <f>COUNTIF($E$5:$E$979,"&lt;"&amp;E181)+(COUNTIF($E$5:$E$979,"="&amp;E181)+1)/2</f>
        <v/>
      </c>
      <c r="L181" s="99">
        <f>COUNTIF($F$5:$F$979,"&lt;"&amp;F181)+(COUNTIF($F$5:$F$979,"="&amp;F181)+1)/2</f>
        <v/>
      </c>
      <c r="M181" s="99">
        <f>COUNTIF($G$5:$G$979,"&lt;"&amp;G181)+(COUNTIF($G$5:$G$979,"="&amp;G181)+1)/2</f>
        <v/>
      </c>
      <c r="N181" s="99">
        <f>COUNTIF($H$5:$H$979,"&lt;"&amp;H181)+(COUNTIF($H$5:$H$979,"="&amp;H181)+1)/2</f>
        <v/>
      </c>
      <c r="O181" s="99">
        <f>COUNTIF($I$5:$I$979,"&lt;"&amp;I181)+(COUNTIF($I$5:$I$979,"="&amp;I181)+1)/2</f>
        <v/>
      </c>
      <c r="P181" s="99">
        <f>COUNTIF($J$5:$J$979,"&lt;"&amp;J181)+(COUNTIF($J$5:$J$979,"="&amp;J181)+1)/2</f>
        <v/>
      </c>
    </row>
    <row r="182" ht="15" customHeight="1" s="68">
      <c r="A182" s="70">
        <f>'01_원자료'!A179</f>
        <v/>
      </c>
      <c r="B182" s="70">
        <f>'01_원자료'!B179</f>
        <v/>
      </c>
      <c r="C182" s="70">
        <f>'01_원자료'!C179</f>
        <v/>
      </c>
      <c r="E182" s="85">
        <f>'01_원자료'!P179*'03_가중치민감도'!$B$5+'01_원자료'!Q179*'03_가중치민감도'!$C$5+'01_원자료'!R179*'03_가중치민감도'!$D$5</f>
        <v/>
      </c>
      <c r="F182" s="85">
        <f>'01_원자료'!P179*'03_가중치민감도'!$B$6+'01_원자료'!Q179*'03_가중치민감도'!$C$6+'01_원자료'!R179*'03_가중치민감도'!$D$6</f>
        <v/>
      </c>
      <c r="G182" s="85">
        <f>'01_원자료'!P179*'03_가중치민감도'!$B$7+'01_원자료'!Q179*'03_가중치민감도'!$C$7+'01_원자료'!R179*'03_가중치민감도'!$D$7</f>
        <v/>
      </c>
      <c r="H182" s="85">
        <f>'01_원자료'!P179*'03_가중치민감도'!$B$8+'01_원자료'!Q179*'03_가중치민감도'!$C$8+'01_원자료'!R179*'03_가중치민감도'!$D$8</f>
        <v/>
      </c>
      <c r="I182" s="85">
        <f>'01_원자료'!P179*'03_가중치민감도'!$B$9+'01_원자료'!Q179*'03_가중치민감도'!$C$9+'01_원자료'!R179*'03_가중치민감도'!$D$9</f>
        <v/>
      </c>
      <c r="J182" s="85">
        <f>'01_원자료'!P179*'03_가중치민감도'!$B$10+'01_원자료'!Q179*'03_가중치민감도'!$C$10+'01_원자료'!R179*'03_가중치민감도'!$D$10</f>
        <v/>
      </c>
      <c r="K182" s="99">
        <f>COUNTIF($E$5:$E$979,"&lt;"&amp;E182)+(COUNTIF($E$5:$E$979,"="&amp;E182)+1)/2</f>
        <v/>
      </c>
      <c r="L182" s="99">
        <f>COUNTIF($F$5:$F$979,"&lt;"&amp;F182)+(COUNTIF($F$5:$F$979,"="&amp;F182)+1)/2</f>
        <v/>
      </c>
      <c r="M182" s="99">
        <f>COUNTIF($G$5:$G$979,"&lt;"&amp;G182)+(COUNTIF($G$5:$G$979,"="&amp;G182)+1)/2</f>
        <v/>
      </c>
      <c r="N182" s="99">
        <f>COUNTIF($H$5:$H$979,"&lt;"&amp;H182)+(COUNTIF($H$5:$H$979,"="&amp;H182)+1)/2</f>
        <v/>
      </c>
      <c r="O182" s="99">
        <f>COUNTIF($I$5:$I$979,"&lt;"&amp;I182)+(COUNTIF($I$5:$I$979,"="&amp;I182)+1)/2</f>
        <v/>
      </c>
      <c r="P182" s="99">
        <f>COUNTIF($J$5:$J$979,"&lt;"&amp;J182)+(COUNTIF($J$5:$J$979,"="&amp;J182)+1)/2</f>
        <v/>
      </c>
    </row>
    <row r="183" ht="15" customHeight="1" s="68">
      <c r="A183" s="70">
        <f>'01_원자료'!A180</f>
        <v/>
      </c>
      <c r="B183" s="70">
        <f>'01_원자료'!B180</f>
        <v/>
      </c>
      <c r="C183" s="70">
        <f>'01_원자료'!C180</f>
        <v/>
      </c>
      <c r="E183" s="85">
        <f>'01_원자료'!P180*'03_가중치민감도'!$B$5+'01_원자료'!Q180*'03_가중치민감도'!$C$5+'01_원자료'!R180*'03_가중치민감도'!$D$5</f>
        <v/>
      </c>
      <c r="F183" s="85">
        <f>'01_원자료'!P180*'03_가중치민감도'!$B$6+'01_원자료'!Q180*'03_가중치민감도'!$C$6+'01_원자료'!R180*'03_가중치민감도'!$D$6</f>
        <v/>
      </c>
      <c r="G183" s="85">
        <f>'01_원자료'!P180*'03_가중치민감도'!$B$7+'01_원자료'!Q180*'03_가중치민감도'!$C$7+'01_원자료'!R180*'03_가중치민감도'!$D$7</f>
        <v/>
      </c>
      <c r="H183" s="85">
        <f>'01_원자료'!P180*'03_가중치민감도'!$B$8+'01_원자료'!Q180*'03_가중치민감도'!$C$8+'01_원자료'!R180*'03_가중치민감도'!$D$8</f>
        <v/>
      </c>
      <c r="I183" s="85">
        <f>'01_원자료'!P180*'03_가중치민감도'!$B$9+'01_원자료'!Q180*'03_가중치민감도'!$C$9+'01_원자료'!R180*'03_가중치민감도'!$D$9</f>
        <v/>
      </c>
      <c r="J183" s="85">
        <f>'01_원자료'!P180*'03_가중치민감도'!$B$10+'01_원자료'!Q180*'03_가중치민감도'!$C$10+'01_원자료'!R180*'03_가중치민감도'!$D$10</f>
        <v/>
      </c>
      <c r="K183" s="99">
        <f>COUNTIF($E$5:$E$979,"&lt;"&amp;E183)+(COUNTIF($E$5:$E$979,"="&amp;E183)+1)/2</f>
        <v/>
      </c>
      <c r="L183" s="99">
        <f>COUNTIF($F$5:$F$979,"&lt;"&amp;F183)+(COUNTIF($F$5:$F$979,"="&amp;F183)+1)/2</f>
        <v/>
      </c>
      <c r="M183" s="99">
        <f>COUNTIF($G$5:$G$979,"&lt;"&amp;G183)+(COUNTIF($G$5:$G$979,"="&amp;G183)+1)/2</f>
        <v/>
      </c>
      <c r="N183" s="99">
        <f>COUNTIF($H$5:$H$979,"&lt;"&amp;H183)+(COUNTIF($H$5:$H$979,"="&amp;H183)+1)/2</f>
        <v/>
      </c>
      <c r="O183" s="99">
        <f>COUNTIF($I$5:$I$979,"&lt;"&amp;I183)+(COUNTIF($I$5:$I$979,"="&amp;I183)+1)/2</f>
        <v/>
      </c>
      <c r="P183" s="99">
        <f>COUNTIF($J$5:$J$979,"&lt;"&amp;J183)+(COUNTIF($J$5:$J$979,"="&amp;J183)+1)/2</f>
        <v/>
      </c>
    </row>
    <row r="184" ht="15" customHeight="1" s="68">
      <c r="A184" s="70">
        <f>'01_원자료'!A181</f>
        <v/>
      </c>
      <c r="B184" s="70">
        <f>'01_원자료'!B181</f>
        <v/>
      </c>
      <c r="C184" s="70">
        <f>'01_원자료'!C181</f>
        <v/>
      </c>
      <c r="E184" s="85">
        <f>'01_원자료'!P181*'03_가중치민감도'!$B$5+'01_원자료'!Q181*'03_가중치민감도'!$C$5+'01_원자료'!R181*'03_가중치민감도'!$D$5</f>
        <v/>
      </c>
      <c r="F184" s="85">
        <f>'01_원자료'!P181*'03_가중치민감도'!$B$6+'01_원자료'!Q181*'03_가중치민감도'!$C$6+'01_원자료'!R181*'03_가중치민감도'!$D$6</f>
        <v/>
      </c>
      <c r="G184" s="85">
        <f>'01_원자료'!P181*'03_가중치민감도'!$B$7+'01_원자료'!Q181*'03_가중치민감도'!$C$7+'01_원자료'!R181*'03_가중치민감도'!$D$7</f>
        <v/>
      </c>
      <c r="H184" s="85">
        <f>'01_원자료'!P181*'03_가중치민감도'!$B$8+'01_원자료'!Q181*'03_가중치민감도'!$C$8+'01_원자료'!R181*'03_가중치민감도'!$D$8</f>
        <v/>
      </c>
      <c r="I184" s="85">
        <f>'01_원자료'!P181*'03_가중치민감도'!$B$9+'01_원자료'!Q181*'03_가중치민감도'!$C$9+'01_원자료'!R181*'03_가중치민감도'!$D$9</f>
        <v/>
      </c>
      <c r="J184" s="85">
        <f>'01_원자료'!P181*'03_가중치민감도'!$B$10+'01_원자료'!Q181*'03_가중치민감도'!$C$10+'01_원자료'!R181*'03_가중치민감도'!$D$10</f>
        <v/>
      </c>
      <c r="K184" s="99">
        <f>COUNTIF($E$5:$E$979,"&lt;"&amp;E184)+(COUNTIF($E$5:$E$979,"="&amp;E184)+1)/2</f>
        <v/>
      </c>
      <c r="L184" s="99">
        <f>COUNTIF($F$5:$F$979,"&lt;"&amp;F184)+(COUNTIF($F$5:$F$979,"="&amp;F184)+1)/2</f>
        <v/>
      </c>
      <c r="M184" s="99">
        <f>COUNTIF($G$5:$G$979,"&lt;"&amp;G184)+(COUNTIF($G$5:$G$979,"="&amp;G184)+1)/2</f>
        <v/>
      </c>
      <c r="N184" s="99">
        <f>COUNTIF($H$5:$H$979,"&lt;"&amp;H184)+(COUNTIF($H$5:$H$979,"="&amp;H184)+1)/2</f>
        <v/>
      </c>
      <c r="O184" s="99">
        <f>COUNTIF($I$5:$I$979,"&lt;"&amp;I184)+(COUNTIF($I$5:$I$979,"="&amp;I184)+1)/2</f>
        <v/>
      </c>
      <c r="P184" s="99">
        <f>COUNTIF($J$5:$J$979,"&lt;"&amp;J184)+(COUNTIF($J$5:$J$979,"="&amp;J184)+1)/2</f>
        <v/>
      </c>
    </row>
    <row r="185" ht="15" customHeight="1" s="68">
      <c r="A185" s="70">
        <f>'01_원자료'!A182</f>
        <v/>
      </c>
      <c r="B185" s="70">
        <f>'01_원자료'!B182</f>
        <v/>
      </c>
      <c r="C185" s="70">
        <f>'01_원자료'!C182</f>
        <v/>
      </c>
      <c r="E185" s="85">
        <f>'01_원자료'!P182*'03_가중치민감도'!$B$5+'01_원자료'!Q182*'03_가중치민감도'!$C$5+'01_원자료'!R182*'03_가중치민감도'!$D$5</f>
        <v/>
      </c>
      <c r="F185" s="85">
        <f>'01_원자료'!P182*'03_가중치민감도'!$B$6+'01_원자료'!Q182*'03_가중치민감도'!$C$6+'01_원자료'!R182*'03_가중치민감도'!$D$6</f>
        <v/>
      </c>
      <c r="G185" s="85">
        <f>'01_원자료'!P182*'03_가중치민감도'!$B$7+'01_원자료'!Q182*'03_가중치민감도'!$C$7+'01_원자료'!R182*'03_가중치민감도'!$D$7</f>
        <v/>
      </c>
      <c r="H185" s="85">
        <f>'01_원자료'!P182*'03_가중치민감도'!$B$8+'01_원자료'!Q182*'03_가중치민감도'!$C$8+'01_원자료'!R182*'03_가중치민감도'!$D$8</f>
        <v/>
      </c>
      <c r="I185" s="85">
        <f>'01_원자료'!P182*'03_가중치민감도'!$B$9+'01_원자료'!Q182*'03_가중치민감도'!$C$9+'01_원자료'!R182*'03_가중치민감도'!$D$9</f>
        <v/>
      </c>
      <c r="J185" s="85">
        <f>'01_원자료'!P182*'03_가중치민감도'!$B$10+'01_원자료'!Q182*'03_가중치민감도'!$C$10+'01_원자료'!R182*'03_가중치민감도'!$D$10</f>
        <v/>
      </c>
      <c r="K185" s="99">
        <f>COUNTIF($E$5:$E$979,"&lt;"&amp;E185)+(COUNTIF($E$5:$E$979,"="&amp;E185)+1)/2</f>
        <v/>
      </c>
      <c r="L185" s="99">
        <f>COUNTIF($F$5:$F$979,"&lt;"&amp;F185)+(COUNTIF($F$5:$F$979,"="&amp;F185)+1)/2</f>
        <v/>
      </c>
      <c r="M185" s="99">
        <f>COUNTIF($G$5:$G$979,"&lt;"&amp;G185)+(COUNTIF($G$5:$G$979,"="&amp;G185)+1)/2</f>
        <v/>
      </c>
      <c r="N185" s="99">
        <f>COUNTIF($H$5:$H$979,"&lt;"&amp;H185)+(COUNTIF($H$5:$H$979,"="&amp;H185)+1)/2</f>
        <v/>
      </c>
      <c r="O185" s="99">
        <f>COUNTIF($I$5:$I$979,"&lt;"&amp;I185)+(COUNTIF($I$5:$I$979,"="&amp;I185)+1)/2</f>
        <v/>
      </c>
      <c r="P185" s="99">
        <f>COUNTIF($J$5:$J$979,"&lt;"&amp;J185)+(COUNTIF($J$5:$J$979,"="&amp;J185)+1)/2</f>
        <v/>
      </c>
    </row>
    <row r="186" ht="15" customHeight="1" s="68">
      <c r="A186" s="70">
        <f>'01_원자료'!A183</f>
        <v/>
      </c>
      <c r="B186" s="70">
        <f>'01_원자료'!B183</f>
        <v/>
      </c>
      <c r="C186" s="70">
        <f>'01_원자료'!C183</f>
        <v/>
      </c>
      <c r="E186" s="85">
        <f>'01_원자료'!P183*'03_가중치민감도'!$B$5+'01_원자료'!Q183*'03_가중치민감도'!$C$5+'01_원자료'!R183*'03_가중치민감도'!$D$5</f>
        <v/>
      </c>
      <c r="F186" s="85">
        <f>'01_원자료'!P183*'03_가중치민감도'!$B$6+'01_원자료'!Q183*'03_가중치민감도'!$C$6+'01_원자료'!R183*'03_가중치민감도'!$D$6</f>
        <v/>
      </c>
      <c r="G186" s="85">
        <f>'01_원자료'!P183*'03_가중치민감도'!$B$7+'01_원자료'!Q183*'03_가중치민감도'!$C$7+'01_원자료'!R183*'03_가중치민감도'!$D$7</f>
        <v/>
      </c>
      <c r="H186" s="85">
        <f>'01_원자료'!P183*'03_가중치민감도'!$B$8+'01_원자료'!Q183*'03_가중치민감도'!$C$8+'01_원자료'!R183*'03_가중치민감도'!$D$8</f>
        <v/>
      </c>
      <c r="I186" s="85">
        <f>'01_원자료'!P183*'03_가중치민감도'!$B$9+'01_원자료'!Q183*'03_가중치민감도'!$C$9+'01_원자료'!R183*'03_가중치민감도'!$D$9</f>
        <v/>
      </c>
      <c r="J186" s="85">
        <f>'01_원자료'!P183*'03_가중치민감도'!$B$10+'01_원자료'!Q183*'03_가중치민감도'!$C$10+'01_원자료'!R183*'03_가중치민감도'!$D$10</f>
        <v/>
      </c>
      <c r="K186" s="99">
        <f>COUNTIF($E$5:$E$979,"&lt;"&amp;E186)+(COUNTIF($E$5:$E$979,"="&amp;E186)+1)/2</f>
        <v/>
      </c>
      <c r="L186" s="99">
        <f>COUNTIF($F$5:$F$979,"&lt;"&amp;F186)+(COUNTIF($F$5:$F$979,"="&amp;F186)+1)/2</f>
        <v/>
      </c>
      <c r="M186" s="99">
        <f>COUNTIF($G$5:$G$979,"&lt;"&amp;G186)+(COUNTIF($G$5:$G$979,"="&amp;G186)+1)/2</f>
        <v/>
      </c>
      <c r="N186" s="99">
        <f>COUNTIF($H$5:$H$979,"&lt;"&amp;H186)+(COUNTIF($H$5:$H$979,"="&amp;H186)+1)/2</f>
        <v/>
      </c>
      <c r="O186" s="99">
        <f>COUNTIF($I$5:$I$979,"&lt;"&amp;I186)+(COUNTIF($I$5:$I$979,"="&amp;I186)+1)/2</f>
        <v/>
      </c>
      <c r="P186" s="99">
        <f>COUNTIF($J$5:$J$979,"&lt;"&amp;J186)+(COUNTIF($J$5:$J$979,"="&amp;J186)+1)/2</f>
        <v/>
      </c>
    </row>
    <row r="187" ht="15" customHeight="1" s="68">
      <c r="A187" s="70">
        <f>'01_원자료'!A184</f>
        <v/>
      </c>
      <c r="B187" s="70">
        <f>'01_원자료'!B184</f>
        <v/>
      </c>
      <c r="C187" s="70">
        <f>'01_원자료'!C184</f>
        <v/>
      </c>
      <c r="E187" s="85">
        <f>'01_원자료'!P184*'03_가중치민감도'!$B$5+'01_원자료'!Q184*'03_가중치민감도'!$C$5+'01_원자료'!R184*'03_가중치민감도'!$D$5</f>
        <v/>
      </c>
      <c r="F187" s="85">
        <f>'01_원자료'!P184*'03_가중치민감도'!$B$6+'01_원자료'!Q184*'03_가중치민감도'!$C$6+'01_원자료'!R184*'03_가중치민감도'!$D$6</f>
        <v/>
      </c>
      <c r="G187" s="85">
        <f>'01_원자료'!P184*'03_가중치민감도'!$B$7+'01_원자료'!Q184*'03_가중치민감도'!$C$7+'01_원자료'!R184*'03_가중치민감도'!$D$7</f>
        <v/>
      </c>
      <c r="H187" s="85">
        <f>'01_원자료'!P184*'03_가중치민감도'!$B$8+'01_원자료'!Q184*'03_가중치민감도'!$C$8+'01_원자료'!R184*'03_가중치민감도'!$D$8</f>
        <v/>
      </c>
      <c r="I187" s="85">
        <f>'01_원자료'!P184*'03_가중치민감도'!$B$9+'01_원자료'!Q184*'03_가중치민감도'!$C$9+'01_원자료'!R184*'03_가중치민감도'!$D$9</f>
        <v/>
      </c>
      <c r="J187" s="85">
        <f>'01_원자료'!P184*'03_가중치민감도'!$B$10+'01_원자료'!Q184*'03_가중치민감도'!$C$10+'01_원자료'!R184*'03_가중치민감도'!$D$10</f>
        <v/>
      </c>
      <c r="K187" s="99">
        <f>COUNTIF($E$5:$E$979,"&lt;"&amp;E187)+(COUNTIF($E$5:$E$979,"="&amp;E187)+1)/2</f>
        <v/>
      </c>
      <c r="L187" s="99">
        <f>COUNTIF($F$5:$F$979,"&lt;"&amp;F187)+(COUNTIF($F$5:$F$979,"="&amp;F187)+1)/2</f>
        <v/>
      </c>
      <c r="M187" s="99">
        <f>COUNTIF($G$5:$G$979,"&lt;"&amp;G187)+(COUNTIF($G$5:$G$979,"="&amp;G187)+1)/2</f>
        <v/>
      </c>
      <c r="N187" s="99">
        <f>COUNTIF($H$5:$H$979,"&lt;"&amp;H187)+(COUNTIF($H$5:$H$979,"="&amp;H187)+1)/2</f>
        <v/>
      </c>
      <c r="O187" s="99">
        <f>COUNTIF($I$5:$I$979,"&lt;"&amp;I187)+(COUNTIF($I$5:$I$979,"="&amp;I187)+1)/2</f>
        <v/>
      </c>
      <c r="P187" s="99">
        <f>COUNTIF($J$5:$J$979,"&lt;"&amp;J187)+(COUNTIF($J$5:$J$979,"="&amp;J187)+1)/2</f>
        <v/>
      </c>
    </row>
    <row r="188" ht="15" customHeight="1" s="68">
      <c r="A188" s="70">
        <f>'01_원자료'!A185</f>
        <v/>
      </c>
      <c r="B188" s="70">
        <f>'01_원자료'!B185</f>
        <v/>
      </c>
      <c r="C188" s="70">
        <f>'01_원자료'!C185</f>
        <v/>
      </c>
      <c r="E188" s="85">
        <f>'01_원자료'!P185*'03_가중치민감도'!$B$5+'01_원자료'!Q185*'03_가중치민감도'!$C$5+'01_원자료'!R185*'03_가중치민감도'!$D$5</f>
        <v/>
      </c>
      <c r="F188" s="85">
        <f>'01_원자료'!P185*'03_가중치민감도'!$B$6+'01_원자료'!Q185*'03_가중치민감도'!$C$6+'01_원자료'!R185*'03_가중치민감도'!$D$6</f>
        <v/>
      </c>
      <c r="G188" s="85">
        <f>'01_원자료'!P185*'03_가중치민감도'!$B$7+'01_원자료'!Q185*'03_가중치민감도'!$C$7+'01_원자료'!R185*'03_가중치민감도'!$D$7</f>
        <v/>
      </c>
      <c r="H188" s="85">
        <f>'01_원자료'!P185*'03_가중치민감도'!$B$8+'01_원자료'!Q185*'03_가중치민감도'!$C$8+'01_원자료'!R185*'03_가중치민감도'!$D$8</f>
        <v/>
      </c>
      <c r="I188" s="85">
        <f>'01_원자료'!P185*'03_가중치민감도'!$B$9+'01_원자료'!Q185*'03_가중치민감도'!$C$9+'01_원자료'!R185*'03_가중치민감도'!$D$9</f>
        <v/>
      </c>
      <c r="J188" s="85">
        <f>'01_원자료'!P185*'03_가중치민감도'!$B$10+'01_원자료'!Q185*'03_가중치민감도'!$C$10+'01_원자료'!R185*'03_가중치민감도'!$D$10</f>
        <v/>
      </c>
      <c r="K188" s="99">
        <f>COUNTIF($E$5:$E$979,"&lt;"&amp;E188)+(COUNTIF($E$5:$E$979,"="&amp;E188)+1)/2</f>
        <v/>
      </c>
      <c r="L188" s="99">
        <f>COUNTIF($F$5:$F$979,"&lt;"&amp;F188)+(COUNTIF($F$5:$F$979,"="&amp;F188)+1)/2</f>
        <v/>
      </c>
      <c r="M188" s="99">
        <f>COUNTIF($G$5:$G$979,"&lt;"&amp;G188)+(COUNTIF($G$5:$G$979,"="&amp;G188)+1)/2</f>
        <v/>
      </c>
      <c r="N188" s="99">
        <f>COUNTIF($H$5:$H$979,"&lt;"&amp;H188)+(COUNTIF($H$5:$H$979,"="&amp;H188)+1)/2</f>
        <v/>
      </c>
      <c r="O188" s="99">
        <f>COUNTIF($I$5:$I$979,"&lt;"&amp;I188)+(COUNTIF($I$5:$I$979,"="&amp;I188)+1)/2</f>
        <v/>
      </c>
      <c r="P188" s="99">
        <f>COUNTIF($J$5:$J$979,"&lt;"&amp;J188)+(COUNTIF($J$5:$J$979,"="&amp;J188)+1)/2</f>
        <v/>
      </c>
    </row>
    <row r="189" ht="15" customHeight="1" s="68">
      <c r="A189" s="70">
        <f>'01_원자료'!A186</f>
        <v/>
      </c>
      <c r="B189" s="70">
        <f>'01_원자료'!B186</f>
        <v/>
      </c>
      <c r="C189" s="70">
        <f>'01_원자료'!C186</f>
        <v/>
      </c>
      <c r="E189" s="85">
        <f>'01_원자료'!P186*'03_가중치민감도'!$B$5+'01_원자료'!Q186*'03_가중치민감도'!$C$5+'01_원자료'!R186*'03_가중치민감도'!$D$5</f>
        <v/>
      </c>
      <c r="F189" s="85">
        <f>'01_원자료'!P186*'03_가중치민감도'!$B$6+'01_원자료'!Q186*'03_가중치민감도'!$C$6+'01_원자료'!R186*'03_가중치민감도'!$D$6</f>
        <v/>
      </c>
      <c r="G189" s="85">
        <f>'01_원자료'!P186*'03_가중치민감도'!$B$7+'01_원자료'!Q186*'03_가중치민감도'!$C$7+'01_원자료'!R186*'03_가중치민감도'!$D$7</f>
        <v/>
      </c>
      <c r="H189" s="85">
        <f>'01_원자료'!P186*'03_가중치민감도'!$B$8+'01_원자료'!Q186*'03_가중치민감도'!$C$8+'01_원자료'!R186*'03_가중치민감도'!$D$8</f>
        <v/>
      </c>
      <c r="I189" s="85">
        <f>'01_원자료'!P186*'03_가중치민감도'!$B$9+'01_원자료'!Q186*'03_가중치민감도'!$C$9+'01_원자료'!R186*'03_가중치민감도'!$D$9</f>
        <v/>
      </c>
      <c r="J189" s="85">
        <f>'01_원자료'!P186*'03_가중치민감도'!$B$10+'01_원자료'!Q186*'03_가중치민감도'!$C$10+'01_원자료'!R186*'03_가중치민감도'!$D$10</f>
        <v/>
      </c>
      <c r="K189" s="99">
        <f>COUNTIF($E$5:$E$979,"&lt;"&amp;E189)+(COUNTIF($E$5:$E$979,"="&amp;E189)+1)/2</f>
        <v/>
      </c>
      <c r="L189" s="99">
        <f>COUNTIF($F$5:$F$979,"&lt;"&amp;F189)+(COUNTIF($F$5:$F$979,"="&amp;F189)+1)/2</f>
        <v/>
      </c>
      <c r="M189" s="99">
        <f>COUNTIF($G$5:$G$979,"&lt;"&amp;G189)+(COUNTIF($G$5:$G$979,"="&amp;G189)+1)/2</f>
        <v/>
      </c>
      <c r="N189" s="99">
        <f>COUNTIF($H$5:$H$979,"&lt;"&amp;H189)+(COUNTIF($H$5:$H$979,"="&amp;H189)+1)/2</f>
        <v/>
      </c>
      <c r="O189" s="99">
        <f>COUNTIF($I$5:$I$979,"&lt;"&amp;I189)+(COUNTIF($I$5:$I$979,"="&amp;I189)+1)/2</f>
        <v/>
      </c>
      <c r="P189" s="99">
        <f>COUNTIF($J$5:$J$979,"&lt;"&amp;J189)+(COUNTIF($J$5:$J$979,"="&amp;J189)+1)/2</f>
        <v/>
      </c>
    </row>
    <row r="190" ht="15" customHeight="1" s="68">
      <c r="A190" s="70">
        <f>'01_원자료'!A187</f>
        <v/>
      </c>
      <c r="B190" s="70">
        <f>'01_원자료'!B187</f>
        <v/>
      </c>
      <c r="C190" s="70">
        <f>'01_원자료'!C187</f>
        <v/>
      </c>
      <c r="E190" s="85">
        <f>'01_원자료'!P187*'03_가중치민감도'!$B$5+'01_원자료'!Q187*'03_가중치민감도'!$C$5+'01_원자료'!R187*'03_가중치민감도'!$D$5</f>
        <v/>
      </c>
      <c r="F190" s="85">
        <f>'01_원자료'!P187*'03_가중치민감도'!$B$6+'01_원자료'!Q187*'03_가중치민감도'!$C$6+'01_원자료'!R187*'03_가중치민감도'!$D$6</f>
        <v/>
      </c>
      <c r="G190" s="85">
        <f>'01_원자료'!P187*'03_가중치민감도'!$B$7+'01_원자료'!Q187*'03_가중치민감도'!$C$7+'01_원자료'!R187*'03_가중치민감도'!$D$7</f>
        <v/>
      </c>
      <c r="H190" s="85">
        <f>'01_원자료'!P187*'03_가중치민감도'!$B$8+'01_원자료'!Q187*'03_가중치민감도'!$C$8+'01_원자료'!R187*'03_가중치민감도'!$D$8</f>
        <v/>
      </c>
      <c r="I190" s="85">
        <f>'01_원자료'!P187*'03_가중치민감도'!$B$9+'01_원자료'!Q187*'03_가중치민감도'!$C$9+'01_원자료'!R187*'03_가중치민감도'!$D$9</f>
        <v/>
      </c>
      <c r="J190" s="85">
        <f>'01_원자료'!P187*'03_가중치민감도'!$B$10+'01_원자료'!Q187*'03_가중치민감도'!$C$10+'01_원자료'!R187*'03_가중치민감도'!$D$10</f>
        <v/>
      </c>
      <c r="K190" s="99">
        <f>COUNTIF($E$5:$E$979,"&lt;"&amp;E190)+(COUNTIF($E$5:$E$979,"="&amp;E190)+1)/2</f>
        <v/>
      </c>
      <c r="L190" s="99">
        <f>COUNTIF($F$5:$F$979,"&lt;"&amp;F190)+(COUNTIF($F$5:$F$979,"="&amp;F190)+1)/2</f>
        <v/>
      </c>
      <c r="M190" s="99">
        <f>COUNTIF($G$5:$G$979,"&lt;"&amp;G190)+(COUNTIF($G$5:$G$979,"="&amp;G190)+1)/2</f>
        <v/>
      </c>
      <c r="N190" s="99">
        <f>COUNTIF($H$5:$H$979,"&lt;"&amp;H190)+(COUNTIF($H$5:$H$979,"="&amp;H190)+1)/2</f>
        <v/>
      </c>
      <c r="O190" s="99">
        <f>COUNTIF($I$5:$I$979,"&lt;"&amp;I190)+(COUNTIF($I$5:$I$979,"="&amp;I190)+1)/2</f>
        <v/>
      </c>
      <c r="P190" s="99">
        <f>COUNTIF($J$5:$J$979,"&lt;"&amp;J190)+(COUNTIF($J$5:$J$979,"="&amp;J190)+1)/2</f>
        <v/>
      </c>
    </row>
    <row r="191" ht="15" customHeight="1" s="68">
      <c r="A191" s="70">
        <f>'01_원자료'!A188</f>
        <v/>
      </c>
      <c r="B191" s="70">
        <f>'01_원자료'!B188</f>
        <v/>
      </c>
      <c r="C191" s="70">
        <f>'01_원자료'!C188</f>
        <v/>
      </c>
      <c r="E191" s="85">
        <f>'01_원자료'!P188*'03_가중치민감도'!$B$5+'01_원자료'!Q188*'03_가중치민감도'!$C$5+'01_원자료'!R188*'03_가중치민감도'!$D$5</f>
        <v/>
      </c>
      <c r="F191" s="85">
        <f>'01_원자료'!P188*'03_가중치민감도'!$B$6+'01_원자료'!Q188*'03_가중치민감도'!$C$6+'01_원자료'!R188*'03_가중치민감도'!$D$6</f>
        <v/>
      </c>
      <c r="G191" s="85">
        <f>'01_원자료'!P188*'03_가중치민감도'!$B$7+'01_원자료'!Q188*'03_가중치민감도'!$C$7+'01_원자료'!R188*'03_가중치민감도'!$D$7</f>
        <v/>
      </c>
      <c r="H191" s="85">
        <f>'01_원자료'!P188*'03_가중치민감도'!$B$8+'01_원자료'!Q188*'03_가중치민감도'!$C$8+'01_원자료'!R188*'03_가중치민감도'!$D$8</f>
        <v/>
      </c>
      <c r="I191" s="85">
        <f>'01_원자료'!P188*'03_가중치민감도'!$B$9+'01_원자료'!Q188*'03_가중치민감도'!$C$9+'01_원자료'!R188*'03_가중치민감도'!$D$9</f>
        <v/>
      </c>
      <c r="J191" s="85">
        <f>'01_원자료'!P188*'03_가중치민감도'!$B$10+'01_원자료'!Q188*'03_가중치민감도'!$C$10+'01_원자료'!R188*'03_가중치민감도'!$D$10</f>
        <v/>
      </c>
      <c r="K191" s="99">
        <f>COUNTIF($E$5:$E$979,"&lt;"&amp;E191)+(COUNTIF($E$5:$E$979,"="&amp;E191)+1)/2</f>
        <v/>
      </c>
      <c r="L191" s="99">
        <f>COUNTIF($F$5:$F$979,"&lt;"&amp;F191)+(COUNTIF($F$5:$F$979,"="&amp;F191)+1)/2</f>
        <v/>
      </c>
      <c r="M191" s="99">
        <f>COUNTIF($G$5:$G$979,"&lt;"&amp;G191)+(COUNTIF($G$5:$G$979,"="&amp;G191)+1)/2</f>
        <v/>
      </c>
      <c r="N191" s="99">
        <f>COUNTIF($H$5:$H$979,"&lt;"&amp;H191)+(COUNTIF($H$5:$H$979,"="&amp;H191)+1)/2</f>
        <v/>
      </c>
      <c r="O191" s="99">
        <f>COUNTIF($I$5:$I$979,"&lt;"&amp;I191)+(COUNTIF($I$5:$I$979,"="&amp;I191)+1)/2</f>
        <v/>
      </c>
      <c r="P191" s="99">
        <f>COUNTIF($J$5:$J$979,"&lt;"&amp;J191)+(COUNTIF($J$5:$J$979,"="&amp;J191)+1)/2</f>
        <v/>
      </c>
    </row>
    <row r="192" ht="15" customHeight="1" s="68">
      <c r="A192" s="70">
        <f>'01_원자료'!A189</f>
        <v/>
      </c>
      <c r="B192" s="70">
        <f>'01_원자료'!B189</f>
        <v/>
      </c>
      <c r="C192" s="70">
        <f>'01_원자료'!C189</f>
        <v/>
      </c>
      <c r="E192" s="85">
        <f>'01_원자료'!P189*'03_가중치민감도'!$B$5+'01_원자료'!Q189*'03_가중치민감도'!$C$5+'01_원자료'!R189*'03_가중치민감도'!$D$5</f>
        <v/>
      </c>
      <c r="F192" s="85">
        <f>'01_원자료'!P189*'03_가중치민감도'!$B$6+'01_원자료'!Q189*'03_가중치민감도'!$C$6+'01_원자료'!R189*'03_가중치민감도'!$D$6</f>
        <v/>
      </c>
      <c r="G192" s="85">
        <f>'01_원자료'!P189*'03_가중치민감도'!$B$7+'01_원자료'!Q189*'03_가중치민감도'!$C$7+'01_원자료'!R189*'03_가중치민감도'!$D$7</f>
        <v/>
      </c>
      <c r="H192" s="85">
        <f>'01_원자료'!P189*'03_가중치민감도'!$B$8+'01_원자료'!Q189*'03_가중치민감도'!$C$8+'01_원자료'!R189*'03_가중치민감도'!$D$8</f>
        <v/>
      </c>
      <c r="I192" s="85">
        <f>'01_원자료'!P189*'03_가중치민감도'!$B$9+'01_원자료'!Q189*'03_가중치민감도'!$C$9+'01_원자료'!R189*'03_가중치민감도'!$D$9</f>
        <v/>
      </c>
      <c r="J192" s="85">
        <f>'01_원자료'!P189*'03_가중치민감도'!$B$10+'01_원자료'!Q189*'03_가중치민감도'!$C$10+'01_원자료'!R189*'03_가중치민감도'!$D$10</f>
        <v/>
      </c>
      <c r="K192" s="99">
        <f>COUNTIF($E$5:$E$979,"&lt;"&amp;E192)+(COUNTIF($E$5:$E$979,"="&amp;E192)+1)/2</f>
        <v/>
      </c>
      <c r="L192" s="99">
        <f>COUNTIF($F$5:$F$979,"&lt;"&amp;F192)+(COUNTIF($F$5:$F$979,"="&amp;F192)+1)/2</f>
        <v/>
      </c>
      <c r="M192" s="99">
        <f>COUNTIF($G$5:$G$979,"&lt;"&amp;G192)+(COUNTIF($G$5:$G$979,"="&amp;G192)+1)/2</f>
        <v/>
      </c>
      <c r="N192" s="99">
        <f>COUNTIF($H$5:$H$979,"&lt;"&amp;H192)+(COUNTIF($H$5:$H$979,"="&amp;H192)+1)/2</f>
        <v/>
      </c>
      <c r="O192" s="99">
        <f>COUNTIF($I$5:$I$979,"&lt;"&amp;I192)+(COUNTIF($I$5:$I$979,"="&amp;I192)+1)/2</f>
        <v/>
      </c>
      <c r="P192" s="99">
        <f>COUNTIF($J$5:$J$979,"&lt;"&amp;J192)+(COUNTIF($J$5:$J$979,"="&amp;J192)+1)/2</f>
        <v/>
      </c>
    </row>
    <row r="193" ht="15" customHeight="1" s="68">
      <c r="A193" s="70">
        <f>'01_원자료'!A190</f>
        <v/>
      </c>
      <c r="B193" s="70">
        <f>'01_원자료'!B190</f>
        <v/>
      </c>
      <c r="C193" s="70">
        <f>'01_원자료'!C190</f>
        <v/>
      </c>
      <c r="E193" s="85">
        <f>'01_원자료'!P190*'03_가중치민감도'!$B$5+'01_원자료'!Q190*'03_가중치민감도'!$C$5+'01_원자료'!R190*'03_가중치민감도'!$D$5</f>
        <v/>
      </c>
      <c r="F193" s="85">
        <f>'01_원자료'!P190*'03_가중치민감도'!$B$6+'01_원자료'!Q190*'03_가중치민감도'!$C$6+'01_원자료'!R190*'03_가중치민감도'!$D$6</f>
        <v/>
      </c>
      <c r="G193" s="85">
        <f>'01_원자료'!P190*'03_가중치민감도'!$B$7+'01_원자료'!Q190*'03_가중치민감도'!$C$7+'01_원자료'!R190*'03_가중치민감도'!$D$7</f>
        <v/>
      </c>
      <c r="H193" s="85">
        <f>'01_원자료'!P190*'03_가중치민감도'!$B$8+'01_원자료'!Q190*'03_가중치민감도'!$C$8+'01_원자료'!R190*'03_가중치민감도'!$D$8</f>
        <v/>
      </c>
      <c r="I193" s="85">
        <f>'01_원자료'!P190*'03_가중치민감도'!$B$9+'01_원자료'!Q190*'03_가중치민감도'!$C$9+'01_원자료'!R190*'03_가중치민감도'!$D$9</f>
        <v/>
      </c>
      <c r="J193" s="85">
        <f>'01_원자료'!P190*'03_가중치민감도'!$B$10+'01_원자료'!Q190*'03_가중치민감도'!$C$10+'01_원자료'!R190*'03_가중치민감도'!$D$10</f>
        <v/>
      </c>
      <c r="K193" s="99">
        <f>COUNTIF($E$5:$E$979,"&lt;"&amp;E193)+(COUNTIF($E$5:$E$979,"="&amp;E193)+1)/2</f>
        <v/>
      </c>
      <c r="L193" s="99">
        <f>COUNTIF($F$5:$F$979,"&lt;"&amp;F193)+(COUNTIF($F$5:$F$979,"="&amp;F193)+1)/2</f>
        <v/>
      </c>
      <c r="M193" s="99">
        <f>COUNTIF($G$5:$G$979,"&lt;"&amp;G193)+(COUNTIF($G$5:$G$979,"="&amp;G193)+1)/2</f>
        <v/>
      </c>
      <c r="N193" s="99">
        <f>COUNTIF($H$5:$H$979,"&lt;"&amp;H193)+(COUNTIF($H$5:$H$979,"="&amp;H193)+1)/2</f>
        <v/>
      </c>
      <c r="O193" s="99">
        <f>COUNTIF($I$5:$I$979,"&lt;"&amp;I193)+(COUNTIF($I$5:$I$979,"="&amp;I193)+1)/2</f>
        <v/>
      </c>
      <c r="P193" s="99">
        <f>COUNTIF($J$5:$J$979,"&lt;"&amp;J193)+(COUNTIF($J$5:$J$979,"="&amp;J193)+1)/2</f>
        <v/>
      </c>
    </row>
    <row r="194" ht="15" customHeight="1" s="68">
      <c r="A194" s="70">
        <f>'01_원자료'!A191</f>
        <v/>
      </c>
      <c r="B194" s="70">
        <f>'01_원자료'!B191</f>
        <v/>
      </c>
      <c r="C194" s="70">
        <f>'01_원자료'!C191</f>
        <v/>
      </c>
      <c r="E194" s="85">
        <f>'01_원자료'!P191*'03_가중치민감도'!$B$5+'01_원자료'!Q191*'03_가중치민감도'!$C$5+'01_원자료'!R191*'03_가중치민감도'!$D$5</f>
        <v/>
      </c>
      <c r="F194" s="85">
        <f>'01_원자료'!P191*'03_가중치민감도'!$B$6+'01_원자료'!Q191*'03_가중치민감도'!$C$6+'01_원자료'!R191*'03_가중치민감도'!$D$6</f>
        <v/>
      </c>
      <c r="G194" s="85">
        <f>'01_원자료'!P191*'03_가중치민감도'!$B$7+'01_원자료'!Q191*'03_가중치민감도'!$C$7+'01_원자료'!R191*'03_가중치민감도'!$D$7</f>
        <v/>
      </c>
      <c r="H194" s="85">
        <f>'01_원자료'!P191*'03_가중치민감도'!$B$8+'01_원자료'!Q191*'03_가중치민감도'!$C$8+'01_원자료'!R191*'03_가중치민감도'!$D$8</f>
        <v/>
      </c>
      <c r="I194" s="85">
        <f>'01_원자료'!P191*'03_가중치민감도'!$B$9+'01_원자료'!Q191*'03_가중치민감도'!$C$9+'01_원자료'!R191*'03_가중치민감도'!$D$9</f>
        <v/>
      </c>
      <c r="J194" s="85">
        <f>'01_원자료'!P191*'03_가중치민감도'!$B$10+'01_원자료'!Q191*'03_가중치민감도'!$C$10+'01_원자료'!R191*'03_가중치민감도'!$D$10</f>
        <v/>
      </c>
      <c r="K194" s="99">
        <f>COUNTIF($E$5:$E$979,"&lt;"&amp;E194)+(COUNTIF($E$5:$E$979,"="&amp;E194)+1)/2</f>
        <v/>
      </c>
      <c r="L194" s="99">
        <f>COUNTIF($F$5:$F$979,"&lt;"&amp;F194)+(COUNTIF($F$5:$F$979,"="&amp;F194)+1)/2</f>
        <v/>
      </c>
      <c r="M194" s="99">
        <f>COUNTIF($G$5:$G$979,"&lt;"&amp;G194)+(COUNTIF($G$5:$G$979,"="&amp;G194)+1)/2</f>
        <v/>
      </c>
      <c r="N194" s="99">
        <f>COUNTIF($H$5:$H$979,"&lt;"&amp;H194)+(COUNTIF($H$5:$H$979,"="&amp;H194)+1)/2</f>
        <v/>
      </c>
      <c r="O194" s="99">
        <f>COUNTIF($I$5:$I$979,"&lt;"&amp;I194)+(COUNTIF($I$5:$I$979,"="&amp;I194)+1)/2</f>
        <v/>
      </c>
      <c r="P194" s="99">
        <f>COUNTIF($J$5:$J$979,"&lt;"&amp;J194)+(COUNTIF($J$5:$J$979,"="&amp;J194)+1)/2</f>
        <v/>
      </c>
    </row>
    <row r="195" ht="15" customHeight="1" s="68">
      <c r="A195" s="70">
        <f>'01_원자료'!A192</f>
        <v/>
      </c>
      <c r="B195" s="70">
        <f>'01_원자료'!B192</f>
        <v/>
      </c>
      <c r="C195" s="70">
        <f>'01_원자료'!C192</f>
        <v/>
      </c>
      <c r="E195" s="85">
        <f>'01_원자료'!P192*'03_가중치민감도'!$B$5+'01_원자료'!Q192*'03_가중치민감도'!$C$5+'01_원자료'!R192*'03_가중치민감도'!$D$5</f>
        <v/>
      </c>
      <c r="F195" s="85">
        <f>'01_원자료'!P192*'03_가중치민감도'!$B$6+'01_원자료'!Q192*'03_가중치민감도'!$C$6+'01_원자료'!R192*'03_가중치민감도'!$D$6</f>
        <v/>
      </c>
      <c r="G195" s="85">
        <f>'01_원자료'!P192*'03_가중치민감도'!$B$7+'01_원자료'!Q192*'03_가중치민감도'!$C$7+'01_원자료'!R192*'03_가중치민감도'!$D$7</f>
        <v/>
      </c>
      <c r="H195" s="85">
        <f>'01_원자료'!P192*'03_가중치민감도'!$B$8+'01_원자료'!Q192*'03_가중치민감도'!$C$8+'01_원자료'!R192*'03_가중치민감도'!$D$8</f>
        <v/>
      </c>
      <c r="I195" s="85">
        <f>'01_원자료'!P192*'03_가중치민감도'!$B$9+'01_원자료'!Q192*'03_가중치민감도'!$C$9+'01_원자료'!R192*'03_가중치민감도'!$D$9</f>
        <v/>
      </c>
      <c r="J195" s="85">
        <f>'01_원자료'!P192*'03_가중치민감도'!$B$10+'01_원자료'!Q192*'03_가중치민감도'!$C$10+'01_원자료'!R192*'03_가중치민감도'!$D$10</f>
        <v/>
      </c>
      <c r="K195" s="99">
        <f>COUNTIF($E$5:$E$979,"&lt;"&amp;E195)+(COUNTIF($E$5:$E$979,"="&amp;E195)+1)/2</f>
        <v/>
      </c>
      <c r="L195" s="99">
        <f>COUNTIF($F$5:$F$979,"&lt;"&amp;F195)+(COUNTIF($F$5:$F$979,"="&amp;F195)+1)/2</f>
        <v/>
      </c>
      <c r="M195" s="99">
        <f>COUNTIF($G$5:$G$979,"&lt;"&amp;G195)+(COUNTIF($G$5:$G$979,"="&amp;G195)+1)/2</f>
        <v/>
      </c>
      <c r="N195" s="99">
        <f>COUNTIF($H$5:$H$979,"&lt;"&amp;H195)+(COUNTIF($H$5:$H$979,"="&amp;H195)+1)/2</f>
        <v/>
      </c>
      <c r="O195" s="99">
        <f>COUNTIF($I$5:$I$979,"&lt;"&amp;I195)+(COUNTIF($I$5:$I$979,"="&amp;I195)+1)/2</f>
        <v/>
      </c>
      <c r="P195" s="99">
        <f>COUNTIF($J$5:$J$979,"&lt;"&amp;J195)+(COUNTIF($J$5:$J$979,"="&amp;J195)+1)/2</f>
        <v/>
      </c>
    </row>
    <row r="196" ht="15" customHeight="1" s="68">
      <c r="A196" s="70">
        <f>'01_원자료'!A193</f>
        <v/>
      </c>
      <c r="B196" s="70">
        <f>'01_원자료'!B193</f>
        <v/>
      </c>
      <c r="C196" s="70">
        <f>'01_원자료'!C193</f>
        <v/>
      </c>
      <c r="E196" s="85">
        <f>'01_원자료'!P193*'03_가중치민감도'!$B$5+'01_원자료'!Q193*'03_가중치민감도'!$C$5+'01_원자료'!R193*'03_가중치민감도'!$D$5</f>
        <v/>
      </c>
      <c r="F196" s="85">
        <f>'01_원자료'!P193*'03_가중치민감도'!$B$6+'01_원자료'!Q193*'03_가중치민감도'!$C$6+'01_원자료'!R193*'03_가중치민감도'!$D$6</f>
        <v/>
      </c>
      <c r="G196" s="85">
        <f>'01_원자료'!P193*'03_가중치민감도'!$B$7+'01_원자료'!Q193*'03_가중치민감도'!$C$7+'01_원자료'!R193*'03_가중치민감도'!$D$7</f>
        <v/>
      </c>
      <c r="H196" s="85">
        <f>'01_원자료'!P193*'03_가중치민감도'!$B$8+'01_원자료'!Q193*'03_가중치민감도'!$C$8+'01_원자료'!R193*'03_가중치민감도'!$D$8</f>
        <v/>
      </c>
      <c r="I196" s="85">
        <f>'01_원자료'!P193*'03_가중치민감도'!$B$9+'01_원자료'!Q193*'03_가중치민감도'!$C$9+'01_원자료'!R193*'03_가중치민감도'!$D$9</f>
        <v/>
      </c>
      <c r="J196" s="85">
        <f>'01_원자료'!P193*'03_가중치민감도'!$B$10+'01_원자료'!Q193*'03_가중치민감도'!$C$10+'01_원자료'!R193*'03_가중치민감도'!$D$10</f>
        <v/>
      </c>
      <c r="K196" s="99">
        <f>COUNTIF($E$5:$E$979,"&lt;"&amp;E196)+(COUNTIF($E$5:$E$979,"="&amp;E196)+1)/2</f>
        <v/>
      </c>
      <c r="L196" s="99">
        <f>COUNTIF($F$5:$F$979,"&lt;"&amp;F196)+(COUNTIF($F$5:$F$979,"="&amp;F196)+1)/2</f>
        <v/>
      </c>
      <c r="M196" s="99">
        <f>COUNTIF($G$5:$G$979,"&lt;"&amp;G196)+(COUNTIF($G$5:$G$979,"="&amp;G196)+1)/2</f>
        <v/>
      </c>
      <c r="N196" s="99">
        <f>COUNTIF($H$5:$H$979,"&lt;"&amp;H196)+(COUNTIF($H$5:$H$979,"="&amp;H196)+1)/2</f>
        <v/>
      </c>
      <c r="O196" s="99">
        <f>COUNTIF($I$5:$I$979,"&lt;"&amp;I196)+(COUNTIF($I$5:$I$979,"="&amp;I196)+1)/2</f>
        <v/>
      </c>
      <c r="P196" s="99">
        <f>COUNTIF($J$5:$J$979,"&lt;"&amp;J196)+(COUNTIF($J$5:$J$979,"="&amp;J196)+1)/2</f>
        <v/>
      </c>
    </row>
    <row r="197" ht="15" customHeight="1" s="68">
      <c r="A197" s="70">
        <f>'01_원자료'!A194</f>
        <v/>
      </c>
      <c r="B197" s="70">
        <f>'01_원자료'!B194</f>
        <v/>
      </c>
      <c r="C197" s="70">
        <f>'01_원자료'!C194</f>
        <v/>
      </c>
      <c r="E197" s="85">
        <f>'01_원자료'!P194*'03_가중치민감도'!$B$5+'01_원자료'!Q194*'03_가중치민감도'!$C$5+'01_원자료'!R194*'03_가중치민감도'!$D$5</f>
        <v/>
      </c>
      <c r="F197" s="85">
        <f>'01_원자료'!P194*'03_가중치민감도'!$B$6+'01_원자료'!Q194*'03_가중치민감도'!$C$6+'01_원자료'!R194*'03_가중치민감도'!$D$6</f>
        <v/>
      </c>
      <c r="G197" s="85">
        <f>'01_원자료'!P194*'03_가중치민감도'!$B$7+'01_원자료'!Q194*'03_가중치민감도'!$C$7+'01_원자료'!R194*'03_가중치민감도'!$D$7</f>
        <v/>
      </c>
      <c r="H197" s="85">
        <f>'01_원자료'!P194*'03_가중치민감도'!$B$8+'01_원자료'!Q194*'03_가중치민감도'!$C$8+'01_원자료'!R194*'03_가중치민감도'!$D$8</f>
        <v/>
      </c>
      <c r="I197" s="85">
        <f>'01_원자료'!P194*'03_가중치민감도'!$B$9+'01_원자료'!Q194*'03_가중치민감도'!$C$9+'01_원자료'!R194*'03_가중치민감도'!$D$9</f>
        <v/>
      </c>
      <c r="J197" s="85">
        <f>'01_원자료'!P194*'03_가중치민감도'!$B$10+'01_원자료'!Q194*'03_가중치민감도'!$C$10+'01_원자료'!R194*'03_가중치민감도'!$D$10</f>
        <v/>
      </c>
      <c r="K197" s="99">
        <f>COUNTIF($E$5:$E$979,"&lt;"&amp;E197)+(COUNTIF($E$5:$E$979,"="&amp;E197)+1)/2</f>
        <v/>
      </c>
      <c r="L197" s="99">
        <f>COUNTIF($F$5:$F$979,"&lt;"&amp;F197)+(COUNTIF($F$5:$F$979,"="&amp;F197)+1)/2</f>
        <v/>
      </c>
      <c r="M197" s="99">
        <f>COUNTIF($G$5:$G$979,"&lt;"&amp;G197)+(COUNTIF($G$5:$G$979,"="&amp;G197)+1)/2</f>
        <v/>
      </c>
      <c r="N197" s="99">
        <f>COUNTIF($H$5:$H$979,"&lt;"&amp;H197)+(COUNTIF($H$5:$H$979,"="&amp;H197)+1)/2</f>
        <v/>
      </c>
      <c r="O197" s="99">
        <f>COUNTIF($I$5:$I$979,"&lt;"&amp;I197)+(COUNTIF($I$5:$I$979,"="&amp;I197)+1)/2</f>
        <v/>
      </c>
      <c r="P197" s="99">
        <f>COUNTIF($J$5:$J$979,"&lt;"&amp;J197)+(COUNTIF($J$5:$J$979,"="&amp;J197)+1)/2</f>
        <v/>
      </c>
    </row>
    <row r="198" ht="15" customHeight="1" s="68">
      <c r="A198" s="70">
        <f>'01_원자료'!A195</f>
        <v/>
      </c>
      <c r="B198" s="70">
        <f>'01_원자료'!B195</f>
        <v/>
      </c>
      <c r="C198" s="70">
        <f>'01_원자료'!C195</f>
        <v/>
      </c>
      <c r="E198" s="85">
        <f>'01_원자료'!P195*'03_가중치민감도'!$B$5+'01_원자료'!Q195*'03_가중치민감도'!$C$5+'01_원자료'!R195*'03_가중치민감도'!$D$5</f>
        <v/>
      </c>
      <c r="F198" s="85">
        <f>'01_원자료'!P195*'03_가중치민감도'!$B$6+'01_원자료'!Q195*'03_가중치민감도'!$C$6+'01_원자료'!R195*'03_가중치민감도'!$D$6</f>
        <v/>
      </c>
      <c r="G198" s="85">
        <f>'01_원자료'!P195*'03_가중치민감도'!$B$7+'01_원자료'!Q195*'03_가중치민감도'!$C$7+'01_원자료'!R195*'03_가중치민감도'!$D$7</f>
        <v/>
      </c>
      <c r="H198" s="85">
        <f>'01_원자료'!P195*'03_가중치민감도'!$B$8+'01_원자료'!Q195*'03_가중치민감도'!$C$8+'01_원자료'!R195*'03_가중치민감도'!$D$8</f>
        <v/>
      </c>
      <c r="I198" s="85">
        <f>'01_원자료'!P195*'03_가중치민감도'!$B$9+'01_원자료'!Q195*'03_가중치민감도'!$C$9+'01_원자료'!R195*'03_가중치민감도'!$D$9</f>
        <v/>
      </c>
      <c r="J198" s="85">
        <f>'01_원자료'!P195*'03_가중치민감도'!$B$10+'01_원자료'!Q195*'03_가중치민감도'!$C$10+'01_원자료'!R195*'03_가중치민감도'!$D$10</f>
        <v/>
      </c>
      <c r="K198" s="99">
        <f>COUNTIF($E$5:$E$979,"&lt;"&amp;E198)+(COUNTIF($E$5:$E$979,"="&amp;E198)+1)/2</f>
        <v/>
      </c>
      <c r="L198" s="99">
        <f>COUNTIF($F$5:$F$979,"&lt;"&amp;F198)+(COUNTIF($F$5:$F$979,"="&amp;F198)+1)/2</f>
        <v/>
      </c>
      <c r="M198" s="99">
        <f>COUNTIF($G$5:$G$979,"&lt;"&amp;G198)+(COUNTIF($G$5:$G$979,"="&amp;G198)+1)/2</f>
        <v/>
      </c>
      <c r="N198" s="99">
        <f>COUNTIF($H$5:$H$979,"&lt;"&amp;H198)+(COUNTIF($H$5:$H$979,"="&amp;H198)+1)/2</f>
        <v/>
      </c>
      <c r="O198" s="99">
        <f>COUNTIF($I$5:$I$979,"&lt;"&amp;I198)+(COUNTIF($I$5:$I$979,"="&amp;I198)+1)/2</f>
        <v/>
      </c>
      <c r="P198" s="99">
        <f>COUNTIF($J$5:$J$979,"&lt;"&amp;J198)+(COUNTIF($J$5:$J$979,"="&amp;J198)+1)/2</f>
        <v/>
      </c>
    </row>
    <row r="199" ht="15" customHeight="1" s="68">
      <c r="A199" s="70">
        <f>'01_원자료'!A196</f>
        <v/>
      </c>
      <c r="B199" s="70">
        <f>'01_원자료'!B196</f>
        <v/>
      </c>
      <c r="C199" s="70">
        <f>'01_원자료'!C196</f>
        <v/>
      </c>
      <c r="E199" s="85">
        <f>'01_원자료'!P196*'03_가중치민감도'!$B$5+'01_원자료'!Q196*'03_가중치민감도'!$C$5+'01_원자료'!R196*'03_가중치민감도'!$D$5</f>
        <v/>
      </c>
      <c r="F199" s="85">
        <f>'01_원자료'!P196*'03_가중치민감도'!$B$6+'01_원자료'!Q196*'03_가중치민감도'!$C$6+'01_원자료'!R196*'03_가중치민감도'!$D$6</f>
        <v/>
      </c>
      <c r="G199" s="85">
        <f>'01_원자료'!P196*'03_가중치민감도'!$B$7+'01_원자료'!Q196*'03_가중치민감도'!$C$7+'01_원자료'!R196*'03_가중치민감도'!$D$7</f>
        <v/>
      </c>
      <c r="H199" s="85">
        <f>'01_원자료'!P196*'03_가중치민감도'!$B$8+'01_원자료'!Q196*'03_가중치민감도'!$C$8+'01_원자료'!R196*'03_가중치민감도'!$D$8</f>
        <v/>
      </c>
      <c r="I199" s="85">
        <f>'01_원자료'!P196*'03_가중치민감도'!$B$9+'01_원자료'!Q196*'03_가중치민감도'!$C$9+'01_원자료'!R196*'03_가중치민감도'!$D$9</f>
        <v/>
      </c>
      <c r="J199" s="85">
        <f>'01_원자료'!P196*'03_가중치민감도'!$B$10+'01_원자료'!Q196*'03_가중치민감도'!$C$10+'01_원자료'!R196*'03_가중치민감도'!$D$10</f>
        <v/>
      </c>
      <c r="K199" s="99">
        <f>COUNTIF($E$5:$E$979,"&lt;"&amp;E199)+(COUNTIF($E$5:$E$979,"="&amp;E199)+1)/2</f>
        <v/>
      </c>
      <c r="L199" s="99">
        <f>COUNTIF($F$5:$F$979,"&lt;"&amp;F199)+(COUNTIF($F$5:$F$979,"="&amp;F199)+1)/2</f>
        <v/>
      </c>
      <c r="M199" s="99">
        <f>COUNTIF($G$5:$G$979,"&lt;"&amp;G199)+(COUNTIF($G$5:$G$979,"="&amp;G199)+1)/2</f>
        <v/>
      </c>
      <c r="N199" s="99">
        <f>COUNTIF($H$5:$H$979,"&lt;"&amp;H199)+(COUNTIF($H$5:$H$979,"="&amp;H199)+1)/2</f>
        <v/>
      </c>
      <c r="O199" s="99">
        <f>COUNTIF($I$5:$I$979,"&lt;"&amp;I199)+(COUNTIF($I$5:$I$979,"="&amp;I199)+1)/2</f>
        <v/>
      </c>
      <c r="P199" s="99">
        <f>COUNTIF($J$5:$J$979,"&lt;"&amp;J199)+(COUNTIF($J$5:$J$979,"="&amp;J199)+1)/2</f>
        <v/>
      </c>
    </row>
    <row r="200" ht="15" customHeight="1" s="68">
      <c r="A200" s="70">
        <f>'01_원자료'!A197</f>
        <v/>
      </c>
      <c r="B200" s="70">
        <f>'01_원자료'!B197</f>
        <v/>
      </c>
      <c r="C200" s="70">
        <f>'01_원자료'!C197</f>
        <v/>
      </c>
      <c r="E200" s="85">
        <f>'01_원자료'!P197*'03_가중치민감도'!$B$5+'01_원자료'!Q197*'03_가중치민감도'!$C$5+'01_원자료'!R197*'03_가중치민감도'!$D$5</f>
        <v/>
      </c>
      <c r="F200" s="85">
        <f>'01_원자료'!P197*'03_가중치민감도'!$B$6+'01_원자료'!Q197*'03_가중치민감도'!$C$6+'01_원자료'!R197*'03_가중치민감도'!$D$6</f>
        <v/>
      </c>
      <c r="G200" s="85">
        <f>'01_원자료'!P197*'03_가중치민감도'!$B$7+'01_원자료'!Q197*'03_가중치민감도'!$C$7+'01_원자료'!R197*'03_가중치민감도'!$D$7</f>
        <v/>
      </c>
      <c r="H200" s="85">
        <f>'01_원자료'!P197*'03_가중치민감도'!$B$8+'01_원자료'!Q197*'03_가중치민감도'!$C$8+'01_원자료'!R197*'03_가중치민감도'!$D$8</f>
        <v/>
      </c>
      <c r="I200" s="85">
        <f>'01_원자료'!P197*'03_가중치민감도'!$B$9+'01_원자료'!Q197*'03_가중치민감도'!$C$9+'01_원자료'!R197*'03_가중치민감도'!$D$9</f>
        <v/>
      </c>
      <c r="J200" s="85">
        <f>'01_원자료'!P197*'03_가중치민감도'!$B$10+'01_원자료'!Q197*'03_가중치민감도'!$C$10+'01_원자료'!R197*'03_가중치민감도'!$D$10</f>
        <v/>
      </c>
      <c r="K200" s="99">
        <f>COUNTIF($E$5:$E$979,"&lt;"&amp;E200)+(COUNTIF($E$5:$E$979,"="&amp;E200)+1)/2</f>
        <v/>
      </c>
      <c r="L200" s="99">
        <f>COUNTIF($F$5:$F$979,"&lt;"&amp;F200)+(COUNTIF($F$5:$F$979,"="&amp;F200)+1)/2</f>
        <v/>
      </c>
      <c r="M200" s="99">
        <f>COUNTIF($G$5:$G$979,"&lt;"&amp;G200)+(COUNTIF($G$5:$G$979,"="&amp;G200)+1)/2</f>
        <v/>
      </c>
      <c r="N200" s="99">
        <f>COUNTIF($H$5:$H$979,"&lt;"&amp;H200)+(COUNTIF($H$5:$H$979,"="&amp;H200)+1)/2</f>
        <v/>
      </c>
      <c r="O200" s="99">
        <f>COUNTIF($I$5:$I$979,"&lt;"&amp;I200)+(COUNTIF($I$5:$I$979,"="&amp;I200)+1)/2</f>
        <v/>
      </c>
      <c r="P200" s="99">
        <f>COUNTIF($J$5:$J$979,"&lt;"&amp;J200)+(COUNTIF($J$5:$J$979,"="&amp;J200)+1)/2</f>
        <v/>
      </c>
    </row>
    <row r="201" ht="15" customHeight="1" s="68">
      <c r="A201" s="70">
        <f>'01_원자료'!A198</f>
        <v/>
      </c>
      <c r="B201" s="70">
        <f>'01_원자료'!B198</f>
        <v/>
      </c>
      <c r="C201" s="70">
        <f>'01_원자료'!C198</f>
        <v/>
      </c>
      <c r="E201" s="85">
        <f>'01_원자료'!P198*'03_가중치민감도'!$B$5+'01_원자료'!Q198*'03_가중치민감도'!$C$5+'01_원자료'!R198*'03_가중치민감도'!$D$5</f>
        <v/>
      </c>
      <c r="F201" s="85">
        <f>'01_원자료'!P198*'03_가중치민감도'!$B$6+'01_원자료'!Q198*'03_가중치민감도'!$C$6+'01_원자료'!R198*'03_가중치민감도'!$D$6</f>
        <v/>
      </c>
      <c r="G201" s="85">
        <f>'01_원자료'!P198*'03_가중치민감도'!$B$7+'01_원자료'!Q198*'03_가중치민감도'!$C$7+'01_원자료'!R198*'03_가중치민감도'!$D$7</f>
        <v/>
      </c>
      <c r="H201" s="85">
        <f>'01_원자료'!P198*'03_가중치민감도'!$B$8+'01_원자료'!Q198*'03_가중치민감도'!$C$8+'01_원자료'!R198*'03_가중치민감도'!$D$8</f>
        <v/>
      </c>
      <c r="I201" s="85">
        <f>'01_원자료'!P198*'03_가중치민감도'!$B$9+'01_원자료'!Q198*'03_가중치민감도'!$C$9+'01_원자료'!R198*'03_가중치민감도'!$D$9</f>
        <v/>
      </c>
      <c r="J201" s="85">
        <f>'01_원자료'!P198*'03_가중치민감도'!$B$10+'01_원자료'!Q198*'03_가중치민감도'!$C$10+'01_원자료'!R198*'03_가중치민감도'!$D$10</f>
        <v/>
      </c>
      <c r="K201" s="99">
        <f>COUNTIF($E$5:$E$979,"&lt;"&amp;E201)+(COUNTIF($E$5:$E$979,"="&amp;E201)+1)/2</f>
        <v/>
      </c>
      <c r="L201" s="99">
        <f>COUNTIF($F$5:$F$979,"&lt;"&amp;F201)+(COUNTIF($F$5:$F$979,"="&amp;F201)+1)/2</f>
        <v/>
      </c>
      <c r="M201" s="99">
        <f>COUNTIF($G$5:$G$979,"&lt;"&amp;G201)+(COUNTIF($G$5:$G$979,"="&amp;G201)+1)/2</f>
        <v/>
      </c>
      <c r="N201" s="99">
        <f>COUNTIF($H$5:$H$979,"&lt;"&amp;H201)+(COUNTIF($H$5:$H$979,"="&amp;H201)+1)/2</f>
        <v/>
      </c>
      <c r="O201" s="99">
        <f>COUNTIF($I$5:$I$979,"&lt;"&amp;I201)+(COUNTIF($I$5:$I$979,"="&amp;I201)+1)/2</f>
        <v/>
      </c>
      <c r="P201" s="99">
        <f>COUNTIF($J$5:$J$979,"&lt;"&amp;J201)+(COUNTIF($J$5:$J$979,"="&amp;J201)+1)/2</f>
        <v/>
      </c>
    </row>
    <row r="202" ht="15" customHeight="1" s="68">
      <c r="A202" s="70">
        <f>'01_원자료'!A199</f>
        <v/>
      </c>
      <c r="B202" s="70">
        <f>'01_원자료'!B199</f>
        <v/>
      </c>
      <c r="C202" s="70">
        <f>'01_원자료'!C199</f>
        <v/>
      </c>
      <c r="E202" s="85">
        <f>'01_원자료'!P199*'03_가중치민감도'!$B$5+'01_원자료'!Q199*'03_가중치민감도'!$C$5+'01_원자료'!R199*'03_가중치민감도'!$D$5</f>
        <v/>
      </c>
      <c r="F202" s="85">
        <f>'01_원자료'!P199*'03_가중치민감도'!$B$6+'01_원자료'!Q199*'03_가중치민감도'!$C$6+'01_원자료'!R199*'03_가중치민감도'!$D$6</f>
        <v/>
      </c>
      <c r="G202" s="85">
        <f>'01_원자료'!P199*'03_가중치민감도'!$B$7+'01_원자료'!Q199*'03_가중치민감도'!$C$7+'01_원자료'!R199*'03_가중치민감도'!$D$7</f>
        <v/>
      </c>
      <c r="H202" s="85">
        <f>'01_원자료'!P199*'03_가중치민감도'!$B$8+'01_원자료'!Q199*'03_가중치민감도'!$C$8+'01_원자료'!R199*'03_가중치민감도'!$D$8</f>
        <v/>
      </c>
      <c r="I202" s="85">
        <f>'01_원자료'!P199*'03_가중치민감도'!$B$9+'01_원자료'!Q199*'03_가중치민감도'!$C$9+'01_원자료'!R199*'03_가중치민감도'!$D$9</f>
        <v/>
      </c>
      <c r="J202" s="85">
        <f>'01_원자료'!P199*'03_가중치민감도'!$B$10+'01_원자료'!Q199*'03_가중치민감도'!$C$10+'01_원자료'!R199*'03_가중치민감도'!$D$10</f>
        <v/>
      </c>
      <c r="K202" s="99">
        <f>COUNTIF($E$5:$E$979,"&lt;"&amp;E202)+(COUNTIF($E$5:$E$979,"="&amp;E202)+1)/2</f>
        <v/>
      </c>
      <c r="L202" s="99">
        <f>COUNTIF($F$5:$F$979,"&lt;"&amp;F202)+(COUNTIF($F$5:$F$979,"="&amp;F202)+1)/2</f>
        <v/>
      </c>
      <c r="M202" s="99">
        <f>COUNTIF($G$5:$G$979,"&lt;"&amp;G202)+(COUNTIF($G$5:$G$979,"="&amp;G202)+1)/2</f>
        <v/>
      </c>
      <c r="N202" s="99">
        <f>COUNTIF($H$5:$H$979,"&lt;"&amp;H202)+(COUNTIF($H$5:$H$979,"="&amp;H202)+1)/2</f>
        <v/>
      </c>
      <c r="O202" s="99">
        <f>COUNTIF($I$5:$I$979,"&lt;"&amp;I202)+(COUNTIF($I$5:$I$979,"="&amp;I202)+1)/2</f>
        <v/>
      </c>
      <c r="P202" s="99">
        <f>COUNTIF($J$5:$J$979,"&lt;"&amp;J202)+(COUNTIF($J$5:$J$979,"="&amp;J202)+1)/2</f>
        <v/>
      </c>
    </row>
    <row r="203" ht="15" customHeight="1" s="68">
      <c r="A203" s="70">
        <f>'01_원자료'!A200</f>
        <v/>
      </c>
      <c r="B203" s="70">
        <f>'01_원자료'!B200</f>
        <v/>
      </c>
      <c r="C203" s="70">
        <f>'01_원자료'!C200</f>
        <v/>
      </c>
      <c r="E203" s="85">
        <f>'01_원자료'!P200*'03_가중치민감도'!$B$5+'01_원자료'!Q200*'03_가중치민감도'!$C$5+'01_원자료'!R200*'03_가중치민감도'!$D$5</f>
        <v/>
      </c>
      <c r="F203" s="85">
        <f>'01_원자료'!P200*'03_가중치민감도'!$B$6+'01_원자료'!Q200*'03_가중치민감도'!$C$6+'01_원자료'!R200*'03_가중치민감도'!$D$6</f>
        <v/>
      </c>
      <c r="G203" s="85">
        <f>'01_원자료'!P200*'03_가중치민감도'!$B$7+'01_원자료'!Q200*'03_가중치민감도'!$C$7+'01_원자료'!R200*'03_가중치민감도'!$D$7</f>
        <v/>
      </c>
      <c r="H203" s="85">
        <f>'01_원자료'!P200*'03_가중치민감도'!$B$8+'01_원자료'!Q200*'03_가중치민감도'!$C$8+'01_원자료'!R200*'03_가중치민감도'!$D$8</f>
        <v/>
      </c>
      <c r="I203" s="85">
        <f>'01_원자료'!P200*'03_가중치민감도'!$B$9+'01_원자료'!Q200*'03_가중치민감도'!$C$9+'01_원자료'!R200*'03_가중치민감도'!$D$9</f>
        <v/>
      </c>
      <c r="J203" s="85">
        <f>'01_원자료'!P200*'03_가중치민감도'!$B$10+'01_원자료'!Q200*'03_가중치민감도'!$C$10+'01_원자료'!R200*'03_가중치민감도'!$D$10</f>
        <v/>
      </c>
      <c r="K203" s="99">
        <f>COUNTIF($E$5:$E$979,"&lt;"&amp;E203)+(COUNTIF($E$5:$E$979,"="&amp;E203)+1)/2</f>
        <v/>
      </c>
      <c r="L203" s="99">
        <f>COUNTIF($F$5:$F$979,"&lt;"&amp;F203)+(COUNTIF($F$5:$F$979,"="&amp;F203)+1)/2</f>
        <v/>
      </c>
      <c r="M203" s="99">
        <f>COUNTIF($G$5:$G$979,"&lt;"&amp;G203)+(COUNTIF($G$5:$G$979,"="&amp;G203)+1)/2</f>
        <v/>
      </c>
      <c r="N203" s="99">
        <f>COUNTIF($H$5:$H$979,"&lt;"&amp;H203)+(COUNTIF($H$5:$H$979,"="&amp;H203)+1)/2</f>
        <v/>
      </c>
      <c r="O203" s="99">
        <f>COUNTIF($I$5:$I$979,"&lt;"&amp;I203)+(COUNTIF($I$5:$I$979,"="&amp;I203)+1)/2</f>
        <v/>
      </c>
      <c r="P203" s="99">
        <f>COUNTIF($J$5:$J$979,"&lt;"&amp;J203)+(COUNTIF($J$5:$J$979,"="&amp;J203)+1)/2</f>
        <v/>
      </c>
    </row>
    <row r="204" ht="15" customHeight="1" s="68">
      <c r="A204" s="70">
        <f>'01_원자료'!A201</f>
        <v/>
      </c>
      <c r="B204" s="70">
        <f>'01_원자료'!B201</f>
        <v/>
      </c>
      <c r="C204" s="70">
        <f>'01_원자료'!C201</f>
        <v/>
      </c>
      <c r="E204" s="85">
        <f>'01_원자료'!P201*'03_가중치민감도'!$B$5+'01_원자료'!Q201*'03_가중치민감도'!$C$5+'01_원자료'!R201*'03_가중치민감도'!$D$5</f>
        <v/>
      </c>
      <c r="F204" s="85">
        <f>'01_원자료'!P201*'03_가중치민감도'!$B$6+'01_원자료'!Q201*'03_가중치민감도'!$C$6+'01_원자료'!R201*'03_가중치민감도'!$D$6</f>
        <v/>
      </c>
      <c r="G204" s="85">
        <f>'01_원자료'!P201*'03_가중치민감도'!$B$7+'01_원자료'!Q201*'03_가중치민감도'!$C$7+'01_원자료'!R201*'03_가중치민감도'!$D$7</f>
        <v/>
      </c>
      <c r="H204" s="85">
        <f>'01_원자료'!P201*'03_가중치민감도'!$B$8+'01_원자료'!Q201*'03_가중치민감도'!$C$8+'01_원자료'!R201*'03_가중치민감도'!$D$8</f>
        <v/>
      </c>
      <c r="I204" s="85">
        <f>'01_원자료'!P201*'03_가중치민감도'!$B$9+'01_원자료'!Q201*'03_가중치민감도'!$C$9+'01_원자료'!R201*'03_가중치민감도'!$D$9</f>
        <v/>
      </c>
      <c r="J204" s="85">
        <f>'01_원자료'!P201*'03_가중치민감도'!$B$10+'01_원자료'!Q201*'03_가중치민감도'!$C$10+'01_원자료'!R201*'03_가중치민감도'!$D$10</f>
        <v/>
      </c>
      <c r="K204" s="99">
        <f>COUNTIF($E$5:$E$979,"&lt;"&amp;E204)+(COUNTIF($E$5:$E$979,"="&amp;E204)+1)/2</f>
        <v/>
      </c>
      <c r="L204" s="99">
        <f>COUNTIF($F$5:$F$979,"&lt;"&amp;F204)+(COUNTIF($F$5:$F$979,"="&amp;F204)+1)/2</f>
        <v/>
      </c>
      <c r="M204" s="99">
        <f>COUNTIF($G$5:$G$979,"&lt;"&amp;G204)+(COUNTIF($G$5:$G$979,"="&amp;G204)+1)/2</f>
        <v/>
      </c>
      <c r="N204" s="99">
        <f>COUNTIF($H$5:$H$979,"&lt;"&amp;H204)+(COUNTIF($H$5:$H$979,"="&amp;H204)+1)/2</f>
        <v/>
      </c>
      <c r="O204" s="99">
        <f>COUNTIF($I$5:$I$979,"&lt;"&amp;I204)+(COUNTIF($I$5:$I$979,"="&amp;I204)+1)/2</f>
        <v/>
      </c>
      <c r="P204" s="99">
        <f>COUNTIF($J$5:$J$979,"&lt;"&amp;J204)+(COUNTIF($J$5:$J$979,"="&amp;J204)+1)/2</f>
        <v/>
      </c>
    </row>
    <row r="205" ht="15" customHeight="1" s="68">
      <c r="A205" s="70">
        <f>'01_원자료'!A202</f>
        <v/>
      </c>
      <c r="B205" s="70">
        <f>'01_원자료'!B202</f>
        <v/>
      </c>
      <c r="C205" s="70">
        <f>'01_원자료'!C202</f>
        <v/>
      </c>
      <c r="E205" s="85">
        <f>'01_원자료'!P202*'03_가중치민감도'!$B$5+'01_원자료'!Q202*'03_가중치민감도'!$C$5+'01_원자료'!R202*'03_가중치민감도'!$D$5</f>
        <v/>
      </c>
      <c r="F205" s="85">
        <f>'01_원자료'!P202*'03_가중치민감도'!$B$6+'01_원자료'!Q202*'03_가중치민감도'!$C$6+'01_원자료'!R202*'03_가중치민감도'!$D$6</f>
        <v/>
      </c>
      <c r="G205" s="85">
        <f>'01_원자료'!P202*'03_가중치민감도'!$B$7+'01_원자료'!Q202*'03_가중치민감도'!$C$7+'01_원자료'!R202*'03_가중치민감도'!$D$7</f>
        <v/>
      </c>
      <c r="H205" s="85">
        <f>'01_원자료'!P202*'03_가중치민감도'!$B$8+'01_원자료'!Q202*'03_가중치민감도'!$C$8+'01_원자료'!R202*'03_가중치민감도'!$D$8</f>
        <v/>
      </c>
      <c r="I205" s="85">
        <f>'01_원자료'!P202*'03_가중치민감도'!$B$9+'01_원자료'!Q202*'03_가중치민감도'!$C$9+'01_원자료'!R202*'03_가중치민감도'!$D$9</f>
        <v/>
      </c>
      <c r="J205" s="85">
        <f>'01_원자료'!P202*'03_가중치민감도'!$B$10+'01_원자료'!Q202*'03_가중치민감도'!$C$10+'01_원자료'!R202*'03_가중치민감도'!$D$10</f>
        <v/>
      </c>
      <c r="K205" s="99">
        <f>COUNTIF($E$5:$E$979,"&lt;"&amp;E205)+(COUNTIF($E$5:$E$979,"="&amp;E205)+1)/2</f>
        <v/>
      </c>
      <c r="L205" s="99">
        <f>COUNTIF($F$5:$F$979,"&lt;"&amp;F205)+(COUNTIF($F$5:$F$979,"="&amp;F205)+1)/2</f>
        <v/>
      </c>
      <c r="M205" s="99">
        <f>COUNTIF($G$5:$G$979,"&lt;"&amp;G205)+(COUNTIF($G$5:$G$979,"="&amp;G205)+1)/2</f>
        <v/>
      </c>
      <c r="N205" s="99">
        <f>COUNTIF($H$5:$H$979,"&lt;"&amp;H205)+(COUNTIF($H$5:$H$979,"="&amp;H205)+1)/2</f>
        <v/>
      </c>
      <c r="O205" s="99">
        <f>COUNTIF($I$5:$I$979,"&lt;"&amp;I205)+(COUNTIF($I$5:$I$979,"="&amp;I205)+1)/2</f>
        <v/>
      </c>
      <c r="P205" s="99">
        <f>COUNTIF($J$5:$J$979,"&lt;"&amp;J205)+(COUNTIF($J$5:$J$979,"="&amp;J205)+1)/2</f>
        <v/>
      </c>
    </row>
    <row r="206" ht="15" customHeight="1" s="68">
      <c r="A206" s="70">
        <f>'01_원자료'!A203</f>
        <v/>
      </c>
      <c r="B206" s="70">
        <f>'01_원자료'!B203</f>
        <v/>
      </c>
      <c r="C206" s="70">
        <f>'01_원자료'!C203</f>
        <v/>
      </c>
      <c r="E206" s="85">
        <f>'01_원자료'!P203*'03_가중치민감도'!$B$5+'01_원자료'!Q203*'03_가중치민감도'!$C$5+'01_원자료'!R203*'03_가중치민감도'!$D$5</f>
        <v/>
      </c>
      <c r="F206" s="85">
        <f>'01_원자료'!P203*'03_가중치민감도'!$B$6+'01_원자료'!Q203*'03_가중치민감도'!$C$6+'01_원자료'!R203*'03_가중치민감도'!$D$6</f>
        <v/>
      </c>
      <c r="G206" s="85">
        <f>'01_원자료'!P203*'03_가중치민감도'!$B$7+'01_원자료'!Q203*'03_가중치민감도'!$C$7+'01_원자료'!R203*'03_가중치민감도'!$D$7</f>
        <v/>
      </c>
      <c r="H206" s="85">
        <f>'01_원자료'!P203*'03_가중치민감도'!$B$8+'01_원자료'!Q203*'03_가중치민감도'!$C$8+'01_원자료'!R203*'03_가중치민감도'!$D$8</f>
        <v/>
      </c>
      <c r="I206" s="85">
        <f>'01_원자료'!P203*'03_가중치민감도'!$B$9+'01_원자료'!Q203*'03_가중치민감도'!$C$9+'01_원자료'!R203*'03_가중치민감도'!$D$9</f>
        <v/>
      </c>
      <c r="J206" s="85">
        <f>'01_원자료'!P203*'03_가중치민감도'!$B$10+'01_원자료'!Q203*'03_가중치민감도'!$C$10+'01_원자료'!R203*'03_가중치민감도'!$D$10</f>
        <v/>
      </c>
      <c r="K206" s="99">
        <f>COUNTIF($E$5:$E$979,"&lt;"&amp;E206)+(COUNTIF($E$5:$E$979,"="&amp;E206)+1)/2</f>
        <v/>
      </c>
      <c r="L206" s="99">
        <f>COUNTIF($F$5:$F$979,"&lt;"&amp;F206)+(COUNTIF($F$5:$F$979,"="&amp;F206)+1)/2</f>
        <v/>
      </c>
      <c r="M206" s="99">
        <f>COUNTIF($G$5:$G$979,"&lt;"&amp;G206)+(COUNTIF($G$5:$G$979,"="&amp;G206)+1)/2</f>
        <v/>
      </c>
      <c r="N206" s="99">
        <f>COUNTIF($H$5:$H$979,"&lt;"&amp;H206)+(COUNTIF($H$5:$H$979,"="&amp;H206)+1)/2</f>
        <v/>
      </c>
      <c r="O206" s="99">
        <f>COUNTIF($I$5:$I$979,"&lt;"&amp;I206)+(COUNTIF($I$5:$I$979,"="&amp;I206)+1)/2</f>
        <v/>
      </c>
      <c r="P206" s="99">
        <f>COUNTIF($J$5:$J$979,"&lt;"&amp;J206)+(COUNTIF($J$5:$J$979,"="&amp;J206)+1)/2</f>
        <v/>
      </c>
    </row>
    <row r="207" ht="15" customHeight="1" s="68">
      <c r="A207" s="70">
        <f>'01_원자료'!A204</f>
        <v/>
      </c>
      <c r="B207" s="70">
        <f>'01_원자료'!B204</f>
        <v/>
      </c>
      <c r="C207" s="70">
        <f>'01_원자료'!C204</f>
        <v/>
      </c>
      <c r="E207" s="85">
        <f>'01_원자료'!P204*'03_가중치민감도'!$B$5+'01_원자료'!Q204*'03_가중치민감도'!$C$5+'01_원자료'!R204*'03_가중치민감도'!$D$5</f>
        <v/>
      </c>
      <c r="F207" s="85">
        <f>'01_원자료'!P204*'03_가중치민감도'!$B$6+'01_원자료'!Q204*'03_가중치민감도'!$C$6+'01_원자료'!R204*'03_가중치민감도'!$D$6</f>
        <v/>
      </c>
      <c r="G207" s="85">
        <f>'01_원자료'!P204*'03_가중치민감도'!$B$7+'01_원자료'!Q204*'03_가중치민감도'!$C$7+'01_원자료'!R204*'03_가중치민감도'!$D$7</f>
        <v/>
      </c>
      <c r="H207" s="85">
        <f>'01_원자료'!P204*'03_가중치민감도'!$B$8+'01_원자료'!Q204*'03_가중치민감도'!$C$8+'01_원자료'!R204*'03_가중치민감도'!$D$8</f>
        <v/>
      </c>
      <c r="I207" s="85">
        <f>'01_원자료'!P204*'03_가중치민감도'!$B$9+'01_원자료'!Q204*'03_가중치민감도'!$C$9+'01_원자료'!R204*'03_가중치민감도'!$D$9</f>
        <v/>
      </c>
      <c r="J207" s="85">
        <f>'01_원자료'!P204*'03_가중치민감도'!$B$10+'01_원자료'!Q204*'03_가중치민감도'!$C$10+'01_원자료'!R204*'03_가중치민감도'!$D$10</f>
        <v/>
      </c>
      <c r="K207" s="99">
        <f>COUNTIF($E$5:$E$979,"&lt;"&amp;E207)+(COUNTIF($E$5:$E$979,"="&amp;E207)+1)/2</f>
        <v/>
      </c>
      <c r="L207" s="99">
        <f>COUNTIF($F$5:$F$979,"&lt;"&amp;F207)+(COUNTIF($F$5:$F$979,"="&amp;F207)+1)/2</f>
        <v/>
      </c>
      <c r="M207" s="99">
        <f>COUNTIF($G$5:$G$979,"&lt;"&amp;G207)+(COUNTIF($G$5:$G$979,"="&amp;G207)+1)/2</f>
        <v/>
      </c>
      <c r="N207" s="99">
        <f>COUNTIF($H$5:$H$979,"&lt;"&amp;H207)+(COUNTIF($H$5:$H$979,"="&amp;H207)+1)/2</f>
        <v/>
      </c>
      <c r="O207" s="99">
        <f>COUNTIF($I$5:$I$979,"&lt;"&amp;I207)+(COUNTIF($I$5:$I$979,"="&amp;I207)+1)/2</f>
        <v/>
      </c>
      <c r="P207" s="99">
        <f>COUNTIF($J$5:$J$979,"&lt;"&amp;J207)+(COUNTIF($J$5:$J$979,"="&amp;J207)+1)/2</f>
        <v/>
      </c>
    </row>
    <row r="208" ht="15" customHeight="1" s="68">
      <c r="A208" s="70">
        <f>'01_원자료'!A205</f>
        <v/>
      </c>
      <c r="B208" s="70">
        <f>'01_원자료'!B205</f>
        <v/>
      </c>
      <c r="C208" s="70">
        <f>'01_원자료'!C205</f>
        <v/>
      </c>
      <c r="E208" s="85">
        <f>'01_원자료'!P205*'03_가중치민감도'!$B$5+'01_원자료'!Q205*'03_가중치민감도'!$C$5+'01_원자료'!R205*'03_가중치민감도'!$D$5</f>
        <v/>
      </c>
      <c r="F208" s="85">
        <f>'01_원자료'!P205*'03_가중치민감도'!$B$6+'01_원자료'!Q205*'03_가중치민감도'!$C$6+'01_원자료'!R205*'03_가중치민감도'!$D$6</f>
        <v/>
      </c>
      <c r="G208" s="85">
        <f>'01_원자료'!P205*'03_가중치민감도'!$B$7+'01_원자료'!Q205*'03_가중치민감도'!$C$7+'01_원자료'!R205*'03_가중치민감도'!$D$7</f>
        <v/>
      </c>
      <c r="H208" s="85">
        <f>'01_원자료'!P205*'03_가중치민감도'!$B$8+'01_원자료'!Q205*'03_가중치민감도'!$C$8+'01_원자료'!R205*'03_가중치민감도'!$D$8</f>
        <v/>
      </c>
      <c r="I208" s="85">
        <f>'01_원자료'!P205*'03_가중치민감도'!$B$9+'01_원자료'!Q205*'03_가중치민감도'!$C$9+'01_원자료'!R205*'03_가중치민감도'!$D$9</f>
        <v/>
      </c>
      <c r="J208" s="85">
        <f>'01_원자료'!P205*'03_가중치민감도'!$B$10+'01_원자료'!Q205*'03_가중치민감도'!$C$10+'01_원자료'!R205*'03_가중치민감도'!$D$10</f>
        <v/>
      </c>
      <c r="K208" s="99">
        <f>COUNTIF($E$5:$E$979,"&lt;"&amp;E208)+(COUNTIF($E$5:$E$979,"="&amp;E208)+1)/2</f>
        <v/>
      </c>
      <c r="L208" s="99">
        <f>COUNTIF($F$5:$F$979,"&lt;"&amp;F208)+(COUNTIF($F$5:$F$979,"="&amp;F208)+1)/2</f>
        <v/>
      </c>
      <c r="M208" s="99">
        <f>COUNTIF($G$5:$G$979,"&lt;"&amp;G208)+(COUNTIF($G$5:$G$979,"="&amp;G208)+1)/2</f>
        <v/>
      </c>
      <c r="N208" s="99">
        <f>COUNTIF($H$5:$H$979,"&lt;"&amp;H208)+(COUNTIF($H$5:$H$979,"="&amp;H208)+1)/2</f>
        <v/>
      </c>
      <c r="O208" s="99">
        <f>COUNTIF($I$5:$I$979,"&lt;"&amp;I208)+(COUNTIF($I$5:$I$979,"="&amp;I208)+1)/2</f>
        <v/>
      </c>
      <c r="P208" s="99">
        <f>COUNTIF($J$5:$J$979,"&lt;"&amp;J208)+(COUNTIF($J$5:$J$979,"="&amp;J208)+1)/2</f>
        <v/>
      </c>
    </row>
    <row r="209" ht="15" customHeight="1" s="68">
      <c r="A209" s="70">
        <f>'01_원자료'!A206</f>
        <v/>
      </c>
      <c r="B209" s="70">
        <f>'01_원자료'!B206</f>
        <v/>
      </c>
      <c r="C209" s="70">
        <f>'01_원자료'!C206</f>
        <v/>
      </c>
      <c r="E209" s="85">
        <f>'01_원자료'!P206*'03_가중치민감도'!$B$5+'01_원자료'!Q206*'03_가중치민감도'!$C$5+'01_원자료'!R206*'03_가중치민감도'!$D$5</f>
        <v/>
      </c>
      <c r="F209" s="85">
        <f>'01_원자료'!P206*'03_가중치민감도'!$B$6+'01_원자료'!Q206*'03_가중치민감도'!$C$6+'01_원자료'!R206*'03_가중치민감도'!$D$6</f>
        <v/>
      </c>
      <c r="G209" s="85">
        <f>'01_원자료'!P206*'03_가중치민감도'!$B$7+'01_원자료'!Q206*'03_가중치민감도'!$C$7+'01_원자료'!R206*'03_가중치민감도'!$D$7</f>
        <v/>
      </c>
      <c r="H209" s="85">
        <f>'01_원자료'!P206*'03_가중치민감도'!$B$8+'01_원자료'!Q206*'03_가중치민감도'!$C$8+'01_원자료'!R206*'03_가중치민감도'!$D$8</f>
        <v/>
      </c>
      <c r="I209" s="85">
        <f>'01_원자료'!P206*'03_가중치민감도'!$B$9+'01_원자료'!Q206*'03_가중치민감도'!$C$9+'01_원자료'!R206*'03_가중치민감도'!$D$9</f>
        <v/>
      </c>
      <c r="J209" s="85">
        <f>'01_원자료'!P206*'03_가중치민감도'!$B$10+'01_원자료'!Q206*'03_가중치민감도'!$C$10+'01_원자료'!R206*'03_가중치민감도'!$D$10</f>
        <v/>
      </c>
      <c r="K209" s="99">
        <f>COUNTIF($E$5:$E$979,"&lt;"&amp;E209)+(COUNTIF($E$5:$E$979,"="&amp;E209)+1)/2</f>
        <v/>
      </c>
      <c r="L209" s="99">
        <f>COUNTIF($F$5:$F$979,"&lt;"&amp;F209)+(COUNTIF($F$5:$F$979,"="&amp;F209)+1)/2</f>
        <v/>
      </c>
      <c r="M209" s="99">
        <f>COUNTIF($G$5:$G$979,"&lt;"&amp;G209)+(COUNTIF($G$5:$G$979,"="&amp;G209)+1)/2</f>
        <v/>
      </c>
      <c r="N209" s="99">
        <f>COUNTIF($H$5:$H$979,"&lt;"&amp;H209)+(COUNTIF($H$5:$H$979,"="&amp;H209)+1)/2</f>
        <v/>
      </c>
      <c r="O209" s="99">
        <f>COUNTIF($I$5:$I$979,"&lt;"&amp;I209)+(COUNTIF($I$5:$I$979,"="&amp;I209)+1)/2</f>
        <v/>
      </c>
      <c r="P209" s="99">
        <f>COUNTIF($J$5:$J$979,"&lt;"&amp;J209)+(COUNTIF($J$5:$J$979,"="&amp;J209)+1)/2</f>
        <v/>
      </c>
    </row>
    <row r="210" ht="15" customHeight="1" s="68">
      <c r="A210" s="70">
        <f>'01_원자료'!A207</f>
        <v/>
      </c>
      <c r="B210" s="70">
        <f>'01_원자료'!B207</f>
        <v/>
      </c>
      <c r="C210" s="70">
        <f>'01_원자료'!C207</f>
        <v/>
      </c>
      <c r="E210" s="85">
        <f>'01_원자료'!P207*'03_가중치민감도'!$B$5+'01_원자료'!Q207*'03_가중치민감도'!$C$5+'01_원자료'!R207*'03_가중치민감도'!$D$5</f>
        <v/>
      </c>
      <c r="F210" s="85">
        <f>'01_원자료'!P207*'03_가중치민감도'!$B$6+'01_원자료'!Q207*'03_가중치민감도'!$C$6+'01_원자료'!R207*'03_가중치민감도'!$D$6</f>
        <v/>
      </c>
      <c r="G210" s="85">
        <f>'01_원자료'!P207*'03_가중치민감도'!$B$7+'01_원자료'!Q207*'03_가중치민감도'!$C$7+'01_원자료'!R207*'03_가중치민감도'!$D$7</f>
        <v/>
      </c>
      <c r="H210" s="85">
        <f>'01_원자료'!P207*'03_가중치민감도'!$B$8+'01_원자료'!Q207*'03_가중치민감도'!$C$8+'01_원자료'!R207*'03_가중치민감도'!$D$8</f>
        <v/>
      </c>
      <c r="I210" s="85">
        <f>'01_원자료'!P207*'03_가중치민감도'!$B$9+'01_원자료'!Q207*'03_가중치민감도'!$C$9+'01_원자료'!R207*'03_가중치민감도'!$D$9</f>
        <v/>
      </c>
      <c r="J210" s="85">
        <f>'01_원자료'!P207*'03_가중치민감도'!$B$10+'01_원자료'!Q207*'03_가중치민감도'!$C$10+'01_원자료'!R207*'03_가중치민감도'!$D$10</f>
        <v/>
      </c>
      <c r="K210" s="99">
        <f>COUNTIF($E$5:$E$979,"&lt;"&amp;E210)+(COUNTIF($E$5:$E$979,"="&amp;E210)+1)/2</f>
        <v/>
      </c>
      <c r="L210" s="99">
        <f>COUNTIF($F$5:$F$979,"&lt;"&amp;F210)+(COUNTIF($F$5:$F$979,"="&amp;F210)+1)/2</f>
        <v/>
      </c>
      <c r="M210" s="99">
        <f>COUNTIF($G$5:$G$979,"&lt;"&amp;G210)+(COUNTIF($G$5:$G$979,"="&amp;G210)+1)/2</f>
        <v/>
      </c>
      <c r="N210" s="99">
        <f>COUNTIF($H$5:$H$979,"&lt;"&amp;H210)+(COUNTIF($H$5:$H$979,"="&amp;H210)+1)/2</f>
        <v/>
      </c>
      <c r="O210" s="99">
        <f>COUNTIF($I$5:$I$979,"&lt;"&amp;I210)+(COUNTIF($I$5:$I$979,"="&amp;I210)+1)/2</f>
        <v/>
      </c>
      <c r="P210" s="99">
        <f>COUNTIF($J$5:$J$979,"&lt;"&amp;J210)+(COUNTIF($J$5:$J$979,"="&amp;J210)+1)/2</f>
        <v/>
      </c>
    </row>
    <row r="211" ht="15" customHeight="1" s="68">
      <c r="A211" s="70">
        <f>'01_원자료'!A208</f>
        <v/>
      </c>
      <c r="B211" s="70">
        <f>'01_원자료'!B208</f>
        <v/>
      </c>
      <c r="C211" s="70">
        <f>'01_원자료'!C208</f>
        <v/>
      </c>
      <c r="E211" s="85">
        <f>'01_원자료'!P208*'03_가중치민감도'!$B$5+'01_원자료'!Q208*'03_가중치민감도'!$C$5+'01_원자료'!R208*'03_가중치민감도'!$D$5</f>
        <v/>
      </c>
      <c r="F211" s="85">
        <f>'01_원자료'!P208*'03_가중치민감도'!$B$6+'01_원자료'!Q208*'03_가중치민감도'!$C$6+'01_원자료'!R208*'03_가중치민감도'!$D$6</f>
        <v/>
      </c>
      <c r="G211" s="85">
        <f>'01_원자료'!P208*'03_가중치민감도'!$B$7+'01_원자료'!Q208*'03_가중치민감도'!$C$7+'01_원자료'!R208*'03_가중치민감도'!$D$7</f>
        <v/>
      </c>
      <c r="H211" s="85">
        <f>'01_원자료'!P208*'03_가중치민감도'!$B$8+'01_원자료'!Q208*'03_가중치민감도'!$C$8+'01_원자료'!R208*'03_가중치민감도'!$D$8</f>
        <v/>
      </c>
      <c r="I211" s="85">
        <f>'01_원자료'!P208*'03_가중치민감도'!$B$9+'01_원자료'!Q208*'03_가중치민감도'!$C$9+'01_원자료'!R208*'03_가중치민감도'!$D$9</f>
        <v/>
      </c>
      <c r="J211" s="85">
        <f>'01_원자료'!P208*'03_가중치민감도'!$B$10+'01_원자료'!Q208*'03_가중치민감도'!$C$10+'01_원자료'!R208*'03_가중치민감도'!$D$10</f>
        <v/>
      </c>
      <c r="K211" s="99">
        <f>COUNTIF($E$5:$E$979,"&lt;"&amp;E211)+(COUNTIF($E$5:$E$979,"="&amp;E211)+1)/2</f>
        <v/>
      </c>
      <c r="L211" s="99">
        <f>COUNTIF($F$5:$F$979,"&lt;"&amp;F211)+(COUNTIF($F$5:$F$979,"="&amp;F211)+1)/2</f>
        <v/>
      </c>
      <c r="M211" s="99">
        <f>COUNTIF($G$5:$G$979,"&lt;"&amp;G211)+(COUNTIF($G$5:$G$979,"="&amp;G211)+1)/2</f>
        <v/>
      </c>
      <c r="N211" s="99">
        <f>COUNTIF($H$5:$H$979,"&lt;"&amp;H211)+(COUNTIF($H$5:$H$979,"="&amp;H211)+1)/2</f>
        <v/>
      </c>
      <c r="O211" s="99">
        <f>COUNTIF($I$5:$I$979,"&lt;"&amp;I211)+(COUNTIF($I$5:$I$979,"="&amp;I211)+1)/2</f>
        <v/>
      </c>
      <c r="P211" s="99">
        <f>COUNTIF($J$5:$J$979,"&lt;"&amp;J211)+(COUNTIF($J$5:$J$979,"="&amp;J211)+1)/2</f>
        <v/>
      </c>
    </row>
    <row r="212" ht="15" customHeight="1" s="68">
      <c r="A212" s="70">
        <f>'01_원자료'!A209</f>
        <v/>
      </c>
      <c r="B212" s="70">
        <f>'01_원자료'!B209</f>
        <v/>
      </c>
      <c r="C212" s="70">
        <f>'01_원자료'!C209</f>
        <v/>
      </c>
      <c r="E212" s="85">
        <f>'01_원자료'!P209*'03_가중치민감도'!$B$5+'01_원자료'!Q209*'03_가중치민감도'!$C$5+'01_원자료'!R209*'03_가중치민감도'!$D$5</f>
        <v/>
      </c>
      <c r="F212" s="85">
        <f>'01_원자료'!P209*'03_가중치민감도'!$B$6+'01_원자료'!Q209*'03_가중치민감도'!$C$6+'01_원자료'!R209*'03_가중치민감도'!$D$6</f>
        <v/>
      </c>
      <c r="G212" s="85">
        <f>'01_원자료'!P209*'03_가중치민감도'!$B$7+'01_원자료'!Q209*'03_가중치민감도'!$C$7+'01_원자료'!R209*'03_가중치민감도'!$D$7</f>
        <v/>
      </c>
      <c r="H212" s="85">
        <f>'01_원자료'!P209*'03_가중치민감도'!$B$8+'01_원자료'!Q209*'03_가중치민감도'!$C$8+'01_원자료'!R209*'03_가중치민감도'!$D$8</f>
        <v/>
      </c>
      <c r="I212" s="85">
        <f>'01_원자료'!P209*'03_가중치민감도'!$B$9+'01_원자료'!Q209*'03_가중치민감도'!$C$9+'01_원자료'!R209*'03_가중치민감도'!$D$9</f>
        <v/>
      </c>
      <c r="J212" s="85">
        <f>'01_원자료'!P209*'03_가중치민감도'!$B$10+'01_원자료'!Q209*'03_가중치민감도'!$C$10+'01_원자료'!R209*'03_가중치민감도'!$D$10</f>
        <v/>
      </c>
      <c r="K212" s="99">
        <f>COUNTIF($E$5:$E$979,"&lt;"&amp;E212)+(COUNTIF($E$5:$E$979,"="&amp;E212)+1)/2</f>
        <v/>
      </c>
      <c r="L212" s="99">
        <f>COUNTIF($F$5:$F$979,"&lt;"&amp;F212)+(COUNTIF($F$5:$F$979,"="&amp;F212)+1)/2</f>
        <v/>
      </c>
      <c r="M212" s="99">
        <f>COUNTIF($G$5:$G$979,"&lt;"&amp;G212)+(COUNTIF($G$5:$G$979,"="&amp;G212)+1)/2</f>
        <v/>
      </c>
      <c r="N212" s="99">
        <f>COUNTIF($H$5:$H$979,"&lt;"&amp;H212)+(COUNTIF($H$5:$H$979,"="&amp;H212)+1)/2</f>
        <v/>
      </c>
      <c r="O212" s="99">
        <f>COUNTIF($I$5:$I$979,"&lt;"&amp;I212)+(COUNTIF($I$5:$I$979,"="&amp;I212)+1)/2</f>
        <v/>
      </c>
      <c r="P212" s="99">
        <f>COUNTIF($J$5:$J$979,"&lt;"&amp;J212)+(COUNTIF($J$5:$J$979,"="&amp;J212)+1)/2</f>
        <v/>
      </c>
    </row>
    <row r="213" ht="15" customHeight="1" s="68">
      <c r="A213" s="70">
        <f>'01_원자료'!A210</f>
        <v/>
      </c>
      <c r="B213" s="70">
        <f>'01_원자료'!B210</f>
        <v/>
      </c>
      <c r="C213" s="70">
        <f>'01_원자료'!C210</f>
        <v/>
      </c>
      <c r="E213" s="85">
        <f>'01_원자료'!P210*'03_가중치민감도'!$B$5+'01_원자료'!Q210*'03_가중치민감도'!$C$5+'01_원자료'!R210*'03_가중치민감도'!$D$5</f>
        <v/>
      </c>
      <c r="F213" s="85">
        <f>'01_원자료'!P210*'03_가중치민감도'!$B$6+'01_원자료'!Q210*'03_가중치민감도'!$C$6+'01_원자료'!R210*'03_가중치민감도'!$D$6</f>
        <v/>
      </c>
      <c r="G213" s="85">
        <f>'01_원자료'!P210*'03_가중치민감도'!$B$7+'01_원자료'!Q210*'03_가중치민감도'!$C$7+'01_원자료'!R210*'03_가중치민감도'!$D$7</f>
        <v/>
      </c>
      <c r="H213" s="85">
        <f>'01_원자료'!P210*'03_가중치민감도'!$B$8+'01_원자료'!Q210*'03_가중치민감도'!$C$8+'01_원자료'!R210*'03_가중치민감도'!$D$8</f>
        <v/>
      </c>
      <c r="I213" s="85">
        <f>'01_원자료'!P210*'03_가중치민감도'!$B$9+'01_원자료'!Q210*'03_가중치민감도'!$C$9+'01_원자료'!R210*'03_가중치민감도'!$D$9</f>
        <v/>
      </c>
      <c r="J213" s="85">
        <f>'01_원자료'!P210*'03_가중치민감도'!$B$10+'01_원자료'!Q210*'03_가중치민감도'!$C$10+'01_원자료'!R210*'03_가중치민감도'!$D$10</f>
        <v/>
      </c>
      <c r="K213" s="99">
        <f>COUNTIF($E$5:$E$979,"&lt;"&amp;E213)+(COUNTIF($E$5:$E$979,"="&amp;E213)+1)/2</f>
        <v/>
      </c>
      <c r="L213" s="99">
        <f>COUNTIF($F$5:$F$979,"&lt;"&amp;F213)+(COUNTIF($F$5:$F$979,"="&amp;F213)+1)/2</f>
        <v/>
      </c>
      <c r="M213" s="99">
        <f>COUNTIF($G$5:$G$979,"&lt;"&amp;G213)+(COUNTIF($G$5:$G$979,"="&amp;G213)+1)/2</f>
        <v/>
      </c>
      <c r="N213" s="99">
        <f>COUNTIF($H$5:$H$979,"&lt;"&amp;H213)+(COUNTIF($H$5:$H$979,"="&amp;H213)+1)/2</f>
        <v/>
      </c>
      <c r="O213" s="99">
        <f>COUNTIF($I$5:$I$979,"&lt;"&amp;I213)+(COUNTIF($I$5:$I$979,"="&amp;I213)+1)/2</f>
        <v/>
      </c>
      <c r="P213" s="99">
        <f>COUNTIF($J$5:$J$979,"&lt;"&amp;J213)+(COUNTIF($J$5:$J$979,"="&amp;J213)+1)/2</f>
        <v/>
      </c>
    </row>
    <row r="214" ht="15" customHeight="1" s="68">
      <c r="A214" s="70">
        <f>'01_원자료'!A211</f>
        <v/>
      </c>
      <c r="B214" s="70">
        <f>'01_원자료'!B211</f>
        <v/>
      </c>
      <c r="C214" s="70">
        <f>'01_원자료'!C211</f>
        <v/>
      </c>
      <c r="E214" s="85">
        <f>'01_원자료'!P211*'03_가중치민감도'!$B$5+'01_원자료'!Q211*'03_가중치민감도'!$C$5+'01_원자료'!R211*'03_가중치민감도'!$D$5</f>
        <v/>
      </c>
      <c r="F214" s="85">
        <f>'01_원자료'!P211*'03_가중치민감도'!$B$6+'01_원자료'!Q211*'03_가중치민감도'!$C$6+'01_원자료'!R211*'03_가중치민감도'!$D$6</f>
        <v/>
      </c>
      <c r="G214" s="85">
        <f>'01_원자료'!P211*'03_가중치민감도'!$B$7+'01_원자료'!Q211*'03_가중치민감도'!$C$7+'01_원자료'!R211*'03_가중치민감도'!$D$7</f>
        <v/>
      </c>
      <c r="H214" s="85">
        <f>'01_원자료'!P211*'03_가중치민감도'!$B$8+'01_원자료'!Q211*'03_가중치민감도'!$C$8+'01_원자료'!R211*'03_가중치민감도'!$D$8</f>
        <v/>
      </c>
      <c r="I214" s="85">
        <f>'01_원자료'!P211*'03_가중치민감도'!$B$9+'01_원자료'!Q211*'03_가중치민감도'!$C$9+'01_원자료'!R211*'03_가중치민감도'!$D$9</f>
        <v/>
      </c>
      <c r="J214" s="85">
        <f>'01_원자료'!P211*'03_가중치민감도'!$B$10+'01_원자료'!Q211*'03_가중치민감도'!$C$10+'01_원자료'!R211*'03_가중치민감도'!$D$10</f>
        <v/>
      </c>
      <c r="K214" s="99">
        <f>COUNTIF($E$5:$E$979,"&lt;"&amp;E214)+(COUNTIF($E$5:$E$979,"="&amp;E214)+1)/2</f>
        <v/>
      </c>
      <c r="L214" s="99">
        <f>COUNTIF($F$5:$F$979,"&lt;"&amp;F214)+(COUNTIF($F$5:$F$979,"="&amp;F214)+1)/2</f>
        <v/>
      </c>
      <c r="M214" s="99">
        <f>COUNTIF($G$5:$G$979,"&lt;"&amp;G214)+(COUNTIF($G$5:$G$979,"="&amp;G214)+1)/2</f>
        <v/>
      </c>
      <c r="N214" s="99">
        <f>COUNTIF($H$5:$H$979,"&lt;"&amp;H214)+(COUNTIF($H$5:$H$979,"="&amp;H214)+1)/2</f>
        <v/>
      </c>
      <c r="O214" s="99">
        <f>COUNTIF($I$5:$I$979,"&lt;"&amp;I214)+(COUNTIF($I$5:$I$979,"="&amp;I214)+1)/2</f>
        <v/>
      </c>
      <c r="P214" s="99">
        <f>COUNTIF($J$5:$J$979,"&lt;"&amp;J214)+(COUNTIF($J$5:$J$979,"="&amp;J214)+1)/2</f>
        <v/>
      </c>
    </row>
    <row r="215" ht="15" customHeight="1" s="68">
      <c r="A215" s="70">
        <f>'01_원자료'!A212</f>
        <v/>
      </c>
      <c r="B215" s="70">
        <f>'01_원자료'!B212</f>
        <v/>
      </c>
      <c r="C215" s="70">
        <f>'01_원자료'!C212</f>
        <v/>
      </c>
      <c r="E215" s="85">
        <f>'01_원자료'!P212*'03_가중치민감도'!$B$5+'01_원자료'!Q212*'03_가중치민감도'!$C$5+'01_원자료'!R212*'03_가중치민감도'!$D$5</f>
        <v/>
      </c>
      <c r="F215" s="85">
        <f>'01_원자료'!P212*'03_가중치민감도'!$B$6+'01_원자료'!Q212*'03_가중치민감도'!$C$6+'01_원자료'!R212*'03_가중치민감도'!$D$6</f>
        <v/>
      </c>
      <c r="G215" s="85">
        <f>'01_원자료'!P212*'03_가중치민감도'!$B$7+'01_원자료'!Q212*'03_가중치민감도'!$C$7+'01_원자료'!R212*'03_가중치민감도'!$D$7</f>
        <v/>
      </c>
      <c r="H215" s="85">
        <f>'01_원자료'!P212*'03_가중치민감도'!$B$8+'01_원자료'!Q212*'03_가중치민감도'!$C$8+'01_원자료'!R212*'03_가중치민감도'!$D$8</f>
        <v/>
      </c>
      <c r="I215" s="85">
        <f>'01_원자료'!P212*'03_가중치민감도'!$B$9+'01_원자료'!Q212*'03_가중치민감도'!$C$9+'01_원자료'!R212*'03_가중치민감도'!$D$9</f>
        <v/>
      </c>
      <c r="J215" s="85">
        <f>'01_원자료'!P212*'03_가중치민감도'!$B$10+'01_원자료'!Q212*'03_가중치민감도'!$C$10+'01_원자료'!R212*'03_가중치민감도'!$D$10</f>
        <v/>
      </c>
      <c r="K215" s="99">
        <f>COUNTIF($E$5:$E$979,"&lt;"&amp;E215)+(COUNTIF($E$5:$E$979,"="&amp;E215)+1)/2</f>
        <v/>
      </c>
      <c r="L215" s="99">
        <f>COUNTIF($F$5:$F$979,"&lt;"&amp;F215)+(COUNTIF($F$5:$F$979,"="&amp;F215)+1)/2</f>
        <v/>
      </c>
      <c r="M215" s="99">
        <f>COUNTIF($G$5:$G$979,"&lt;"&amp;G215)+(COUNTIF($G$5:$G$979,"="&amp;G215)+1)/2</f>
        <v/>
      </c>
      <c r="N215" s="99">
        <f>COUNTIF($H$5:$H$979,"&lt;"&amp;H215)+(COUNTIF($H$5:$H$979,"="&amp;H215)+1)/2</f>
        <v/>
      </c>
      <c r="O215" s="99">
        <f>COUNTIF($I$5:$I$979,"&lt;"&amp;I215)+(COUNTIF($I$5:$I$979,"="&amp;I215)+1)/2</f>
        <v/>
      </c>
      <c r="P215" s="99">
        <f>COUNTIF($J$5:$J$979,"&lt;"&amp;J215)+(COUNTIF($J$5:$J$979,"="&amp;J215)+1)/2</f>
        <v/>
      </c>
    </row>
    <row r="216" ht="15" customHeight="1" s="68">
      <c r="A216" s="70">
        <f>'01_원자료'!A213</f>
        <v/>
      </c>
      <c r="B216" s="70">
        <f>'01_원자료'!B213</f>
        <v/>
      </c>
      <c r="C216" s="70">
        <f>'01_원자료'!C213</f>
        <v/>
      </c>
      <c r="E216" s="85">
        <f>'01_원자료'!P213*'03_가중치민감도'!$B$5+'01_원자료'!Q213*'03_가중치민감도'!$C$5+'01_원자료'!R213*'03_가중치민감도'!$D$5</f>
        <v/>
      </c>
      <c r="F216" s="85">
        <f>'01_원자료'!P213*'03_가중치민감도'!$B$6+'01_원자료'!Q213*'03_가중치민감도'!$C$6+'01_원자료'!R213*'03_가중치민감도'!$D$6</f>
        <v/>
      </c>
      <c r="G216" s="85">
        <f>'01_원자료'!P213*'03_가중치민감도'!$B$7+'01_원자료'!Q213*'03_가중치민감도'!$C$7+'01_원자료'!R213*'03_가중치민감도'!$D$7</f>
        <v/>
      </c>
      <c r="H216" s="85">
        <f>'01_원자료'!P213*'03_가중치민감도'!$B$8+'01_원자료'!Q213*'03_가중치민감도'!$C$8+'01_원자료'!R213*'03_가중치민감도'!$D$8</f>
        <v/>
      </c>
      <c r="I216" s="85">
        <f>'01_원자료'!P213*'03_가중치민감도'!$B$9+'01_원자료'!Q213*'03_가중치민감도'!$C$9+'01_원자료'!R213*'03_가중치민감도'!$D$9</f>
        <v/>
      </c>
      <c r="J216" s="85">
        <f>'01_원자료'!P213*'03_가중치민감도'!$B$10+'01_원자료'!Q213*'03_가중치민감도'!$C$10+'01_원자료'!R213*'03_가중치민감도'!$D$10</f>
        <v/>
      </c>
      <c r="K216" s="99">
        <f>COUNTIF($E$5:$E$979,"&lt;"&amp;E216)+(COUNTIF($E$5:$E$979,"="&amp;E216)+1)/2</f>
        <v/>
      </c>
      <c r="L216" s="99">
        <f>COUNTIF($F$5:$F$979,"&lt;"&amp;F216)+(COUNTIF($F$5:$F$979,"="&amp;F216)+1)/2</f>
        <v/>
      </c>
      <c r="M216" s="99">
        <f>COUNTIF($G$5:$G$979,"&lt;"&amp;G216)+(COUNTIF($G$5:$G$979,"="&amp;G216)+1)/2</f>
        <v/>
      </c>
      <c r="N216" s="99">
        <f>COUNTIF($H$5:$H$979,"&lt;"&amp;H216)+(COUNTIF($H$5:$H$979,"="&amp;H216)+1)/2</f>
        <v/>
      </c>
      <c r="O216" s="99">
        <f>COUNTIF($I$5:$I$979,"&lt;"&amp;I216)+(COUNTIF($I$5:$I$979,"="&amp;I216)+1)/2</f>
        <v/>
      </c>
      <c r="P216" s="99">
        <f>COUNTIF($J$5:$J$979,"&lt;"&amp;J216)+(COUNTIF($J$5:$J$979,"="&amp;J216)+1)/2</f>
        <v/>
      </c>
    </row>
    <row r="217" ht="15" customHeight="1" s="68">
      <c r="A217" s="70">
        <f>'01_원자료'!A214</f>
        <v/>
      </c>
      <c r="B217" s="70">
        <f>'01_원자료'!B214</f>
        <v/>
      </c>
      <c r="C217" s="70">
        <f>'01_원자료'!C214</f>
        <v/>
      </c>
      <c r="E217" s="85">
        <f>'01_원자료'!P214*'03_가중치민감도'!$B$5+'01_원자료'!Q214*'03_가중치민감도'!$C$5+'01_원자료'!R214*'03_가중치민감도'!$D$5</f>
        <v/>
      </c>
      <c r="F217" s="85">
        <f>'01_원자료'!P214*'03_가중치민감도'!$B$6+'01_원자료'!Q214*'03_가중치민감도'!$C$6+'01_원자료'!R214*'03_가중치민감도'!$D$6</f>
        <v/>
      </c>
      <c r="G217" s="85">
        <f>'01_원자료'!P214*'03_가중치민감도'!$B$7+'01_원자료'!Q214*'03_가중치민감도'!$C$7+'01_원자료'!R214*'03_가중치민감도'!$D$7</f>
        <v/>
      </c>
      <c r="H217" s="85">
        <f>'01_원자료'!P214*'03_가중치민감도'!$B$8+'01_원자료'!Q214*'03_가중치민감도'!$C$8+'01_원자료'!R214*'03_가중치민감도'!$D$8</f>
        <v/>
      </c>
      <c r="I217" s="85">
        <f>'01_원자료'!P214*'03_가중치민감도'!$B$9+'01_원자료'!Q214*'03_가중치민감도'!$C$9+'01_원자료'!R214*'03_가중치민감도'!$D$9</f>
        <v/>
      </c>
      <c r="J217" s="85">
        <f>'01_원자료'!P214*'03_가중치민감도'!$B$10+'01_원자료'!Q214*'03_가중치민감도'!$C$10+'01_원자료'!R214*'03_가중치민감도'!$D$10</f>
        <v/>
      </c>
      <c r="K217" s="99">
        <f>COUNTIF($E$5:$E$979,"&lt;"&amp;E217)+(COUNTIF($E$5:$E$979,"="&amp;E217)+1)/2</f>
        <v/>
      </c>
      <c r="L217" s="99">
        <f>COUNTIF($F$5:$F$979,"&lt;"&amp;F217)+(COUNTIF($F$5:$F$979,"="&amp;F217)+1)/2</f>
        <v/>
      </c>
      <c r="M217" s="99">
        <f>COUNTIF($G$5:$G$979,"&lt;"&amp;G217)+(COUNTIF($G$5:$G$979,"="&amp;G217)+1)/2</f>
        <v/>
      </c>
      <c r="N217" s="99">
        <f>COUNTIF($H$5:$H$979,"&lt;"&amp;H217)+(COUNTIF($H$5:$H$979,"="&amp;H217)+1)/2</f>
        <v/>
      </c>
      <c r="O217" s="99">
        <f>COUNTIF($I$5:$I$979,"&lt;"&amp;I217)+(COUNTIF($I$5:$I$979,"="&amp;I217)+1)/2</f>
        <v/>
      </c>
      <c r="P217" s="99">
        <f>COUNTIF($J$5:$J$979,"&lt;"&amp;J217)+(COUNTIF($J$5:$J$979,"="&amp;J217)+1)/2</f>
        <v/>
      </c>
    </row>
    <row r="218" ht="15" customHeight="1" s="68">
      <c r="A218" s="70">
        <f>'01_원자료'!A215</f>
        <v/>
      </c>
      <c r="B218" s="70">
        <f>'01_원자료'!B215</f>
        <v/>
      </c>
      <c r="C218" s="70">
        <f>'01_원자료'!C215</f>
        <v/>
      </c>
      <c r="E218" s="85">
        <f>'01_원자료'!P215*'03_가중치민감도'!$B$5+'01_원자료'!Q215*'03_가중치민감도'!$C$5+'01_원자료'!R215*'03_가중치민감도'!$D$5</f>
        <v/>
      </c>
      <c r="F218" s="85">
        <f>'01_원자료'!P215*'03_가중치민감도'!$B$6+'01_원자료'!Q215*'03_가중치민감도'!$C$6+'01_원자료'!R215*'03_가중치민감도'!$D$6</f>
        <v/>
      </c>
      <c r="G218" s="85">
        <f>'01_원자료'!P215*'03_가중치민감도'!$B$7+'01_원자료'!Q215*'03_가중치민감도'!$C$7+'01_원자료'!R215*'03_가중치민감도'!$D$7</f>
        <v/>
      </c>
      <c r="H218" s="85">
        <f>'01_원자료'!P215*'03_가중치민감도'!$B$8+'01_원자료'!Q215*'03_가중치민감도'!$C$8+'01_원자료'!R215*'03_가중치민감도'!$D$8</f>
        <v/>
      </c>
      <c r="I218" s="85">
        <f>'01_원자료'!P215*'03_가중치민감도'!$B$9+'01_원자료'!Q215*'03_가중치민감도'!$C$9+'01_원자료'!R215*'03_가중치민감도'!$D$9</f>
        <v/>
      </c>
      <c r="J218" s="85">
        <f>'01_원자료'!P215*'03_가중치민감도'!$B$10+'01_원자료'!Q215*'03_가중치민감도'!$C$10+'01_원자료'!R215*'03_가중치민감도'!$D$10</f>
        <v/>
      </c>
      <c r="K218" s="99">
        <f>COUNTIF($E$5:$E$979,"&lt;"&amp;E218)+(COUNTIF($E$5:$E$979,"="&amp;E218)+1)/2</f>
        <v/>
      </c>
      <c r="L218" s="99">
        <f>COUNTIF($F$5:$F$979,"&lt;"&amp;F218)+(COUNTIF($F$5:$F$979,"="&amp;F218)+1)/2</f>
        <v/>
      </c>
      <c r="M218" s="99">
        <f>COUNTIF($G$5:$G$979,"&lt;"&amp;G218)+(COUNTIF($G$5:$G$979,"="&amp;G218)+1)/2</f>
        <v/>
      </c>
      <c r="N218" s="99">
        <f>COUNTIF($H$5:$H$979,"&lt;"&amp;H218)+(COUNTIF($H$5:$H$979,"="&amp;H218)+1)/2</f>
        <v/>
      </c>
      <c r="O218" s="99">
        <f>COUNTIF($I$5:$I$979,"&lt;"&amp;I218)+(COUNTIF($I$5:$I$979,"="&amp;I218)+1)/2</f>
        <v/>
      </c>
      <c r="P218" s="99">
        <f>COUNTIF($J$5:$J$979,"&lt;"&amp;J218)+(COUNTIF($J$5:$J$979,"="&amp;J218)+1)/2</f>
        <v/>
      </c>
    </row>
    <row r="219" ht="15" customHeight="1" s="68">
      <c r="A219" s="70">
        <f>'01_원자료'!A216</f>
        <v/>
      </c>
      <c r="B219" s="70">
        <f>'01_원자료'!B216</f>
        <v/>
      </c>
      <c r="C219" s="70">
        <f>'01_원자료'!C216</f>
        <v/>
      </c>
      <c r="E219" s="85">
        <f>'01_원자료'!P216*'03_가중치민감도'!$B$5+'01_원자료'!Q216*'03_가중치민감도'!$C$5+'01_원자료'!R216*'03_가중치민감도'!$D$5</f>
        <v/>
      </c>
      <c r="F219" s="85">
        <f>'01_원자료'!P216*'03_가중치민감도'!$B$6+'01_원자료'!Q216*'03_가중치민감도'!$C$6+'01_원자료'!R216*'03_가중치민감도'!$D$6</f>
        <v/>
      </c>
      <c r="G219" s="85">
        <f>'01_원자료'!P216*'03_가중치민감도'!$B$7+'01_원자료'!Q216*'03_가중치민감도'!$C$7+'01_원자료'!R216*'03_가중치민감도'!$D$7</f>
        <v/>
      </c>
      <c r="H219" s="85">
        <f>'01_원자료'!P216*'03_가중치민감도'!$B$8+'01_원자료'!Q216*'03_가중치민감도'!$C$8+'01_원자료'!R216*'03_가중치민감도'!$D$8</f>
        <v/>
      </c>
      <c r="I219" s="85">
        <f>'01_원자료'!P216*'03_가중치민감도'!$B$9+'01_원자료'!Q216*'03_가중치민감도'!$C$9+'01_원자료'!R216*'03_가중치민감도'!$D$9</f>
        <v/>
      </c>
      <c r="J219" s="85">
        <f>'01_원자료'!P216*'03_가중치민감도'!$B$10+'01_원자료'!Q216*'03_가중치민감도'!$C$10+'01_원자료'!R216*'03_가중치민감도'!$D$10</f>
        <v/>
      </c>
      <c r="K219" s="99">
        <f>COUNTIF($E$5:$E$979,"&lt;"&amp;E219)+(COUNTIF($E$5:$E$979,"="&amp;E219)+1)/2</f>
        <v/>
      </c>
      <c r="L219" s="99">
        <f>COUNTIF($F$5:$F$979,"&lt;"&amp;F219)+(COUNTIF($F$5:$F$979,"="&amp;F219)+1)/2</f>
        <v/>
      </c>
      <c r="M219" s="99">
        <f>COUNTIF($G$5:$G$979,"&lt;"&amp;G219)+(COUNTIF($G$5:$G$979,"="&amp;G219)+1)/2</f>
        <v/>
      </c>
      <c r="N219" s="99">
        <f>COUNTIF($H$5:$H$979,"&lt;"&amp;H219)+(COUNTIF($H$5:$H$979,"="&amp;H219)+1)/2</f>
        <v/>
      </c>
      <c r="O219" s="99">
        <f>COUNTIF($I$5:$I$979,"&lt;"&amp;I219)+(COUNTIF($I$5:$I$979,"="&amp;I219)+1)/2</f>
        <v/>
      </c>
      <c r="P219" s="99">
        <f>COUNTIF($J$5:$J$979,"&lt;"&amp;J219)+(COUNTIF($J$5:$J$979,"="&amp;J219)+1)/2</f>
        <v/>
      </c>
    </row>
    <row r="220" ht="15" customHeight="1" s="68">
      <c r="A220" s="70">
        <f>'01_원자료'!A217</f>
        <v/>
      </c>
      <c r="B220" s="70">
        <f>'01_원자료'!B217</f>
        <v/>
      </c>
      <c r="C220" s="70">
        <f>'01_원자료'!C217</f>
        <v/>
      </c>
      <c r="E220" s="85">
        <f>'01_원자료'!P217*'03_가중치민감도'!$B$5+'01_원자료'!Q217*'03_가중치민감도'!$C$5+'01_원자료'!R217*'03_가중치민감도'!$D$5</f>
        <v/>
      </c>
      <c r="F220" s="85">
        <f>'01_원자료'!P217*'03_가중치민감도'!$B$6+'01_원자료'!Q217*'03_가중치민감도'!$C$6+'01_원자료'!R217*'03_가중치민감도'!$D$6</f>
        <v/>
      </c>
      <c r="G220" s="85">
        <f>'01_원자료'!P217*'03_가중치민감도'!$B$7+'01_원자료'!Q217*'03_가중치민감도'!$C$7+'01_원자료'!R217*'03_가중치민감도'!$D$7</f>
        <v/>
      </c>
      <c r="H220" s="85">
        <f>'01_원자료'!P217*'03_가중치민감도'!$B$8+'01_원자료'!Q217*'03_가중치민감도'!$C$8+'01_원자료'!R217*'03_가중치민감도'!$D$8</f>
        <v/>
      </c>
      <c r="I220" s="85">
        <f>'01_원자료'!P217*'03_가중치민감도'!$B$9+'01_원자료'!Q217*'03_가중치민감도'!$C$9+'01_원자료'!R217*'03_가중치민감도'!$D$9</f>
        <v/>
      </c>
      <c r="J220" s="85">
        <f>'01_원자료'!P217*'03_가중치민감도'!$B$10+'01_원자료'!Q217*'03_가중치민감도'!$C$10+'01_원자료'!R217*'03_가중치민감도'!$D$10</f>
        <v/>
      </c>
      <c r="K220" s="99">
        <f>COUNTIF($E$5:$E$979,"&lt;"&amp;E220)+(COUNTIF($E$5:$E$979,"="&amp;E220)+1)/2</f>
        <v/>
      </c>
      <c r="L220" s="99">
        <f>COUNTIF($F$5:$F$979,"&lt;"&amp;F220)+(COUNTIF($F$5:$F$979,"="&amp;F220)+1)/2</f>
        <v/>
      </c>
      <c r="M220" s="99">
        <f>COUNTIF($G$5:$G$979,"&lt;"&amp;G220)+(COUNTIF($G$5:$G$979,"="&amp;G220)+1)/2</f>
        <v/>
      </c>
      <c r="N220" s="99">
        <f>COUNTIF($H$5:$H$979,"&lt;"&amp;H220)+(COUNTIF($H$5:$H$979,"="&amp;H220)+1)/2</f>
        <v/>
      </c>
      <c r="O220" s="99">
        <f>COUNTIF($I$5:$I$979,"&lt;"&amp;I220)+(COUNTIF($I$5:$I$979,"="&amp;I220)+1)/2</f>
        <v/>
      </c>
      <c r="P220" s="99">
        <f>COUNTIF($J$5:$J$979,"&lt;"&amp;J220)+(COUNTIF($J$5:$J$979,"="&amp;J220)+1)/2</f>
        <v/>
      </c>
    </row>
    <row r="221" ht="15" customHeight="1" s="68">
      <c r="A221" s="70">
        <f>'01_원자료'!A218</f>
        <v/>
      </c>
      <c r="B221" s="70">
        <f>'01_원자료'!B218</f>
        <v/>
      </c>
      <c r="C221" s="70">
        <f>'01_원자료'!C218</f>
        <v/>
      </c>
      <c r="E221" s="85">
        <f>'01_원자료'!P218*'03_가중치민감도'!$B$5+'01_원자료'!Q218*'03_가중치민감도'!$C$5+'01_원자료'!R218*'03_가중치민감도'!$D$5</f>
        <v/>
      </c>
      <c r="F221" s="85">
        <f>'01_원자료'!P218*'03_가중치민감도'!$B$6+'01_원자료'!Q218*'03_가중치민감도'!$C$6+'01_원자료'!R218*'03_가중치민감도'!$D$6</f>
        <v/>
      </c>
      <c r="G221" s="85">
        <f>'01_원자료'!P218*'03_가중치민감도'!$B$7+'01_원자료'!Q218*'03_가중치민감도'!$C$7+'01_원자료'!R218*'03_가중치민감도'!$D$7</f>
        <v/>
      </c>
      <c r="H221" s="85">
        <f>'01_원자료'!P218*'03_가중치민감도'!$B$8+'01_원자료'!Q218*'03_가중치민감도'!$C$8+'01_원자료'!R218*'03_가중치민감도'!$D$8</f>
        <v/>
      </c>
      <c r="I221" s="85">
        <f>'01_원자료'!P218*'03_가중치민감도'!$B$9+'01_원자료'!Q218*'03_가중치민감도'!$C$9+'01_원자료'!R218*'03_가중치민감도'!$D$9</f>
        <v/>
      </c>
      <c r="J221" s="85">
        <f>'01_원자료'!P218*'03_가중치민감도'!$B$10+'01_원자료'!Q218*'03_가중치민감도'!$C$10+'01_원자료'!R218*'03_가중치민감도'!$D$10</f>
        <v/>
      </c>
      <c r="K221" s="99">
        <f>COUNTIF($E$5:$E$979,"&lt;"&amp;E221)+(COUNTIF($E$5:$E$979,"="&amp;E221)+1)/2</f>
        <v/>
      </c>
      <c r="L221" s="99">
        <f>COUNTIF($F$5:$F$979,"&lt;"&amp;F221)+(COUNTIF($F$5:$F$979,"="&amp;F221)+1)/2</f>
        <v/>
      </c>
      <c r="M221" s="99">
        <f>COUNTIF($G$5:$G$979,"&lt;"&amp;G221)+(COUNTIF($G$5:$G$979,"="&amp;G221)+1)/2</f>
        <v/>
      </c>
      <c r="N221" s="99">
        <f>COUNTIF($H$5:$H$979,"&lt;"&amp;H221)+(COUNTIF($H$5:$H$979,"="&amp;H221)+1)/2</f>
        <v/>
      </c>
      <c r="O221" s="99">
        <f>COUNTIF($I$5:$I$979,"&lt;"&amp;I221)+(COUNTIF($I$5:$I$979,"="&amp;I221)+1)/2</f>
        <v/>
      </c>
      <c r="P221" s="99">
        <f>COUNTIF($J$5:$J$979,"&lt;"&amp;J221)+(COUNTIF($J$5:$J$979,"="&amp;J221)+1)/2</f>
        <v/>
      </c>
    </row>
    <row r="222" ht="15" customHeight="1" s="68">
      <c r="A222" s="70">
        <f>'01_원자료'!A219</f>
        <v/>
      </c>
      <c r="B222" s="70">
        <f>'01_원자료'!B219</f>
        <v/>
      </c>
      <c r="C222" s="70">
        <f>'01_원자료'!C219</f>
        <v/>
      </c>
      <c r="E222" s="85">
        <f>'01_원자료'!P219*'03_가중치민감도'!$B$5+'01_원자료'!Q219*'03_가중치민감도'!$C$5+'01_원자료'!R219*'03_가중치민감도'!$D$5</f>
        <v/>
      </c>
      <c r="F222" s="85">
        <f>'01_원자료'!P219*'03_가중치민감도'!$B$6+'01_원자료'!Q219*'03_가중치민감도'!$C$6+'01_원자료'!R219*'03_가중치민감도'!$D$6</f>
        <v/>
      </c>
      <c r="G222" s="85">
        <f>'01_원자료'!P219*'03_가중치민감도'!$B$7+'01_원자료'!Q219*'03_가중치민감도'!$C$7+'01_원자료'!R219*'03_가중치민감도'!$D$7</f>
        <v/>
      </c>
      <c r="H222" s="85">
        <f>'01_원자료'!P219*'03_가중치민감도'!$B$8+'01_원자료'!Q219*'03_가중치민감도'!$C$8+'01_원자료'!R219*'03_가중치민감도'!$D$8</f>
        <v/>
      </c>
      <c r="I222" s="85">
        <f>'01_원자료'!P219*'03_가중치민감도'!$B$9+'01_원자료'!Q219*'03_가중치민감도'!$C$9+'01_원자료'!R219*'03_가중치민감도'!$D$9</f>
        <v/>
      </c>
      <c r="J222" s="85">
        <f>'01_원자료'!P219*'03_가중치민감도'!$B$10+'01_원자료'!Q219*'03_가중치민감도'!$C$10+'01_원자료'!R219*'03_가중치민감도'!$D$10</f>
        <v/>
      </c>
      <c r="K222" s="99">
        <f>COUNTIF($E$5:$E$979,"&lt;"&amp;E222)+(COUNTIF($E$5:$E$979,"="&amp;E222)+1)/2</f>
        <v/>
      </c>
      <c r="L222" s="99">
        <f>COUNTIF($F$5:$F$979,"&lt;"&amp;F222)+(COUNTIF($F$5:$F$979,"="&amp;F222)+1)/2</f>
        <v/>
      </c>
      <c r="M222" s="99">
        <f>COUNTIF($G$5:$G$979,"&lt;"&amp;G222)+(COUNTIF($G$5:$G$979,"="&amp;G222)+1)/2</f>
        <v/>
      </c>
      <c r="N222" s="99">
        <f>COUNTIF($H$5:$H$979,"&lt;"&amp;H222)+(COUNTIF($H$5:$H$979,"="&amp;H222)+1)/2</f>
        <v/>
      </c>
      <c r="O222" s="99">
        <f>COUNTIF($I$5:$I$979,"&lt;"&amp;I222)+(COUNTIF($I$5:$I$979,"="&amp;I222)+1)/2</f>
        <v/>
      </c>
      <c r="P222" s="99">
        <f>COUNTIF($J$5:$J$979,"&lt;"&amp;J222)+(COUNTIF($J$5:$J$979,"="&amp;J222)+1)/2</f>
        <v/>
      </c>
    </row>
    <row r="223" ht="15" customHeight="1" s="68">
      <c r="A223" s="70">
        <f>'01_원자료'!A220</f>
        <v/>
      </c>
      <c r="B223" s="70">
        <f>'01_원자료'!B220</f>
        <v/>
      </c>
      <c r="C223" s="70">
        <f>'01_원자료'!C220</f>
        <v/>
      </c>
      <c r="E223" s="85">
        <f>'01_원자료'!P220*'03_가중치민감도'!$B$5+'01_원자료'!Q220*'03_가중치민감도'!$C$5+'01_원자료'!R220*'03_가중치민감도'!$D$5</f>
        <v/>
      </c>
      <c r="F223" s="85">
        <f>'01_원자료'!P220*'03_가중치민감도'!$B$6+'01_원자료'!Q220*'03_가중치민감도'!$C$6+'01_원자료'!R220*'03_가중치민감도'!$D$6</f>
        <v/>
      </c>
      <c r="G223" s="85">
        <f>'01_원자료'!P220*'03_가중치민감도'!$B$7+'01_원자료'!Q220*'03_가중치민감도'!$C$7+'01_원자료'!R220*'03_가중치민감도'!$D$7</f>
        <v/>
      </c>
      <c r="H223" s="85">
        <f>'01_원자료'!P220*'03_가중치민감도'!$B$8+'01_원자료'!Q220*'03_가중치민감도'!$C$8+'01_원자료'!R220*'03_가중치민감도'!$D$8</f>
        <v/>
      </c>
      <c r="I223" s="85">
        <f>'01_원자료'!P220*'03_가중치민감도'!$B$9+'01_원자료'!Q220*'03_가중치민감도'!$C$9+'01_원자료'!R220*'03_가중치민감도'!$D$9</f>
        <v/>
      </c>
      <c r="J223" s="85">
        <f>'01_원자료'!P220*'03_가중치민감도'!$B$10+'01_원자료'!Q220*'03_가중치민감도'!$C$10+'01_원자료'!R220*'03_가중치민감도'!$D$10</f>
        <v/>
      </c>
      <c r="K223" s="99">
        <f>COUNTIF($E$5:$E$979,"&lt;"&amp;E223)+(COUNTIF($E$5:$E$979,"="&amp;E223)+1)/2</f>
        <v/>
      </c>
      <c r="L223" s="99">
        <f>COUNTIF($F$5:$F$979,"&lt;"&amp;F223)+(COUNTIF($F$5:$F$979,"="&amp;F223)+1)/2</f>
        <v/>
      </c>
      <c r="M223" s="99">
        <f>COUNTIF($G$5:$G$979,"&lt;"&amp;G223)+(COUNTIF($G$5:$G$979,"="&amp;G223)+1)/2</f>
        <v/>
      </c>
      <c r="N223" s="99">
        <f>COUNTIF($H$5:$H$979,"&lt;"&amp;H223)+(COUNTIF($H$5:$H$979,"="&amp;H223)+1)/2</f>
        <v/>
      </c>
      <c r="O223" s="99">
        <f>COUNTIF($I$5:$I$979,"&lt;"&amp;I223)+(COUNTIF($I$5:$I$979,"="&amp;I223)+1)/2</f>
        <v/>
      </c>
      <c r="P223" s="99">
        <f>COUNTIF($J$5:$J$979,"&lt;"&amp;J223)+(COUNTIF($J$5:$J$979,"="&amp;J223)+1)/2</f>
        <v/>
      </c>
    </row>
    <row r="224" ht="15" customHeight="1" s="68">
      <c r="A224" s="70">
        <f>'01_원자료'!A221</f>
        <v/>
      </c>
      <c r="B224" s="70">
        <f>'01_원자료'!B221</f>
        <v/>
      </c>
      <c r="C224" s="70">
        <f>'01_원자료'!C221</f>
        <v/>
      </c>
      <c r="E224" s="85">
        <f>'01_원자료'!P221*'03_가중치민감도'!$B$5+'01_원자료'!Q221*'03_가중치민감도'!$C$5+'01_원자료'!R221*'03_가중치민감도'!$D$5</f>
        <v/>
      </c>
      <c r="F224" s="85">
        <f>'01_원자료'!P221*'03_가중치민감도'!$B$6+'01_원자료'!Q221*'03_가중치민감도'!$C$6+'01_원자료'!R221*'03_가중치민감도'!$D$6</f>
        <v/>
      </c>
      <c r="G224" s="85">
        <f>'01_원자료'!P221*'03_가중치민감도'!$B$7+'01_원자료'!Q221*'03_가중치민감도'!$C$7+'01_원자료'!R221*'03_가중치민감도'!$D$7</f>
        <v/>
      </c>
      <c r="H224" s="85">
        <f>'01_원자료'!P221*'03_가중치민감도'!$B$8+'01_원자료'!Q221*'03_가중치민감도'!$C$8+'01_원자료'!R221*'03_가중치민감도'!$D$8</f>
        <v/>
      </c>
      <c r="I224" s="85">
        <f>'01_원자료'!P221*'03_가중치민감도'!$B$9+'01_원자료'!Q221*'03_가중치민감도'!$C$9+'01_원자료'!R221*'03_가중치민감도'!$D$9</f>
        <v/>
      </c>
      <c r="J224" s="85">
        <f>'01_원자료'!P221*'03_가중치민감도'!$B$10+'01_원자료'!Q221*'03_가중치민감도'!$C$10+'01_원자료'!R221*'03_가중치민감도'!$D$10</f>
        <v/>
      </c>
      <c r="K224" s="99">
        <f>COUNTIF($E$5:$E$979,"&lt;"&amp;E224)+(COUNTIF($E$5:$E$979,"="&amp;E224)+1)/2</f>
        <v/>
      </c>
      <c r="L224" s="99">
        <f>COUNTIF($F$5:$F$979,"&lt;"&amp;F224)+(COUNTIF($F$5:$F$979,"="&amp;F224)+1)/2</f>
        <v/>
      </c>
      <c r="M224" s="99">
        <f>COUNTIF($G$5:$G$979,"&lt;"&amp;G224)+(COUNTIF($G$5:$G$979,"="&amp;G224)+1)/2</f>
        <v/>
      </c>
      <c r="N224" s="99">
        <f>COUNTIF($H$5:$H$979,"&lt;"&amp;H224)+(COUNTIF($H$5:$H$979,"="&amp;H224)+1)/2</f>
        <v/>
      </c>
      <c r="O224" s="99">
        <f>COUNTIF($I$5:$I$979,"&lt;"&amp;I224)+(COUNTIF($I$5:$I$979,"="&amp;I224)+1)/2</f>
        <v/>
      </c>
      <c r="P224" s="99">
        <f>COUNTIF($J$5:$J$979,"&lt;"&amp;J224)+(COUNTIF($J$5:$J$979,"="&amp;J224)+1)/2</f>
        <v/>
      </c>
    </row>
    <row r="225" ht="15" customHeight="1" s="68">
      <c r="A225" s="70">
        <f>'01_원자료'!A222</f>
        <v/>
      </c>
      <c r="B225" s="70">
        <f>'01_원자료'!B222</f>
        <v/>
      </c>
      <c r="C225" s="70">
        <f>'01_원자료'!C222</f>
        <v/>
      </c>
      <c r="E225" s="85">
        <f>'01_원자료'!P222*'03_가중치민감도'!$B$5+'01_원자료'!Q222*'03_가중치민감도'!$C$5+'01_원자료'!R222*'03_가중치민감도'!$D$5</f>
        <v/>
      </c>
      <c r="F225" s="85">
        <f>'01_원자료'!P222*'03_가중치민감도'!$B$6+'01_원자료'!Q222*'03_가중치민감도'!$C$6+'01_원자료'!R222*'03_가중치민감도'!$D$6</f>
        <v/>
      </c>
      <c r="G225" s="85">
        <f>'01_원자료'!P222*'03_가중치민감도'!$B$7+'01_원자료'!Q222*'03_가중치민감도'!$C$7+'01_원자료'!R222*'03_가중치민감도'!$D$7</f>
        <v/>
      </c>
      <c r="H225" s="85">
        <f>'01_원자료'!P222*'03_가중치민감도'!$B$8+'01_원자료'!Q222*'03_가중치민감도'!$C$8+'01_원자료'!R222*'03_가중치민감도'!$D$8</f>
        <v/>
      </c>
      <c r="I225" s="85">
        <f>'01_원자료'!P222*'03_가중치민감도'!$B$9+'01_원자료'!Q222*'03_가중치민감도'!$C$9+'01_원자료'!R222*'03_가중치민감도'!$D$9</f>
        <v/>
      </c>
      <c r="J225" s="85">
        <f>'01_원자료'!P222*'03_가중치민감도'!$B$10+'01_원자료'!Q222*'03_가중치민감도'!$C$10+'01_원자료'!R222*'03_가중치민감도'!$D$10</f>
        <v/>
      </c>
      <c r="K225" s="99">
        <f>COUNTIF($E$5:$E$979,"&lt;"&amp;E225)+(COUNTIF($E$5:$E$979,"="&amp;E225)+1)/2</f>
        <v/>
      </c>
      <c r="L225" s="99">
        <f>COUNTIF($F$5:$F$979,"&lt;"&amp;F225)+(COUNTIF($F$5:$F$979,"="&amp;F225)+1)/2</f>
        <v/>
      </c>
      <c r="M225" s="99">
        <f>COUNTIF($G$5:$G$979,"&lt;"&amp;G225)+(COUNTIF($G$5:$G$979,"="&amp;G225)+1)/2</f>
        <v/>
      </c>
      <c r="N225" s="99">
        <f>COUNTIF($H$5:$H$979,"&lt;"&amp;H225)+(COUNTIF($H$5:$H$979,"="&amp;H225)+1)/2</f>
        <v/>
      </c>
      <c r="O225" s="99">
        <f>COUNTIF($I$5:$I$979,"&lt;"&amp;I225)+(COUNTIF($I$5:$I$979,"="&amp;I225)+1)/2</f>
        <v/>
      </c>
      <c r="P225" s="99">
        <f>COUNTIF($J$5:$J$979,"&lt;"&amp;J225)+(COUNTIF($J$5:$J$979,"="&amp;J225)+1)/2</f>
        <v/>
      </c>
    </row>
    <row r="226" ht="15" customHeight="1" s="68">
      <c r="A226" s="70">
        <f>'01_원자료'!A223</f>
        <v/>
      </c>
      <c r="B226" s="70">
        <f>'01_원자료'!B223</f>
        <v/>
      </c>
      <c r="C226" s="70">
        <f>'01_원자료'!C223</f>
        <v/>
      </c>
      <c r="E226" s="85">
        <f>'01_원자료'!P223*'03_가중치민감도'!$B$5+'01_원자료'!Q223*'03_가중치민감도'!$C$5+'01_원자료'!R223*'03_가중치민감도'!$D$5</f>
        <v/>
      </c>
      <c r="F226" s="85">
        <f>'01_원자료'!P223*'03_가중치민감도'!$B$6+'01_원자료'!Q223*'03_가중치민감도'!$C$6+'01_원자료'!R223*'03_가중치민감도'!$D$6</f>
        <v/>
      </c>
      <c r="G226" s="85">
        <f>'01_원자료'!P223*'03_가중치민감도'!$B$7+'01_원자료'!Q223*'03_가중치민감도'!$C$7+'01_원자료'!R223*'03_가중치민감도'!$D$7</f>
        <v/>
      </c>
      <c r="H226" s="85">
        <f>'01_원자료'!P223*'03_가중치민감도'!$B$8+'01_원자료'!Q223*'03_가중치민감도'!$C$8+'01_원자료'!R223*'03_가중치민감도'!$D$8</f>
        <v/>
      </c>
      <c r="I226" s="85">
        <f>'01_원자료'!P223*'03_가중치민감도'!$B$9+'01_원자료'!Q223*'03_가중치민감도'!$C$9+'01_원자료'!R223*'03_가중치민감도'!$D$9</f>
        <v/>
      </c>
      <c r="J226" s="85">
        <f>'01_원자료'!P223*'03_가중치민감도'!$B$10+'01_원자료'!Q223*'03_가중치민감도'!$C$10+'01_원자료'!R223*'03_가중치민감도'!$D$10</f>
        <v/>
      </c>
      <c r="K226" s="99">
        <f>COUNTIF($E$5:$E$979,"&lt;"&amp;E226)+(COUNTIF($E$5:$E$979,"="&amp;E226)+1)/2</f>
        <v/>
      </c>
      <c r="L226" s="99">
        <f>COUNTIF($F$5:$F$979,"&lt;"&amp;F226)+(COUNTIF($F$5:$F$979,"="&amp;F226)+1)/2</f>
        <v/>
      </c>
      <c r="M226" s="99">
        <f>COUNTIF($G$5:$G$979,"&lt;"&amp;G226)+(COUNTIF($G$5:$G$979,"="&amp;G226)+1)/2</f>
        <v/>
      </c>
      <c r="N226" s="99">
        <f>COUNTIF($H$5:$H$979,"&lt;"&amp;H226)+(COUNTIF($H$5:$H$979,"="&amp;H226)+1)/2</f>
        <v/>
      </c>
      <c r="O226" s="99">
        <f>COUNTIF($I$5:$I$979,"&lt;"&amp;I226)+(COUNTIF($I$5:$I$979,"="&amp;I226)+1)/2</f>
        <v/>
      </c>
      <c r="P226" s="99">
        <f>COUNTIF($J$5:$J$979,"&lt;"&amp;J226)+(COUNTIF($J$5:$J$979,"="&amp;J226)+1)/2</f>
        <v/>
      </c>
    </row>
    <row r="227" ht="15" customHeight="1" s="68">
      <c r="A227" s="70">
        <f>'01_원자료'!A224</f>
        <v/>
      </c>
      <c r="B227" s="70">
        <f>'01_원자료'!B224</f>
        <v/>
      </c>
      <c r="C227" s="70">
        <f>'01_원자료'!C224</f>
        <v/>
      </c>
      <c r="E227" s="85">
        <f>'01_원자료'!P224*'03_가중치민감도'!$B$5+'01_원자료'!Q224*'03_가중치민감도'!$C$5+'01_원자료'!R224*'03_가중치민감도'!$D$5</f>
        <v/>
      </c>
      <c r="F227" s="85">
        <f>'01_원자료'!P224*'03_가중치민감도'!$B$6+'01_원자료'!Q224*'03_가중치민감도'!$C$6+'01_원자료'!R224*'03_가중치민감도'!$D$6</f>
        <v/>
      </c>
      <c r="G227" s="85">
        <f>'01_원자료'!P224*'03_가중치민감도'!$B$7+'01_원자료'!Q224*'03_가중치민감도'!$C$7+'01_원자료'!R224*'03_가중치민감도'!$D$7</f>
        <v/>
      </c>
      <c r="H227" s="85">
        <f>'01_원자료'!P224*'03_가중치민감도'!$B$8+'01_원자료'!Q224*'03_가중치민감도'!$C$8+'01_원자료'!R224*'03_가중치민감도'!$D$8</f>
        <v/>
      </c>
      <c r="I227" s="85">
        <f>'01_원자료'!P224*'03_가중치민감도'!$B$9+'01_원자료'!Q224*'03_가중치민감도'!$C$9+'01_원자료'!R224*'03_가중치민감도'!$D$9</f>
        <v/>
      </c>
      <c r="J227" s="85">
        <f>'01_원자료'!P224*'03_가중치민감도'!$B$10+'01_원자료'!Q224*'03_가중치민감도'!$C$10+'01_원자료'!R224*'03_가중치민감도'!$D$10</f>
        <v/>
      </c>
      <c r="K227" s="99">
        <f>COUNTIF($E$5:$E$979,"&lt;"&amp;E227)+(COUNTIF($E$5:$E$979,"="&amp;E227)+1)/2</f>
        <v/>
      </c>
      <c r="L227" s="99">
        <f>COUNTIF($F$5:$F$979,"&lt;"&amp;F227)+(COUNTIF($F$5:$F$979,"="&amp;F227)+1)/2</f>
        <v/>
      </c>
      <c r="M227" s="99">
        <f>COUNTIF($G$5:$G$979,"&lt;"&amp;G227)+(COUNTIF($G$5:$G$979,"="&amp;G227)+1)/2</f>
        <v/>
      </c>
      <c r="N227" s="99">
        <f>COUNTIF($H$5:$H$979,"&lt;"&amp;H227)+(COUNTIF($H$5:$H$979,"="&amp;H227)+1)/2</f>
        <v/>
      </c>
      <c r="O227" s="99">
        <f>COUNTIF($I$5:$I$979,"&lt;"&amp;I227)+(COUNTIF($I$5:$I$979,"="&amp;I227)+1)/2</f>
        <v/>
      </c>
      <c r="P227" s="99">
        <f>COUNTIF($J$5:$J$979,"&lt;"&amp;J227)+(COUNTIF($J$5:$J$979,"="&amp;J227)+1)/2</f>
        <v/>
      </c>
    </row>
    <row r="228" ht="15" customHeight="1" s="68">
      <c r="A228" s="70">
        <f>'01_원자료'!A225</f>
        <v/>
      </c>
      <c r="B228" s="70">
        <f>'01_원자료'!B225</f>
        <v/>
      </c>
      <c r="C228" s="70">
        <f>'01_원자료'!C225</f>
        <v/>
      </c>
      <c r="E228" s="85">
        <f>'01_원자료'!P225*'03_가중치민감도'!$B$5+'01_원자료'!Q225*'03_가중치민감도'!$C$5+'01_원자료'!R225*'03_가중치민감도'!$D$5</f>
        <v/>
      </c>
      <c r="F228" s="85">
        <f>'01_원자료'!P225*'03_가중치민감도'!$B$6+'01_원자료'!Q225*'03_가중치민감도'!$C$6+'01_원자료'!R225*'03_가중치민감도'!$D$6</f>
        <v/>
      </c>
      <c r="G228" s="85">
        <f>'01_원자료'!P225*'03_가중치민감도'!$B$7+'01_원자료'!Q225*'03_가중치민감도'!$C$7+'01_원자료'!R225*'03_가중치민감도'!$D$7</f>
        <v/>
      </c>
      <c r="H228" s="85">
        <f>'01_원자료'!P225*'03_가중치민감도'!$B$8+'01_원자료'!Q225*'03_가중치민감도'!$C$8+'01_원자료'!R225*'03_가중치민감도'!$D$8</f>
        <v/>
      </c>
      <c r="I228" s="85">
        <f>'01_원자료'!P225*'03_가중치민감도'!$B$9+'01_원자료'!Q225*'03_가중치민감도'!$C$9+'01_원자료'!R225*'03_가중치민감도'!$D$9</f>
        <v/>
      </c>
      <c r="J228" s="85">
        <f>'01_원자료'!P225*'03_가중치민감도'!$B$10+'01_원자료'!Q225*'03_가중치민감도'!$C$10+'01_원자료'!R225*'03_가중치민감도'!$D$10</f>
        <v/>
      </c>
      <c r="K228" s="99">
        <f>COUNTIF($E$5:$E$979,"&lt;"&amp;E228)+(COUNTIF($E$5:$E$979,"="&amp;E228)+1)/2</f>
        <v/>
      </c>
      <c r="L228" s="99">
        <f>COUNTIF($F$5:$F$979,"&lt;"&amp;F228)+(COUNTIF($F$5:$F$979,"="&amp;F228)+1)/2</f>
        <v/>
      </c>
      <c r="M228" s="99">
        <f>COUNTIF($G$5:$G$979,"&lt;"&amp;G228)+(COUNTIF($G$5:$G$979,"="&amp;G228)+1)/2</f>
        <v/>
      </c>
      <c r="N228" s="99">
        <f>COUNTIF($H$5:$H$979,"&lt;"&amp;H228)+(COUNTIF($H$5:$H$979,"="&amp;H228)+1)/2</f>
        <v/>
      </c>
      <c r="O228" s="99">
        <f>COUNTIF($I$5:$I$979,"&lt;"&amp;I228)+(COUNTIF($I$5:$I$979,"="&amp;I228)+1)/2</f>
        <v/>
      </c>
      <c r="P228" s="99">
        <f>COUNTIF($J$5:$J$979,"&lt;"&amp;J228)+(COUNTIF($J$5:$J$979,"="&amp;J228)+1)/2</f>
        <v/>
      </c>
    </row>
    <row r="229" ht="15" customHeight="1" s="68">
      <c r="A229" s="70">
        <f>'01_원자료'!A226</f>
        <v/>
      </c>
      <c r="B229" s="70">
        <f>'01_원자료'!B226</f>
        <v/>
      </c>
      <c r="C229" s="70">
        <f>'01_원자료'!C226</f>
        <v/>
      </c>
      <c r="E229" s="85">
        <f>'01_원자료'!P226*'03_가중치민감도'!$B$5+'01_원자료'!Q226*'03_가중치민감도'!$C$5+'01_원자료'!R226*'03_가중치민감도'!$D$5</f>
        <v/>
      </c>
      <c r="F229" s="85">
        <f>'01_원자료'!P226*'03_가중치민감도'!$B$6+'01_원자료'!Q226*'03_가중치민감도'!$C$6+'01_원자료'!R226*'03_가중치민감도'!$D$6</f>
        <v/>
      </c>
      <c r="G229" s="85">
        <f>'01_원자료'!P226*'03_가중치민감도'!$B$7+'01_원자료'!Q226*'03_가중치민감도'!$C$7+'01_원자료'!R226*'03_가중치민감도'!$D$7</f>
        <v/>
      </c>
      <c r="H229" s="85">
        <f>'01_원자료'!P226*'03_가중치민감도'!$B$8+'01_원자료'!Q226*'03_가중치민감도'!$C$8+'01_원자료'!R226*'03_가중치민감도'!$D$8</f>
        <v/>
      </c>
      <c r="I229" s="85">
        <f>'01_원자료'!P226*'03_가중치민감도'!$B$9+'01_원자료'!Q226*'03_가중치민감도'!$C$9+'01_원자료'!R226*'03_가중치민감도'!$D$9</f>
        <v/>
      </c>
      <c r="J229" s="85">
        <f>'01_원자료'!P226*'03_가중치민감도'!$B$10+'01_원자료'!Q226*'03_가중치민감도'!$C$10+'01_원자료'!R226*'03_가중치민감도'!$D$10</f>
        <v/>
      </c>
      <c r="K229" s="99">
        <f>COUNTIF($E$5:$E$979,"&lt;"&amp;E229)+(COUNTIF($E$5:$E$979,"="&amp;E229)+1)/2</f>
        <v/>
      </c>
      <c r="L229" s="99">
        <f>COUNTIF($F$5:$F$979,"&lt;"&amp;F229)+(COUNTIF($F$5:$F$979,"="&amp;F229)+1)/2</f>
        <v/>
      </c>
      <c r="M229" s="99">
        <f>COUNTIF($G$5:$G$979,"&lt;"&amp;G229)+(COUNTIF($G$5:$G$979,"="&amp;G229)+1)/2</f>
        <v/>
      </c>
      <c r="N229" s="99">
        <f>COUNTIF($H$5:$H$979,"&lt;"&amp;H229)+(COUNTIF($H$5:$H$979,"="&amp;H229)+1)/2</f>
        <v/>
      </c>
      <c r="O229" s="99">
        <f>COUNTIF($I$5:$I$979,"&lt;"&amp;I229)+(COUNTIF($I$5:$I$979,"="&amp;I229)+1)/2</f>
        <v/>
      </c>
      <c r="P229" s="99">
        <f>COUNTIF($J$5:$J$979,"&lt;"&amp;J229)+(COUNTIF($J$5:$J$979,"="&amp;J229)+1)/2</f>
        <v/>
      </c>
    </row>
    <row r="230" ht="15" customHeight="1" s="68">
      <c r="A230" s="70">
        <f>'01_원자료'!A227</f>
        <v/>
      </c>
      <c r="B230" s="70">
        <f>'01_원자료'!B227</f>
        <v/>
      </c>
      <c r="C230" s="70">
        <f>'01_원자료'!C227</f>
        <v/>
      </c>
      <c r="E230" s="85">
        <f>'01_원자료'!P227*'03_가중치민감도'!$B$5+'01_원자료'!Q227*'03_가중치민감도'!$C$5+'01_원자료'!R227*'03_가중치민감도'!$D$5</f>
        <v/>
      </c>
      <c r="F230" s="85">
        <f>'01_원자료'!P227*'03_가중치민감도'!$B$6+'01_원자료'!Q227*'03_가중치민감도'!$C$6+'01_원자료'!R227*'03_가중치민감도'!$D$6</f>
        <v/>
      </c>
      <c r="G230" s="85">
        <f>'01_원자료'!P227*'03_가중치민감도'!$B$7+'01_원자료'!Q227*'03_가중치민감도'!$C$7+'01_원자료'!R227*'03_가중치민감도'!$D$7</f>
        <v/>
      </c>
      <c r="H230" s="85">
        <f>'01_원자료'!P227*'03_가중치민감도'!$B$8+'01_원자료'!Q227*'03_가중치민감도'!$C$8+'01_원자료'!R227*'03_가중치민감도'!$D$8</f>
        <v/>
      </c>
      <c r="I230" s="85">
        <f>'01_원자료'!P227*'03_가중치민감도'!$B$9+'01_원자료'!Q227*'03_가중치민감도'!$C$9+'01_원자료'!R227*'03_가중치민감도'!$D$9</f>
        <v/>
      </c>
      <c r="J230" s="85">
        <f>'01_원자료'!P227*'03_가중치민감도'!$B$10+'01_원자료'!Q227*'03_가중치민감도'!$C$10+'01_원자료'!R227*'03_가중치민감도'!$D$10</f>
        <v/>
      </c>
      <c r="K230" s="99">
        <f>COUNTIF($E$5:$E$979,"&lt;"&amp;E230)+(COUNTIF($E$5:$E$979,"="&amp;E230)+1)/2</f>
        <v/>
      </c>
      <c r="L230" s="99">
        <f>COUNTIF($F$5:$F$979,"&lt;"&amp;F230)+(COUNTIF($F$5:$F$979,"="&amp;F230)+1)/2</f>
        <v/>
      </c>
      <c r="M230" s="99">
        <f>COUNTIF($G$5:$G$979,"&lt;"&amp;G230)+(COUNTIF($G$5:$G$979,"="&amp;G230)+1)/2</f>
        <v/>
      </c>
      <c r="N230" s="99">
        <f>COUNTIF($H$5:$H$979,"&lt;"&amp;H230)+(COUNTIF($H$5:$H$979,"="&amp;H230)+1)/2</f>
        <v/>
      </c>
      <c r="O230" s="99">
        <f>COUNTIF($I$5:$I$979,"&lt;"&amp;I230)+(COUNTIF($I$5:$I$979,"="&amp;I230)+1)/2</f>
        <v/>
      </c>
      <c r="P230" s="99">
        <f>COUNTIF($J$5:$J$979,"&lt;"&amp;J230)+(COUNTIF($J$5:$J$979,"="&amp;J230)+1)/2</f>
        <v/>
      </c>
    </row>
    <row r="231" ht="15" customHeight="1" s="68">
      <c r="A231" s="70">
        <f>'01_원자료'!A228</f>
        <v/>
      </c>
      <c r="B231" s="70">
        <f>'01_원자료'!B228</f>
        <v/>
      </c>
      <c r="C231" s="70">
        <f>'01_원자료'!C228</f>
        <v/>
      </c>
      <c r="E231" s="85">
        <f>'01_원자료'!P228*'03_가중치민감도'!$B$5+'01_원자료'!Q228*'03_가중치민감도'!$C$5+'01_원자료'!R228*'03_가중치민감도'!$D$5</f>
        <v/>
      </c>
      <c r="F231" s="85">
        <f>'01_원자료'!P228*'03_가중치민감도'!$B$6+'01_원자료'!Q228*'03_가중치민감도'!$C$6+'01_원자료'!R228*'03_가중치민감도'!$D$6</f>
        <v/>
      </c>
      <c r="G231" s="85">
        <f>'01_원자료'!P228*'03_가중치민감도'!$B$7+'01_원자료'!Q228*'03_가중치민감도'!$C$7+'01_원자료'!R228*'03_가중치민감도'!$D$7</f>
        <v/>
      </c>
      <c r="H231" s="85">
        <f>'01_원자료'!P228*'03_가중치민감도'!$B$8+'01_원자료'!Q228*'03_가중치민감도'!$C$8+'01_원자료'!R228*'03_가중치민감도'!$D$8</f>
        <v/>
      </c>
      <c r="I231" s="85">
        <f>'01_원자료'!P228*'03_가중치민감도'!$B$9+'01_원자료'!Q228*'03_가중치민감도'!$C$9+'01_원자료'!R228*'03_가중치민감도'!$D$9</f>
        <v/>
      </c>
      <c r="J231" s="85">
        <f>'01_원자료'!P228*'03_가중치민감도'!$B$10+'01_원자료'!Q228*'03_가중치민감도'!$C$10+'01_원자료'!R228*'03_가중치민감도'!$D$10</f>
        <v/>
      </c>
      <c r="K231" s="99">
        <f>COUNTIF($E$5:$E$979,"&lt;"&amp;E231)+(COUNTIF($E$5:$E$979,"="&amp;E231)+1)/2</f>
        <v/>
      </c>
      <c r="L231" s="99">
        <f>COUNTIF($F$5:$F$979,"&lt;"&amp;F231)+(COUNTIF($F$5:$F$979,"="&amp;F231)+1)/2</f>
        <v/>
      </c>
      <c r="M231" s="99">
        <f>COUNTIF($G$5:$G$979,"&lt;"&amp;G231)+(COUNTIF($G$5:$G$979,"="&amp;G231)+1)/2</f>
        <v/>
      </c>
      <c r="N231" s="99">
        <f>COUNTIF($H$5:$H$979,"&lt;"&amp;H231)+(COUNTIF($H$5:$H$979,"="&amp;H231)+1)/2</f>
        <v/>
      </c>
      <c r="O231" s="99">
        <f>COUNTIF($I$5:$I$979,"&lt;"&amp;I231)+(COUNTIF($I$5:$I$979,"="&amp;I231)+1)/2</f>
        <v/>
      </c>
      <c r="P231" s="99">
        <f>COUNTIF($J$5:$J$979,"&lt;"&amp;J231)+(COUNTIF($J$5:$J$979,"="&amp;J231)+1)/2</f>
        <v/>
      </c>
    </row>
    <row r="232" ht="15" customHeight="1" s="68">
      <c r="A232" s="70">
        <f>'01_원자료'!A229</f>
        <v/>
      </c>
      <c r="B232" s="70">
        <f>'01_원자료'!B229</f>
        <v/>
      </c>
      <c r="C232" s="70">
        <f>'01_원자료'!C229</f>
        <v/>
      </c>
      <c r="E232" s="85">
        <f>'01_원자료'!P229*'03_가중치민감도'!$B$5+'01_원자료'!Q229*'03_가중치민감도'!$C$5+'01_원자료'!R229*'03_가중치민감도'!$D$5</f>
        <v/>
      </c>
      <c r="F232" s="85">
        <f>'01_원자료'!P229*'03_가중치민감도'!$B$6+'01_원자료'!Q229*'03_가중치민감도'!$C$6+'01_원자료'!R229*'03_가중치민감도'!$D$6</f>
        <v/>
      </c>
      <c r="G232" s="85">
        <f>'01_원자료'!P229*'03_가중치민감도'!$B$7+'01_원자료'!Q229*'03_가중치민감도'!$C$7+'01_원자료'!R229*'03_가중치민감도'!$D$7</f>
        <v/>
      </c>
      <c r="H232" s="85">
        <f>'01_원자료'!P229*'03_가중치민감도'!$B$8+'01_원자료'!Q229*'03_가중치민감도'!$C$8+'01_원자료'!R229*'03_가중치민감도'!$D$8</f>
        <v/>
      </c>
      <c r="I232" s="85">
        <f>'01_원자료'!P229*'03_가중치민감도'!$B$9+'01_원자료'!Q229*'03_가중치민감도'!$C$9+'01_원자료'!R229*'03_가중치민감도'!$D$9</f>
        <v/>
      </c>
      <c r="J232" s="85">
        <f>'01_원자료'!P229*'03_가중치민감도'!$B$10+'01_원자료'!Q229*'03_가중치민감도'!$C$10+'01_원자료'!R229*'03_가중치민감도'!$D$10</f>
        <v/>
      </c>
      <c r="K232" s="99">
        <f>COUNTIF($E$5:$E$979,"&lt;"&amp;E232)+(COUNTIF($E$5:$E$979,"="&amp;E232)+1)/2</f>
        <v/>
      </c>
      <c r="L232" s="99">
        <f>COUNTIF($F$5:$F$979,"&lt;"&amp;F232)+(COUNTIF($F$5:$F$979,"="&amp;F232)+1)/2</f>
        <v/>
      </c>
      <c r="M232" s="99">
        <f>COUNTIF($G$5:$G$979,"&lt;"&amp;G232)+(COUNTIF($G$5:$G$979,"="&amp;G232)+1)/2</f>
        <v/>
      </c>
      <c r="N232" s="99">
        <f>COUNTIF($H$5:$H$979,"&lt;"&amp;H232)+(COUNTIF($H$5:$H$979,"="&amp;H232)+1)/2</f>
        <v/>
      </c>
      <c r="O232" s="99">
        <f>COUNTIF($I$5:$I$979,"&lt;"&amp;I232)+(COUNTIF($I$5:$I$979,"="&amp;I232)+1)/2</f>
        <v/>
      </c>
      <c r="P232" s="99">
        <f>COUNTIF($J$5:$J$979,"&lt;"&amp;J232)+(COUNTIF($J$5:$J$979,"="&amp;J232)+1)/2</f>
        <v/>
      </c>
    </row>
    <row r="233" ht="15" customHeight="1" s="68">
      <c r="A233" s="70">
        <f>'01_원자료'!A230</f>
        <v/>
      </c>
      <c r="B233" s="70">
        <f>'01_원자료'!B230</f>
        <v/>
      </c>
      <c r="C233" s="70">
        <f>'01_원자료'!C230</f>
        <v/>
      </c>
      <c r="E233" s="85">
        <f>'01_원자료'!P230*'03_가중치민감도'!$B$5+'01_원자료'!Q230*'03_가중치민감도'!$C$5+'01_원자료'!R230*'03_가중치민감도'!$D$5</f>
        <v/>
      </c>
      <c r="F233" s="85">
        <f>'01_원자료'!P230*'03_가중치민감도'!$B$6+'01_원자료'!Q230*'03_가중치민감도'!$C$6+'01_원자료'!R230*'03_가중치민감도'!$D$6</f>
        <v/>
      </c>
      <c r="G233" s="85">
        <f>'01_원자료'!P230*'03_가중치민감도'!$B$7+'01_원자료'!Q230*'03_가중치민감도'!$C$7+'01_원자료'!R230*'03_가중치민감도'!$D$7</f>
        <v/>
      </c>
      <c r="H233" s="85">
        <f>'01_원자료'!P230*'03_가중치민감도'!$B$8+'01_원자료'!Q230*'03_가중치민감도'!$C$8+'01_원자료'!R230*'03_가중치민감도'!$D$8</f>
        <v/>
      </c>
      <c r="I233" s="85">
        <f>'01_원자료'!P230*'03_가중치민감도'!$B$9+'01_원자료'!Q230*'03_가중치민감도'!$C$9+'01_원자료'!R230*'03_가중치민감도'!$D$9</f>
        <v/>
      </c>
      <c r="J233" s="85">
        <f>'01_원자료'!P230*'03_가중치민감도'!$B$10+'01_원자료'!Q230*'03_가중치민감도'!$C$10+'01_원자료'!R230*'03_가중치민감도'!$D$10</f>
        <v/>
      </c>
      <c r="K233" s="99">
        <f>COUNTIF($E$5:$E$979,"&lt;"&amp;E233)+(COUNTIF($E$5:$E$979,"="&amp;E233)+1)/2</f>
        <v/>
      </c>
      <c r="L233" s="99">
        <f>COUNTIF($F$5:$F$979,"&lt;"&amp;F233)+(COUNTIF($F$5:$F$979,"="&amp;F233)+1)/2</f>
        <v/>
      </c>
      <c r="M233" s="99">
        <f>COUNTIF($G$5:$G$979,"&lt;"&amp;G233)+(COUNTIF($G$5:$G$979,"="&amp;G233)+1)/2</f>
        <v/>
      </c>
      <c r="N233" s="99">
        <f>COUNTIF($H$5:$H$979,"&lt;"&amp;H233)+(COUNTIF($H$5:$H$979,"="&amp;H233)+1)/2</f>
        <v/>
      </c>
      <c r="O233" s="99">
        <f>COUNTIF($I$5:$I$979,"&lt;"&amp;I233)+(COUNTIF($I$5:$I$979,"="&amp;I233)+1)/2</f>
        <v/>
      </c>
      <c r="P233" s="99">
        <f>COUNTIF($J$5:$J$979,"&lt;"&amp;J233)+(COUNTIF($J$5:$J$979,"="&amp;J233)+1)/2</f>
        <v/>
      </c>
    </row>
    <row r="234" ht="15" customHeight="1" s="68">
      <c r="A234" s="70">
        <f>'01_원자료'!A231</f>
        <v/>
      </c>
      <c r="B234" s="70">
        <f>'01_원자료'!B231</f>
        <v/>
      </c>
      <c r="C234" s="70">
        <f>'01_원자료'!C231</f>
        <v/>
      </c>
      <c r="E234" s="85">
        <f>'01_원자료'!P231*'03_가중치민감도'!$B$5+'01_원자료'!Q231*'03_가중치민감도'!$C$5+'01_원자료'!R231*'03_가중치민감도'!$D$5</f>
        <v/>
      </c>
      <c r="F234" s="85">
        <f>'01_원자료'!P231*'03_가중치민감도'!$B$6+'01_원자료'!Q231*'03_가중치민감도'!$C$6+'01_원자료'!R231*'03_가중치민감도'!$D$6</f>
        <v/>
      </c>
      <c r="G234" s="85">
        <f>'01_원자료'!P231*'03_가중치민감도'!$B$7+'01_원자료'!Q231*'03_가중치민감도'!$C$7+'01_원자료'!R231*'03_가중치민감도'!$D$7</f>
        <v/>
      </c>
      <c r="H234" s="85">
        <f>'01_원자료'!P231*'03_가중치민감도'!$B$8+'01_원자료'!Q231*'03_가중치민감도'!$C$8+'01_원자료'!R231*'03_가중치민감도'!$D$8</f>
        <v/>
      </c>
      <c r="I234" s="85">
        <f>'01_원자료'!P231*'03_가중치민감도'!$B$9+'01_원자료'!Q231*'03_가중치민감도'!$C$9+'01_원자료'!R231*'03_가중치민감도'!$D$9</f>
        <v/>
      </c>
      <c r="J234" s="85">
        <f>'01_원자료'!P231*'03_가중치민감도'!$B$10+'01_원자료'!Q231*'03_가중치민감도'!$C$10+'01_원자료'!R231*'03_가중치민감도'!$D$10</f>
        <v/>
      </c>
      <c r="K234" s="99">
        <f>COUNTIF($E$5:$E$979,"&lt;"&amp;E234)+(COUNTIF($E$5:$E$979,"="&amp;E234)+1)/2</f>
        <v/>
      </c>
      <c r="L234" s="99">
        <f>COUNTIF($F$5:$F$979,"&lt;"&amp;F234)+(COUNTIF($F$5:$F$979,"="&amp;F234)+1)/2</f>
        <v/>
      </c>
      <c r="M234" s="99">
        <f>COUNTIF($G$5:$G$979,"&lt;"&amp;G234)+(COUNTIF($G$5:$G$979,"="&amp;G234)+1)/2</f>
        <v/>
      </c>
      <c r="N234" s="99">
        <f>COUNTIF($H$5:$H$979,"&lt;"&amp;H234)+(COUNTIF($H$5:$H$979,"="&amp;H234)+1)/2</f>
        <v/>
      </c>
      <c r="O234" s="99">
        <f>COUNTIF($I$5:$I$979,"&lt;"&amp;I234)+(COUNTIF($I$5:$I$979,"="&amp;I234)+1)/2</f>
        <v/>
      </c>
      <c r="P234" s="99">
        <f>COUNTIF($J$5:$J$979,"&lt;"&amp;J234)+(COUNTIF($J$5:$J$979,"="&amp;J234)+1)/2</f>
        <v/>
      </c>
    </row>
    <row r="235" ht="15" customHeight="1" s="68">
      <c r="A235" s="70">
        <f>'01_원자료'!A232</f>
        <v/>
      </c>
      <c r="B235" s="70">
        <f>'01_원자료'!B232</f>
        <v/>
      </c>
      <c r="C235" s="70">
        <f>'01_원자료'!C232</f>
        <v/>
      </c>
      <c r="E235" s="85">
        <f>'01_원자료'!P232*'03_가중치민감도'!$B$5+'01_원자료'!Q232*'03_가중치민감도'!$C$5+'01_원자료'!R232*'03_가중치민감도'!$D$5</f>
        <v/>
      </c>
      <c r="F235" s="85">
        <f>'01_원자료'!P232*'03_가중치민감도'!$B$6+'01_원자료'!Q232*'03_가중치민감도'!$C$6+'01_원자료'!R232*'03_가중치민감도'!$D$6</f>
        <v/>
      </c>
      <c r="G235" s="85">
        <f>'01_원자료'!P232*'03_가중치민감도'!$B$7+'01_원자료'!Q232*'03_가중치민감도'!$C$7+'01_원자료'!R232*'03_가중치민감도'!$D$7</f>
        <v/>
      </c>
      <c r="H235" s="85">
        <f>'01_원자료'!P232*'03_가중치민감도'!$B$8+'01_원자료'!Q232*'03_가중치민감도'!$C$8+'01_원자료'!R232*'03_가중치민감도'!$D$8</f>
        <v/>
      </c>
      <c r="I235" s="85">
        <f>'01_원자료'!P232*'03_가중치민감도'!$B$9+'01_원자료'!Q232*'03_가중치민감도'!$C$9+'01_원자료'!R232*'03_가중치민감도'!$D$9</f>
        <v/>
      </c>
      <c r="J235" s="85">
        <f>'01_원자료'!P232*'03_가중치민감도'!$B$10+'01_원자료'!Q232*'03_가중치민감도'!$C$10+'01_원자료'!R232*'03_가중치민감도'!$D$10</f>
        <v/>
      </c>
      <c r="K235" s="99">
        <f>COUNTIF($E$5:$E$979,"&lt;"&amp;E235)+(COUNTIF($E$5:$E$979,"="&amp;E235)+1)/2</f>
        <v/>
      </c>
      <c r="L235" s="99">
        <f>COUNTIF($F$5:$F$979,"&lt;"&amp;F235)+(COUNTIF($F$5:$F$979,"="&amp;F235)+1)/2</f>
        <v/>
      </c>
      <c r="M235" s="99">
        <f>COUNTIF($G$5:$G$979,"&lt;"&amp;G235)+(COUNTIF($G$5:$G$979,"="&amp;G235)+1)/2</f>
        <v/>
      </c>
      <c r="N235" s="99">
        <f>COUNTIF($H$5:$H$979,"&lt;"&amp;H235)+(COUNTIF($H$5:$H$979,"="&amp;H235)+1)/2</f>
        <v/>
      </c>
      <c r="O235" s="99">
        <f>COUNTIF($I$5:$I$979,"&lt;"&amp;I235)+(COUNTIF($I$5:$I$979,"="&amp;I235)+1)/2</f>
        <v/>
      </c>
      <c r="P235" s="99">
        <f>COUNTIF($J$5:$J$979,"&lt;"&amp;J235)+(COUNTIF($J$5:$J$979,"="&amp;J235)+1)/2</f>
        <v/>
      </c>
    </row>
    <row r="236" ht="15" customHeight="1" s="68">
      <c r="A236" s="70">
        <f>'01_원자료'!A233</f>
        <v/>
      </c>
      <c r="B236" s="70">
        <f>'01_원자료'!B233</f>
        <v/>
      </c>
      <c r="C236" s="70">
        <f>'01_원자료'!C233</f>
        <v/>
      </c>
      <c r="E236" s="85">
        <f>'01_원자료'!P233*'03_가중치민감도'!$B$5+'01_원자료'!Q233*'03_가중치민감도'!$C$5+'01_원자료'!R233*'03_가중치민감도'!$D$5</f>
        <v/>
      </c>
      <c r="F236" s="85">
        <f>'01_원자료'!P233*'03_가중치민감도'!$B$6+'01_원자료'!Q233*'03_가중치민감도'!$C$6+'01_원자료'!R233*'03_가중치민감도'!$D$6</f>
        <v/>
      </c>
      <c r="G236" s="85">
        <f>'01_원자료'!P233*'03_가중치민감도'!$B$7+'01_원자료'!Q233*'03_가중치민감도'!$C$7+'01_원자료'!R233*'03_가중치민감도'!$D$7</f>
        <v/>
      </c>
      <c r="H236" s="85">
        <f>'01_원자료'!P233*'03_가중치민감도'!$B$8+'01_원자료'!Q233*'03_가중치민감도'!$C$8+'01_원자료'!R233*'03_가중치민감도'!$D$8</f>
        <v/>
      </c>
      <c r="I236" s="85">
        <f>'01_원자료'!P233*'03_가중치민감도'!$B$9+'01_원자료'!Q233*'03_가중치민감도'!$C$9+'01_원자료'!R233*'03_가중치민감도'!$D$9</f>
        <v/>
      </c>
      <c r="J236" s="85">
        <f>'01_원자료'!P233*'03_가중치민감도'!$B$10+'01_원자료'!Q233*'03_가중치민감도'!$C$10+'01_원자료'!R233*'03_가중치민감도'!$D$10</f>
        <v/>
      </c>
      <c r="K236" s="99">
        <f>COUNTIF($E$5:$E$979,"&lt;"&amp;E236)+(COUNTIF($E$5:$E$979,"="&amp;E236)+1)/2</f>
        <v/>
      </c>
      <c r="L236" s="99">
        <f>COUNTIF($F$5:$F$979,"&lt;"&amp;F236)+(COUNTIF($F$5:$F$979,"="&amp;F236)+1)/2</f>
        <v/>
      </c>
      <c r="M236" s="99">
        <f>COUNTIF($G$5:$G$979,"&lt;"&amp;G236)+(COUNTIF($G$5:$G$979,"="&amp;G236)+1)/2</f>
        <v/>
      </c>
      <c r="N236" s="99">
        <f>COUNTIF($H$5:$H$979,"&lt;"&amp;H236)+(COUNTIF($H$5:$H$979,"="&amp;H236)+1)/2</f>
        <v/>
      </c>
      <c r="O236" s="99">
        <f>COUNTIF($I$5:$I$979,"&lt;"&amp;I236)+(COUNTIF($I$5:$I$979,"="&amp;I236)+1)/2</f>
        <v/>
      </c>
      <c r="P236" s="99">
        <f>COUNTIF($J$5:$J$979,"&lt;"&amp;J236)+(COUNTIF($J$5:$J$979,"="&amp;J236)+1)/2</f>
        <v/>
      </c>
    </row>
    <row r="237" ht="15" customHeight="1" s="68">
      <c r="A237" s="70">
        <f>'01_원자료'!A234</f>
        <v/>
      </c>
      <c r="B237" s="70">
        <f>'01_원자료'!B234</f>
        <v/>
      </c>
      <c r="C237" s="70">
        <f>'01_원자료'!C234</f>
        <v/>
      </c>
      <c r="E237" s="85">
        <f>'01_원자료'!P234*'03_가중치민감도'!$B$5+'01_원자료'!Q234*'03_가중치민감도'!$C$5+'01_원자료'!R234*'03_가중치민감도'!$D$5</f>
        <v/>
      </c>
      <c r="F237" s="85">
        <f>'01_원자료'!P234*'03_가중치민감도'!$B$6+'01_원자료'!Q234*'03_가중치민감도'!$C$6+'01_원자료'!R234*'03_가중치민감도'!$D$6</f>
        <v/>
      </c>
      <c r="G237" s="85">
        <f>'01_원자료'!P234*'03_가중치민감도'!$B$7+'01_원자료'!Q234*'03_가중치민감도'!$C$7+'01_원자료'!R234*'03_가중치민감도'!$D$7</f>
        <v/>
      </c>
      <c r="H237" s="85">
        <f>'01_원자료'!P234*'03_가중치민감도'!$B$8+'01_원자료'!Q234*'03_가중치민감도'!$C$8+'01_원자료'!R234*'03_가중치민감도'!$D$8</f>
        <v/>
      </c>
      <c r="I237" s="85">
        <f>'01_원자료'!P234*'03_가중치민감도'!$B$9+'01_원자료'!Q234*'03_가중치민감도'!$C$9+'01_원자료'!R234*'03_가중치민감도'!$D$9</f>
        <v/>
      </c>
      <c r="J237" s="85">
        <f>'01_원자료'!P234*'03_가중치민감도'!$B$10+'01_원자료'!Q234*'03_가중치민감도'!$C$10+'01_원자료'!R234*'03_가중치민감도'!$D$10</f>
        <v/>
      </c>
      <c r="K237" s="99">
        <f>COUNTIF($E$5:$E$979,"&lt;"&amp;E237)+(COUNTIF($E$5:$E$979,"="&amp;E237)+1)/2</f>
        <v/>
      </c>
      <c r="L237" s="99">
        <f>COUNTIF($F$5:$F$979,"&lt;"&amp;F237)+(COUNTIF($F$5:$F$979,"="&amp;F237)+1)/2</f>
        <v/>
      </c>
      <c r="M237" s="99">
        <f>COUNTIF($G$5:$G$979,"&lt;"&amp;G237)+(COUNTIF($G$5:$G$979,"="&amp;G237)+1)/2</f>
        <v/>
      </c>
      <c r="N237" s="99">
        <f>COUNTIF($H$5:$H$979,"&lt;"&amp;H237)+(COUNTIF($H$5:$H$979,"="&amp;H237)+1)/2</f>
        <v/>
      </c>
      <c r="O237" s="99">
        <f>COUNTIF($I$5:$I$979,"&lt;"&amp;I237)+(COUNTIF($I$5:$I$979,"="&amp;I237)+1)/2</f>
        <v/>
      </c>
      <c r="P237" s="99">
        <f>COUNTIF($J$5:$J$979,"&lt;"&amp;J237)+(COUNTIF($J$5:$J$979,"="&amp;J237)+1)/2</f>
        <v/>
      </c>
    </row>
    <row r="238" ht="15" customHeight="1" s="68">
      <c r="A238" s="70">
        <f>'01_원자료'!A235</f>
        <v/>
      </c>
      <c r="B238" s="70">
        <f>'01_원자료'!B235</f>
        <v/>
      </c>
      <c r="C238" s="70">
        <f>'01_원자료'!C235</f>
        <v/>
      </c>
      <c r="E238" s="85">
        <f>'01_원자료'!P235*'03_가중치민감도'!$B$5+'01_원자료'!Q235*'03_가중치민감도'!$C$5+'01_원자료'!R235*'03_가중치민감도'!$D$5</f>
        <v/>
      </c>
      <c r="F238" s="85">
        <f>'01_원자료'!P235*'03_가중치민감도'!$B$6+'01_원자료'!Q235*'03_가중치민감도'!$C$6+'01_원자료'!R235*'03_가중치민감도'!$D$6</f>
        <v/>
      </c>
      <c r="G238" s="85">
        <f>'01_원자료'!P235*'03_가중치민감도'!$B$7+'01_원자료'!Q235*'03_가중치민감도'!$C$7+'01_원자료'!R235*'03_가중치민감도'!$D$7</f>
        <v/>
      </c>
      <c r="H238" s="85">
        <f>'01_원자료'!P235*'03_가중치민감도'!$B$8+'01_원자료'!Q235*'03_가중치민감도'!$C$8+'01_원자료'!R235*'03_가중치민감도'!$D$8</f>
        <v/>
      </c>
      <c r="I238" s="85">
        <f>'01_원자료'!P235*'03_가중치민감도'!$B$9+'01_원자료'!Q235*'03_가중치민감도'!$C$9+'01_원자료'!R235*'03_가중치민감도'!$D$9</f>
        <v/>
      </c>
      <c r="J238" s="85">
        <f>'01_원자료'!P235*'03_가중치민감도'!$B$10+'01_원자료'!Q235*'03_가중치민감도'!$C$10+'01_원자료'!R235*'03_가중치민감도'!$D$10</f>
        <v/>
      </c>
      <c r="K238" s="99">
        <f>COUNTIF($E$5:$E$979,"&lt;"&amp;E238)+(COUNTIF($E$5:$E$979,"="&amp;E238)+1)/2</f>
        <v/>
      </c>
      <c r="L238" s="99">
        <f>COUNTIF($F$5:$F$979,"&lt;"&amp;F238)+(COUNTIF($F$5:$F$979,"="&amp;F238)+1)/2</f>
        <v/>
      </c>
      <c r="M238" s="99">
        <f>COUNTIF($G$5:$G$979,"&lt;"&amp;G238)+(COUNTIF($G$5:$G$979,"="&amp;G238)+1)/2</f>
        <v/>
      </c>
      <c r="N238" s="99">
        <f>COUNTIF($H$5:$H$979,"&lt;"&amp;H238)+(COUNTIF($H$5:$H$979,"="&amp;H238)+1)/2</f>
        <v/>
      </c>
      <c r="O238" s="99">
        <f>COUNTIF($I$5:$I$979,"&lt;"&amp;I238)+(COUNTIF($I$5:$I$979,"="&amp;I238)+1)/2</f>
        <v/>
      </c>
      <c r="P238" s="99">
        <f>COUNTIF($J$5:$J$979,"&lt;"&amp;J238)+(COUNTIF($J$5:$J$979,"="&amp;J238)+1)/2</f>
        <v/>
      </c>
    </row>
    <row r="239" ht="15" customHeight="1" s="68">
      <c r="A239" s="70">
        <f>'01_원자료'!A236</f>
        <v/>
      </c>
      <c r="B239" s="70">
        <f>'01_원자료'!B236</f>
        <v/>
      </c>
      <c r="C239" s="70">
        <f>'01_원자료'!C236</f>
        <v/>
      </c>
      <c r="E239" s="85">
        <f>'01_원자료'!P236*'03_가중치민감도'!$B$5+'01_원자료'!Q236*'03_가중치민감도'!$C$5+'01_원자료'!R236*'03_가중치민감도'!$D$5</f>
        <v/>
      </c>
      <c r="F239" s="85">
        <f>'01_원자료'!P236*'03_가중치민감도'!$B$6+'01_원자료'!Q236*'03_가중치민감도'!$C$6+'01_원자료'!R236*'03_가중치민감도'!$D$6</f>
        <v/>
      </c>
      <c r="G239" s="85">
        <f>'01_원자료'!P236*'03_가중치민감도'!$B$7+'01_원자료'!Q236*'03_가중치민감도'!$C$7+'01_원자료'!R236*'03_가중치민감도'!$D$7</f>
        <v/>
      </c>
      <c r="H239" s="85">
        <f>'01_원자료'!P236*'03_가중치민감도'!$B$8+'01_원자료'!Q236*'03_가중치민감도'!$C$8+'01_원자료'!R236*'03_가중치민감도'!$D$8</f>
        <v/>
      </c>
      <c r="I239" s="85">
        <f>'01_원자료'!P236*'03_가중치민감도'!$B$9+'01_원자료'!Q236*'03_가중치민감도'!$C$9+'01_원자료'!R236*'03_가중치민감도'!$D$9</f>
        <v/>
      </c>
      <c r="J239" s="85">
        <f>'01_원자료'!P236*'03_가중치민감도'!$B$10+'01_원자료'!Q236*'03_가중치민감도'!$C$10+'01_원자료'!R236*'03_가중치민감도'!$D$10</f>
        <v/>
      </c>
      <c r="K239" s="99">
        <f>COUNTIF($E$5:$E$979,"&lt;"&amp;E239)+(COUNTIF($E$5:$E$979,"="&amp;E239)+1)/2</f>
        <v/>
      </c>
      <c r="L239" s="99">
        <f>COUNTIF($F$5:$F$979,"&lt;"&amp;F239)+(COUNTIF($F$5:$F$979,"="&amp;F239)+1)/2</f>
        <v/>
      </c>
      <c r="M239" s="99">
        <f>COUNTIF($G$5:$G$979,"&lt;"&amp;G239)+(COUNTIF($G$5:$G$979,"="&amp;G239)+1)/2</f>
        <v/>
      </c>
      <c r="N239" s="99">
        <f>COUNTIF($H$5:$H$979,"&lt;"&amp;H239)+(COUNTIF($H$5:$H$979,"="&amp;H239)+1)/2</f>
        <v/>
      </c>
      <c r="O239" s="99">
        <f>COUNTIF($I$5:$I$979,"&lt;"&amp;I239)+(COUNTIF($I$5:$I$979,"="&amp;I239)+1)/2</f>
        <v/>
      </c>
      <c r="P239" s="99">
        <f>COUNTIF($J$5:$J$979,"&lt;"&amp;J239)+(COUNTIF($J$5:$J$979,"="&amp;J239)+1)/2</f>
        <v/>
      </c>
    </row>
    <row r="240" ht="15" customHeight="1" s="68">
      <c r="A240" s="70">
        <f>'01_원자료'!A237</f>
        <v/>
      </c>
      <c r="B240" s="70">
        <f>'01_원자료'!B237</f>
        <v/>
      </c>
      <c r="C240" s="70">
        <f>'01_원자료'!C237</f>
        <v/>
      </c>
      <c r="E240" s="85">
        <f>'01_원자료'!P237*'03_가중치민감도'!$B$5+'01_원자료'!Q237*'03_가중치민감도'!$C$5+'01_원자료'!R237*'03_가중치민감도'!$D$5</f>
        <v/>
      </c>
      <c r="F240" s="85">
        <f>'01_원자료'!P237*'03_가중치민감도'!$B$6+'01_원자료'!Q237*'03_가중치민감도'!$C$6+'01_원자료'!R237*'03_가중치민감도'!$D$6</f>
        <v/>
      </c>
      <c r="G240" s="85">
        <f>'01_원자료'!P237*'03_가중치민감도'!$B$7+'01_원자료'!Q237*'03_가중치민감도'!$C$7+'01_원자료'!R237*'03_가중치민감도'!$D$7</f>
        <v/>
      </c>
      <c r="H240" s="85">
        <f>'01_원자료'!P237*'03_가중치민감도'!$B$8+'01_원자료'!Q237*'03_가중치민감도'!$C$8+'01_원자료'!R237*'03_가중치민감도'!$D$8</f>
        <v/>
      </c>
      <c r="I240" s="85">
        <f>'01_원자료'!P237*'03_가중치민감도'!$B$9+'01_원자료'!Q237*'03_가중치민감도'!$C$9+'01_원자료'!R237*'03_가중치민감도'!$D$9</f>
        <v/>
      </c>
      <c r="J240" s="85">
        <f>'01_원자료'!P237*'03_가중치민감도'!$B$10+'01_원자료'!Q237*'03_가중치민감도'!$C$10+'01_원자료'!R237*'03_가중치민감도'!$D$10</f>
        <v/>
      </c>
      <c r="K240" s="99">
        <f>COUNTIF($E$5:$E$979,"&lt;"&amp;E240)+(COUNTIF($E$5:$E$979,"="&amp;E240)+1)/2</f>
        <v/>
      </c>
      <c r="L240" s="99">
        <f>COUNTIF($F$5:$F$979,"&lt;"&amp;F240)+(COUNTIF($F$5:$F$979,"="&amp;F240)+1)/2</f>
        <v/>
      </c>
      <c r="M240" s="99">
        <f>COUNTIF($G$5:$G$979,"&lt;"&amp;G240)+(COUNTIF($G$5:$G$979,"="&amp;G240)+1)/2</f>
        <v/>
      </c>
      <c r="N240" s="99">
        <f>COUNTIF($H$5:$H$979,"&lt;"&amp;H240)+(COUNTIF($H$5:$H$979,"="&amp;H240)+1)/2</f>
        <v/>
      </c>
      <c r="O240" s="99">
        <f>COUNTIF($I$5:$I$979,"&lt;"&amp;I240)+(COUNTIF($I$5:$I$979,"="&amp;I240)+1)/2</f>
        <v/>
      </c>
      <c r="P240" s="99">
        <f>COUNTIF($J$5:$J$979,"&lt;"&amp;J240)+(COUNTIF($J$5:$J$979,"="&amp;J240)+1)/2</f>
        <v/>
      </c>
    </row>
    <row r="241" ht="15" customHeight="1" s="68">
      <c r="A241" s="70">
        <f>'01_원자료'!A238</f>
        <v/>
      </c>
      <c r="B241" s="70">
        <f>'01_원자료'!B238</f>
        <v/>
      </c>
      <c r="C241" s="70">
        <f>'01_원자료'!C238</f>
        <v/>
      </c>
      <c r="E241" s="85">
        <f>'01_원자료'!P238*'03_가중치민감도'!$B$5+'01_원자료'!Q238*'03_가중치민감도'!$C$5+'01_원자료'!R238*'03_가중치민감도'!$D$5</f>
        <v/>
      </c>
      <c r="F241" s="85">
        <f>'01_원자료'!P238*'03_가중치민감도'!$B$6+'01_원자료'!Q238*'03_가중치민감도'!$C$6+'01_원자료'!R238*'03_가중치민감도'!$D$6</f>
        <v/>
      </c>
      <c r="G241" s="85">
        <f>'01_원자료'!P238*'03_가중치민감도'!$B$7+'01_원자료'!Q238*'03_가중치민감도'!$C$7+'01_원자료'!R238*'03_가중치민감도'!$D$7</f>
        <v/>
      </c>
      <c r="H241" s="85">
        <f>'01_원자료'!P238*'03_가중치민감도'!$B$8+'01_원자료'!Q238*'03_가중치민감도'!$C$8+'01_원자료'!R238*'03_가중치민감도'!$D$8</f>
        <v/>
      </c>
      <c r="I241" s="85">
        <f>'01_원자료'!P238*'03_가중치민감도'!$B$9+'01_원자료'!Q238*'03_가중치민감도'!$C$9+'01_원자료'!R238*'03_가중치민감도'!$D$9</f>
        <v/>
      </c>
      <c r="J241" s="85">
        <f>'01_원자료'!P238*'03_가중치민감도'!$B$10+'01_원자료'!Q238*'03_가중치민감도'!$C$10+'01_원자료'!R238*'03_가중치민감도'!$D$10</f>
        <v/>
      </c>
      <c r="K241" s="99">
        <f>COUNTIF($E$5:$E$979,"&lt;"&amp;E241)+(COUNTIF($E$5:$E$979,"="&amp;E241)+1)/2</f>
        <v/>
      </c>
      <c r="L241" s="99">
        <f>COUNTIF($F$5:$F$979,"&lt;"&amp;F241)+(COUNTIF($F$5:$F$979,"="&amp;F241)+1)/2</f>
        <v/>
      </c>
      <c r="M241" s="99">
        <f>COUNTIF($G$5:$G$979,"&lt;"&amp;G241)+(COUNTIF($G$5:$G$979,"="&amp;G241)+1)/2</f>
        <v/>
      </c>
      <c r="N241" s="99">
        <f>COUNTIF($H$5:$H$979,"&lt;"&amp;H241)+(COUNTIF($H$5:$H$979,"="&amp;H241)+1)/2</f>
        <v/>
      </c>
      <c r="O241" s="99">
        <f>COUNTIF($I$5:$I$979,"&lt;"&amp;I241)+(COUNTIF($I$5:$I$979,"="&amp;I241)+1)/2</f>
        <v/>
      </c>
      <c r="P241" s="99">
        <f>COUNTIF($J$5:$J$979,"&lt;"&amp;J241)+(COUNTIF($J$5:$J$979,"="&amp;J241)+1)/2</f>
        <v/>
      </c>
    </row>
    <row r="242" ht="15" customHeight="1" s="68">
      <c r="A242" s="70">
        <f>'01_원자료'!A239</f>
        <v/>
      </c>
      <c r="B242" s="70">
        <f>'01_원자료'!B239</f>
        <v/>
      </c>
      <c r="C242" s="70">
        <f>'01_원자료'!C239</f>
        <v/>
      </c>
      <c r="E242" s="85">
        <f>'01_원자료'!P239*'03_가중치민감도'!$B$5+'01_원자료'!Q239*'03_가중치민감도'!$C$5+'01_원자료'!R239*'03_가중치민감도'!$D$5</f>
        <v/>
      </c>
      <c r="F242" s="85">
        <f>'01_원자료'!P239*'03_가중치민감도'!$B$6+'01_원자료'!Q239*'03_가중치민감도'!$C$6+'01_원자료'!R239*'03_가중치민감도'!$D$6</f>
        <v/>
      </c>
      <c r="G242" s="85">
        <f>'01_원자료'!P239*'03_가중치민감도'!$B$7+'01_원자료'!Q239*'03_가중치민감도'!$C$7+'01_원자료'!R239*'03_가중치민감도'!$D$7</f>
        <v/>
      </c>
      <c r="H242" s="85">
        <f>'01_원자료'!P239*'03_가중치민감도'!$B$8+'01_원자료'!Q239*'03_가중치민감도'!$C$8+'01_원자료'!R239*'03_가중치민감도'!$D$8</f>
        <v/>
      </c>
      <c r="I242" s="85">
        <f>'01_원자료'!P239*'03_가중치민감도'!$B$9+'01_원자료'!Q239*'03_가중치민감도'!$C$9+'01_원자료'!R239*'03_가중치민감도'!$D$9</f>
        <v/>
      </c>
      <c r="J242" s="85">
        <f>'01_원자료'!P239*'03_가중치민감도'!$B$10+'01_원자료'!Q239*'03_가중치민감도'!$C$10+'01_원자료'!R239*'03_가중치민감도'!$D$10</f>
        <v/>
      </c>
      <c r="K242" s="99">
        <f>COUNTIF($E$5:$E$979,"&lt;"&amp;E242)+(COUNTIF($E$5:$E$979,"="&amp;E242)+1)/2</f>
        <v/>
      </c>
      <c r="L242" s="99">
        <f>COUNTIF($F$5:$F$979,"&lt;"&amp;F242)+(COUNTIF($F$5:$F$979,"="&amp;F242)+1)/2</f>
        <v/>
      </c>
      <c r="M242" s="99">
        <f>COUNTIF($G$5:$G$979,"&lt;"&amp;G242)+(COUNTIF($G$5:$G$979,"="&amp;G242)+1)/2</f>
        <v/>
      </c>
      <c r="N242" s="99">
        <f>COUNTIF($H$5:$H$979,"&lt;"&amp;H242)+(COUNTIF($H$5:$H$979,"="&amp;H242)+1)/2</f>
        <v/>
      </c>
      <c r="O242" s="99">
        <f>COUNTIF($I$5:$I$979,"&lt;"&amp;I242)+(COUNTIF($I$5:$I$979,"="&amp;I242)+1)/2</f>
        <v/>
      </c>
      <c r="P242" s="99">
        <f>COUNTIF($J$5:$J$979,"&lt;"&amp;J242)+(COUNTIF($J$5:$J$979,"="&amp;J242)+1)/2</f>
        <v/>
      </c>
    </row>
    <row r="243" ht="15" customHeight="1" s="68">
      <c r="A243" s="70">
        <f>'01_원자료'!A240</f>
        <v/>
      </c>
      <c r="B243" s="70">
        <f>'01_원자료'!B240</f>
        <v/>
      </c>
      <c r="C243" s="70">
        <f>'01_원자료'!C240</f>
        <v/>
      </c>
      <c r="E243" s="85">
        <f>'01_원자료'!P240*'03_가중치민감도'!$B$5+'01_원자료'!Q240*'03_가중치민감도'!$C$5+'01_원자료'!R240*'03_가중치민감도'!$D$5</f>
        <v/>
      </c>
      <c r="F243" s="85">
        <f>'01_원자료'!P240*'03_가중치민감도'!$B$6+'01_원자료'!Q240*'03_가중치민감도'!$C$6+'01_원자료'!R240*'03_가중치민감도'!$D$6</f>
        <v/>
      </c>
      <c r="G243" s="85">
        <f>'01_원자료'!P240*'03_가중치민감도'!$B$7+'01_원자료'!Q240*'03_가중치민감도'!$C$7+'01_원자료'!R240*'03_가중치민감도'!$D$7</f>
        <v/>
      </c>
      <c r="H243" s="85">
        <f>'01_원자료'!P240*'03_가중치민감도'!$B$8+'01_원자료'!Q240*'03_가중치민감도'!$C$8+'01_원자료'!R240*'03_가중치민감도'!$D$8</f>
        <v/>
      </c>
      <c r="I243" s="85">
        <f>'01_원자료'!P240*'03_가중치민감도'!$B$9+'01_원자료'!Q240*'03_가중치민감도'!$C$9+'01_원자료'!R240*'03_가중치민감도'!$D$9</f>
        <v/>
      </c>
      <c r="J243" s="85">
        <f>'01_원자료'!P240*'03_가중치민감도'!$B$10+'01_원자료'!Q240*'03_가중치민감도'!$C$10+'01_원자료'!R240*'03_가중치민감도'!$D$10</f>
        <v/>
      </c>
      <c r="K243" s="99">
        <f>COUNTIF($E$5:$E$979,"&lt;"&amp;E243)+(COUNTIF($E$5:$E$979,"="&amp;E243)+1)/2</f>
        <v/>
      </c>
      <c r="L243" s="99">
        <f>COUNTIF($F$5:$F$979,"&lt;"&amp;F243)+(COUNTIF($F$5:$F$979,"="&amp;F243)+1)/2</f>
        <v/>
      </c>
      <c r="M243" s="99">
        <f>COUNTIF($G$5:$G$979,"&lt;"&amp;G243)+(COUNTIF($G$5:$G$979,"="&amp;G243)+1)/2</f>
        <v/>
      </c>
      <c r="N243" s="99">
        <f>COUNTIF($H$5:$H$979,"&lt;"&amp;H243)+(COUNTIF($H$5:$H$979,"="&amp;H243)+1)/2</f>
        <v/>
      </c>
      <c r="O243" s="99">
        <f>COUNTIF($I$5:$I$979,"&lt;"&amp;I243)+(COUNTIF($I$5:$I$979,"="&amp;I243)+1)/2</f>
        <v/>
      </c>
      <c r="P243" s="99">
        <f>COUNTIF($J$5:$J$979,"&lt;"&amp;J243)+(COUNTIF($J$5:$J$979,"="&amp;J243)+1)/2</f>
        <v/>
      </c>
    </row>
    <row r="244" ht="15" customHeight="1" s="68">
      <c r="A244" s="70">
        <f>'01_원자료'!A241</f>
        <v/>
      </c>
      <c r="B244" s="70">
        <f>'01_원자료'!B241</f>
        <v/>
      </c>
      <c r="C244" s="70">
        <f>'01_원자료'!C241</f>
        <v/>
      </c>
      <c r="E244" s="85">
        <f>'01_원자료'!P241*'03_가중치민감도'!$B$5+'01_원자료'!Q241*'03_가중치민감도'!$C$5+'01_원자료'!R241*'03_가중치민감도'!$D$5</f>
        <v/>
      </c>
      <c r="F244" s="85">
        <f>'01_원자료'!P241*'03_가중치민감도'!$B$6+'01_원자료'!Q241*'03_가중치민감도'!$C$6+'01_원자료'!R241*'03_가중치민감도'!$D$6</f>
        <v/>
      </c>
      <c r="G244" s="85">
        <f>'01_원자료'!P241*'03_가중치민감도'!$B$7+'01_원자료'!Q241*'03_가중치민감도'!$C$7+'01_원자료'!R241*'03_가중치민감도'!$D$7</f>
        <v/>
      </c>
      <c r="H244" s="85">
        <f>'01_원자료'!P241*'03_가중치민감도'!$B$8+'01_원자료'!Q241*'03_가중치민감도'!$C$8+'01_원자료'!R241*'03_가중치민감도'!$D$8</f>
        <v/>
      </c>
      <c r="I244" s="85">
        <f>'01_원자료'!P241*'03_가중치민감도'!$B$9+'01_원자료'!Q241*'03_가중치민감도'!$C$9+'01_원자료'!R241*'03_가중치민감도'!$D$9</f>
        <v/>
      </c>
      <c r="J244" s="85">
        <f>'01_원자료'!P241*'03_가중치민감도'!$B$10+'01_원자료'!Q241*'03_가중치민감도'!$C$10+'01_원자료'!R241*'03_가중치민감도'!$D$10</f>
        <v/>
      </c>
      <c r="K244" s="99">
        <f>COUNTIF($E$5:$E$979,"&lt;"&amp;E244)+(COUNTIF($E$5:$E$979,"="&amp;E244)+1)/2</f>
        <v/>
      </c>
      <c r="L244" s="99">
        <f>COUNTIF($F$5:$F$979,"&lt;"&amp;F244)+(COUNTIF($F$5:$F$979,"="&amp;F244)+1)/2</f>
        <v/>
      </c>
      <c r="M244" s="99">
        <f>COUNTIF($G$5:$G$979,"&lt;"&amp;G244)+(COUNTIF($G$5:$G$979,"="&amp;G244)+1)/2</f>
        <v/>
      </c>
      <c r="N244" s="99">
        <f>COUNTIF($H$5:$H$979,"&lt;"&amp;H244)+(COUNTIF($H$5:$H$979,"="&amp;H244)+1)/2</f>
        <v/>
      </c>
      <c r="O244" s="99">
        <f>COUNTIF($I$5:$I$979,"&lt;"&amp;I244)+(COUNTIF($I$5:$I$979,"="&amp;I244)+1)/2</f>
        <v/>
      </c>
      <c r="P244" s="99">
        <f>COUNTIF($J$5:$J$979,"&lt;"&amp;J244)+(COUNTIF($J$5:$J$979,"="&amp;J244)+1)/2</f>
        <v/>
      </c>
    </row>
    <row r="245" ht="15" customHeight="1" s="68">
      <c r="A245" s="70">
        <f>'01_원자료'!A242</f>
        <v/>
      </c>
      <c r="B245" s="70">
        <f>'01_원자료'!B242</f>
        <v/>
      </c>
      <c r="C245" s="70">
        <f>'01_원자료'!C242</f>
        <v/>
      </c>
      <c r="E245" s="85">
        <f>'01_원자료'!P242*'03_가중치민감도'!$B$5+'01_원자료'!Q242*'03_가중치민감도'!$C$5+'01_원자료'!R242*'03_가중치민감도'!$D$5</f>
        <v/>
      </c>
      <c r="F245" s="85">
        <f>'01_원자료'!P242*'03_가중치민감도'!$B$6+'01_원자료'!Q242*'03_가중치민감도'!$C$6+'01_원자료'!R242*'03_가중치민감도'!$D$6</f>
        <v/>
      </c>
      <c r="G245" s="85">
        <f>'01_원자료'!P242*'03_가중치민감도'!$B$7+'01_원자료'!Q242*'03_가중치민감도'!$C$7+'01_원자료'!R242*'03_가중치민감도'!$D$7</f>
        <v/>
      </c>
      <c r="H245" s="85">
        <f>'01_원자료'!P242*'03_가중치민감도'!$B$8+'01_원자료'!Q242*'03_가중치민감도'!$C$8+'01_원자료'!R242*'03_가중치민감도'!$D$8</f>
        <v/>
      </c>
      <c r="I245" s="85">
        <f>'01_원자료'!P242*'03_가중치민감도'!$B$9+'01_원자료'!Q242*'03_가중치민감도'!$C$9+'01_원자료'!R242*'03_가중치민감도'!$D$9</f>
        <v/>
      </c>
      <c r="J245" s="85">
        <f>'01_원자료'!P242*'03_가중치민감도'!$B$10+'01_원자료'!Q242*'03_가중치민감도'!$C$10+'01_원자료'!R242*'03_가중치민감도'!$D$10</f>
        <v/>
      </c>
      <c r="K245" s="99">
        <f>COUNTIF($E$5:$E$979,"&lt;"&amp;E245)+(COUNTIF($E$5:$E$979,"="&amp;E245)+1)/2</f>
        <v/>
      </c>
      <c r="L245" s="99">
        <f>COUNTIF($F$5:$F$979,"&lt;"&amp;F245)+(COUNTIF($F$5:$F$979,"="&amp;F245)+1)/2</f>
        <v/>
      </c>
      <c r="M245" s="99">
        <f>COUNTIF($G$5:$G$979,"&lt;"&amp;G245)+(COUNTIF($G$5:$G$979,"="&amp;G245)+1)/2</f>
        <v/>
      </c>
      <c r="N245" s="99">
        <f>COUNTIF($H$5:$H$979,"&lt;"&amp;H245)+(COUNTIF($H$5:$H$979,"="&amp;H245)+1)/2</f>
        <v/>
      </c>
      <c r="O245" s="99">
        <f>COUNTIF($I$5:$I$979,"&lt;"&amp;I245)+(COUNTIF($I$5:$I$979,"="&amp;I245)+1)/2</f>
        <v/>
      </c>
      <c r="P245" s="99">
        <f>COUNTIF($J$5:$J$979,"&lt;"&amp;J245)+(COUNTIF($J$5:$J$979,"="&amp;J245)+1)/2</f>
        <v/>
      </c>
    </row>
    <row r="246" ht="15" customHeight="1" s="68">
      <c r="A246" s="70">
        <f>'01_원자료'!A243</f>
        <v/>
      </c>
      <c r="B246" s="70">
        <f>'01_원자료'!B243</f>
        <v/>
      </c>
      <c r="C246" s="70">
        <f>'01_원자료'!C243</f>
        <v/>
      </c>
      <c r="E246" s="85">
        <f>'01_원자료'!P243*'03_가중치민감도'!$B$5+'01_원자료'!Q243*'03_가중치민감도'!$C$5+'01_원자료'!R243*'03_가중치민감도'!$D$5</f>
        <v/>
      </c>
      <c r="F246" s="85">
        <f>'01_원자료'!P243*'03_가중치민감도'!$B$6+'01_원자료'!Q243*'03_가중치민감도'!$C$6+'01_원자료'!R243*'03_가중치민감도'!$D$6</f>
        <v/>
      </c>
      <c r="G246" s="85">
        <f>'01_원자료'!P243*'03_가중치민감도'!$B$7+'01_원자료'!Q243*'03_가중치민감도'!$C$7+'01_원자료'!R243*'03_가중치민감도'!$D$7</f>
        <v/>
      </c>
      <c r="H246" s="85">
        <f>'01_원자료'!P243*'03_가중치민감도'!$B$8+'01_원자료'!Q243*'03_가중치민감도'!$C$8+'01_원자료'!R243*'03_가중치민감도'!$D$8</f>
        <v/>
      </c>
      <c r="I246" s="85">
        <f>'01_원자료'!P243*'03_가중치민감도'!$B$9+'01_원자료'!Q243*'03_가중치민감도'!$C$9+'01_원자료'!R243*'03_가중치민감도'!$D$9</f>
        <v/>
      </c>
      <c r="J246" s="85">
        <f>'01_원자료'!P243*'03_가중치민감도'!$B$10+'01_원자료'!Q243*'03_가중치민감도'!$C$10+'01_원자료'!R243*'03_가중치민감도'!$D$10</f>
        <v/>
      </c>
      <c r="K246" s="99">
        <f>COUNTIF($E$5:$E$979,"&lt;"&amp;E246)+(COUNTIF($E$5:$E$979,"="&amp;E246)+1)/2</f>
        <v/>
      </c>
      <c r="L246" s="99">
        <f>COUNTIF($F$5:$F$979,"&lt;"&amp;F246)+(COUNTIF($F$5:$F$979,"="&amp;F246)+1)/2</f>
        <v/>
      </c>
      <c r="M246" s="99">
        <f>COUNTIF($G$5:$G$979,"&lt;"&amp;G246)+(COUNTIF($G$5:$G$979,"="&amp;G246)+1)/2</f>
        <v/>
      </c>
      <c r="N246" s="99">
        <f>COUNTIF($H$5:$H$979,"&lt;"&amp;H246)+(COUNTIF($H$5:$H$979,"="&amp;H246)+1)/2</f>
        <v/>
      </c>
      <c r="O246" s="99">
        <f>COUNTIF($I$5:$I$979,"&lt;"&amp;I246)+(COUNTIF($I$5:$I$979,"="&amp;I246)+1)/2</f>
        <v/>
      </c>
      <c r="P246" s="99">
        <f>COUNTIF($J$5:$J$979,"&lt;"&amp;J246)+(COUNTIF($J$5:$J$979,"="&amp;J246)+1)/2</f>
        <v/>
      </c>
    </row>
    <row r="247" ht="15" customHeight="1" s="68">
      <c r="A247" s="70">
        <f>'01_원자료'!A244</f>
        <v/>
      </c>
      <c r="B247" s="70">
        <f>'01_원자료'!B244</f>
        <v/>
      </c>
      <c r="C247" s="70">
        <f>'01_원자료'!C244</f>
        <v/>
      </c>
      <c r="E247" s="85">
        <f>'01_원자료'!P244*'03_가중치민감도'!$B$5+'01_원자료'!Q244*'03_가중치민감도'!$C$5+'01_원자료'!R244*'03_가중치민감도'!$D$5</f>
        <v/>
      </c>
      <c r="F247" s="85">
        <f>'01_원자료'!P244*'03_가중치민감도'!$B$6+'01_원자료'!Q244*'03_가중치민감도'!$C$6+'01_원자료'!R244*'03_가중치민감도'!$D$6</f>
        <v/>
      </c>
      <c r="G247" s="85">
        <f>'01_원자료'!P244*'03_가중치민감도'!$B$7+'01_원자료'!Q244*'03_가중치민감도'!$C$7+'01_원자료'!R244*'03_가중치민감도'!$D$7</f>
        <v/>
      </c>
      <c r="H247" s="85">
        <f>'01_원자료'!P244*'03_가중치민감도'!$B$8+'01_원자료'!Q244*'03_가중치민감도'!$C$8+'01_원자료'!R244*'03_가중치민감도'!$D$8</f>
        <v/>
      </c>
      <c r="I247" s="85">
        <f>'01_원자료'!P244*'03_가중치민감도'!$B$9+'01_원자료'!Q244*'03_가중치민감도'!$C$9+'01_원자료'!R244*'03_가중치민감도'!$D$9</f>
        <v/>
      </c>
      <c r="J247" s="85">
        <f>'01_원자료'!P244*'03_가중치민감도'!$B$10+'01_원자료'!Q244*'03_가중치민감도'!$C$10+'01_원자료'!R244*'03_가중치민감도'!$D$10</f>
        <v/>
      </c>
      <c r="K247" s="99">
        <f>COUNTIF($E$5:$E$979,"&lt;"&amp;E247)+(COUNTIF($E$5:$E$979,"="&amp;E247)+1)/2</f>
        <v/>
      </c>
      <c r="L247" s="99">
        <f>COUNTIF($F$5:$F$979,"&lt;"&amp;F247)+(COUNTIF($F$5:$F$979,"="&amp;F247)+1)/2</f>
        <v/>
      </c>
      <c r="M247" s="99">
        <f>COUNTIF($G$5:$G$979,"&lt;"&amp;G247)+(COUNTIF($G$5:$G$979,"="&amp;G247)+1)/2</f>
        <v/>
      </c>
      <c r="N247" s="99">
        <f>COUNTIF($H$5:$H$979,"&lt;"&amp;H247)+(COUNTIF($H$5:$H$979,"="&amp;H247)+1)/2</f>
        <v/>
      </c>
      <c r="O247" s="99">
        <f>COUNTIF($I$5:$I$979,"&lt;"&amp;I247)+(COUNTIF($I$5:$I$979,"="&amp;I247)+1)/2</f>
        <v/>
      </c>
      <c r="P247" s="99">
        <f>COUNTIF($J$5:$J$979,"&lt;"&amp;J247)+(COUNTIF($J$5:$J$979,"="&amp;J247)+1)/2</f>
        <v/>
      </c>
    </row>
    <row r="248" ht="15" customHeight="1" s="68">
      <c r="A248" s="70">
        <f>'01_원자료'!A245</f>
        <v/>
      </c>
      <c r="B248" s="70">
        <f>'01_원자료'!B245</f>
        <v/>
      </c>
      <c r="C248" s="70">
        <f>'01_원자료'!C245</f>
        <v/>
      </c>
      <c r="E248" s="85">
        <f>'01_원자료'!P245*'03_가중치민감도'!$B$5+'01_원자료'!Q245*'03_가중치민감도'!$C$5+'01_원자료'!R245*'03_가중치민감도'!$D$5</f>
        <v/>
      </c>
      <c r="F248" s="85">
        <f>'01_원자료'!P245*'03_가중치민감도'!$B$6+'01_원자료'!Q245*'03_가중치민감도'!$C$6+'01_원자료'!R245*'03_가중치민감도'!$D$6</f>
        <v/>
      </c>
      <c r="G248" s="85">
        <f>'01_원자료'!P245*'03_가중치민감도'!$B$7+'01_원자료'!Q245*'03_가중치민감도'!$C$7+'01_원자료'!R245*'03_가중치민감도'!$D$7</f>
        <v/>
      </c>
      <c r="H248" s="85">
        <f>'01_원자료'!P245*'03_가중치민감도'!$B$8+'01_원자료'!Q245*'03_가중치민감도'!$C$8+'01_원자료'!R245*'03_가중치민감도'!$D$8</f>
        <v/>
      </c>
      <c r="I248" s="85">
        <f>'01_원자료'!P245*'03_가중치민감도'!$B$9+'01_원자료'!Q245*'03_가중치민감도'!$C$9+'01_원자료'!R245*'03_가중치민감도'!$D$9</f>
        <v/>
      </c>
      <c r="J248" s="85">
        <f>'01_원자료'!P245*'03_가중치민감도'!$B$10+'01_원자료'!Q245*'03_가중치민감도'!$C$10+'01_원자료'!R245*'03_가중치민감도'!$D$10</f>
        <v/>
      </c>
      <c r="K248" s="99">
        <f>COUNTIF($E$5:$E$979,"&lt;"&amp;E248)+(COUNTIF($E$5:$E$979,"="&amp;E248)+1)/2</f>
        <v/>
      </c>
      <c r="L248" s="99">
        <f>COUNTIF($F$5:$F$979,"&lt;"&amp;F248)+(COUNTIF($F$5:$F$979,"="&amp;F248)+1)/2</f>
        <v/>
      </c>
      <c r="M248" s="99">
        <f>COUNTIF($G$5:$G$979,"&lt;"&amp;G248)+(COUNTIF($G$5:$G$979,"="&amp;G248)+1)/2</f>
        <v/>
      </c>
      <c r="N248" s="99">
        <f>COUNTIF($H$5:$H$979,"&lt;"&amp;H248)+(COUNTIF($H$5:$H$979,"="&amp;H248)+1)/2</f>
        <v/>
      </c>
      <c r="O248" s="99">
        <f>COUNTIF($I$5:$I$979,"&lt;"&amp;I248)+(COUNTIF($I$5:$I$979,"="&amp;I248)+1)/2</f>
        <v/>
      </c>
      <c r="P248" s="99">
        <f>COUNTIF($J$5:$J$979,"&lt;"&amp;J248)+(COUNTIF($J$5:$J$979,"="&amp;J248)+1)/2</f>
        <v/>
      </c>
    </row>
    <row r="249" ht="15" customHeight="1" s="68">
      <c r="A249" s="70">
        <f>'01_원자료'!A246</f>
        <v/>
      </c>
      <c r="B249" s="70">
        <f>'01_원자료'!B246</f>
        <v/>
      </c>
      <c r="C249" s="70">
        <f>'01_원자료'!C246</f>
        <v/>
      </c>
      <c r="E249" s="85">
        <f>'01_원자료'!P246*'03_가중치민감도'!$B$5+'01_원자료'!Q246*'03_가중치민감도'!$C$5+'01_원자료'!R246*'03_가중치민감도'!$D$5</f>
        <v/>
      </c>
      <c r="F249" s="85">
        <f>'01_원자료'!P246*'03_가중치민감도'!$B$6+'01_원자료'!Q246*'03_가중치민감도'!$C$6+'01_원자료'!R246*'03_가중치민감도'!$D$6</f>
        <v/>
      </c>
      <c r="G249" s="85">
        <f>'01_원자료'!P246*'03_가중치민감도'!$B$7+'01_원자료'!Q246*'03_가중치민감도'!$C$7+'01_원자료'!R246*'03_가중치민감도'!$D$7</f>
        <v/>
      </c>
      <c r="H249" s="85">
        <f>'01_원자료'!P246*'03_가중치민감도'!$B$8+'01_원자료'!Q246*'03_가중치민감도'!$C$8+'01_원자료'!R246*'03_가중치민감도'!$D$8</f>
        <v/>
      </c>
      <c r="I249" s="85">
        <f>'01_원자료'!P246*'03_가중치민감도'!$B$9+'01_원자료'!Q246*'03_가중치민감도'!$C$9+'01_원자료'!R246*'03_가중치민감도'!$D$9</f>
        <v/>
      </c>
      <c r="J249" s="85">
        <f>'01_원자료'!P246*'03_가중치민감도'!$B$10+'01_원자료'!Q246*'03_가중치민감도'!$C$10+'01_원자료'!R246*'03_가중치민감도'!$D$10</f>
        <v/>
      </c>
      <c r="K249" s="99">
        <f>COUNTIF($E$5:$E$979,"&lt;"&amp;E249)+(COUNTIF($E$5:$E$979,"="&amp;E249)+1)/2</f>
        <v/>
      </c>
      <c r="L249" s="99">
        <f>COUNTIF($F$5:$F$979,"&lt;"&amp;F249)+(COUNTIF($F$5:$F$979,"="&amp;F249)+1)/2</f>
        <v/>
      </c>
      <c r="M249" s="99">
        <f>COUNTIF($G$5:$G$979,"&lt;"&amp;G249)+(COUNTIF($G$5:$G$979,"="&amp;G249)+1)/2</f>
        <v/>
      </c>
      <c r="N249" s="99">
        <f>COUNTIF($H$5:$H$979,"&lt;"&amp;H249)+(COUNTIF($H$5:$H$979,"="&amp;H249)+1)/2</f>
        <v/>
      </c>
      <c r="O249" s="99">
        <f>COUNTIF($I$5:$I$979,"&lt;"&amp;I249)+(COUNTIF($I$5:$I$979,"="&amp;I249)+1)/2</f>
        <v/>
      </c>
      <c r="P249" s="99">
        <f>COUNTIF($J$5:$J$979,"&lt;"&amp;J249)+(COUNTIF($J$5:$J$979,"="&amp;J249)+1)/2</f>
        <v/>
      </c>
    </row>
    <row r="250" ht="15" customHeight="1" s="68">
      <c r="A250" s="70">
        <f>'01_원자료'!A247</f>
        <v/>
      </c>
      <c r="B250" s="70">
        <f>'01_원자료'!B247</f>
        <v/>
      </c>
      <c r="C250" s="70">
        <f>'01_원자료'!C247</f>
        <v/>
      </c>
      <c r="E250" s="85">
        <f>'01_원자료'!P247*'03_가중치민감도'!$B$5+'01_원자료'!Q247*'03_가중치민감도'!$C$5+'01_원자료'!R247*'03_가중치민감도'!$D$5</f>
        <v/>
      </c>
      <c r="F250" s="85">
        <f>'01_원자료'!P247*'03_가중치민감도'!$B$6+'01_원자료'!Q247*'03_가중치민감도'!$C$6+'01_원자료'!R247*'03_가중치민감도'!$D$6</f>
        <v/>
      </c>
      <c r="G250" s="85">
        <f>'01_원자료'!P247*'03_가중치민감도'!$B$7+'01_원자료'!Q247*'03_가중치민감도'!$C$7+'01_원자료'!R247*'03_가중치민감도'!$D$7</f>
        <v/>
      </c>
      <c r="H250" s="85">
        <f>'01_원자료'!P247*'03_가중치민감도'!$B$8+'01_원자료'!Q247*'03_가중치민감도'!$C$8+'01_원자료'!R247*'03_가중치민감도'!$D$8</f>
        <v/>
      </c>
      <c r="I250" s="85">
        <f>'01_원자료'!P247*'03_가중치민감도'!$B$9+'01_원자료'!Q247*'03_가중치민감도'!$C$9+'01_원자료'!R247*'03_가중치민감도'!$D$9</f>
        <v/>
      </c>
      <c r="J250" s="85">
        <f>'01_원자료'!P247*'03_가중치민감도'!$B$10+'01_원자료'!Q247*'03_가중치민감도'!$C$10+'01_원자료'!R247*'03_가중치민감도'!$D$10</f>
        <v/>
      </c>
      <c r="K250" s="99">
        <f>COUNTIF($E$5:$E$979,"&lt;"&amp;E250)+(COUNTIF($E$5:$E$979,"="&amp;E250)+1)/2</f>
        <v/>
      </c>
      <c r="L250" s="99">
        <f>COUNTIF($F$5:$F$979,"&lt;"&amp;F250)+(COUNTIF($F$5:$F$979,"="&amp;F250)+1)/2</f>
        <v/>
      </c>
      <c r="M250" s="99">
        <f>COUNTIF($G$5:$G$979,"&lt;"&amp;G250)+(COUNTIF($G$5:$G$979,"="&amp;G250)+1)/2</f>
        <v/>
      </c>
      <c r="N250" s="99">
        <f>COUNTIF($H$5:$H$979,"&lt;"&amp;H250)+(COUNTIF($H$5:$H$979,"="&amp;H250)+1)/2</f>
        <v/>
      </c>
      <c r="O250" s="99">
        <f>COUNTIF($I$5:$I$979,"&lt;"&amp;I250)+(COUNTIF($I$5:$I$979,"="&amp;I250)+1)/2</f>
        <v/>
      </c>
      <c r="P250" s="99">
        <f>COUNTIF($J$5:$J$979,"&lt;"&amp;J250)+(COUNTIF($J$5:$J$979,"="&amp;J250)+1)/2</f>
        <v/>
      </c>
    </row>
    <row r="251" ht="15" customHeight="1" s="68">
      <c r="A251" s="70">
        <f>'01_원자료'!A248</f>
        <v/>
      </c>
      <c r="B251" s="70">
        <f>'01_원자료'!B248</f>
        <v/>
      </c>
      <c r="C251" s="70">
        <f>'01_원자료'!C248</f>
        <v/>
      </c>
      <c r="E251" s="85">
        <f>'01_원자료'!P248*'03_가중치민감도'!$B$5+'01_원자료'!Q248*'03_가중치민감도'!$C$5+'01_원자료'!R248*'03_가중치민감도'!$D$5</f>
        <v/>
      </c>
      <c r="F251" s="85">
        <f>'01_원자료'!P248*'03_가중치민감도'!$B$6+'01_원자료'!Q248*'03_가중치민감도'!$C$6+'01_원자료'!R248*'03_가중치민감도'!$D$6</f>
        <v/>
      </c>
      <c r="G251" s="85">
        <f>'01_원자료'!P248*'03_가중치민감도'!$B$7+'01_원자료'!Q248*'03_가중치민감도'!$C$7+'01_원자료'!R248*'03_가중치민감도'!$D$7</f>
        <v/>
      </c>
      <c r="H251" s="85">
        <f>'01_원자료'!P248*'03_가중치민감도'!$B$8+'01_원자료'!Q248*'03_가중치민감도'!$C$8+'01_원자료'!R248*'03_가중치민감도'!$D$8</f>
        <v/>
      </c>
      <c r="I251" s="85">
        <f>'01_원자료'!P248*'03_가중치민감도'!$B$9+'01_원자료'!Q248*'03_가중치민감도'!$C$9+'01_원자료'!R248*'03_가중치민감도'!$D$9</f>
        <v/>
      </c>
      <c r="J251" s="85">
        <f>'01_원자료'!P248*'03_가중치민감도'!$B$10+'01_원자료'!Q248*'03_가중치민감도'!$C$10+'01_원자료'!R248*'03_가중치민감도'!$D$10</f>
        <v/>
      </c>
      <c r="K251" s="99">
        <f>COUNTIF($E$5:$E$979,"&lt;"&amp;E251)+(COUNTIF($E$5:$E$979,"="&amp;E251)+1)/2</f>
        <v/>
      </c>
      <c r="L251" s="99">
        <f>COUNTIF($F$5:$F$979,"&lt;"&amp;F251)+(COUNTIF($F$5:$F$979,"="&amp;F251)+1)/2</f>
        <v/>
      </c>
      <c r="M251" s="99">
        <f>COUNTIF($G$5:$G$979,"&lt;"&amp;G251)+(COUNTIF($G$5:$G$979,"="&amp;G251)+1)/2</f>
        <v/>
      </c>
      <c r="N251" s="99">
        <f>COUNTIF($H$5:$H$979,"&lt;"&amp;H251)+(COUNTIF($H$5:$H$979,"="&amp;H251)+1)/2</f>
        <v/>
      </c>
      <c r="O251" s="99">
        <f>COUNTIF($I$5:$I$979,"&lt;"&amp;I251)+(COUNTIF($I$5:$I$979,"="&amp;I251)+1)/2</f>
        <v/>
      </c>
      <c r="P251" s="99">
        <f>COUNTIF($J$5:$J$979,"&lt;"&amp;J251)+(COUNTIF($J$5:$J$979,"="&amp;J251)+1)/2</f>
        <v/>
      </c>
    </row>
    <row r="252" ht="15" customHeight="1" s="68">
      <c r="A252" s="70">
        <f>'01_원자료'!A249</f>
        <v/>
      </c>
      <c r="B252" s="70">
        <f>'01_원자료'!B249</f>
        <v/>
      </c>
      <c r="C252" s="70">
        <f>'01_원자료'!C249</f>
        <v/>
      </c>
      <c r="E252" s="85">
        <f>'01_원자료'!P249*'03_가중치민감도'!$B$5+'01_원자료'!Q249*'03_가중치민감도'!$C$5+'01_원자료'!R249*'03_가중치민감도'!$D$5</f>
        <v/>
      </c>
      <c r="F252" s="85">
        <f>'01_원자료'!P249*'03_가중치민감도'!$B$6+'01_원자료'!Q249*'03_가중치민감도'!$C$6+'01_원자료'!R249*'03_가중치민감도'!$D$6</f>
        <v/>
      </c>
      <c r="G252" s="85">
        <f>'01_원자료'!P249*'03_가중치민감도'!$B$7+'01_원자료'!Q249*'03_가중치민감도'!$C$7+'01_원자료'!R249*'03_가중치민감도'!$D$7</f>
        <v/>
      </c>
      <c r="H252" s="85">
        <f>'01_원자료'!P249*'03_가중치민감도'!$B$8+'01_원자료'!Q249*'03_가중치민감도'!$C$8+'01_원자료'!R249*'03_가중치민감도'!$D$8</f>
        <v/>
      </c>
      <c r="I252" s="85">
        <f>'01_원자료'!P249*'03_가중치민감도'!$B$9+'01_원자료'!Q249*'03_가중치민감도'!$C$9+'01_원자료'!R249*'03_가중치민감도'!$D$9</f>
        <v/>
      </c>
      <c r="J252" s="85">
        <f>'01_원자료'!P249*'03_가중치민감도'!$B$10+'01_원자료'!Q249*'03_가중치민감도'!$C$10+'01_원자료'!R249*'03_가중치민감도'!$D$10</f>
        <v/>
      </c>
      <c r="K252" s="99">
        <f>COUNTIF($E$5:$E$979,"&lt;"&amp;E252)+(COUNTIF($E$5:$E$979,"="&amp;E252)+1)/2</f>
        <v/>
      </c>
      <c r="L252" s="99">
        <f>COUNTIF($F$5:$F$979,"&lt;"&amp;F252)+(COUNTIF($F$5:$F$979,"="&amp;F252)+1)/2</f>
        <v/>
      </c>
      <c r="M252" s="99">
        <f>COUNTIF($G$5:$G$979,"&lt;"&amp;G252)+(COUNTIF($G$5:$G$979,"="&amp;G252)+1)/2</f>
        <v/>
      </c>
      <c r="N252" s="99">
        <f>COUNTIF($H$5:$H$979,"&lt;"&amp;H252)+(COUNTIF($H$5:$H$979,"="&amp;H252)+1)/2</f>
        <v/>
      </c>
      <c r="O252" s="99">
        <f>COUNTIF($I$5:$I$979,"&lt;"&amp;I252)+(COUNTIF($I$5:$I$979,"="&amp;I252)+1)/2</f>
        <v/>
      </c>
      <c r="P252" s="99">
        <f>COUNTIF($J$5:$J$979,"&lt;"&amp;J252)+(COUNTIF($J$5:$J$979,"="&amp;J252)+1)/2</f>
        <v/>
      </c>
    </row>
    <row r="253" ht="15" customHeight="1" s="68">
      <c r="A253" s="70">
        <f>'01_원자료'!A250</f>
        <v/>
      </c>
      <c r="B253" s="70">
        <f>'01_원자료'!B250</f>
        <v/>
      </c>
      <c r="C253" s="70">
        <f>'01_원자료'!C250</f>
        <v/>
      </c>
      <c r="E253" s="85">
        <f>'01_원자료'!P250*'03_가중치민감도'!$B$5+'01_원자료'!Q250*'03_가중치민감도'!$C$5+'01_원자료'!R250*'03_가중치민감도'!$D$5</f>
        <v/>
      </c>
      <c r="F253" s="85">
        <f>'01_원자료'!P250*'03_가중치민감도'!$B$6+'01_원자료'!Q250*'03_가중치민감도'!$C$6+'01_원자료'!R250*'03_가중치민감도'!$D$6</f>
        <v/>
      </c>
      <c r="G253" s="85">
        <f>'01_원자료'!P250*'03_가중치민감도'!$B$7+'01_원자료'!Q250*'03_가중치민감도'!$C$7+'01_원자료'!R250*'03_가중치민감도'!$D$7</f>
        <v/>
      </c>
      <c r="H253" s="85">
        <f>'01_원자료'!P250*'03_가중치민감도'!$B$8+'01_원자료'!Q250*'03_가중치민감도'!$C$8+'01_원자료'!R250*'03_가중치민감도'!$D$8</f>
        <v/>
      </c>
      <c r="I253" s="85">
        <f>'01_원자료'!P250*'03_가중치민감도'!$B$9+'01_원자료'!Q250*'03_가중치민감도'!$C$9+'01_원자료'!R250*'03_가중치민감도'!$D$9</f>
        <v/>
      </c>
      <c r="J253" s="85">
        <f>'01_원자료'!P250*'03_가중치민감도'!$B$10+'01_원자료'!Q250*'03_가중치민감도'!$C$10+'01_원자료'!R250*'03_가중치민감도'!$D$10</f>
        <v/>
      </c>
      <c r="K253" s="99">
        <f>COUNTIF($E$5:$E$979,"&lt;"&amp;E253)+(COUNTIF($E$5:$E$979,"="&amp;E253)+1)/2</f>
        <v/>
      </c>
      <c r="L253" s="99">
        <f>COUNTIF($F$5:$F$979,"&lt;"&amp;F253)+(COUNTIF($F$5:$F$979,"="&amp;F253)+1)/2</f>
        <v/>
      </c>
      <c r="M253" s="99">
        <f>COUNTIF($G$5:$G$979,"&lt;"&amp;G253)+(COUNTIF($G$5:$G$979,"="&amp;G253)+1)/2</f>
        <v/>
      </c>
      <c r="N253" s="99">
        <f>COUNTIF($H$5:$H$979,"&lt;"&amp;H253)+(COUNTIF($H$5:$H$979,"="&amp;H253)+1)/2</f>
        <v/>
      </c>
      <c r="O253" s="99">
        <f>COUNTIF($I$5:$I$979,"&lt;"&amp;I253)+(COUNTIF($I$5:$I$979,"="&amp;I253)+1)/2</f>
        <v/>
      </c>
      <c r="P253" s="99">
        <f>COUNTIF($J$5:$J$979,"&lt;"&amp;J253)+(COUNTIF($J$5:$J$979,"="&amp;J253)+1)/2</f>
        <v/>
      </c>
    </row>
    <row r="254" ht="15" customHeight="1" s="68">
      <c r="A254" s="70">
        <f>'01_원자료'!A251</f>
        <v/>
      </c>
      <c r="B254" s="70">
        <f>'01_원자료'!B251</f>
        <v/>
      </c>
      <c r="C254" s="70">
        <f>'01_원자료'!C251</f>
        <v/>
      </c>
      <c r="E254" s="85">
        <f>'01_원자료'!P251*'03_가중치민감도'!$B$5+'01_원자료'!Q251*'03_가중치민감도'!$C$5+'01_원자료'!R251*'03_가중치민감도'!$D$5</f>
        <v/>
      </c>
      <c r="F254" s="85">
        <f>'01_원자료'!P251*'03_가중치민감도'!$B$6+'01_원자료'!Q251*'03_가중치민감도'!$C$6+'01_원자료'!R251*'03_가중치민감도'!$D$6</f>
        <v/>
      </c>
      <c r="G254" s="85">
        <f>'01_원자료'!P251*'03_가중치민감도'!$B$7+'01_원자료'!Q251*'03_가중치민감도'!$C$7+'01_원자료'!R251*'03_가중치민감도'!$D$7</f>
        <v/>
      </c>
      <c r="H254" s="85">
        <f>'01_원자료'!P251*'03_가중치민감도'!$B$8+'01_원자료'!Q251*'03_가중치민감도'!$C$8+'01_원자료'!R251*'03_가중치민감도'!$D$8</f>
        <v/>
      </c>
      <c r="I254" s="85">
        <f>'01_원자료'!P251*'03_가중치민감도'!$B$9+'01_원자료'!Q251*'03_가중치민감도'!$C$9+'01_원자료'!R251*'03_가중치민감도'!$D$9</f>
        <v/>
      </c>
      <c r="J254" s="85">
        <f>'01_원자료'!P251*'03_가중치민감도'!$B$10+'01_원자료'!Q251*'03_가중치민감도'!$C$10+'01_원자료'!R251*'03_가중치민감도'!$D$10</f>
        <v/>
      </c>
      <c r="K254" s="99">
        <f>COUNTIF($E$5:$E$979,"&lt;"&amp;E254)+(COUNTIF($E$5:$E$979,"="&amp;E254)+1)/2</f>
        <v/>
      </c>
      <c r="L254" s="99">
        <f>COUNTIF($F$5:$F$979,"&lt;"&amp;F254)+(COUNTIF($F$5:$F$979,"="&amp;F254)+1)/2</f>
        <v/>
      </c>
      <c r="M254" s="99">
        <f>COUNTIF($G$5:$G$979,"&lt;"&amp;G254)+(COUNTIF($G$5:$G$979,"="&amp;G254)+1)/2</f>
        <v/>
      </c>
      <c r="N254" s="99">
        <f>COUNTIF($H$5:$H$979,"&lt;"&amp;H254)+(COUNTIF($H$5:$H$979,"="&amp;H254)+1)/2</f>
        <v/>
      </c>
      <c r="O254" s="99">
        <f>COUNTIF($I$5:$I$979,"&lt;"&amp;I254)+(COUNTIF($I$5:$I$979,"="&amp;I254)+1)/2</f>
        <v/>
      </c>
      <c r="P254" s="99">
        <f>COUNTIF($J$5:$J$979,"&lt;"&amp;J254)+(COUNTIF($J$5:$J$979,"="&amp;J254)+1)/2</f>
        <v/>
      </c>
    </row>
    <row r="255" ht="15" customHeight="1" s="68">
      <c r="A255" s="70">
        <f>'01_원자료'!A252</f>
        <v/>
      </c>
      <c r="B255" s="70">
        <f>'01_원자료'!B252</f>
        <v/>
      </c>
      <c r="C255" s="70">
        <f>'01_원자료'!C252</f>
        <v/>
      </c>
      <c r="E255" s="85">
        <f>'01_원자료'!P252*'03_가중치민감도'!$B$5+'01_원자료'!Q252*'03_가중치민감도'!$C$5+'01_원자료'!R252*'03_가중치민감도'!$D$5</f>
        <v/>
      </c>
      <c r="F255" s="85">
        <f>'01_원자료'!P252*'03_가중치민감도'!$B$6+'01_원자료'!Q252*'03_가중치민감도'!$C$6+'01_원자료'!R252*'03_가중치민감도'!$D$6</f>
        <v/>
      </c>
      <c r="G255" s="85">
        <f>'01_원자료'!P252*'03_가중치민감도'!$B$7+'01_원자료'!Q252*'03_가중치민감도'!$C$7+'01_원자료'!R252*'03_가중치민감도'!$D$7</f>
        <v/>
      </c>
      <c r="H255" s="85">
        <f>'01_원자료'!P252*'03_가중치민감도'!$B$8+'01_원자료'!Q252*'03_가중치민감도'!$C$8+'01_원자료'!R252*'03_가중치민감도'!$D$8</f>
        <v/>
      </c>
      <c r="I255" s="85">
        <f>'01_원자료'!P252*'03_가중치민감도'!$B$9+'01_원자료'!Q252*'03_가중치민감도'!$C$9+'01_원자료'!R252*'03_가중치민감도'!$D$9</f>
        <v/>
      </c>
      <c r="J255" s="85">
        <f>'01_원자료'!P252*'03_가중치민감도'!$B$10+'01_원자료'!Q252*'03_가중치민감도'!$C$10+'01_원자료'!R252*'03_가중치민감도'!$D$10</f>
        <v/>
      </c>
      <c r="K255" s="99">
        <f>COUNTIF($E$5:$E$979,"&lt;"&amp;E255)+(COUNTIF($E$5:$E$979,"="&amp;E255)+1)/2</f>
        <v/>
      </c>
      <c r="L255" s="99">
        <f>COUNTIF($F$5:$F$979,"&lt;"&amp;F255)+(COUNTIF($F$5:$F$979,"="&amp;F255)+1)/2</f>
        <v/>
      </c>
      <c r="M255" s="99">
        <f>COUNTIF($G$5:$G$979,"&lt;"&amp;G255)+(COUNTIF($G$5:$G$979,"="&amp;G255)+1)/2</f>
        <v/>
      </c>
      <c r="N255" s="99">
        <f>COUNTIF($H$5:$H$979,"&lt;"&amp;H255)+(COUNTIF($H$5:$H$979,"="&amp;H255)+1)/2</f>
        <v/>
      </c>
      <c r="O255" s="99">
        <f>COUNTIF($I$5:$I$979,"&lt;"&amp;I255)+(COUNTIF($I$5:$I$979,"="&amp;I255)+1)/2</f>
        <v/>
      </c>
      <c r="P255" s="99">
        <f>COUNTIF($J$5:$J$979,"&lt;"&amp;J255)+(COUNTIF($J$5:$J$979,"="&amp;J255)+1)/2</f>
        <v/>
      </c>
    </row>
    <row r="256" ht="15" customHeight="1" s="68">
      <c r="A256" s="70">
        <f>'01_원자료'!A253</f>
        <v/>
      </c>
      <c r="B256" s="70">
        <f>'01_원자료'!B253</f>
        <v/>
      </c>
      <c r="C256" s="70">
        <f>'01_원자료'!C253</f>
        <v/>
      </c>
      <c r="E256" s="85">
        <f>'01_원자료'!P253*'03_가중치민감도'!$B$5+'01_원자료'!Q253*'03_가중치민감도'!$C$5+'01_원자료'!R253*'03_가중치민감도'!$D$5</f>
        <v/>
      </c>
      <c r="F256" s="85">
        <f>'01_원자료'!P253*'03_가중치민감도'!$B$6+'01_원자료'!Q253*'03_가중치민감도'!$C$6+'01_원자료'!R253*'03_가중치민감도'!$D$6</f>
        <v/>
      </c>
      <c r="G256" s="85">
        <f>'01_원자료'!P253*'03_가중치민감도'!$B$7+'01_원자료'!Q253*'03_가중치민감도'!$C$7+'01_원자료'!R253*'03_가중치민감도'!$D$7</f>
        <v/>
      </c>
      <c r="H256" s="85">
        <f>'01_원자료'!P253*'03_가중치민감도'!$B$8+'01_원자료'!Q253*'03_가중치민감도'!$C$8+'01_원자료'!R253*'03_가중치민감도'!$D$8</f>
        <v/>
      </c>
      <c r="I256" s="85">
        <f>'01_원자료'!P253*'03_가중치민감도'!$B$9+'01_원자료'!Q253*'03_가중치민감도'!$C$9+'01_원자료'!R253*'03_가중치민감도'!$D$9</f>
        <v/>
      </c>
      <c r="J256" s="85">
        <f>'01_원자료'!P253*'03_가중치민감도'!$B$10+'01_원자료'!Q253*'03_가중치민감도'!$C$10+'01_원자료'!R253*'03_가중치민감도'!$D$10</f>
        <v/>
      </c>
      <c r="K256" s="99">
        <f>COUNTIF($E$5:$E$979,"&lt;"&amp;E256)+(COUNTIF($E$5:$E$979,"="&amp;E256)+1)/2</f>
        <v/>
      </c>
      <c r="L256" s="99">
        <f>COUNTIF($F$5:$F$979,"&lt;"&amp;F256)+(COUNTIF($F$5:$F$979,"="&amp;F256)+1)/2</f>
        <v/>
      </c>
      <c r="M256" s="99">
        <f>COUNTIF($G$5:$G$979,"&lt;"&amp;G256)+(COUNTIF($G$5:$G$979,"="&amp;G256)+1)/2</f>
        <v/>
      </c>
      <c r="N256" s="99">
        <f>COUNTIF($H$5:$H$979,"&lt;"&amp;H256)+(COUNTIF($H$5:$H$979,"="&amp;H256)+1)/2</f>
        <v/>
      </c>
      <c r="O256" s="99">
        <f>COUNTIF($I$5:$I$979,"&lt;"&amp;I256)+(COUNTIF($I$5:$I$979,"="&amp;I256)+1)/2</f>
        <v/>
      </c>
      <c r="P256" s="99">
        <f>COUNTIF($J$5:$J$979,"&lt;"&amp;J256)+(COUNTIF($J$5:$J$979,"="&amp;J256)+1)/2</f>
        <v/>
      </c>
    </row>
    <row r="257" ht="15" customHeight="1" s="68">
      <c r="A257" s="70">
        <f>'01_원자료'!A254</f>
        <v/>
      </c>
      <c r="B257" s="70">
        <f>'01_원자료'!B254</f>
        <v/>
      </c>
      <c r="C257" s="70">
        <f>'01_원자료'!C254</f>
        <v/>
      </c>
      <c r="E257" s="85">
        <f>'01_원자료'!P254*'03_가중치민감도'!$B$5+'01_원자료'!Q254*'03_가중치민감도'!$C$5+'01_원자료'!R254*'03_가중치민감도'!$D$5</f>
        <v/>
      </c>
      <c r="F257" s="85">
        <f>'01_원자료'!P254*'03_가중치민감도'!$B$6+'01_원자료'!Q254*'03_가중치민감도'!$C$6+'01_원자료'!R254*'03_가중치민감도'!$D$6</f>
        <v/>
      </c>
      <c r="G257" s="85">
        <f>'01_원자료'!P254*'03_가중치민감도'!$B$7+'01_원자료'!Q254*'03_가중치민감도'!$C$7+'01_원자료'!R254*'03_가중치민감도'!$D$7</f>
        <v/>
      </c>
      <c r="H257" s="85">
        <f>'01_원자료'!P254*'03_가중치민감도'!$B$8+'01_원자료'!Q254*'03_가중치민감도'!$C$8+'01_원자료'!R254*'03_가중치민감도'!$D$8</f>
        <v/>
      </c>
      <c r="I257" s="85">
        <f>'01_원자료'!P254*'03_가중치민감도'!$B$9+'01_원자료'!Q254*'03_가중치민감도'!$C$9+'01_원자료'!R254*'03_가중치민감도'!$D$9</f>
        <v/>
      </c>
      <c r="J257" s="85">
        <f>'01_원자료'!P254*'03_가중치민감도'!$B$10+'01_원자료'!Q254*'03_가중치민감도'!$C$10+'01_원자료'!R254*'03_가중치민감도'!$D$10</f>
        <v/>
      </c>
      <c r="K257" s="99">
        <f>COUNTIF($E$5:$E$979,"&lt;"&amp;E257)+(COUNTIF($E$5:$E$979,"="&amp;E257)+1)/2</f>
        <v/>
      </c>
      <c r="L257" s="99">
        <f>COUNTIF($F$5:$F$979,"&lt;"&amp;F257)+(COUNTIF($F$5:$F$979,"="&amp;F257)+1)/2</f>
        <v/>
      </c>
      <c r="M257" s="99">
        <f>COUNTIF($G$5:$G$979,"&lt;"&amp;G257)+(COUNTIF($G$5:$G$979,"="&amp;G257)+1)/2</f>
        <v/>
      </c>
      <c r="N257" s="99">
        <f>COUNTIF($H$5:$H$979,"&lt;"&amp;H257)+(COUNTIF($H$5:$H$979,"="&amp;H257)+1)/2</f>
        <v/>
      </c>
      <c r="O257" s="99">
        <f>COUNTIF($I$5:$I$979,"&lt;"&amp;I257)+(COUNTIF($I$5:$I$979,"="&amp;I257)+1)/2</f>
        <v/>
      </c>
      <c r="P257" s="99">
        <f>COUNTIF($J$5:$J$979,"&lt;"&amp;J257)+(COUNTIF($J$5:$J$979,"="&amp;J257)+1)/2</f>
        <v/>
      </c>
    </row>
    <row r="258" ht="15" customHeight="1" s="68">
      <c r="A258" s="70">
        <f>'01_원자료'!A255</f>
        <v/>
      </c>
      <c r="B258" s="70">
        <f>'01_원자료'!B255</f>
        <v/>
      </c>
      <c r="C258" s="70">
        <f>'01_원자료'!C255</f>
        <v/>
      </c>
      <c r="E258" s="85">
        <f>'01_원자료'!P255*'03_가중치민감도'!$B$5+'01_원자료'!Q255*'03_가중치민감도'!$C$5+'01_원자료'!R255*'03_가중치민감도'!$D$5</f>
        <v/>
      </c>
      <c r="F258" s="85">
        <f>'01_원자료'!P255*'03_가중치민감도'!$B$6+'01_원자료'!Q255*'03_가중치민감도'!$C$6+'01_원자료'!R255*'03_가중치민감도'!$D$6</f>
        <v/>
      </c>
      <c r="G258" s="85">
        <f>'01_원자료'!P255*'03_가중치민감도'!$B$7+'01_원자료'!Q255*'03_가중치민감도'!$C$7+'01_원자료'!R255*'03_가중치민감도'!$D$7</f>
        <v/>
      </c>
      <c r="H258" s="85">
        <f>'01_원자료'!P255*'03_가중치민감도'!$B$8+'01_원자료'!Q255*'03_가중치민감도'!$C$8+'01_원자료'!R255*'03_가중치민감도'!$D$8</f>
        <v/>
      </c>
      <c r="I258" s="85">
        <f>'01_원자료'!P255*'03_가중치민감도'!$B$9+'01_원자료'!Q255*'03_가중치민감도'!$C$9+'01_원자료'!R255*'03_가중치민감도'!$D$9</f>
        <v/>
      </c>
      <c r="J258" s="85">
        <f>'01_원자료'!P255*'03_가중치민감도'!$B$10+'01_원자료'!Q255*'03_가중치민감도'!$C$10+'01_원자료'!R255*'03_가중치민감도'!$D$10</f>
        <v/>
      </c>
      <c r="K258" s="99">
        <f>COUNTIF($E$5:$E$979,"&lt;"&amp;E258)+(COUNTIF($E$5:$E$979,"="&amp;E258)+1)/2</f>
        <v/>
      </c>
      <c r="L258" s="99">
        <f>COUNTIF($F$5:$F$979,"&lt;"&amp;F258)+(COUNTIF($F$5:$F$979,"="&amp;F258)+1)/2</f>
        <v/>
      </c>
      <c r="M258" s="99">
        <f>COUNTIF($G$5:$G$979,"&lt;"&amp;G258)+(COUNTIF($G$5:$G$979,"="&amp;G258)+1)/2</f>
        <v/>
      </c>
      <c r="N258" s="99">
        <f>COUNTIF($H$5:$H$979,"&lt;"&amp;H258)+(COUNTIF($H$5:$H$979,"="&amp;H258)+1)/2</f>
        <v/>
      </c>
      <c r="O258" s="99">
        <f>COUNTIF($I$5:$I$979,"&lt;"&amp;I258)+(COUNTIF($I$5:$I$979,"="&amp;I258)+1)/2</f>
        <v/>
      </c>
      <c r="P258" s="99">
        <f>COUNTIF($J$5:$J$979,"&lt;"&amp;J258)+(COUNTIF($J$5:$J$979,"="&amp;J258)+1)/2</f>
        <v/>
      </c>
    </row>
    <row r="259" ht="15" customHeight="1" s="68">
      <c r="A259" s="70">
        <f>'01_원자료'!A256</f>
        <v/>
      </c>
      <c r="B259" s="70">
        <f>'01_원자료'!B256</f>
        <v/>
      </c>
      <c r="C259" s="70">
        <f>'01_원자료'!C256</f>
        <v/>
      </c>
      <c r="E259" s="85">
        <f>'01_원자료'!P256*'03_가중치민감도'!$B$5+'01_원자료'!Q256*'03_가중치민감도'!$C$5+'01_원자료'!R256*'03_가중치민감도'!$D$5</f>
        <v/>
      </c>
      <c r="F259" s="85">
        <f>'01_원자료'!P256*'03_가중치민감도'!$B$6+'01_원자료'!Q256*'03_가중치민감도'!$C$6+'01_원자료'!R256*'03_가중치민감도'!$D$6</f>
        <v/>
      </c>
      <c r="G259" s="85">
        <f>'01_원자료'!P256*'03_가중치민감도'!$B$7+'01_원자료'!Q256*'03_가중치민감도'!$C$7+'01_원자료'!R256*'03_가중치민감도'!$D$7</f>
        <v/>
      </c>
      <c r="H259" s="85">
        <f>'01_원자료'!P256*'03_가중치민감도'!$B$8+'01_원자료'!Q256*'03_가중치민감도'!$C$8+'01_원자료'!R256*'03_가중치민감도'!$D$8</f>
        <v/>
      </c>
      <c r="I259" s="85">
        <f>'01_원자료'!P256*'03_가중치민감도'!$B$9+'01_원자료'!Q256*'03_가중치민감도'!$C$9+'01_원자료'!R256*'03_가중치민감도'!$D$9</f>
        <v/>
      </c>
      <c r="J259" s="85">
        <f>'01_원자료'!P256*'03_가중치민감도'!$B$10+'01_원자료'!Q256*'03_가중치민감도'!$C$10+'01_원자료'!R256*'03_가중치민감도'!$D$10</f>
        <v/>
      </c>
      <c r="K259" s="99">
        <f>COUNTIF($E$5:$E$979,"&lt;"&amp;E259)+(COUNTIF($E$5:$E$979,"="&amp;E259)+1)/2</f>
        <v/>
      </c>
      <c r="L259" s="99">
        <f>COUNTIF($F$5:$F$979,"&lt;"&amp;F259)+(COUNTIF($F$5:$F$979,"="&amp;F259)+1)/2</f>
        <v/>
      </c>
      <c r="M259" s="99">
        <f>COUNTIF($G$5:$G$979,"&lt;"&amp;G259)+(COUNTIF($G$5:$G$979,"="&amp;G259)+1)/2</f>
        <v/>
      </c>
      <c r="N259" s="99">
        <f>COUNTIF($H$5:$H$979,"&lt;"&amp;H259)+(COUNTIF($H$5:$H$979,"="&amp;H259)+1)/2</f>
        <v/>
      </c>
      <c r="O259" s="99">
        <f>COUNTIF($I$5:$I$979,"&lt;"&amp;I259)+(COUNTIF($I$5:$I$979,"="&amp;I259)+1)/2</f>
        <v/>
      </c>
      <c r="P259" s="99">
        <f>COUNTIF($J$5:$J$979,"&lt;"&amp;J259)+(COUNTIF($J$5:$J$979,"="&amp;J259)+1)/2</f>
        <v/>
      </c>
    </row>
    <row r="260" ht="15" customHeight="1" s="68">
      <c r="A260" s="70">
        <f>'01_원자료'!A257</f>
        <v/>
      </c>
      <c r="B260" s="70">
        <f>'01_원자료'!B257</f>
        <v/>
      </c>
      <c r="C260" s="70">
        <f>'01_원자료'!C257</f>
        <v/>
      </c>
      <c r="E260" s="85">
        <f>'01_원자료'!P257*'03_가중치민감도'!$B$5+'01_원자료'!Q257*'03_가중치민감도'!$C$5+'01_원자료'!R257*'03_가중치민감도'!$D$5</f>
        <v/>
      </c>
      <c r="F260" s="85">
        <f>'01_원자료'!P257*'03_가중치민감도'!$B$6+'01_원자료'!Q257*'03_가중치민감도'!$C$6+'01_원자료'!R257*'03_가중치민감도'!$D$6</f>
        <v/>
      </c>
      <c r="G260" s="85">
        <f>'01_원자료'!P257*'03_가중치민감도'!$B$7+'01_원자료'!Q257*'03_가중치민감도'!$C$7+'01_원자료'!R257*'03_가중치민감도'!$D$7</f>
        <v/>
      </c>
      <c r="H260" s="85">
        <f>'01_원자료'!P257*'03_가중치민감도'!$B$8+'01_원자료'!Q257*'03_가중치민감도'!$C$8+'01_원자료'!R257*'03_가중치민감도'!$D$8</f>
        <v/>
      </c>
      <c r="I260" s="85">
        <f>'01_원자료'!P257*'03_가중치민감도'!$B$9+'01_원자료'!Q257*'03_가중치민감도'!$C$9+'01_원자료'!R257*'03_가중치민감도'!$D$9</f>
        <v/>
      </c>
      <c r="J260" s="85">
        <f>'01_원자료'!P257*'03_가중치민감도'!$B$10+'01_원자료'!Q257*'03_가중치민감도'!$C$10+'01_원자료'!R257*'03_가중치민감도'!$D$10</f>
        <v/>
      </c>
      <c r="K260" s="99">
        <f>COUNTIF($E$5:$E$979,"&lt;"&amp;E260)+(COUNTIF($E$5:$E$979,"="&amp;E260)+1)/2</f>
        <v/>
      </c>
      <c r="L260" s="99">
        <f>COUNTIF($F$5:$F$979,"&lt;"&amp;F260)+(COUNTIF($F$5:$F$979,"="&amp;F260)+1)/2</f>
        <v/>
      </c>
      <c r="M260" s="99">
        <f>COUNTIF($G$5:$G$979,"&lt;"&amp;G260)+(COUNTIF($G$5:$G$979,"="&amp;G260)+1)/2</f>
        <v/>
      </c>
      <c r="N260" s="99">
        <f>COUNTIF($H$5:$H$979,"&lt;"&amp;H260)+(COUNTIF($H$5:$H$979,"="&amp;H260)+1)/2</f>
        <v/>
      </c>
      <c r="O260" s="99">
        <f>COUNTIF($I$5:$I$979,"&lt;"&amp;I260)+(COUNTIF($I$5:$I$979,"="&amp;I260)+1)/2</f>
        <v/>
      </c>
      <c r="P260" s="99">
        <f>COUNTIF($J$5:$J$979,"&lt;"&amp;J260)+(COUNTIF($J$5:$J$979,"="&amp;J260)+1)/2</f>
        <v/>
      </c>
    </row>
    <row r="261" ht="15" customHeight="1" s="68">
      <c r="A261" s="70">
        <f>'01_원자료'!A258</f>
        <v/>
      </c>
      <c r="B261" s="70">
        <f>'01_원자료'!B258</f>
        <v/>
      </c>
      <c r="C261" s="70">
        <f>'01_원자료'!C258</f>
        <v/>
      </c>
      <c r="E261" s="85">
        <f>'01_원자료'!P258*'03_가중치민감도'!$B$5+'01_원자료'!Q258*'03_가중치민감도'!$C$5+'01_원자료'!R258*'03_가중치민감도'!$D$5</f>
        <v/>
      </c>
      <c r="F261" s="85">
        <f>'01_원자료'!P258*'03_가중치민감도'!$B$6+'01_원자료'!Q258*'03_가중치민감도'!$C$6+'01_원자료'!R258*'03_가중치민감도'!$D$6</f>
        <v/>
      </c>
      <c r="G261" s="85">
        <f>'01_원자료'!P258*'03_가중치민감도'!$B$7+'01_원자료'!Q258*'03_가중치민감도'!$C$7+'01_원자료'!R258*'03_가중치민감도'!$D$7</f>
        <v/>
      </c>
      <c r="H261" s="85">
        <f>'01_원자료'!P258*'03_가중치민감도'!$B$8+'01_원자료'!Q258*'03_가중치민감도'!$C$8+'01_원자료'!R258*'03_가중치민감도'!$D$8</f>
        <v/>
      </c>
      <c r="I261" s="85">
        <f>'01_원자료'!P258*'03_가중치민감도'!$B$9+'01_원자료'!Q258*'03_가중치민감도'!$C$9+'01_원자료'!R258*'03_가중치민감도'!$D$9</f>
        <v/>
      </c>
      <c r="J261" s="85">
        <f>'01_원자료'!P258*'03_가중치민감도'!$B$10+'01_원자료'!Q258*'03_가중치민감도'!$C$10+'01_원자료'!R258*'03_가중치민감도'!$D$10</f>
        <v/>
      </c>
      <c r="K261" s="99">
        <f>COUNTIF($E$5:$E$979,"&lt;"&amp;E261)+(COUNTIF($E$5:$E$979,"="&amp;E261)+1)/2</f>
        <v/>
      </c>
      <c r="L261" s="99">
        <f>COUNTIF($F$5:$F$979,"&lt;"&amp;F261)+(COUNTIF($F$5:$F$979,"="&amp;F261)+1)/2</f>
        <v/>
      </c>
      <c r="M261" s="99">
        <f>COUNTIF($G$5:$G$979,"&lt;"&amp;G261)+(COUNTIF($G$5:$G$979,"="&amp;G261)+1)/2</f>
        <v/>
      </c>
      <c r="N261" s="99">
        <f>COUNTIF($H$5:$H$979,"&lt;"&amp;H261)+(COUNTIF($H$5:$H$979,"="&amp;H261)+1)/2</f>
        <v/>
      </c>
      <c r="O261" s="99">
        <f>COUNTIF($I$5:$I$979,"&lt;"&amp;I261)+(COUNTIF($I$5:$I$979,"="&amp;I261)+1)/2</f>
        <v/>
      </c>
      <c r="P261" s="99">
        <f>COUNTIF($J$5:$J$979,"&lt;"&amp;J261)+(COUNTIF($J$5:$J$979,"="&amp;J261)+1)/2</f>
        <v/>
      </c>
    </row>
    <row r="262" ht="15" customHeight="1" s="68">
      <c r="A262" s="70">
        <f>'01_원자료'!A259</f>
        <v/>
      </c>
      <c r="B262" s="70">
        <f>'01_원자료'!B259</f>
        <v/>
      </c>
      <c r="C262" s="70">
        <f>'01_원자료'!C259</f>
        <v/>
      </c>
      <c r="E262" s="85">
        <f>'01_원자료'!P259*'03_가중치민감도'!$B$5+'01_원자료'!Q259*'03_가중치민감도'!$C$5+'01_원자료'!R259*'03_가중치민감도'!$D$5</f>
        <v/>
      </c>
      <c r="F262" s="85">
        <f>'01_원자료'!P259*'03_가중치민감도'!$B$6+'01_원자료'!Q259*'03_가중치민감도'!$C$6+'01_원자료'!R259*'03_가중치민감도'!$D$6</f>
        <v/>
      </c>
      <c r="G262" s="85">
        <f>'01_원자료'!P259*'03_가중치민감도'!$B$7+'01_원자료'!Q259*'03_가중치민감도'!$C$7+'01_원자료'!R259*'03_가중치민감도'!$D$7</f>
        <v/>
      </c>
      <c r="H262" s="85">
        <f>'01_원자료'!P259*'03_가중치민감도'!$B$8+'01_원자료'!Q259*'03_가중치민감도'!$C$8+'01_원자료'!R259*'03_가중치민감도'!$D$8</f>
        <v/>
      </c>
      <c r="I262" s="85">
        <f>'01_원자료'!P259*'03_가중치민감도'!$B$9+'01_원자료'!Q259*'03_가중치민감도'!$C$9+'01_원자료'!R259*'03_가중치민감도'!$D$9</f>
        <v/>
      </c>
      <c r="J262" s="85">
        <f>'01_원자료'!P259*'03_가중치민감도'!$B$10+'01_원자료'!Q259*'03_가중치민감도'!$C$10+'01_원자료'!R259*'03_가중치민감도'!$D$10</f>
        <v/>
      </c>
      <c r="K262" s="99">
        <f>COUNTIF($E$5:$E$979,"&lt;"&amp;E262)+(COUNTIF($E$5:$E$979,"="&amp;E262)+1)/2</f>
        <v/>
      </c>
      <c r="L262" s="99">
        <f>COUNTIF($F$5:$F$979,"&lt;"&amp;F262)+(COUNTIF($F$5:$F$979,"="&amp;F262)+1)/2</f>
        <v/>
      </c>
      <c r="M262" s="99">
        <f>COUNTIF($G$5:$G$979,"&lt;"&amp;G262)+(COUNTIF($G$5:$G$979,"="&amp;G262)+1)/2</f>
        <v/>
      </c>
      <c r="N262" s="99">
        <f>COUNTIF($H$5:$H$979,"&lt;"&amp;H262)+(COUNTIF($H$5:$H$979,"="&amp;H262)+1)/2</f>
        <v/>
      </c>
      <c r="O262" s="99">
        <f>COUNTIF($I$5:$I$979,"&lt;"&amp;I262)+(COUNTIF($I$5:$I$979,"="&amp;I262)+1)/2</f>
        <v/>
      </c>
      <c r="P262" s="99">
        <f>COUNTIF($J$5:$J$979,"&lt;"&amp;J262)+(COUNTIF($J$5:$J$979,"="&amp;J262)+1)/2</f>
        <v/>
      </c>
    </row>
    <row r="263" ht="15" customHeight="1" s="68">
      <c r="A263" s="70">
        <f>'01_원자료'!A260</f>
        <v/>
      </c>
      <c r="B263" s="70">
        <f>'01_원자료'!B260</f>
        <v/>
      </c>
      <c r="C263" s="70">
        <f>'01_원자료'!C260</f>
        <v/>
      </c>
      <c r="E263" s="85">
        <f>'01_원자료'!P260*'03_가중치민감도'!$B$5+'01_원자료'!Q260*'03_가중치민감도'!$C$5+'01_원자료'!R260*'03_가중치민감도'!$D$5</f>
        <v/>
      </c>
      <c r="F263" s="85">
        <f>'01_원자료'!P260*'03_가중치민감도'!$B$6+'01_원자료'!Q260*'03_가중치민감도'!$C$6+'01_원자료'!R260*'03_가중치민감도'!$D$6</f>
        <v/>
      </c>
      <c r="G263" s="85">
        <f>'01_원자료'!P260*'03_가중치민감도'!$B$7+'01_원자료'!Q260*'03_가중치민감도'!$C$7+'01_원자료'!R260*'03_가중치민감도'!$D$7</f>
        <v/>
      </c>
      <c r="H263" s="85">
        <f>'01_원자료'!P260*'03_가중치민감도'!$B$8+'01_원자료'!Q260*'03_가중치민감도'!$C$8+'01_원자료'!R260*'03_가중치민감도'!$D$8</f>
        <v/>
      </c>
      <c r="I263" s="85">
        <f>'01_원자료'!P260*'03_가중치민감도'!$B$9+'01_원자료'!Q260*'03_가중치민감도'!$C$9+'01_원자료'!R260*'03_가중치민감도'!$D$9</f>
        <v/>
      </c>
      <c r="J263" s="85">
        <f>'01_원자료'!P260*'03_가중치민감도'!$B$10+'01_원자료'!Q260*'03_가중치민감도'!$C$10+'01_원자료'!R260*'03_가중치민감도'!$D$10</f>
        <v/>
      </c>
      <c r="K263" s="99">
        <f>COUNTIF($E$5:$E$979,"&lt;"&amp;E263)+(COUNTIF($E$5:$E$979,"="&amp;E263)+1)/2</f>
        <v/>
      </c>
      <c r="L263" s="99">
        <f>COUNTIF($F$5:$F$979,"&lt;"&amp;F263)+(COUNTIF($F$5:$F$979,"="&amp;F263)+1)/2</f>
        <v/>
      </c>
      <c r="M263" s="99">
        <f>COUNTIF($G$5:$G$979,"&lt;"&amp;G263)+(COUNTIF($G$5:$G$979,"="&amp;G263)+1)/2</f>
        <v/>
      </c>
      <c r="N263" s="99">
        <f>COUNTIF($H$5:$H$979,"&lt;"&amp;H263)+(COUNTIF($H$5:$H$979,"="&amp;H263)+1)/2</f>
        <v/>
      </c>
      <c r="O263" s="99">
        <f>COUNTIF($I$5:$I$979,"&lt;"&amp;I263)+(COUNTIF($I$5:$I$979,"="&amp;I263)+1)/2</f>
        <v/>
      </c>
      <c r="P263" s="99">
        <f>COUNTIF($J$5:$J$979,"&lt;"&amp;J263)+(COUNTIF($J$5:$J$979,"="&amp;J263)+1)/2</f>
        <v/>
      </c>
    </row>
    <row r="264" ht="15" customHeight="1" s="68">
      <c r="A264" s="70">
        <f>'01_원자료'!A261</f>
        <v/>
      </c>
      <c r="B264" s="70">
        <f>'01_원자료'!B261</f>
        <v/>
      </c>
      <c r="C264" s="70">
        <f>'01_원자료'!C261</f>
        <v/>
      </c>
      <c r="E264" s="85">
        <f>'01_원자료'!P261*'03_가중치민감도'!$B$5+'01_원자료'!Q261*'03_가중치민감도'!$C$5+'01_원자료'!R261*'03_가중치민감도'!$D$5</f>
        <v/>
      </c>
      <c r="F264" s="85">
        <f>'01_원자료'!P261*'03_가중치민감도'!$B$6+'01_원자료'!Q261*'03_가중치민감도'!$C$6+'01_원자료'!R261*'03_가중치민감도'!$D$6</f>
        <v/>
      </c>
      <c r="G264" s="85">
        <f>'01_원자료'!P261*'03_가중치민감도'!$B$7+'01_원자료'!Q261*'03_가중치민감도'!$C$7+'01_원자료'!R261*'03_가중치민감도'!$D$7</f>
        <v/>
      </c>
      <c r="H264" s="85">
        <f>'01_원자료'!P261*'03_가중치민감도'!$B$8+'01_원자료'!Q261*'03_가중치민감도'!$C$8+'01_원자료'!R261*'03_가중치민감도'!$D$8</f>
        <v/>
      </c>
      <c r="I264" s="85">
        <f>'01_원자료'!P261*'03_가중치민감도'!$B$9+'01_원자료'!Q261*'03_가중치민감도'!$C$9+'01_원자료'!R261*'03_가중치민감도'!$D$9</f>
        <v/>
      </c>
      <c r="J264" s="85">
        <f>'01_원자료'!P261*'03_가중치민감도'!$B$10+'01_원자료'!Q261*'03_가중치민감도'!$C$10+'01_원자료'!R261*'03_가중치민감도'!$D$10</f>
        <v/>
      </c>
      <c r="K264" s="99">
        <f>COUNTIF($E$5:$E$979,"&lt;"&amp;E264)+(COUNTIF($E$5:$E$979,"="&amp;E264)+1)/2</f>
        <v/>
      </c>
      <c r="L264" s="99">
        <f>COUNTIF($F$5:$F$979,"&lt;"&amp;F264)+(COUNTIF($F$5:$F$979,"="&amp;F264)+1)/2</f>
        <v/>
      </c>
      <c r="M264" s="99">
        <f>COUNTIF($G$5:$G$979,"&lt;"&amp;G264)+(COUNTIF($G$5:$G$979,"="&amp;G264)+1)/2</f>
        <v/>
      </c>
      <c r="N264" s="99">
        <f>COUNTIF($H$5:$H$979,"&lt;"&amp;H264)+(COUNTIF($H$5:$H$979,"="&amp;H264)+1)/2</f>
        <v/>
      </c>
      <c r="O264" s="99">
        <f>COUNTIF($I$5:$I$979,"&lt;"&amp;I264)+(COUNTIF($I$5:$I$979,"="&amp;I264)+1)/2</f>
        <v/>
      </c>
      <c r="P264" s="99">
        <f>COUNTIF($J$5:$J$979,"&lt;"&amp;J264)+(COUNTIF($J$5:$J$979,"="&amp;J264)+1)/2</f>
        <v/>
      </c>
    </row>
    <row r="265" ht="15" customHeight="1" s="68">
      <c r="A265" s="70">
        <f>'01_원자료'!A262</f>
        <v/>
      </c>
      <c r="B265" s="70">
        <f>'01_원자료'!B262</f>
        <v/>
      </c>
      <c r="C265" s="70">
        <f>'01_원자료'!C262</f>
        <v/>
      </c>
      <c r="E265" s="85">
        <f>'01_원자료'!P262*'03_가중치민감도'!$B$5+'01_원자료'!Q262*'03_가중치민감도'!$C$5+'01_원자료'!R262*'03_가중치민감도'!$D$5</f>
        <v/>
      </c>
      <c r="F265" s="85">
        <f>'01_원자료'!P262*'03_가중치민감도'!$B$6+'01_원자료'!Q262*'03_가중치민감도'!$C$6+'01_원자료'!R262*'03_가중치민감도'!$D$6</f>
        <v/>
      </c>
      <c r="G265" s="85">
        <f>'01_원자료'!P262*'03_가중치민감도'!$B$7+'01_원자료'!Q262*'03_가중치민감도'!$C$7+'01_원자료'!R262*'03_가중치민감도'!$D$7</f>
        <v/>
      </c>
      <c r="H265" s="85">
        <f>'01_원자료'!P262*'03_가중치민감도'!$B$8+'01_원자료'!Q262*'03_가중치민감도'!$C$8+'01_원자료'!R262*'03_가중치민감도'!$D$8</f>
        <v/>
      </c>
      <c r="I265" s="85">
        <f>'01_원자료'!P262*'03_가중치민감도'!$B$9+'01_원자료'!Q262*'03_가중치민감도'!$C$9+'01_원자료'!R262*'03_가중치민감도'!$D$9</f>
        <v/>
      </c>
      <c r="J265" s="85">
        <f>'01_원자료'!P262*'03_가중치민감도'!$B$10+'01_원자료'!Q262*'03_가중치민감도'!$C$10+'01_원자료'!R262*'03_가중치민감도'!$D$10</f>
        <v/>
      </c>
      <c r="K265" s="99">
        <f>COUNTIF($E$5:$E$979,"&lt;"&amp;E265)+(COUNTIF($E$5:$E$979,"="&amp;E265)+1)/2</f>
        <v/>
      </c>
      <c r="L265" s="99">
        <f>COUNTIF($F$5:$F$979,"&lt;"&amp;F265)+(COUNTIF($F$5:$F$979,"="&amp;F265)+1)/2</f>
        <v/>
      </c>
      <c r="M265" s="99">
        <f>COUNTIF($G$5:$G$979,"&lt;"&amp;G265)+(COUNTIF($G$5:$G$979,"="&amp;G265)+1)/2</f>
        <v/>
      </c>
      <c r="N265" s="99">
        <f>COUNTIF($H$5:$H$979,"&lt;"&amp;H265)+(COUNTIF($H$5:$H$979,"="&amp;H265)+1)/2</f>
        <v/>
      </c>
      <c r="O265" s="99">
        <f>COUNTIF($I$5:$I$979,"&lt;"&amp;I265)+(COUNTIF($I$5:$I$979,"="&amp;I265)+1)/2</f>
        <v/>
      </c>
      <c r="P265" s="99">
        <f>COUNTIF($J$5:$J$979,"&lt;"&amp;J265)+(COUNTIF($J$5:$J$979,"="&amp;J265)+1)/2</f>
        <v/>
      </c>
    </row>
    <row r="266" ht="15" customHeight="1" s="68">
      <c r="A266" s="70">
        <f>'01_원자료'!A263</f>
        <v/>
      </c>
      <c r="B266" s="70">
        <f>'01_원자료'!B263</f>
        <v/>
      </c>
      <c r="C266" s="70">
        <f>'01_원자료'!C263</f>
        <v/>
      </c>
      <c r="E266" s="85">
        <f>'01_원자료'!P263*'03_가중치민감도'!$B$5+'01_원자료'!Q263*'03_가중치민감도'!$C$5+'01_원자료'!R263*'03_가중치민감도'!$D$5</f>
        <v/>
      </c>
      <c r="F266" s="85">
        <f>'01_원자료'!P263*'03_가중치민감도'!$B$6+'01_원자료'!Q263*'03_가중치민감도'!$C$6+'01_원자료'!R263*'03_가중치민감도'!$D$6</f>
        <v/>
      </c>
      <c r="G266" s="85">
        <f>'01_원자료'!P263*'03_가중치민감도'!$B$7+'01_원자료'!Q263*'03_가중치민감도'!$C$7+'01_원자료'!R263*'03_가중치민감도'!$D$7</f>
        <v/>
      </c>
      <c r="H266" s="85">
        <f>'01_원자료'!P263*'03_가중치민감도'!$B$8+'01_원자료'!Q263*'03_가중치민감도'!$C$8+'01_원자료'!R263*'03_가중치민감도'!$D$8</f>
        <v/>
      </c>
      <c r="I266" s="85">
        <f>'01_원자료'!P263*'03_가중치민감도'!$B$9+'01_원자료'!Q263*'03_가중치민감도'!$C$9+'01_원자료'!R263*'03_가중치민감도'!$D$9</f>
        <v/>
      </c>
      <c r="J266" s="85">
        <f>'01_원자료'!P263*'03_가중치민감도'!$B$10+'01_원자료'!Q263*'03_가중치민감도'!$C$10+'01_원자료'!R263*'03_가중치민감도'!$D$10</f>
        <v/>
      </c>
      <c r="K266" s="99">
        <f>COUNTIF($E$5:$E$979,"&lt;"&amp;E266)+(COUNTIF($E$5:$E$979,"="&amp;E266)+1)/2</f>
        <v/>
      </c>
      <c r="L266" s="99">
        <f>COUNTIF($F$5:$F$979,"&lt;"&amp;F266)+(COUNTIF($F$5:$F$979,"="&amp;F266)+1)/2</f>
        <v/>
      </c>
      <c r="M266" s="99">
        <f>COUNTIF($G$5:$G$979,"&lt;"&amp;G266)+(COUNTIF($G$5:$G$979,"="&amp;G266)+1)/2</f>
        <v/>
      </c>
      <c r="N266" s="99">
        <f>COUNTIF($H$5:$H$979,"&lt;"&amp;H266)+(COUNTIF($H$5:$H$979,"="&amp;H266)+1)/2</f>
        <v/>
      </c>
      <c r="O266" s="99">
        <f>COUNTIF($I$5:$I$979,"&lt;"&amp;I266)+(COUNTIF($I$5:$I$979,"="&amp;I266)+1)/2</f>
        <v/>
      </c>
      <c r="P266" s="99">
        <f>COUNTIF($J$5:$J$979,"&lt;"&amp;J266)+(COUNTIF($J$5:$J$979,"="&amp;J266)+1)/2</f>
        <v/>
      </c>
    </row>
    <row r="267" ht="15" customHeight="1" s="68">
      <c r="A267" s="70">
        <f>'01_원자료'!A264</f>
        <v/>
      </c>
      <c r="B267" s="70">
        <f>'01_원자료'!B264</f>
        <v/>
      </c>
      <c r="C267" s="70">
        <f>'01_원자료'!C264</f>
        <v/>
      </c>
      <c r="E267" s="85">
        <f>'01_원자료'!P264*'03_가중치민감도'!$B$5+'01_원자료'!Q264*'03_가중치민감도'!$C$5+'01_원자료'!R264*'03_가중치민감도'!$D$5</f>
        <v/>
      </c>
      <c r="F267" s="85">
        <f>'01_원자료'!P264*'03_가중치민감도'!$B$6+'01_원자료'!Q264*'03_가중치민감도'!$C$6+'01_원자료'!R264*'03_가중치민감도'!$D$6</f>
        <v/>
      </c>
      <c r="G267" s="85">
        <f>'01_원자료'!P264*'03_가중치민감도'!$B$7+'01_원자료'!Q264*'03_가중치민감도'!$C$7+'01_원자료'!R264*'03_가중치민감도'!$D$7</f>
        <v/>
      </c>
      <c r="H267" s="85">
        <f>'01_원자료'!P264*'03_가중치민감도'!$B$8+'01_원자료'!Q264*'03_가중치민감도'!$C$8+'01_원자료'!R264*'03_가중치민감도'!$D$8</f>
        <v/>
      </c>
      <c r="I267" s="85">
        <f>'01_원자료'!P264*'03_가중치민감도'!$B$9+'01_원자료'!Q264*'03_가중치민감도'!$C$9+'01_원자료'!R264*'03_가중치민감도'!$D$9</f>
        <v/>
      </c>
      <c r="J267" s="85">
        <f>'01_원자료'!P264*'03_가중치민감도'!$B$10+'01_원자료'!Q264*'03_가중치민감도'!$C$10+'01_원자료'!R264*'03_가중치민감도'!$D$10</f>
        <v/>
      </c>
      <c r="K267" s="99">
        <f>COUNTIF($E$5:$E$979,"&lt;"&amp;E267)+(COUNTIF($E$5:$E$979,"="&amp;E267)+1)/2</f>
        <v/>
      </c>
      <c r="L267" s="99">
        <f>COUNTIF($F$5:$F$979,"&lt;"&amp;F267)+(COUNTIF($F$5:$F$979,"="&amp;F267)+1)/2</f>
        <v/>
      </c>
      <c r="M267" s="99">
        <f>COUNTIF($G$5:$G$979,"&lt;"&amp;G267)+(COUNTIF($G$5:$G$979,"="&amp;G267)+1)/2</f>
        <v/>
      </c>
      <c r="N267" s="99">
        <f>COUNTIF($H$5:$H$979,"&lt;"&amp;H267)+(COUNTIF($H$5:$H$979,"="&amp;H267)+1)/2</f>
        <v/>
      </c>
      <c r="O267" s="99">
        <f>COUNTIF($I$5:$I$979,"&lt;"&amp;I267)+(COUNTIF($I$5:$I$979,"="&amp;I267)+1)/2</f>
        <v/>
      </c>
      <c r="P267" s="99">
        <f>COUNTIF($J$5:$J$979,"&lt;"&amp;J267)+(COUNTIF($J$5:$J$979,"="&amp;J267)+1)/2</f>
        <v/>
      </c>
    </row>
    <row r="268" ht="15" customHeight="1" s="68">
      <c r="A268" s="70">
        <f>'01_원자료'!A265</f>
        <v/>
      </c>
      <c r="B268" s="70">
        <f>'01_원자료'!B265</f>
        <v/>
      </c>
      <c r="C268" s="70">
        <f>'01_원자료'!C265</f>
        <v/>
      </c>
      <c r="E268" s="85">
        <f>'01_원자료'!P265*'03_가중치민감도'!$B$5+'01_원자료'!Q265*'03_가중치민감도'!$C$5+'01_원자료'!R265*'03_가중치민감도'!$D$5</f>
        <v/>
      </c>
      <c r="F268" s="85">
        <f>'01_원자료'!P265*'03_가중치민감도'!$B$6+'01_원자료'!Q265*'03_가중치민감도'!$C$6+'01_원자료'!R265*'03_가중치민감도'!$D$6</f>
        <v/>
      </c>
      <c r="G268" s="85">
        <f>'01_원자료'!P265*'03_가중치민감도'!$B$7+'01_원자료'!Q265*'03_가중치민감도'!$C$7+'01_원자료'!R265*'03_가중치민감도'!$D$7</f>
        <v/>
      </c>
      <c r="H268" s="85">
        <f>'01_원자료'!P265*'03_가중치민감도'!$B$8+'01_원자료'!Q265*'03_가중치민감도'!$C$8+'01_원자료'!R265*'03_가중치민감도'!$D$8</f>
        <v/>
      </c>
      <c r="I268" s="85">
        <f>'01_원자료'!P265*'03_가중치민감도'!$B$9+'01_원자료'!Q265*'03_가중치민감도'!$C$9+'01_원자료'!R265*'03_가중치민감도'!$D$9</f>
        <v/>
      </c>
      <c r="J268" s="85">
        <f>'01_원자료'!P265*'03_가중치민감도'!$B$10+'01_원자료'!Q265*'03_가중치민감도'!$C$10+'01_원자료'!R265*'03_가중치민감도'!$D$10</f>
        <v/>
      </c>
      <c r="K268" s="99">
        <f>COUNTIF($E$5:$E$979,"&lt;"&amp;E268)+(COUNTIF($E$5:$E$979,"="&amp;E268)+1)/2</f>
        <v/>
      </c>
      <c r="L268" s="99">
        <f>COUNTIF($F$5:$F$979,"&lt;"&amp;F268)+(COUNTIF($F$5:$F$979,"="&amp;F268)+1)/2</f>
        <v/>
      </c>
      <c r="M268" s="99">
        <f>COUNTIF($G$5:$G$979,"&lt;"&amp;G268)+(COUNTIF($G$5:$G$979,"="&amp;G268)+1)/2</f>
        <v/>
      </c>
      <c r="N268" s="99">
        <f>COUNTIF($H$5:$H$979,"&lt;"&amp;H268)+(COUNTIF($H$5:$H$979,"="&amp;H268)+1)/2</f>
        <v/>
      </c>
      <c r="O268" s="99">
        <f>COUNTIF($I$5:$I$979,"&lt;"&amp;I268)+(COUNTIF($I$5:$I$979,"="&amp;I268)+1)/2</f>
        <v/>
      </c>
      <c r="P268" s="99">
        <f>COUNTIF($J$5:$J$979,"&lt;"&amp;J268)+(COUNTIF($J$5:$J$979,"="&amp;J268)+1)/2</f>
        <v/>
      </c>
    </row>
    <row r="269" ht="15" customHeight="1" s="68">
      <c r="A269" s="70">
        <f>'01_원자료'!A266</f>
        <v/>
      </c>
      <c r="B269" s="70">
        <f>'01_원자료'!B266</f>
        <v/>
      </c>
      <c r="C269" s="70">
        <f>'01_원자료'!C266</f>
        <v/>
      </c>
      <c r="E269" s="85">
        <f>'01_원자료'!P266*'03_가중치민감도'!$B$5+'01_원자료'!Q266*'03_가중치민감도'!$C$5+'01_원자료'!R266*'03_가중치민감도'!$D$5</f>
        <v/>
      </c>
      <c r="F269" s="85">
        <f>'01_원자료'!P266*'03_가중치민감도'!$B$6+'01_원자료'!Q266*'03_가중치민감도'!$C$6+'01_원자료'!R266*'03_가중치민감도'!$D$6</f>
        <v/>
      </c>
      <c r="G269" s="85">
        <f>'01_원자료'!P266*'03_가중치민감도'!$B$7+'01_원자료'!Q266*'03_가중치민감도'!$C$7+'01_원자료'!R266*'03_가중치민감도'!$D$7</f>
        <v/>
      </c>
      <c r="H269" s="85">
        <f>'01_원자료'!P266*'03_가중치민감도'!$B$8+'01_원자료'!Q266*'03_가중치민감도'!$C$8+'01_원자료'!R266*'03_가중치민감도'!$D$8</f>
        <v/>
      </c>
      <c r="I269" s="85">
        <f>'01_원자료'!P266*'03_가중치민감도'!$B$9+'01_원자료'!Q266*'03_가중치민감도'!$C$9+'01_원자료'!R266*'03_가중치민감도'!$D$9</f>
        <v/>
      </c>
      <c r="J269" s="85">
        <f>'01_원자료'!P266*'03_가중치민감도'!$B$10+'01_원자료'!Q266*'03_가중치민감도'!$C$10+'01_원자료'!R266*'03_가중치민감도'!$D$10</f>
        <v/>
      </c>
      <c r="K269" s="99">
        <f>COUNTIF($E$5:$E$979,"&lt;"&amp;E269)+(COUNTIF($E$5:$E$979,"="&amp;E269)+1)/2</f>
        <v/>
      </c>
      <c r="L269" s="99">
        <f>COUNTIF($F$5:$F$979,"&lt;"&amp;F269)+(COUNTIF($F$5:$F$979,"="&amp;F269)+1)/2</f>
        <v/>
      </c>
      <c r="M269" s="99">
        <f>COUNTIF($G$5:$G$979,"&lt;"&amp;G269)+(COUNTIF($G$5:$G$979,"="&amp;G269)+1)/2</f>
        <v/>
      </c>
      <c r="N269" s="99">
        <f>COUNTIF($H$5:$H$979,"&lt;"&amp;H269)+(COUNTIF($H$5:$H$979,"="&amp;H269)+1)/2</f>
        <v/>
      </c>
      <c r="O269" s="99">
        <f>COUNTIF($I$5:$I$979,"&lt;"&amp;I269)+(COUNTIF($I$5:$I$979,"="&amp;I269)+1)/2</f>
        <v/>
      </c>
      <c r="P269" s="99">
        <f>COUNTIF($J$5:$J$979,"&lt;"&amp;J269)+(COUNTIF($J$5:$J$979,"="&amp;J269)+1)/2</f>
        <v/>
      </c>
    </row>
    <row r="270" ht="15" customHeight="1" s="68">
      <c r="A270" s="70">
        <f>'01_원자료'!A267</f>
        <v/>
      </c>
      <c r="B270" s="70">
        <f>'01_원자료'!B267</f>
        <v/>
      </c>
      <c r="C270" s="70">
        <f>'01_원자료'!C267</f>
        <v/>
      </c>
      <c r="E270" s="85">
        <f>'01_원자료'!P267*'03_가중치민감도'!$B$5+'01_원자료'!Q267*'03_가중치민감도'!$C$5+'01_원자료'!R267*'03_가중치민감도'!$D$5</f>
        <v/>
      </c>
      <c r="F270" s="85">
        <f>'01_원자료'!P267*'03_가중치민감도'!$B$6+'01_원자료'!Q267*'03_가중치민감도'!$C$6+'01_원자료'!R267*'03_가중치민감도'!$D$6</f>
        <v/>
      </c>
      <c r="G270" s="85">
        <f>'01_원자료'!P267*'03_가중치민감도'!$B$7+'01_원자료'!Q267*'03_가중치민감도'!$C$7+'01_원자료'!R267*'03_가중치민감도'!$D$7</f>
        <v/>
      </c>
      <c r="H270" s="85">
        <f>'01_원자료'!P267*'03_가중치민감도'!$B$8+'01_원자료'!Q267*'03_가중치민감도'!$C$8+'01_원자료'!R267*'03_가중치민감도'!$D$8</f>
        <v/>
      </c>
      <c r="I270" s="85">
        <f>'01_원자료'!P267*'03_가중치민감도'!$B$9+'01_원자료'!Q267*'03_가중치민감도'!$C$9+'01_원자료'!R267*'03_가중치민감도'!$D$9</f>
        <v/>
      </c>
      <c r="J270" s="85">
        <f>'01_원자료'!P267*'03_가중치민감도'!$B$10+'01_원자료'!Q267*'03_가중치민감도'!$C$10+'01_원자료'!R267*'03_가중치민감도'!$D$10</f>
        <v/>
      </c>
      <c r="K270" s="99">
        <f>COUNTIF($E$5:$E$979,"&lt;"&amp;E270)+(COUNTIF($E$5:$E$979,"="&amp;E270)+1)/2</f>
        <v/>
      </c>
      <c r="L270" s="99">
        <f>COUNTIF($F$5:$F$979,"&lt;"&amp;F270)+(COUNTIF($F$5:$F$979,"="&amp;F270)+1)/2</f>
        <v/>
      </c>
      <c r="M270" s="99">
        <f>COUNTIF($G$5:$G$979,"&lt;"&amp;G270)+(COUNTIF($G$5:$G$979,"="&amp;G270)+1)/2</f>
        <v/>
      </c>
      <c r="N270" s="99">
        <f>COUNTIF($H$5:$H$979,"&lt;"&amp;H270)+(COUNTIF($H$5:$H$979,"="&amp;H270)+1)/2</f>
        <v/>
      </c>
      <c r="O270" s="99">
        <f>COUNTIF($I$5:$I$979,"&lt;"&amp;I270)+(COUNTIF($I$5:$I$979,"="&amp;I270)+1)/2</f>
        <v/>
      </c>
      <c r="P270" s="99">
        <f>COUNTIF($J$5:$J$979,"&lt;"&amp;J270)+(COUNTIF($J$5:$J$979,"="&amp;J270)+1)/2</f>
        <v/>
      </c>
    </row>
    <row r="271" ht="15" customHeight="1" s="68">
      <c r="A271" s="70">
        <f>'01_원자료'!A268</f>
        <v/>
      </c>
      <c r="B271" s="70">
        <f>'01_원자료'!B268</f>
        <v/>
      </c>
      <c r="C271" s="70">
        <f>'01_원자료'!C268</f>
        <v/>
      </c>
      <c r="E271" s="85">
        <f>'01_원자료'!P268*'03_가중치민감도'!$B$5+'01_원자료'!Q268*'03_가중치민감도'!$C$5+'01_원자료'!R268*'03_가중치민감도'!$D$5</f>
        <v/>
      </c>
      <c r="F271" s="85">
        <f>'01_원자료'!P268*'03_가중치민감도'!$B$6+'01_원자료'!Q268*'03_가중치민감도'!$C$6+'01_원자료'!R268*'03_가중치민감도'!$D$6</f>
        <v/>
      </c>
      <c r="G271" s="85">
        <f>'01_원자료'!P268*'03_가중치민감도'!$B$7+'01_원자료'!Q268*'03_가중치민감도'!$C$7+'01_원자료'!R268*'03_가중치민감도'!$D$7</f>
        <v/>
      </c>
      <c r="H271" s="85">
        <f>'01_원자료'!P268*'03_가중치민감도'!$B$8+'01_원자료'!Q268*'03_가중치민감도'!$C$8+'01_원자료'!R268*'03_가중치민감도'!$D$8</f>
        <v/>
      </c>
      <c r="I271" s="85">
        <f>'01_원자료'!P268*'03_가중치민감도'!$B$9+'01_원자료'!Q268*'03_가중치민감도'!$C$9+'01_원자료'!R268*'03_가중치민감도'!$D$9</f>
        <v/>
      </c>
      <c r="J271" s="85">
        <f>'01_원자료'!P268*'03_가중치민감도'!$B$10+'01_원자료'!Q268*'03_가중치민감도'!$C$10+'01_원자료'!R268*'03_가중치민감도'!$D$10</f>
        <v/>
      </c>
      <c r="K271" s="99">
        <f>COUNTIF($E$5:$E$979,"&lt;"&amp;E271)+(COUNTIF($E$5:$E$979,"="&amp;E271)+1)/2</f>
        <v/>
      </c>
      <c r="L271" s="99">
        <f>COUNTIF($F$5:$F$979,"&lt;"&amp;F271)+(COUNTIF($F$5:$F$979,"="&amp;F271)+1)/2</f>
        <v/>
      </c>
      <c r="M271" s="99">
        <f>COUNTIF($G$5:$G$979,"&lt;"&amp;G271)+(COUNTIF($G$5:$G$979,"="&amp;G271)+1)/2</f>
        <v/>
      </c>
      <c r="N271" s="99">
        <f>COUNTIF($H$5:$H$979,"&lt;"&amp;H271)+(COUNTIF($H$5:$H$979,"="&amp;H271)+1)/2</f>
        <v/>
      </c>
      <c r="O271" s="99">
        <f>COUNTIF($I$5:$I$979,"&lt;"&amp;I271)+(COUNTIF($I$5:$I$979,"="&amp;I271)+1)/2</f>
        <v/>
      </c>
      <c r="P271" s="99">
        <f>COUNTIF($J$5:$J$979,"&lt;"&amp;J271)+(COUNTIF($J$5:$J$979,"="&amp;J271)+1)/2</f>
        <v/>
      </c>
    </row>
    <row r="272" ht="15" customHeight="1" s="68">
      <c r="A272" s="70">
        <f>'01_원자료'!A269</f>
        <v/>
      </c>
      <c r="B272" s="70">
        <f>'01_원자료'!B269</f>
        <v/>
      </c>
      <c r="C272" s="70">
        <f>'01_원자료'!C269</f>
        <v/>
      </c>
      <c r="E272" s="85">
        <f>'01_원자료'!P269*'03_가중치민감도'!$B$5+'01_원자료'!Q269*'03_가중치민감도'!$C$5+'01_원자료'!R269*'03_가중치민감도'!$D$5</f>
        <v/>
      </c>
      <c r="F272" s="85">
        <f>'01_원자료'!P269*'03_가중치민감도'!$B$6+'01_원자료'!Q269*'03_가중치민감도'!$C$6+'01_원자료'!R269*'03_가중치민감도'!$D$6</f>
        <v/>
      </c>
      <c r="G272" s="85">
        <f>'01_원자료'!P269*'03_가중치민감도'!$B$7+'01_원자료'!Q269*'03_가중치민감도'!$C$7+'01_원자료'!R269*'03_가중치민감도'!$D$7</f>
        <v/>
      </c>
      <c r="H272" s="85">
        <f>'01_원자료'!P269*'03_가중치민감도'!$B$8+'01_원자료'!Q269*'03_가중치민감도'!$C$8+'01_원자료'!R269*'03_가중치민감도'!$D$8</f>
        <v/>
      </c>
      <c r="I272" s="85">
        <f>'01_원자료'!P269*'03_가중치민감도'!$B$9+'01_원자료'!Q269*'03_가중치민감도'!$C$9+'01_원자료'!R269*'03_가중치민감도'!$D$9</f>
        <v/>
      </c>
      <c r="J272" s="85">
        <f>'01_원자료'!P269*'03_가중치민감도'!$B$10+'01_원자료'!Q269*'03_가중치민감도'!$C$10+'01_원자료'!R269*'03_가중치민감도'!$D$10</f>
        <v/>
      </c>
      <c r="K272" s="99">
        <f>COUNTIF($E$5:$E$979,"&lt;"&amp;E272)+(COUNTIF($E$5:$E$979,"="&amp;E272)+1)/2</f>
        <v/>
      </c>
      <c r="L272" s="99">
        <f>COUNTIF($F$5:$F$979,"&lt;"&amp;F272)+(COUNTIF($F$5:$F$979,"="&amp;F272)+1)/2</f>
        <v/>
      </c>
      <c r="M272" s="99">
        <f>COUNTIF($G$5:$G$979,"&lt;"&amp;G272)+(COUNTIF($G$5:$G$979,"="&amp;G272)+1)/2</f>
        <v/>
      </c>
      <c r="N272" s="99">
        <f>COUNTIF($H$5:$H$979,"&lt;"&amp;H272)+(COUNTIF($H$5:$H$979,"="&amp;H272)+1)/2</f>
        <v/>
      </c>
      <c r="O272" s="99">
        <f>COUNTIF($I$5:$I$979,"&lt;"&amp;I272)+(COUNTIF($I$5:$I$979,"="&amp;I272)+1)/2</f>
        <v/>
      </c>
      <c r="P272" s="99">
        <f>COUNTIF($J$5:$J$979,"&lt;"&amp;J272)+(COUNTIF($J$5:$J$979,"="&amp;J272)+1)/2</f>
        <v/>
      </c>
    </row>
    <row r="273" ht="15" customHeight="1" s="68">
      <c r="A273" s="70">
        <f>'01_원자료'!A270</f>
        <v/>
      </c>
      <c r="B273" s="70">
        <f>'01_원자료'!B270</f>
        <v/>
      </c>
      <c r="C273" s="70">
        <f>'01_원자료'!C270</f>
        <v/>
      </c>
      <c r="E273" s="85">
        <f>'01_원자료'!P270*'03_가중치민감도'!$B$5+'01_원자료'!Q270*'03_가중치민감도'!$C$5+'01_원자료'!R270*'03_가중치민감도'!$D$5</f>
        <v/>
      </c>
      <c r="F273" s="85">
        <f>'01_원자료'!P270*'03_가중치민감도'!$B$6+'01_원자료'!Q270*'03_가중치민감도'!$C$6+'01_원자료'!R270*'03_가중치민감도'!$D$6</f>
        <v/>
      </c>
      <c r="G273" s="85">
        <f>'01_원자료'!P270*'03_가중치민감도'!$B$7+'01_원자료'!Q270*'03_가중치민감도'!$C$7+'01_원자료'!R270*'03_가중치민감도'!$D$7</f>
        <v/>
      </c>
      <c r="H273" s="85">
        <f>'01_원자료'!P270*'03_가중치민감도'!$B$8+'01_원자료'!Q270*'03_가중치민감도'!$C$8+'01_원자료'!R270*'03_가중치민감도'!$D$8</f>
        <v/>
      </c>
      <c r="I273" s="85">
        <f>'01_원자료'!P270*'03_가중치민감도'!$B$9+'01_원자료'!Q270*'03_가중치민감도'!$C$9+'01_원자료'!R270*'03_가중치민감도'!$D$9</f>
        <v/>
      </c>
      <c r="J273" s="85">
        <f>'01_원자료'!P270*'03_가중치민감도'!$B$10+'01_원자료'!Q270*'03_가중치민감도'!$C$10+'01_원자료'!R270*'03_가중치민감도'!$D$10</f>
        <v/>
      </c>
      <c r="K273" s="99">
        <f>COUNTIF($E$5:$E$979,"&lt;"&amp;E273)+(COUNTIF($E$5:$E$979,"="&amp;E273)+1)/2</f>
        <v/>
      </c>
      <c r="L273" s="99">
        <f>COUNTIF($F$5:$F$979,"&lt;"&amp;F273)+(COUNTIF($F$5:$F$979,"="&amp;F273)+1)/2</f>
        <v/>
      </c>
      <c r="M273" s="99">
        <f>COUNTIF($G$5:$G$979,"&lt;"&amp;G273)+(COUNTIF($G$5:$G$979,"="&amp;G273)+1)/2</f>
        <v/>
      </c>
      <c r="N273" s="99">
        <f>COUNTIF($H$5:$H$979,"&lt;"&amp;H273)+(COUNTIF($H$5:$H$979,"="&amp;H273)+1)/2</f>
        <v/>
      </c>
      <c r="O273" s="99">
        <f>COUNTIF($I$5:$I$979,"&lt;"&amp;I273)+(COUNTIF($I$5:$I$979,"="&amp;I273)+1)/2</f>
        <v/>
      </c>
      <c r="P273" s="99">
        <f>COUNTIF($J$5:$J$979,"&lt;"&amp;J273)+(COUNTIF($J$5:$J$979,"="&amp;J273)+1)/2</f>
        <v/>
      </c>
    </row>
    <row r="274" ht="15" customHeight="1" s="68">
      <c r="A274" s="70">
        <f>'01_원자료'!A271</f>
        <v/>
      </c>
      <c r="B274" s="70">
        <f>'01_원자료'!B271</f>
        <v/>
      </c>
      <c r="C274" s="70">
        <f>'01_원자료'!C271</f>
        <v/>
      </c>
      <c r="E274" s="85">
        <f>'01_원자료'!P271*'03_가중치민감도'!$B$5+'01_원자료'!Q271*'03_가중치민감도'!$C$5+'01_원자료'!R271*'03_가중치민감도'!$D$5</f>
        <v/>
      </c>
      <c r="F274" s="85">
        <f>'01_원자료'!P271*'03_가중치민감도'!$B$6+'01_원자료'!Q271*'03_가중치민감도'!$C$6+'01_원자료'!R271*'03_가중치민감도'!$D$6</f>
        <v/>
      </c>
      <c r="G274" s="85">
        <f>'01_원자료'!P271*'03_가중치민감도'!$B$7+'01_원자료'!Q271*'03_가중치민감도'!$C$7+'01_원자료'!R271*'03_가중치민감도'!$D$7</f>
        <v/>
      </c>
      <c r="H274" s="85">
        <f>'01_원자료'!P271*'03_가중치민감도'!$B$8+'01_원자료'!Q271*'03_가중치민감도'!$C$8+'01_원자료'!R271*'03_가중치민감도'!$D$8</f>
        <v/>
      </c>
      <c r="I274" s="85">
        <f>'01_원자료'!P271*'03_가중치민감도'!$B$9+'01_원자료'!Q271*'03_가중치민감도'!$C$9+'01_원자료'!R271*'03_가중치민감도'!$D$9</f>
        <v/>
      </c>
      <c r="J274" s="85">
        <f>'01_원자료'!P271*'03_가중치민감도'!$B$10+'01_원자료'!Q271*'03_가중치민감도'!$C$10+'01_원자료'!R271*'03_가중치민감도'!$D$10</f>
        <v/>
      </c>
      <c r="K274" s="99">
        <f>COUNTIF($E$5:$E$979,"&lt;"&amp;E274)+(COUNTIF($E$5:$E$979,"="&amp;E274)+1)/2</f>
        <v/>
      </c>
      <c r="L274" s="99">
        <f>COUNTIF($F$5:$F$979,"&lt;"&amp;F274)+(COUNTIF($F$5:$F$979,"="&amp;F274)+1)/2</f>
        <v/>
      </c>
      <c r="M274" s="99">
        <f>COUNTIF($G$5:$G$979,"&lt;"&amp;G274)+(COUNTIF($G$5:$G$979,"="&amp;G274)+1)/2</f>
        <v/>
      </c>
      <c r="N274" s="99">
        <f>COUNTIF($H$5:$H$979,"&lt;"&amp;H274)+(COUNTIF($H$5:$H$979,"="&amp;H274)+1)/2</f>
        <v/>
      </c>
      <c r="O274" s="99">
        <f>COUNTIF($I$5:$I$979,"&lt;"&amp;I274)+(COUNTIF($I$5:$I$979,"="&amp;I274)+1)/2</f>
        <v/>
      </c>
      <c r="P274" s="99">
        <f>COUNTIF($J$5:$J$979,"&lt;"&amp;J274)+(COUNTIF($J$5:$J$979,"="&amp;J274)+1)/2</f>
        <v/>
      </c>
    </row>
    <row r="275" ht="15" customHeight="1" s="68">
      <c r="A275" s="70">
        <f>'01_원자료'!A272</f>
        <v/>
      </c>
      <c r="B275" s="70">
        <f>'01_원자료'!B272</f>
        <v/>
      </c>
      <c r="C275" s="70">
        <f>'01_원자료'!C272</f>
        <v/>
      </c>
      <c r="E275" s="85">
        <f>'01_원자료'!P272*'03_가중치민감도'!$B$5+'01_원자료'!Q272*'03_가중치민감도'!$C$5+'01_원자료'!R272*'03_가중치민감도'!$D$5</f>
        <v/>
      </c>
      <c r="F275" s="85">
        <f>'01_원자료'!P272*'03_가중치민감도'!$B$6+'01_원자료'!Q272*'03_가중치민감도'!$C$6+'01_원자료'!R272*'03_가중치민감도'!$D$6</f>
        <v/>
      </c>
      <c r="G275" s="85">
        <f>'01_원자료'!P272*'03_가중치민감도'!$B$7+'01_원자료'!Q272*'03_가중치민감도'!$C$7+'01_원자료'!R272*'03_가중치민감도'!$D$7</f>
        <v/>
      </c>
      <c r="H275" s="85">
        <f>'01_원자료'!P272*'03_가중치민감도'!$B$8+'01_원자료'!Q272*'03_가중치민감도'!$C$8+'01_원자료'!R272*'03_가중치민감도'!$D$8</f>
        <v/>
      </c>
      <c r="I275" s="85">
        <f>'01_원자료'!P272*'03_가중치민감도'!$B$9+'01_원자료'!Q272*'03_가중치민감도'!$C$9+'01_원자료'!R272*'03_가중치민감도'!$D$9</f>
        <v/>
      </c>
      <c r="J275" s="85">
        <f>'01_원자료'!P272*'03_가중치민감도'!$B$10+'01_원자료'!Q272*'03_가중치민감도'!$C$10+'01_원자료'!R272*'03_가중치민감도'!$D$10</f>
        <v/>
      </c>
      <c r="K275" s="99">
        <f>COUNTIF($E$5:$E$979,"&lt;"&amp;E275)+(COUNTIF($E$5:$E$979,"="&amp;E275)+1)/2</f>
        <v/>
      </c>
      <c r="L275" s="99">
        <f>COUNTIF($F$5:$F$979,"&lt;"&amp;F275)+(COUNTIF($F$5:$F$979,"="&amp;F275)+1)/2</f>
        <v/>
      </c>
      <c r="M275" s="99">
        <f>COUNTIF($G$5:$G$979,"&lt;"&amp;G275)+(COUNTIF($G$5:$G$979,"="&amp;G275)+1)/2</f>
        <v/>
      </c>
      <c r="N275" s="99">
        <f>COUNTIF($H$5:$H$979,"&lt;"&amp;H275)+(COUNTIF($H$5:$H$979,"="&amp;H275)+1)/2</f>
        <v/>
      </c>
      <c r="O275" s="99">
        <f>COUNTIF($I$5:$I$979,"&lt;"&amp;I275)+(COUNTIF($I$5:$I$979,"="&amp;I275)+1)/2</f>
        <v/>
      </c>
      <c r="P275" s="99">
        <f>COUNTIF($J$5:$J$979,"&lt;"&amp;J275)+(COUNTIF($J$5:$J$979,"="&amp;J275)+1)/2</f>
        <v/>
      </c>
    </row>
    <row r="276" ht="15" customHeight="1" s="68">
      <c r="A276" s="70">
        <f>'01_원자료'!A273</f>
        <v/>
      </c>
      <c r="B276" s="70">
        <f>'01_원자료'!B273</f>
        <v/>
      </c>
      <c r="C276" s="70">
        <f>'01_원자료'!C273</f>
        <v/>
      </c>
      <c r="E276" s="85">
        <f>'01_원자료'!P273*'03_가중치민감도'!$B$5+'01_원자료'!Q273*'03_가중치민감도'!$C$5+'01_원자료'!R273*'03_가중치민감도'!$D$5</f>
        <v/>
      </c>
      <c r="F276" s="85">
        <f>'01_원자료'!P273*'03_가중치민감도'!$B$6+'01_원자료'!Q273*'03_가중치민감도'!$C$6+'01_원자료'!R273*'03_가중치민감도'!$D$6</f>
        <v/>
      </c>
      <c r="G276" s="85">
        <f>'01_원자료'!P273*'03_가중치민감도'!$B$7+'01_원자료'!Q273*'03_가중치민감도'!$C$7+'01_원자료'!R273*'03_가중치민감도'!$D$7</f>
        <v/>
      </c>
      <c r="H276" s="85">
        <f>'01_원자료'!P273*'03_가중치민감도'!$B$8+'01_원자료'!Q273*'03_가중치민감도'!$C$8+'01_원자료'!R273*'03_가중치민감도'!$D$8</f>
        <v/>
      </c>
      <c r="I276" s="85">
        <f>'01_원자료'!P273*'03_가중치민감도'!$B$9+'01_원자료'!Q273*'03_가중치민감도'!$C$9+'01_원자료'!R273*'03_가중치민감도'!$D$9</f>
        <v/>
      </c>
      <c r="J276" s="85">
        <f>'01_원자료'!P273*'03_가중치민감도'!$B$10+'01_원자료'!Q273*'03_가중치민감도'!$C$10+'01_원자료'!R273*'03_가중치민감도'!$D$10</f>
        <v/>
      </c>
      <c r="K276" s="99">
        <f>COUNTIF($E$5:$E$979,"&lt;"&amp;E276)+(COUNTIF($E$5:$E$979,"="&amp;E276)+1)/2</f>
        <v/>
      </c>
      <c r="L276" s="99">
        <f>COUNTIF($F$5:$F$979,"&lt;"&amp;F276)+(COUNTIF($F$5:$F$979,"="&amp;F276)+1)/2</f>
        <v/>
      </c>
      <c r="M276" s="99">
        <f>COUNTIF($G$5:$G$979,"&lt;"&amp;G276)+(COUNTIF($G$5:$G$979,"="&amp;G276)+1)/2</f>
        <v/>
      </c>
      <c r="N276" s="99">
        <f>COUNTIF($H$5:$H$979,"&lt;"&amp;H276)+(COUNTIF($H$5:$H$979,"="&amp;H276)+1)/2</f>
        <v/>
      </c>
      <c r="O276" s="99">
        <f>COUNTIF($I$5:$I$979,"&lt;"&amp;I276)+(COUNTIF($I$5:$I$979,"="&amp;I276)+1)/2</f>
        <v/>
      </c>
      <c r="P276" s="99">
        <f>COUNTIF($J$5:$J$979,"&lt;"&amp;J276)+(COUNTIF($J$5:$J$979,"="&amp;J276)+1)/2</f>
        <v/>
      </c>
    </row>
    <row r="277" ht="15" customHeight="1" s="68">
      <c r="A277" s="70">
        <f>'01_원자료'!A274</f>
        <v/>
      </c>
      <c r="B277" s="70">
        <f>'01_원자료'!B274</f>
        <v/>
      </c>
      <c r="C277" s="70">
        <f>'01_원자료'!C274</f>
        <v/>
      </c>
      <c r="E277" s="85">
        <f>'01_원자료'!P274*'03_가중치민감도'!$B$5+'01_원자료'!Q274*'03_가중치민감도'!$C$5+'01_원자료'!R274*'03_가중치민감도'!$D$5</f>
        <v/>
      </c>
      <c r="F277" s="85">
        <f>'01_원자료'!P274*'03_가중치민감도'!$B$6+'01_원자료'!Q274*'03_가중치민감도'!$C$6+'01_원자료'!R274*'03_가중치민감도'!$D$6</f>
        <v/>
      </c>
      <c r="G277" s="85">
        <f>'01_원자료'!P274*'03_가중치민감도'!$B$7+'01_원자료'!Q274*'03_가중치민감도'!$C$7+'01_원자료'!R274*'03_가중치민감도'!$D$7</f>
        <v/>
      </c>
      <c r="H277" s="85">
        <f>'01_원자료'!P274*'03_가중치민감도'!$B$8+'01_원자료'!Q274*'03_가중치민감도'!$C$8+'01_원자료'!R274*'03_가중치민감도'!$D$8</f>
        <v/>
      </c>
      <c r="I277" s="85">
        <f>'01_원자료'!P274*'03_가중치민감도'!$B$9+'01_원자료'!Q274*'03_가중치민감도'!$C$9+'01_원자료'!R274*'03_가중치민감도'!$D$9</f>
        <v/>
      </c>
      <c r="J277" s="85">
        <f>'01_원자료'!P274*'03_가중치민감도'!$B$10+'01_원자료'!Q274*'03_가중치민감도'!$C$10+'01_원자료'!R274*'03_가중치민감도'!$D$10</f>
        <v/>
      </c>
      <c r="K277" s="99">
        <f>COUNTIF($E$5:$E$979,"&lt;"&amp;E277)+(COUNTIF($E$5:$E$979,"="&amp;E277)+1)/2</f>
        <v/>
      </c>
      <c r="L277" s="99">
        <f>COUNTIF($F$5:$F$979,"&lt;"&amp;F277)+(COUNTIF($F$5:$F$979,"="&amp;F277)+1)/2</f>
        <v/>
      </c>
      <c r="M277" s="99">
        <f>COUNTIF($G$5:$G$979,"&lt;"&amp;G277)+(COUNTIF($G$5:$G$979,"="&amp;G277)+1)/2</f>
        <v/>
      </c>
      <c r="N277" s="99">
        <f>COUNTIF($H$5:$H$979,"&lt;"&amp;H277)+(COUNTIF($H$5:$H$979,"="&amp;H277)+1)/2</f>
        <v/>
      </c>
      <c r="O277" s="99">
        <f>COUNTIF($I$5:$I$979,"&lt;"&amp;I277)+(COUNTIF($I$5:$I$979,"="&amp;I277)+1)/2</f>
        <v/>
      </c>
      <c r="P277" s="99">
        <f>COUNTIF($J$5:$J$979,"&lt;"&amp;J277)+(COUNTIF($J$5:$J$979,"="&amp;J277)+1)/2</f>
        <v/>
      </c>
    </row>
    <row r="278" ht="15" customHeight="1" s="68">
      <c r="A278" s="70">
        <f>'01_원자료'!A275</f>
        <v/>
      </c>
      <c r="B278" s="70">
        <f>'01_원자료'!B275</f>
        <v/>
      </c>
      <c r="C278" s="70">
        <f>'01_원자료'!C275</f>
        <v/>
      </c>
      <c r="E278" s="85">
        <f>'01_원자료'!P275*'03_가중치민감도'!$B$5+'01_원자료'!Q275*'03_가중치민감도'!$C$5+'01_원자료'!R275*'03_가중치민감도'!$D$5</f>
        <v/>
      </c>
      <c r="F278" s="85">
        <f>'01_원자료'!P275*'03_가중치민감도'!$B$6+'01_원자료'!Q275*'03_가중치민감도'!$C$6+'01_원자료'!R275*'03_가중치민감도'!$D$6</f>
        <v/>
      </c>
      <c r="G278" s="85">
        <f>'01_원자료'!P275*'03_가중치민감도'!$B$7+'01_원자료'!Q275*'03_가중치민감도'!$C$7+'01_원자료'!R275*'03_가중치민감도'!$D$7</f>
        <v/>
      </c>
      <c r="H278" s="85">
        <f>'01_원자료'!P275*'03_가중치민감도'!$B$8+'01_원자료'!Q275*'03_가중치민감도'!$C$8+'01_원자료'!R275*'03_가중치민감도'!$D$8</f>
        <v/>
      </c>
      <c r="I278" s="85">
        <f>'01_원자료'!P275*'03_가중치민감도'!$B$9+'01_원자료'!Q275*'03_가중치민감도'!$C$9+'01_원자료'!R275*'03_가중치민감도'!$D$9</f>
        <v/>
      </c>
      <c r="J278" s="85">
        <f>'01_원자료'!P275*'03_가중치민감도'!$B$10+'01_원자료'!Q275*'03_가중치민감도'!$C$10+'01_원자료'!R275*'03_가중치민감도'!$D$10</f>
        <v/>
      </c>
      <c r="K278" s="99">
        <f>COUNTIF($E$5:$E$979,"&lt;"&amp;E278)+(COUNTIF($E$5:$E$979,"="&amp;E278)+1)/2</f>
        <v/>
      </c>
      <c r="L278" s="99">
        <f>COUNTIF($F$5:$F$979,"&lt;"&amp;F278)+(COUNTIF($F$5:$F$979,"="&amp;F278)+1)/2</f>
        <v/>
      </c>
      <c r="M278" s="99">
        <f>COUNTIF($G$5:$G$979,"&lt;"&amp;G278)+(COUNTIF($G$5:$G$979,"="&amp;G278)+1)/2</f>
        <v/>
      </c>
      <c r="N278" s="99">
        <f>COUNTIF($H$5:$H$979,"&lt;"&amp;H278)+(COUNTIF($H$5:$H$979,"="&amp;H278)+1)/2</f>
        <v/>
      </c>
      <c r="O278" s="99">
        <f>COUNTIF($I$5:$I$979,"&lt;"&amp;I278)+(COUNTIF($I$5:$I$979,"="&amp;I278)+1)/2</f>
        <v/>
      </c>
      <c r="P278" s="99">
        <f>COUNTIF($J$5:$J$979,"&lt;"&amp;J278)+(COUNTIF($J$5:$J$979,"="&amp;J278)+1)/2</f>
        <v/>
      </c>
    </row>
    <row r="279" ht="15" customHeight="1" s="68">
      <c r="A279" s="70">
        <f>'01_원자료'!A276</f>
        <v/>
      </c>
      <c r="B279" s="70">
        <f>'01_원자료'!B276</f>
        <v/>
      </c>
      <c r="C279" s="70">
        <f>'01_원자료'!C276</f>
        <v/>
      </c>
      <c r="E279" s="85">
        <f>'01_원자료'!P276*'03_가중치민감도'!$B$5+'01_원자료'!Q276*'03_가중치민감도'!$C$5+'01_원자료'!R276*'03_가중치민감도'!$D$5</f>
        <v/>
      </c>
      <c r="F279" s="85">
        <f>'01_원자료'!P276*'03_가중치민감도'!$B$6+'01_원자료'!Q276*'03_가중치민감도'!$C$6+'01_원자료'!R276*'03_가중치민감도'!$D$6</f>
        <v/>
      </c>
      <c r="G279" s="85">
        <f>'01_원자료'!P276*'03_가중치민감도'!$B$7+'01_원자료'!Q276*'03_가중치민감도'!$C$7+'01_원자료'!R276*'03_가중치민감도'!$D$7</f>
        <v/>
      </c>
      <c r="H279" s="85">
        <f>'01_원자료'!P276*'03_가중치민감도'!$B$8+'01_원자료'!Q276*'03_가중치민감도'!$C$8+'01_원자료'!R276*'03_가중치민감도'!$D$8</f>
        <v/>
      </c>
      <c r="I279" s="85">
        <f>'01_원자료'!P276*'03_가중치민감도'!$B$9+'01_원자료'!Q276*'03_가중치민감도'!$C$9+'01_원자료'!R276*'03_가중치민감도'!$D$9</f>
        <v/>
      </c>
      <c r="J279" s="85">
        <f>'01_원자료'!P276*'03_가중치민감도'!$B$10+'01_원자료'!Q276*'03_가중치민감도'!$C$10+'01_원자료'!R276*'03_가중치민감도'!$D$10</f>
        <v/>
      </c>
      <c r="K279" s="99">
        <f>COUNTIF($E$5:$E$979,"&lt;"&amp;E279)+(COUNTIF($E$5:$E$979,"="&amp;E279)+1)/2</f>
        <v/>
      </c>
      <c r="L279" s="99">
        <f>COUNTIF($F$5:$F$979,"&lt;"&amp;F279)+(COUNTIF($F$5:$F$979,"="&amp;F279)+1)/2</f>
        <v/>
      </c>
      <c r="M279" s="99">
        <f>COUNTIF($G$5:$G$979,"&lt;"&amp;G279)+(COUNTIF($G$5:$G$979,"="&amp;G279)+1)/2</f>
        <v/>
      </c>
      <c r="N279" s="99">
        <f>COUNTIF($H$5:$H$979,"&lt;"&amp;H279)+(COUNTIF($H$5:$H$979,"="&amp;H279)+1)/2</f>
        <v/>
      </c>
      <c r="O279" s="99">
        <f>COUNTIF($I$5:$I$979,"&lt;"&amp;I279)+(COUNTIF($I$5:$I$979,"="&amp;I279)+1)/2</f>
        <v/>
      </c>
      <c r="P279" s="99">
        <f>COUNTIF($J$5:$J$979,"&lt;"&amp;J279)+(COUNTIF($J$5:$J$979,"="&amp;J279)+1)/2</f>
        <v/>
      </c>
    </row>
    <row r="280" ht="15" customHeight="1" s="68">
      <c r="A280" s="70">
        <f>'01_원자료'!A277</f>
        <v/>
      </c>
      <c r="B280" s="70">
        <f>'01_원자료'!B277</f>
        <v/>
      </c>
      <c r="C280" s="70">
        <f>'01_원자료'!C277</f>
        <v/>
      </c>
      <c r="E280" s="85">
        <f>'01_원자료'!P277*'03_가중치민감도'!$B$5+'01_원자료'!Q277*'03_가중치민감도'!$C$5+'01_원자료'!R277*'03_가중치민감도'!$D$5</f>
        <v/>
      </c>
      <c r="F280" s="85">
        <f>'01_원자료'!P277*'03_가중치민감도'!$B$6+'01_원자료'!Q277*'03_가중치민감도'!$C$6+'01_원자료'!R277*'03_가중치민감도'!$D$6</f>
        <v/>
      </c>
      <c r="G280" s="85">
        <f>'01_원자료'!P277*'03_가중치민감도'!$B$7+'01_원자료'!Q277*'03_가중치민감도'!$C$7+'01_원자료'!R277*'03_가중치민감도'!$D$7</f>
        <v/>
      </c>
      <c r="H280" s="85">
        <f>'01_원자료'!P277*'03_가중치민감도'!$B$8+'01_원자료'!Q277*'03_가중치민감도'!$C$8+'01_원자료'!R277*'03_가중치민감도'!$D$8</f>
        <v/>
      </c>
      <c r="I280" s="85">
        <f>'01_원자료'!P277*'03_가중치민감도'!$B$9+'01_원자료'!Q277*'03_가중치민감도'!$C$9+'01_원자료'!R277*'03_가중치민감도'!$D$9</f>
        <v/>
      </c>
      <c r="J280" s="85">
        <f>'01_원자료'!P277*'03_가중치민감도'!$B$10+'01_원자료'!Q277*'03_가중치민감도'!$C$10+'01_원자료'!R277*'03_가중치민감도'!$D$10</f>
        <v/>
      </c>
      <c r="K280" s="99">
        <f>COUNTIF($E$5:$E$979,"&lt;"&amp;E280)+(COUNTIF($E$5:$E$979,"="&amp;E280)+1)/2</f>
        <v/>
      </c>
      <c r="L280" s="99">
        <f>COUNTIF($F$5:$F$979,"&lt;"&amp;F280)+(COUNTIF($F$5:$F$979,"="&amp;F280)+1)/2</f>
        <v/>
      </c>
      <c r="M280" s="99">
        <f>COUNTIF($G$5:$G$979,"&lt;"&amp;G280)+(COUNTIF($G$5:$G$979,"="&amp;G280)+1)/2</f>
        <v/>
      </c>
      <c r="N280" s="99">
        <f>COUNTIF($H$5:$H$979,"&lt;"&amp;H280)+(COUNTIF($H$5:$H$979,"="&amp;H280)+1)/2</f>
        <v/>
      </c>
      <c r="O280" s="99">
        <f>COUNTIF($I$5:$I$979,"&lt;"&amp;I280)+(COUNTIF($I$5:$I$979,"="&amp;I280)+1)/2</f>
        <v/>
      </c>
      <c r="P280" s="99">
        <f>COUNTIF($J$5:$J$979,"&lt;"&amp;J280)+(COUNTIF($J$5:$J$979,"="&amp;J280)+1)/2</f>
        <v/>
      </c>
    </row>
    <row r="281" ht="15" customHeight="1" s="68">
      <c r="A281" s="70">
        <f>'01_원자료'!A278</f>
        <v/>
      </c>
      <c r="B281" s="70">
        <f>'01_원자료'!B278</f>
        <v/>
      </c>
      <c r="C281" s="70">
        <f>'01_원자료'!C278</f>
        <v/>
      </c>
      <c r="E281" s="85">
        <f>'01_원자료'!P278*'03_가중치민감도'!$B$5+'01_원자료'!Q278*'03_가중치민감도'!$C$5+'01_원자료'!R278*'03_가중치민감도'!$D$5</f>
        <v/>
      </c>
      <c r="F281" s="85">
        <f>'01_원자료'!P278*'03_가중치민감도'!$B$6+'01_원자료'!Q278*'03_가중치민감도'!$C$6+'01_원자료'!R278*'03_가중치민감도'!$D$6</f>
        <v/>
      </c>
      <c r="G281" s="85">
        <f>'01_원자료'!P278*'03_가중치민감도'!$B$7+'01_원자료'!Q278*'03_가중치민감도'!$C$7+'01_원자료'!R278*'03_가중치민감도'!$D$7</f>
        <v/>
      </c>
      <c r="H281" s="85">
        <f>'01_원자료'!P278*'03_가중치민감도'!$B$8+'01_원자료'!Q278*'03_가중치민감도'!$C$8+'01_원자료'!R278*'03_가중치민감도'!$D$8</f>
        <v/>
      </c>
      <c r="I281" s="85">
        <f>'01_원자료'!P278*'03_가중치민감도'!$B$9+'01_원자료'!Q278*'03_가중치민감도'!$C$9+'01_원자료'!R278*'03_가중치민감도'!$D$9</f>
        <v/>
      </c>
      <c r="J281" s="85">
        <f>'01_원자료'!P278*'03_가중치민감도'!$B$10+'01_원자료'!Q278*'03_가중치민감도'!$C$10+'01_원자료'!R278*'03_가중치민감도'!$D$10</f>
        <v/>
      </c>
      <c r="K281" s="99">
        <f>COUNTIF($E$5:$E$979,"&lt;"&amp;E281)+(COUNTIF($E$5:$E$979,"="&amp;E281)+1)/2</f>
        <v/>
      </c>
      <c r="L281" s="99">
        <f>COUNTIF($F$5:$F$979,"&lt;"&amp;F281)+(COUNTIF($F$5:$F$979,"="&amp;F281)+1)/2</f>
        <v/>
      </c>
      <c r="M281" s="99">
        <f>COUNTIF($G$5:$G$979,"&lt;"&amp;G281)+(COUNTIF($G$5:$G$979,"="&amp;G281)+1)/2</f>
        <v/>
      </c>
      <c r="N281" s="99">
        <f>COUNTIF($H$5:$H$979,"&lt;"&amp;H281)+(COUNTIF($H$5:$H$979,"="&amp;H281)+1)/2</f>
        <v/>
      </c>
      <c r="O281" s="99">
        <f>COUNTIF($I$5:$I$979,"&lt;"&amp;I281)+(COUNTIF($I$5:$I$979,"="&amp;I281)+1)/2</f>
        <v/>
      </c>
      <c r="P281" s="99">
        <f>COUNTIF($J$5:$J$979,"&lt;"&amp;J281)+(COUNTIF($J$5:$J$979,"="&amp;J281)+1)/2</f>
        <v/>
      </c>
    </row>
    <row r="282" ht="15" customHeight="1" s="68">
      <c r="A282" s="70">
        <f>'01_원자료'!A279</f>
        <v/>
      </c>
      <c r="B282" s="70">
        <f>'01_원자료'!B279</f>
        <v/>
      </c>
      <c r="C282" s="70">
        <f>'01_원자료'!C279</f>
        <v/>
      </c>
      <c r="E282" s="85">
        <f>'01_원자료'!P279*'03_가중치민감도'!$B$5+'01_원자료'!Q279*'03_가중치민감도'!$C$5+'01_원자료'!R279*'03_가중치민감도'!$D$5</f>
        <v/>
      </c>
      <c r="F282" s="85">
        <f>'01_원자료'!P279*'03_가중치민감도'!$B$6+'01_원자료'!Q279*'03_가중치민감도'!$C$6+'01_원자료'!R279*'03_가중치민감도'!$D$6</f>
        <v/>
      </c>
      <c r="G282" s="85">
        <f>'01_원자료'!P279*'03_가중치민감도'!$B$7+'01_원자료'!Q279*'03_가중치민감도'!$C$7+'01_원자료'!R279*'03_가중치민감도'!$D$7</f>
        <v/>
      </c>
      <c r="H282" s="85">
        <f>'01_원자료'!P279*'03_가중치민감도'!$B$8+'01_원자료'!Q279*'03_가중치민감도'!$C$8+'01_원자료'!R279*'03_가중치민감도'!$D$8</f>
        <v/>
      </c>
      <c r="I282" s="85">
        <f>'01_원자료'!P279*'03_가중치민감도'!$B$9+'01_원자료'!Q279*'03_가중치민감도'!$C$9+'01_원자료'!R279*'03_가중치민감도'!$D$9</f>
        <v/>
      </c>
      <c r="J282" s="85">
        <f>'01_원자료'!P279*'03_가중치민감도'!$B$10+'01_원자료'!Q279*'03_가중치민감도'!$C$10+'01_원자료'!R279*'03_가중치민감도'!$D$10</f>
        <v/>
      </c>
      <c r="K282" s="99">
        <f>COUNTIF($E$5:$E$979,"&lt;"&amp;E282)+(COUNTIF($E$5:$E$979,"="&amp;E282)+1)/2</f>
        <v/>
      </c>
      <c r="L282" s="99">
        <f>COUNTIF($F$5:$F$979,"&lt;"&amp;F282)+(COUNTIF($F$5:$F$979,"="&amp;F282)+1)/2</f>
        <v/>
      </c>
      <c r="M282" s="99">
        <f>COUNTIF($G$5:$G$979,"&lt;"&amp;G282)+(COUNTIF($G$5:$G$979,"="&amp;G282)+1)/2</f>
        <v/>
      </c>
      <c r="N282" s="99">
        <f>COUNTIF($H$5:$H$979,"&lt;"&amp;H282)+(COUNTIF($H$5:$H$979,"="&amp;H282)+1)/2</f>
        <v/>
      </c>
      <c r="O282" s="99">
        <f>COUNTIF($I$5:$I$979,"&lt;"&amp;I282)+(COUNTIF($I$5:$I$979,"="&amp;I282)+1)/2</f>
        <v/>
      </c>
      <c r="P282" s="99">
        <f>COUNTIF($J$5:$J$979,"&lt;"&amp;J282)+(COUNTIF($J$5:$J$979,"="&amp;J282)+1)/2</f>
        <v/>
      </c>
    </row>
    <row r="283" ht="15" customHeight="1" s="68">
      <c r="A283" s="70">
        <f>'01_원자료'!A280</f>
        <v/>
      </c>
      <c r="B283" s="70">
        <f>'01_원자료'!B280</f>
        <v/>
      </c>
      <c r="C283" s="70">
        <f>'01_원자료'!C280</f>
        <v/>
      </c>
      <c r="E283" s="85">
        <f>'01_원자료'!P280*'03_가중치민감도'!$B$5+'01_원자료'!Q280*'03_가중치민감도'!$C$5+'01_원자료'!R280*'03_가중치민감도'!$D$5</f>
        <v/>
      </c>
      <c r="F283" s="85">
        <f>'01_원자료'!P280*'03_가중치민감도'!$B$6+'01_원자료'!Q280*'03_가중치민감도'!$C$6+'01_원자료'!R280*'03_가중치민감도'!$D$6</f>
        <v/>
      </c>
      <c r="G283" s="85">
        <f>'01_원자료'!P280*'03_가중치민감도'!$B$7+'01_원자료'!Q280*'03_가중치민감도'!$C$7+'01_원자료'!R280*'03_가중치민감도'!$D$7</f>
        <v/>
      </c>
      <c r="H283" s="85">
        <f>'01_원자료'!P280*'03_가중치민감도'!$B$8+'01_원자료'!Q280*'03_가중치민감도'!$C$8+'01_원자료'!R280*'03_가중치민감도'!$D$8</f>
        <v/>
      </c>
      <c r="I283" s="85">
        <f>'01_원자료'!P280*'03_가중치민감도'!$B$9+'01_원자료'!Q280*'03_가중치민감도'!$C$9+'01_원자료'!R280*'03_가중치민감도'!$D$9</f>
        <v/>
      </c>
      <c r="J283" s="85">
        <f>'01_원자료'!P280*'03_가중치민감도'!$B$10+'01_원자료'!Q280*'03_가중치민감도'!$C$10+'01_원자료'!R280*'03_가중치민감도'!$D$10</f>
        <v/>
      </c>
      <c r="K283" s="99">
        <f>COUNTIF($E$5:$E$979,"&lt;"&amp;E283)+(COUNTIF($E$5:$E$979,"="&amp;E283)+1)/2</f>
        <v/>
      </c>
      <c r="L283" s="99">
        <f>COUNTIF($F$5:$F$979,"&lt;"&amp;F283)+(COUNTIF($F$5:$F$979,"="&amp;F283)+1)/2</f>
        <v/>
      </c>
      <c r="M283" s="99">
        <f>COUNTIF($G$5:$G$979,"&lt;"&amp;G283)+(COUNTIF($G$5:$G$979,"="&amp;G283)+1)/2</f>
        <v/>
      </c>
      <c r="N283" s="99">
        <f>COUNTIF($H$5:$H$979,"&lt;"&amp;H283)+(COUNTIF($H$5:$H$979,"="&amp;H283)+1)/2</f>
        <v/>
      </c>
      <c r="O283" s="99">
        <f>COUNTIF($I$5:$I$979,"&lt;"&amp;I283)+(COUNTIF($I$5:$I$979,"="&amp;I283)+1)/2</f>
        <v/>
      </c>
      <c r="P283" s="99">
        <f>COUNTIF($J$5:$J$979,"&lt;"&amp;J283)+(COUNTIF($J$5:$J$979,"="&amp;J283)+1)/2</f>
        <v/>
      </c>
    </row>
    <row r="284" ht="15" customHeight="1" s="68">
      <c r="A284" s="70">
        <f>'01_원자료'!A281</f>
        <v/>
      </c>
      <c r="B284" s="70">
        <f>'01_원자료'!B281</f>
        <v/>
      </c>
      <c r="C284" s="70">
        <f>'01_원자료'!C281</f>
        <v/>
      </c>
      <c r="E284" s="85">
        <f>'01_원자료'!P281*'03_가중치민감도'!$B$5+'01_원자료'!Q281*'03_가중치민감도'!$C$5+'01_원자료'!R281*'03_가중치민감도'!$D$5</f>
        <v/>
      </c>
      <c r="F284" s="85">
        <f>'01_원자료'!P281*'03_가중치민감도'!$B$6+'01_원자료'!Q281*'03_가중치민감도'!$C$6+'01_원자료'!R281*'03_가중치민감도'!$D$6</f>
        <v/>
      </c>
      <c r="G284" s="85">
        <f>'01_원자료'!P281*'03_가중치민감도'!$B$7+'01_원자료'!Q281*'03_가중치민감도'!$C$7+'01_원자료'!R281*'03_가중치민감도'!$D$7</f>
        <v/>
      </c>
      <c r="H284" s="85">
        <f>'01_원자료'!P281*'03_가중치민감도'!$B$8+'01_원자료'!Q281*'03_가중치민감도'!$C$8+'01_원자료'!R281*'03_가중치민감도'!$D$8</f>
        <v/>
      </c>
      <c r="I284" s="85">
        <f>'01_원자료'!P281*'03_가중치민감도'!$B$9+'01_원자료'!Q281*'03_가중치민감도'!$C$9+'01_원자료'!R281*'03_가중치민감도'!$D$9</f>
        <v/>
      </c>
      <c r="J284" s="85">
        <f>'01_원자료'!P281*'03_가중치민감도'!$B$10+'01_원자료'!Q281*'03_가중치민감도'!$C$10+'01_원자료'!R281*'03_가중치민감도'!$D$10</f>
        <v/>
      </c>
      <c r="K284" s="99">
        <f>COUNTIF($E$5:$E$979,"&lt;"&amp;E284)+(COUNTIF($E$5:$E$979,"="&amp;E284)+1)/2</f>
        <v/>
      </c>
      <c r="L284" s="99">
        <f>COUNTIF($F$5:$F$979,"&lt;"&amp;F284)+(COUNTIF($F$5:$F$979,"="&amp;F284)+1)/2</f>
        <v/>
      </c>
      <c r="M284" s="99">
        <f>COUNTIF($G$5:$G$979,"&lt;"&amp;G284)+(COUNTIF($G$5:$G$979,"="&amp;G284)+1)/2</f>
        <v/>
      </c>
      <c r="N284" s="99">
        <f>COUNTIF($H$5:$H$979,"&lt;"&amp;H284)+(COUNTIF($H$5:$H$979,"="&amp;H284)+1)/2</f>
        <v/>
      </c>
      <c r="O284" s="99">
        <f>COUNTIF($I$5:$I$979,"&lt;"&amp;I284)+(COUNTIF($I$5:$I$979,"="&amp;I284)+1)/2</f>
        <v/>
      </c>
      <c r="P284" s="99">
        <f>COUNTIF($J$5:$J$979,"&lt;"&amp;J284)+(COUNTIF($J$5:$J$979,"="&amp;J284)+1)/2</f>
        <v/>
      </c>
    </row>
    <row r="285" ht="15" customHeight="1" s="68">
      <c r="A285" s="70">
        <f>'01_원자료'!A282</f>
        <v/>
      </c>
      <c r="B285" s="70">
        <f>'01_원자료'!B282</f>
        <v/>
      </c>
      <c r="C285" s="70">
        <f>'01_원자료'!C282</f>
        <v/>
      </c>
      <c r="E285" s="85">
        <f>'01_원자료'!P282*'03_가중치민감도'!$B$5+'01_원자료'!Q282*'03_가중치민감도'!$C$5+'01_원자료'!R282*'03_가중치민감도'!$D$5</f>
        <v/>
      </c>
      <c r="F285" s="85">
        <f>'01_원자료'!P282*'03_가중치민감도'!$B$6+'01_원자료'!Q282*'03_가중치민감도'!$C$6+'01_원자료'!R282*'03_가중치민감도'!$D$6</f>
        <v/>
      </c>
      <c r="G285" s="85">
        <f>'01_원자료'!P282*'03_가중치민감도'!$B$7+'01_원자료'!Q282*'03_가중치민감도'!$C$7+'01_원자료'!R282*'03_가중치민감도'!$D$7</f>
        <v/>
      </c>
      <c r="H285" s="85">
        <f>'01_원자료'!P282*'03_가중치민감도'!$B$8+'01_원자료'!Q282*'03_가중치민감도'!$C$8+'01_원자료'!R282*'03_가중치민감도'!$D$8</f>
        <v/>
      </c>
      <c r="I285" s="85">
        <f>'01_원자료'!P282*'03_가중치민감도'!$B$9+'01_원자료'!Q282*'03_가중치민감도'!$C$9+'01_원자료'!R282*'03_가중치민감도'!$D$9</f>
        <v/>
      </c>
      <c r="J285" s="85">
        <f>'01_원자료'!P282*'03_가중치민감도'!$B$10+'01_원자료'!Q282*'03_가중치민감도'!$C$10+'01_원자료'!R282*'03_가중치민감도'!$D$10</f>
        <v/>
      </c>
      <c r="K285" s="99">
        <f>COUNTIF($E$5:$E$979,"&lt;"&amp;E285)+(COUNTIF($E$5:$E$979,"="&amp;E285)+1)/2</f>
        <v/>
      </c>
      <c r="L285" s="99">
        <f>COUNTIF($F$5:$F$979,"&lt;"&amp;F285)+(COUNTIF($F$5:$F$979,"="&amp;F285)+1)/2</f>
        <v/>
      </c>
      <c r="M285" s="99">
        <f>COUNTIF($G$5:$G$979,"&lt;"&amp;G285)+(COUNTIF($G$5:$G$979,"="&amp;G285)+1)/2</f>
        <v/>
      </c>
      <c r="N285" s="99">
        <f>COUNTIF($H$5:$H$979,"&lt;"&amp;H285)+(COUNTIF($H$5:$H$979,"="&amp;H285)+1)/2</f>
        <v/>
      </c>
      <c r="O285" s="99">
        <f>COUNTIF($I$5:$I$979,"&lt;"&amp;I285)+(COUNTIF($I$5:$I$979,"="&amp;I285)+1)/2</f>
        <v/>
      </c>
      <c r="P285" s="99">
        <f>COUNTIF($J$5:$J$979,"&lt;"&amp;J285)+(COUNTIF($J$5:$J$979,"="&amp;J285)+1)/2</f>
        <v/>
      </c>
    </row>
    <row r="286" ht="15" customHeight="1" s="68">
      <c r="A286" s="70">
        <f>'01_원자료'!A283</f>
        <v/>
      </c>
      <c r="B286" s="70">
        <f>'01_원자료'!B283</f>
        <v/>
      </c>
      <c r="C286" s="70">
        <f>'01_원자료'!C283</f>
        <v/>
      </c>
      <c r="E286" s="85">
        <f>'01_원자료'!P283*'03_가중치민감도'!$B$5+'01_원자료'!Q283*'03_가중치민감도'!$C$5+'01_원자료'!R283*'03_가중치민감도'!$D$5</f>
        <v/>
      </c>
      <c r="F286" s="85">
        <f>'01_원자료'!P283*'03_가중치민감도'!$B$6+'01_원자료'!Q283*'03_가중치민감도'!$C$6+'01_원자료'!R283*'03_가중치민감도'!$D$6</f>
        <v/>
      </c>
      <c r="G286" s="85">
        <f>'01_원자료'!P283*'03_가중치민감도'!$B$7+'01_원자료'!Q283*'03_가중치민감도'!$C$7+'01_원자료'!R283*'03_가중치민감도'!$D$7</f>
        <v/>
      </c>
      <c r="H286" s="85">
        <f>'01_원자료'!P283*'03_가중치민감도'!$B$8+'01_원자료'!Q283*'03_가중치민감도'!$C$8+'01_원자료'!R283*'03_가중치민감도'!$D$8</f>
        <v/>
      </c>
      <c r="I286" s="85">
        <f>'01_원자료'!P283*'03_가중치민감도'!$B$9+'01_원자료'!Q283*'03_가중치민감도'!$C$9+'01_원자료'!R283*'03_가중치민감도'!$D$9</f>
        <v/>
      </c>
      <c r="J286" s="85">
        <f>'01_원자료'!P283*'03_가중치민감도'!$B$10+'01_원자료'!Q283*'03_가중치민감도'!$C$10+'01_원자료'!R283*'03_가중치민감도'!$D$10</f>
        <v/>
      </c>
      <c r="K286" s="99">
        <f>COUNTIF($E$5:$E$979,"&lt;"&amp;E286)+(COUNTIF($E$5:$E$979,"="&amp;E286)+1)/2</f>
        <v/>
      </c>
      <c r="L286" s="99">
        <f>COUNTIF($F$5:$F$979,"&lt;"&amp;F286)+(COUNTIF($F$5:$F$979,"="&amp;F286)+1)/2</f>
        <v/>
      </c>
      <c r="M286" s="99">
        <f>COUNTIF($G$5:$G$979,"&lt;"&amp;G286)+(COUNTIF($G$5:$G$979,"="&amp;G286)+1)/2</f>
        <v/>
      </c>
      <c r="N286" s="99">
        <f>COUNTIF($H$5:$H$979,"&lt;"&amp;H286)+(COUNTIF($H$5:$H$979,"="&amp;H286)+1)/2</f>
        <v/>
      </c>
      <c r="O286" s="99">
        <f>COUNTIF($I$5:$I$979,"&lt;"&amp;I286)+(COUNTIF($I$5:$I$979,"="&amp;I286)+1)/2</f>
        <v/>
      </c>
      <c r="P286" s="99">
        <f>COUNTIF($J$5:$J$979,"&lt;"&amp;J286)+(COUNTIF($J$5:$J$979,"="&amp;J286)+1)/2</f>
        <v/>
      </c>
    </row>
    <row r="287" ht="15" customHeight="1" s="68">
      <c r="A287" s="70">
        <f>'01_원자료'!A284</f>
        <v/>
      </c>
      <c r="B287" s="70">
        <f>'01_원자료'!B284</f>
        <v/>
      </c>
      <c r="C287" s="70">
        <f>'01_원자료'!C284</f>
        <v/>
      </c>
      <c r="E287" s="85">
        <f>'01_원자료'!P284*'03_가중치민감도'!$B$5+'01_원자료'!Q284*'03_가중치민감도'!$C$5+'01_원자료'!R284*'03_가중치민감도'!$D$5</f>
        <v/>
      </c>
      <c r="F287" s="85">
        <f>'01_원자료'!P284*'03_가중치민감도'!$B$6+'01_원자료'!Q284*'03_가중치민감도'!$C$6+'01_원자료'!R284*'03_가중치민감도'!$D$6</f>
        <v/>
      </c>
      <c r="G287" s="85">
        <f>'01_원자료'!P284*'03_가중치민감도'!$B$7+'01_원자료'!Q284*'03_가중치민감도'!$C$7+'01_원자료'!R284*'03_가중치민감도'!$D$7</f>
        <v/>
      </c>
      <c r="H287" s="85">
        <f>'01_원자료'!P284*'03_가중치민감도'!$B$8+'01_원자료'!Q284*'03_가중치민감도'!$C$8+'01_원자료'!R284*'03_가중치민감도'!$D$8</f>
        <v/>
      </c>
      <c r="I287" s="85">
        <f>'01_원자료'!P284*'03_가중치민감도'!$B$9+'01_원자료'!Q284*'03_가중치민감도'!$C$9+'01_원자료'!R284*'03_가중치민감도'!$D$9</f>
        <v/>
      </c>
      <c r="J287" s="85">
        <f>'01_원자료'!P284*'03_가중치민감도'!$B$10+'01_원자료'!Q284*'03_가중치민감도'!$C$10+'01_원자료'!R284*'03_가중치민감도'!$D$10</f>
        <v/>
      </c>
      <c r="K287" s="99">
        <f>COUNTIF($E$5:$E$979,"&lt;"&amp;E287)+(COUNTIF($E$5:$E$979,"="&amp;E287)+1)/2</f>
        <v/>
      </c>
      <c r="L287" s="99">
        <f>COUNTIF($F$5:$F$979,"&lt;"&amp;F287)+(COUNTIF($F$5:$F$979,"="&amp;F287)+1)/2</f>
        <v/>
      </c>
      <c r="M287" s="99">
        <f>COUNTIF($G$5:$G$979,"&lt;"&amp;G287)+(COUNTIF($G$5:$G$979,"="&amp;G287)+1)/2</f>
        <v/>
      </c>
      <c r="N287" s="99">
        <f>COUNTIF($H$5:$H$979,"&lt;"&amp;H287)+(COUNTIF($H$5:$H$979,"="&amp;H287)+1)/2</f>
        <v/>
      </c>
      <c r="O287" s="99">
        <f>COUNTIF($I$5:$I$979,"&lt;"&amp;I287)+(COUNTIF($I$5:$I$979,"="&amp;I287)+1)/2</f>
        <v/>
      </c>
      <c r="P287" s="99">
        <f>COUNTIF($J$5:$J$979,"&lt;"&amp;J287)+(COUNTIF($J$5:$J$979,"="&amp;J287)+1)/2</f>
        <v/>
      </c>
    </row>
    <row r="288" ht="15" customHeight="1" s="68">
      <c r="A288" s="70">
        <f>'01_원자료'!A285</f>
        <v/>
      </c>
      <c r="B288" s="70">
        <f>'01_원자료'!B285</f>
        <v/>
      </c>
      <c r="C288" s="70">
        <f>'01_원자료'!C285</f>
        <v/>
      </c>
      <c r="E288" s="85">
        <f>'01_원자료'!P285*'03_가중치민감도'!$B$5+'01_원자료'!Q285*'03_가중치민감도'!$C$5+'01_원자료'!R285*'03_가중치민감도'!$D$5</f>
        <v/>
      </c>
      <c r="F288" s="85">
        <f>'01_원자료'!P285*'03_가중치민감도'!$B$6+'01_원자료'!Q285*'03_가중치민감도'!$C$6+'01_원자료'!R285*'03_가중치민감도'!$D$6</f>
        <v/>
      </c>
      <c r="G288" s="85">
        <f>'01_원자료'!P285*'03_가중치민감도'!$B$7+'01_원자료'!Q285*'03_가중치민감도'!$C$7+'01_원자료'!R285*'03_가중치민감도'!$D$7</f>
        <v/>
      </c>
      <c r="H288" s="85">
        <f>'01_원자료'!P285*'03_가중치민감도'!$B$8+'01_원자료'!Q285*'03_가중치민감도'!$C$8+'01_원자료'!R285*'03_가중치민감도'!$D$8</f>
        <v/>
      </c>
      <c r="I288" s="85">
        <f>'01_원자료'!P285*'03_가중치민감도'!$B$9+'01_원자료'!Q285*'03_가중치민감도'!$C$9+'01_원자료'!R285*'03_가중치민감도'!$D$9</f>
        <v/>
      </c>
      <c r="J288" s="85">
        <f>'01_원자료'!P285*'03_가중치민감도'!$B$10+'01_원자료'!Q285*'03_가중치민감도'!$C$10+'01_원자료'!R285*'03_가중치민감도'!$D$10</f>
        <v/>
      </c>
      <c r="K288" s="99">
        <f>COUNTIF($E$5:$E$979,"&lt;"&amp;E288)+(COUNTIF($E$5:$E$979,"="&amp;E288)+1)/2</f>
        <v/>
      </c>
      <c r="L288" s="99">
        <f>COUNTIF($F$5:$F$979,"&lt;"&amp;F288)+(COUNTIF($F$5:$F$979,"="&amp;F288)+1)/2</f>
        <v/>
      </c>
      <c r="M288" s="99">
        <f>COUNTIF($G$5:$G$979,"&lt;"&amp;G288)+(COUNTIF($G$5:$G$979,"="&amp;G288)+1)/2</f>
        <v/>
      </c>
      <c r="N288" s="99">
        <f>COUNTIF($H$5:$H$979,"&lt;"&amp;H288)+(COUNTIF($H$5:$H$979,"="&amp;H288)+1)/2</f>
        <v/>
      </c>
      <c r="O288" s="99">
        <f>COUNTIF($I$5:$I$979,"&lt;"&amp;I288)+(COUNTIF($I$5:$I$979,"="&amp;I288)+1)/2</f>
        <v/>
      </c>
      <c r="P288" s="99">
        <f>COUNTIF($J$5:$J$979,"&lt;"&amp;J288)+(COUNTIF($J$5:$J$979,"="&amp;J288)+1)/2</f>
        <v/>
      </c>
    </row>
    <row r="289" ht="15" customHeight="1" s="68">
      <c r="A289" s="70">
        <f>'01_원자료'!A286</f>
        <v/>
      </c>
      <c r="B289" s="70">
        <f>'01_원자료'!B286</f>
        <v/>
      </c>
      <c r="C289" s="70">
        <f>'01_원자료'!C286</f>
        <v/>
      </c>
      <c r="E289" s="85">
        <f>'01_원자료'!P286*'03_가중치민감도'!$B$5+'01_원자료'!Q286*'03_가중치민감도'!$C$5+'01_원자료'!R286*'03_가중치민감도'!$D$5</f>
        <v/>
      </c>
      <c r="F289" s="85">
        <f>'01_원자료'!P286*'03_가중치민감도'!$B$6+'01_원자료'!Q286*'03_가중치민감도'!$C$6+'01_원자료'!R286*'03_가중치민감도'!$D$6</f>
        <v/>
      </c>
      <c r="G289" s="85">
        <f>'01_원자료'!P286*'03_가중치민감도'!$B$7+'01_원자료'!Q286*'03_가중치민감도'!$C$7+'01_원자료'!R286*'03_가중치민감도'!$D$7</f>
        <v/>
      </c>
      <c r="H289" s="85">
        <f>'01_원자료'!P286*'03_가중치민감도'!$B$8+'01_원자료'!Q286*'03_가중치민감도'!$C$8+'01_원자료'!R286*'03_가중치민감도'!$D$8</f>
        <v/>
      </c>
      <c r="I289" s="85">
        <f>'01_원자료'!P286*'03_가중치민감도'!$B$9+'01_원자료'!Q286*'03_가중치민감도'!$C$9+'01_원자료'!R286*'03_가중치민감도'!$D$9</f>
        <v/>
      </c>
      <c r="J289" s="85">
        <f>'01_원자료'!P286*'03_가중치민감도'!$B$10+'01_원자료'!Q286*'03_가중치민감도'!$C$10+'01_원자료'!R286*'03_가중치민감도'!$D$10</f>
        <v/>
      </c>
      <c r="K289" s="99">
        <f>COUNTIF($E$5:$E$979,"&lt;"&amp;E289)+(COUNTIF($E$5:$E$979,"="&amp;E289)+1)/2</f>
        <v/>
      </c>
      <c r="L289" s="99">
        <f>COUNTIF($F$5:$F$979,"&lt;"&amp;F289)+(COUNTIF($F$5:$F$979,"="&amp;F289)+1)/2</f>
        <v/>
      </c>
      <c r="M289" s="99">
        <f>COUNTIF($G$5:$G$979,"&lt;"&amp;G289)+(COUNTIF($G$5:$G$979,"="&amp;G289)+1)/2</f>
        <v/>
      </c>
      <c r="N289" s="99">
        <f>COUNTIF($H$5:$H$979,"&lt;"&amp;H289)+(COUNTIF($H$5:$H$979,"="&amp;H289)+1)/2</f>
        <v/>
      </c>
      <c r="O289" s="99">
        <f>COUNTIF($I$5:$I$979,"&lt;"&amp;I289)+(COUNTIF($I$5:$I$979,"="&amp;I289)+1)/2</f>
        <v/>
      </c>
      <c r="P289" s="99">
        <f>COUNTIF($J$5:$J$979,"&lt;"&amp;J289)+(COUNTIF($J$5:$J$979,"="&amp;J289)+1)/2</f>
        <v/>
      </c>
    </row>
    <row r="290" ht="15" customHeight="1" s="68">
      <c r="A290" s="70">
        <f>'01_원자료'!A287</f>
        <v/>
      </c>
      <c r="B290" s="70">
        <f>'01_원자료'!B287</f>
        <v/>
      </c>
      <c r="C290" s="70">
        <f>'01_원자료'!C287</f>
        <v/>
      </c>
      <c r="E290" s="85">
        <f>'01_원자료'!P287*'03_가중치민감도'!$B$5+'01_원자료'!Q287*'03_가중치민감도'!$C$5+'01_원자료'!R287*'03_가중치민감도'!$D$5</f>
        <v/>
      </c>
      <c r="F290" s="85">
        <f>'01_원자료'!P287*'03_가중치민감도'!$B$6+'01_원자료'!Q287*'03_가중치민감도'!$C$6+'01_원자료'!R287*'03_가중치민감도'!$D$6</f>
        <v/>
      </c>
      <c r="G290" s="85">
        <f>'01_원자료'!P287*'03_가중치민감도'!$B$7+'01_원자료'!Q287*'03_가중치민감도'!$C$7+'01_원자료'!R287*'03_가중치민감도'!$D$7</f>
        <v/>
      </c>
      <c r="H290" s="85">
        <f>'01_원자료'!P287*'03_가중치민감도'!$B$8+'01_원자료'!Q287*'03_가중치민감도'!$C$8+'01_원자료'!R287*'03_가중치민감도'!$D$8</f>
        <v/>
      </c>
      <c r="I290" s="85">
        <f>'01_원자료'!P287*'03_가중치민감도'!$B$9+'01_원자료'!Q287*'03_가중치민감도'!$C$9+'01_원자료'!R287*'03_가중치민감도'!$D$9</f>
        <v/>
      </c>
      <c r="J290" s="85">
        <f>'01_원자료'!P287*'03_가중치민감도'!$B$10+'01_원자료'!Q287*'03_가중치민감도'!$C$10+'01_원자료'!R287*'03_가중치민감도'!$D$10</f>
        <v/>
      </c>
      <c r="K290" s="99">
        <f>COUNTIF($E$5:$E$979,"&lt;"&amp;E290)+(COUNTIF($E$5:$E$979,"="&amp;E290)+1)/2</f>
        <v/>
      </c>
      <c r="L290" s="99">
        <f>COUNTIF($F$5:$F$979,"&lt;"&amp;F290)+(COUNTIF($F$5:$F$979,"="&amp;F290)+1)/2</f>
        <v/>
      </c>
      <c r="M290" s="99">
        <f>COUNTIF($G$5:$G$979,"&lt;"&amp;G290)+(COUNTIF($G$5:$G$979,"="&amp;G290)+1)/2</f>
        <v/>
      </c>
      <c r="N290" s="99">
        <f>COUNTIF($H$5:$H$979,"&lt;"&amp;H290)+(COUNTIF($H$5:$H$979,"="&amp;H290)+1)/2</f>
        <v/>
      </c>
      <c r="O290" s="99">
        <f>COUNTIF($I$5:$I$979,"&lt;"&amp;I290)+(COUNTIF($I$5:$I$979,"="&amp;I290)+1)/2</f>
        <v/>
      </c>
      <c r="P290" s="99">
        <f>COUNTIF($J$5:$J$979,"&lt;"&amp;J290)+(COUNTIF($J$5:$J$979,"="&amp;J290)+1)/2</f>
        <v/>
      </c>
    </row>
    <row r="291" ht="15" customHeight="1" s="68">
      <c r="A291" s="70">
        <f>'01_원자료'!A288</f>
        <v/>
      </c>
      <c r="B291" s="70">
        <f>'01_원자료'!B288</f>
        <v/>
      </c>
      <c r="C291" s="70">
        <f>'01_원자료'!C288</f>
        <v/>
      </c>
      <c r="E291" s="85">
        <f>'01_원자료'!P288*'03_가중치민감도'!$B$5+'01_원자료'!Q288*'03_가중치민감도'!$C$5+'01_원자료'!R288*'03_가중치민감도'!$D$5</f>
        <v/>
      </c>
      <c r="F291" s="85">
        <f>'01_원자료'!P288*'03_가중치민감도'!$B$6+'01_원자료'!Q288*'03_가중치민감도'!$C$6+'01_원자료'!R288*'03_가중치민감도'!$D$6</f>
        <v/>
      </c>
      <c r="G291" s="85">
        <f>'01_원자료'!P288*'03_가중치민감도'!$B$7+'01_원자료'!Q288*'03_가중치민감도'!$C$7+'01_원자료'!R288*'03_가중치민감도'!$D$7</f>
        <v/>
      </c>
      <c r="H291" s="85">
        <f>'01_원자료'!P288*'03_가중치민감도'!$B$8+'01_원자료'!Q288*'03_가중치민감도'!$C$8+'01_원자료'!R288*'03_가중치민감도'!$D$8</f>
        <v/>
      </c>
      <c r="I291" s="85">
        <f>'01_원자료'!P288*'03_가중치민감도'!$B$9+'01_원자료'!Q288*'03_가중치민감도'!$C$9+'01_원자료'!R288*'03_가중치민감도'!$D$9</f>
        <v/>
      </c>
      <c r="J291" s="85">
        <f>'01_원자료'!P288*'03_가중치민감도'!$B$10+'01_원자료'!Q288*'03_가중치민감도'!$C$10+'01_원자료'!R288*'03_가중치민감도'!$D$10</f>
        <v/>
      </c>
      <c r="K291" s="99">
        <f>COUNTIF($E$5:$E$979,"&lt;"&amp;E291)+(COUNTIF($E$5:$E$979,"="&amp;E291)+1)/2</f>
        <v/>
      </c>
      <c r="L291" s="99">
        <f>COUNTIF($F$5:$F$979,"&lt;"&amp;F291)+(COUNTIF($F$5:$F$979,"="&amp;F291)+1)/2</f>
        <v/>
      </c>
      <c r="M291" s="99">
        <f>COUNTIF($G$5:$G$979,"&lt;"&amp;G291)+(COUNTIF($G$5:$G$979,"="&amp;G291)+1)/2</f>
        <v/>
      </c>
      <c r="N291" s="99">
        <f>COUNTIF($H$5:$H$979,"&lt;"&amp;H291)+(COUNTIF($H$5:$H$979,"="&amp;H291)+1)/2</f>
        <v/>
      </c>
      <c r="O291" s="99">
        <f>COUNTIF($I$5:$I$979,"&lt;"&amp;I291)+(COUNTIF($I$5:$I$979,"="&amp;I291)+1)/2</f>
        <v/>
      </c>
      <c r="P291" s="99">
        <f>COUNTIF($J$5:$J$979,"&lt;"&amp;J291)+(COUNTIF($J$5:$J$979,"="&amp;J291)+1)/2</f>
        <v/>
      </c>
    </row>
    <row r="292" ht="15" customHeight="1" s="68">
      <c r="A292" s="70">
        <f>'01_원자료'!A289</f>
        <v/>
      </c>
      <c r="B292" s="70">
        <f>'01_원자료'!B289</f>
        <v/>
      </c>
      <c r="C292" s="70">
        <f>'01_원자료'!C289</f>
        <v/>
      </c>
      <c r="E292" s="85">
        <f>'01_원자료'!P289*'03_가중치민감도'!$B$5+'01_원자료'!Q289*'03_가중치민감도'!$C$5+'01_원자료'!R289*'03_가중치민감도'!$D$5</f>
        <v/>
      </c>
      <c r="F292" s="85">
        <f>'01_원자료'!P289*'03_가중치민감도'!$B$6+'01_원자료'!Q289*'03_가중치민감도'!$C$6+'01_원자료'!R289*'03_가중치민감도'!$D$6</f>
        <v/>
      </c>
      <c r="G292" s="85">
        <f>'01_원자료'!P289*'03_가중치민감도'!$B$7+'01_원자료'!Q289*'03_가중치민감도'!$C$7+'01_원자료'!R289*'03_가중치민감도'!$D$7</f>
        <v/>
      </c>
      <c r="H292" s="85">
        <f>'01_원자료'!P289*'03_가중치민감도'!$B$8+'01_원자료'!Q289*'03_가중치민감도'!$C$8+'01_원자료'!R289*'03_가중치민감도'!$D$8</f>
        <v/>
      </c>
      <c r="I292" s="85">
        <f>'01_원자료'!P289*'03_가중치민감도'!$B$9+'01_원자료'!Q289*'03_가중치민감도'!$C$9+'01_원자료'!R289*'03_가중치민감도'!$D$9</f>
        <v/>
      </c>
      <c r="J292" s="85">
        <f>'01_원자료'!P289*'03_가중치민감도'!$B$10+'01_원자료'!Q289*'03_가중치민감도'!$C$10+'01_원자료'!R289*'03_가중치민감도'!$D$10</f>
        <v/>
      </c>
      <c r="K292" s="99">
        <f>COUNTIF($E$5:$E$979,"&lt;"&amp;E292)+(COUNTIF($E$5:$E$979,"="&amp;E292)+1)/2</f>
        <v/>
      </c>
      <c r="L292" s="99">
        <f>COUNTIF($F$5:$F$979,"&lt;"&amp;F292)+(COUNTIF($F$5:$F$979,"="&amp;F292)+1)/2</f>
        <v/>
      </c>
      <c r="M292" s="99">
        <f>COUNTIF($G$5:$G$979,"&lt;"&amp;G292)+(COUNTIF($G$5:$G$979,"="&amp;G292)+1)/2</f>
        <v/>
      </c>
      <c r="N292" s="99">
        <f>COUNTIF($H$5:$H$979,"&lt;"&amp;H292)+(COUNTIF($H$5:$H$979,"="&amp;H292)+1)/2</f>
        <v/>
      </c>
      <c r="O292" s="99">
        <f>COUNTIF($I$5:$I$979,"&lt;"&amp;I292)+(COUNTIF($I$5:$I$979,"="&amp;I292)+1)/2</f>
        <v/>
      </c>
      <c r="P292" s="99">
        <f>COUNTIF($J$5:$J$979,"&lt;"&amp;J292)+(COUNTIF($J$5:$J$979,"="&amp;J292)+1)/2</f>
        <v/>
      </c>
    </row>
    <row r="293" ht="15" customHeight="1" s="68">
      <c r="A293" s="70">
        <f>'01_원자료'!A290</f>
        <v/>
      </c>
      <c r="B293" s="70">
        <f>'01_원자료'!B290</f>
        <v/>
      </c>
      <c r="C293" s="70">
        <f>'01_원자료'!C290</f>
        <v/>
      </c>
      <c r="E293" s="85">
        <f>'01_원자료'!P290*'03_가중치민감도'!$B$5+'01_원자료'!Q290*'03_가중치민감도'!$C$5+'01_원자료'!R290*'03_가중치민감도'!$D$5</f>
        <v/>
      </c>
      <c r="F293" s="85">
        <f>'01_원자료'!P290*'03_가중치민감도'!$B$6+'01_원자료'!Q290*'03_가중치민감도'!$C$6+'01_원자료'!R290*'03_가중치민감도'!$D$6</f>
        <v/>
      </c>
      <c r="G293" s="85">
        <f>'01_원자료'!P290*'03_가중치민감도'!$B$7+'01_원자료'!Q290*'03_가중치민감도'!$C$7+'01_원자료'!R290*'03_가중치민감도'!$D$7</f>
        <v/>
      </c>
      <c r="H293" s="85">
        <f>'01_원자료'!P290*'03_가중치민감도'!$B$8+'01_원자료'!Q290*'03_가중치민감도'!$C$8+'01_원자료'!R290*'03_가중치민감도'!$D$8</f>
        <v/>
      </c>
      <c r="I293" s="85">
        <f>'01_원자료'!P290*'03_가중치민감도'!$B$9+'01_원자료'!Q290*'03_가중치민감도'!$C$9+'01_원자료'!R290*'03_가중치민감도'!$D$9</f>
        <v/>
      </c>
      <c r="J293" s="85">
        <f>'01_원자료'!P290*'03_가중치민감도'!$B$10+'01_원자료'!Q290*'03_가중치민감도'!$C$10+'01_원자료'!R290*'03_가중치민감도'!$D$10</f>
        <v/>
      </c>
      <c r="K293" s="99">
        <f>COUNTIF($E$5:$E$979,"&lt;"&amp;E293)+(COUNTIF($E$5:$E$979,"="&amp;E293)+1)/2</f>
        <v/>
      </c>
      <c r="L293" s="99">
        <f>COUNTIF($F$5:$F$979,"&lt;"&amp;F293)+(COUNTIF($F$5:$F$979,"="&amp;F293)+1)/2</f>
        <v/>
      </c>
      <c r="M293" s="99">
        <f>COUNTIF($G$5:$G$979,"&lt;"&amp;G293)+(COUNTIF($G$5:$G$979,"="&amp;G293)+1)/2</f>
        <v/>
      </c>
      <c r="N293" s="99">
        <f>COUNTIF($H$5:$H$979,"&lt;"&amp;H293)+(COUNTIF($H$5:$H$979,"="&amp;H293)+1)/2</f>
        <v/>
      </c>
      <c r="O293" s="99">
        <f>COUNTIF($I$5:$I$979,"&lt;"&amp;I293)+(COUNTIF($I$5:$I$979,"="&amp;I293)+1)/2</f>
        <v/>
      </c>
      <c r="P293" s="99">
        <f>COUNTIF($J$5:$J$979,"&lt;"&amp;J293)+(COUNTIF($J$5:$J$979,"="&amp;J293)+1)/2</f>
        <v/>
      </c>
    </row>
    <row r="294" ht="15" customHeight="1" s="68">
      <c r="A294" s="70">
        <f>'01_원자료'!A291</f>
        <v/>
      </c>
      <c r="B294" s="70">
        <f>'01_원자료'!B291</f>
        <v/>
      </c>
      <c r="C294" s="70">
        <f>'01_원자료'!C291</f>
        <v/>
      </c>
      <c r="E294" s="85">
        <f>'01_원자료'!P291*'03_가중치민감도'!$B$5+'01_원자료'!Q291*'03_가중치민감도'!$C$5+'01_원자료'!R291*'03_가중치민감도'!$D$5</f>
        <v/>
      </c>
      <c r="F294" s="85">
        <f>'01_원자료'!P291*'03_가중치민감도'!$B$6+'01_원자료'!Q291*'03_가중치민감도'!$C$6+'01_원자료'!R291*'03_가중치민감도'!$D$6</f>
        <v/>
      </c>
      <c r="G294" s="85">
        <f>'01_원자료'!P291*'03_가중치민감도'!$B$7+'01_원자료'!Q291*'03_가중치민감도'!$C$7+'01_원자료'!R291*'03_가중치민감도'!$D$7</f>
        <v/>
      </c>
      <c r="H294" s="85">
        <f>'01_원자료'!P291*'03_가중치민감도'!$B$8+'01_원자료'!Q291*'03_가중치민감도'!$C$8+'01_원자료'!R291*'03_가중치민감도'!$D$8</f>
        <v/>
      </c>
      <c r="I294" s="85">
        <f>'01_원자료'!P291*'03_가중치민감도'!$B$9+'01_원자료'!Q291*'03_가중치민감도'!$C$9+'01_원자료'!R291*'03_가중치민감도'!$D$9</f>
        <v/>
      </c>
      <c r="J294" s="85">
        <f>'01_원자료'!P291*'03_가중치민감도'!$B$10+'01_원자료'!Q291*'03_가중치민감도'!$C$10+'01_원자료'!R291*'03_가중치민감도'!$D$10</f>
        <v/>
      </c>
      <c r="K294" s="99">
        <f>COUNTIF($E$5:$E$979,"&lt;"&amp;E294)+(COUNTIF($E$5:$E$979,"="&amp;E294)+1)/2</f>
        <v/>
      </c>
      <c r="L294" s="99">
        <f>COUNTIF($F$5:$F$979,"&lt;"&amp;F294)+(COUNTIF($F$5:$F$979,"="&amp;F294)+1)/2</f>
        <v/>
      </c>
      <c r="M294" s="99">
        <f>COUNTIF($G$5:$G$979,"&lt;"&amp;G294)+(COUNTIF($G$5:$G$979,"="&amp;G294)+1)/2</f>
        <v/>
      </c>
      <c r="N294" s="99">
        <f>COUNTIF($H$5:$H$979,"&lt;"&amp;H294)+(COUNTIF($H$5:$H$979,"="&amp;H294)+1)/2</f>
        <v/>
      </c>
      <c r="O294" s="99">
        <f>COUNTIF($I$5:$I$979,"&lt;"&amp;I294)+(COUNTIF($I$5:$I$979,"="&amp;I294)+1)/2</f>
        <v/>
      </c>
      <c r="P294" s="99">
        <f>COUNTIF($J$5:$J$979,"&lt;"&amp;J294)+(COUNTIF($J$5:$J$979,"="&amp;J294)+1)/2</f>
        <v/>
      </c>
    </row>
    <row r="295" ht="15" customHeight="1" s="68">
      <c r="A295" s="70">
        <f>'01_원자료'!A292</f>
        <v/>
      </c>
      <c r="B295" s="70">
        <f>'01_원자료'!B292</f>
        <v/>
      </c>
      <c r="C295" s="70">
        <f>'01_원자료'!C292</f>
        <v/>
      </c>
      <c r="E295" s="85">
        <f>'01_원자료'!P292*'03_가중치민감도'!$B$5+'01_원자료'!Q292*'03_가중치민감도'!$C$5+'01_원자료'!R292*'03_가중치민감도'!$D$5</f>
        <v/>
      </c>
      <c r="F295" s="85">
        <f>'01_원자료'!P292*'03_가중치민감도'!$B$6+'01_원자료'!Q292*'03_가중치민감도'!$C$6+'01_원자료'!R292*'03_가중치민감도'!$D$6</f>
        <v/>
      </c>
      <c r="G295" s="85">
        <f>'01_원자료'!P292*'03_가중치민감도'!$B$7+'01_원자료'!Q292*'03_가중치민감도'!$C$7+'01_원자료'!R292*'03_가중치민감도'!$D$7</f>
        <v/>
      </c>
      <c r="H295" s="85">
        <f>'01_원자료'!P292*'03_가중치민감도'!$B$8+'01_원자료'!Q292*'03_가중치민감도'!$C$8+'01_원자료'!R292*'03_가중치민감도'!$D$8</f>
        <v/>
      </c>
      <c r="I295" s="85">
        <f>'01_원자료'!P292*'03_가중치민감도'!$B$9+'01_원자료'!Q292*'03_가중치민감도'!$C$9+'01_원자료'!R292*'03_가중치민감도'!$D$9</f>
        <v/>
      </c>
      <c r="J295" s="85">
        <f>'01_원자료'!P292*'03_가중치민감도'!$B$10+'01_원자료'!Q292*'03_가중치민감도'!$C$10+'01_원자료'!R292*'03_가중치민감도'!$D$10</f>
        <v/>
      </c>
      <c r="K295" s="99">
        <f>COUNTIF($E$5:$E$979,"&lt;"&amp;E295)+(COUNTIF($E$5:$E$979,"="&amp;E295)+1)/2</f>
        <v/>
      </c>
      <c r="L295" s="99">
        <f>COUNTIF($F$5:$F$979,"&lt;"&amp;F295)+(COUNTIF($F$5:$F$979,"="&amp;F295)+1)/2</f>
        <v/>
      </c>
      <c r="M295" s="99">
        <f>COUNTIF($G$5:$G$979,"&lt;"&amp;G295)+(COUNTIF($G$5:$G$979,"="&amp;G295)+1)/2</f>
        <v/>
      </c>
      <c r="N295" s="99">
        <f>COUNTIF($H$5:$H$979,"&lt;"&amp;H295)+(COUNTIF($H$5:$H$979,"="&amp;H295)+1)/2</f>
        <v/>
      </c>
      <c r="O295" s="99">
        <f>COUNTIF($I$5:$I$979,"&lt;"&amp;I295)+(COUNTIF($I$5:$I$979,"="&amp;I295)+1)/2</f>
        <v/>
      </c>
      <c r="P295" s="99">
        <f>COUNTIF($J$5:$J$979,"&lt;"&amp;J295)+(COUNTIF($J$5:$J$979,"="&amp;J295)+1)/2</f>
        <v/>
      </c>
    </row>
    <row r="296" ht="15" customHeight="1" s="68">
      <c r="A296" s="70">
        <f>'01_원자료'!A293</f>
        <v/>
      </c>
      <c r="B296" s="70">
        <f>'01_원자료'!B293</f>
        <v/>
      </c>
      <c r="C296" s="70">
        <f>'01_원자료'!C293</f>
        <v/>
      </c>
      <c r="E296" s="85">
        <f>'01_원자료'!P293*'03_가중치민감도'!$B$5+'01_원자료'!Q293*'03_가중치민감도'!$C$5+'01_원자료'!R293*'03_가중치민감도'!$D$5</f>
        <v/>
      </c>
      <c r="F296" s="85">
        <f>'01_원자료'!P293*'03_가중치민감도'!$B$6+'01_원자료'!Q293*'03_가중치민감도'!$C$6+'01_원자료'!R293*'03_가중치민감도'!$D$6</f>
        <v/>
      </c>
      <c r="G296" s="85">
        <f>'01_원자료'!P293*'03_가중치민감도'!$B$7+'01_원자료'!Q293*'03_가중치민감도'!$C$7+'01_원자료'!R293*'03_가중치민감도'!$D$7</f>
        <v/>
      </c>
      <c r="H296" s="85">
        <f>'01_원자료'!P293*'03_가중치민감도'!$B$8+'01_원자료'!Q293*'03_가중치민감도'!$C$8+'01_원자료'!R293*'03_가중치민감도'!$D$8</f>
        <v/>
      </c>
      <c r="I296" s="85">
        <f>'01_원자료'!P293*'03_가중치민감도'!$B$9+'01_원자료'!Q293*'03_가중치민감도'!$C$9+'01_원자료'!R293*'03_가중치민감도'!$D$9</f>
        <v/>
      </c>
      <c r="J296" s="85">
        <f>'01_원자료'!P293*'03_가중치민감도'!$B$10+'01_원자료'!Q293*'03_가중치민감도'!$C$10+'01_원자료'!R293*'03_가중치민감도'!$D$10</f>
        <v/>
      </c>
      <c r="K296" s="99">
        <f>COUNTIF($E$5:$E$979,"&lt;"&amp;E296)+(COUNTIF($E$5:$E$979,"="&amp;E296)+1)/2</f>
        <v/>
      </c>
      <c r="L296" s="99">
        <f>COUNTIF($F$5:$F$979,"&lt;"&amp;F296)+(COUNTIF($F$5:$F$979,"="&amp;F296)+1)/2</f>
        <v/>
      </c>
      <c r="M296" s="99">
        <f>COUNTIF($G$5:$G$979,"&lt;"&amp;G296)+(COUNTIF($G$5:$G$979,"="&amp;G296)+1)/2</f>
        <v/>
      </c>
      <c r="N296" s="99">
        <f>COUNTIF($H$5:$H$979,"&lt;"&amp;H296)+(COUNTIF($H$5:$H$979,"="&amp;H296)+1)/2</f>
        <v/>
      </c>
      <c r="O296" s="99">
        <f>COUNTIF($I$5:$I$979,"&lt;"&amp;I296)+(COUNTIF($I$5:$I$979,"="&amp;I296)+1)/2</f>
        <v/>
      </c>
      <c r="P296" s="99">
        <f>COUNTIF($J$5:$J$979,"&lt;"&amp;J296)+(COUNTIF($J$5:$J$979,"="&amp;J296)+1)/2</f>
        <v/>
      </c>
    </row>
    <row r="297" ht="15" customHeight="1" s="68">
      <c r="A297" s="70">
        <f>'01_원자료'!A294</f>
        <v/>
      </c>
      <c r="B297" s="70">
        <f>'01_원자료'!B294</f>
        <v/>
      </c>
      <c r="C297" s="70">
        <f>'01_원자료'!C294</f>
        <v/>
      </c>
      <c r="E297" s="85">
        <f>'01_원자료'!P294*'03_가중치민감도'!$B$5+'01_원자료'!Q294*'03_가중치민감도'!$C$5+'01_원자료'!R294*'03_가중치민감도'!$D$5</f>
        <v/>
      </c>
      <c r="F297" s="85">
        <f>'01_원자료'!P294*'03_가중치민감도'!$B$6+'01_원자료'!Q294*'03_가중치민감도'!$C$6+'01_원자료'!R294*'03_가중치민감도'!$D$6</f>
        <v/>
      </c>
      <c r="G297" s="85">
        <f>'01_원자료'!P294*'03_가중치민감도'!$B$7+'01_원자료'!Q294*'03_가중치민감도'!$C$7+'01_원자료'!R294*'03_가중치민감도'!$D$7</f>
        <v/>
      </c>
      <c r="H297" s="85">
        <f>'01_원자료'!P294*'03_가중치민감도'!$B$8+'01_원자료'!Q294*'03_가중치민감도'!$C$8+'01_원자료'!R294*'03_가중치민감도'!$D$8</f>
        <v/>
      </c>
      <c r="I297" s="85">
        <f>'01_원자료'!P294*'03_가중치민감도'!$B$9+'01_원자료'!Q294*'03_가중치민감도'!$C$9+'01_원자료'!R294*'03_가중치민감도'!$D$9</f>
        <v/>
      </c>
      <c r="J297" s="85">
        <f>'01_원자료'!P294*'03_가중치민감도'!$B$10+'01_원자료'!Q294*'03_가중치민감도'!$C$10+'01_원자료'!R294*'03_가중치민감도'!$D$10</f>
        <v/>
      </c>
      <c r="K297" s="99">
        <f>COUNTIF($E$5:$E$979,"&lt;"&amp;E297)+(COUNTIF($E$5:$E$979,"="&amp;E297)+1)/2</f>
        <v/>
      </c>
      <c r="L297" s="99">
        <f>COUNTIF($F$5:$F$979,"&lt;"&amp;F297)+(COUNTIF($F$5:$F$979,"="&amp;F297)+1)/2</f>
        <v/>
      </c>
      <c r="M297" s="99">
        <f>COUNTIF($G$5:$G$979,"&lt;"&amp;G297)+(COUNTIF($G$5:$G$979,"="&amp;G297)+1)/2</f>
        <v/>
      </c>
      <c r="N297" s="99">
        <f>COUNTIF($H$5:$H$979,"&lt;"&amp;H297)+(COUNTIF($H$5:$H$979,"="&amp;H297)+1)/2</f>
        <v/>
      </c>
      <c r="O297" s="99">
        <f>COUNTIF($I$5:$I$979,"&lt;"&amp;I297)+(COUNTIF($I$5:$I$979,"="&amp;I297)+1)/2</f>
        <v/>
      </c>
      <c r="P297" s="99">
        <f>COUNTIF($J$5:$J$979,"&lt;"&amp;J297)+(COUNTIF($J$5:$J$979,"="&amp;J297)+1)/2</f>
        <v/>
      </c>
    </row>
    <row r="298" ht="15" customHeight="1" s="68">
      <c r="A298" s="70">
        <f>'01_원자료'!A295</f>
        <v/>
      </c>
      <c r="B298" s="70">
        <f>'01_원자료'!B295</f>
        <v/>
      </c>
      <c r="C298" s="70">
        <f>'01_원자료'!C295</f>
        <v/>
      </c>
      <c r="E298" s="85">
        <f>'01_원자료'!P295*'03_가중치민감도'!$B$5+'01_원자료'!Q295*'03_가중치민감도'!$C$5+'01_원자료'!R295*'03_가중치민감도'!$D$5</f>
        <v/>
      </c>
      <c r="F298" s="85">
        <f>'01_원자료'!P295*'03_가중치민감도'!$B$6+'01_원자료'!Q295*'03_가중치민감도'!$C$6+'01_원자료'!R295*'03_가중치민감도'!$D$6</f>
        <v/>
      </c>
      <c r="G298" s="85">
        <f>'01_원자료'!P295*'03_가중치민감도'!$B$7+'01_원자료'!Q295*'03_가중치민감도'!$C$7+'01_원자료'!R295*'03_가중치민감도'!$D$7</f>
        <v/>
      </c>
      <c r="H298" s="85">
        <f>'01_원자료'!P295*'03_가중치민감도'!$B$8+'01_원자료'!Q295*'03_가중치민감도'!$C$8+'01_원자료'!R295*'03_가중치민감도'!$D$8</f>
        <v/>
      </c>
      <c r="I298" s="85">
        <f>'01_원자료'!P295*'03_가중치민감도'!$B$9+'01_원자료'!Q295*'03_가중치민감도'!$C$9+'01_원자료'!R295*'03_가중치민감도'!$D$9</f>
        <v/>
      </c>
      <c r="J298" s="85">
        <f>'01_원자료'!P295*'03_가중치민감도'!$B$10+'01_원자료'!Q295*'03_가중치민감도'!$C$10+'01_원자료'!R295*'03_가중치민감도'!$D$10</f>
        <v/>
      </c>
      <c r="K298" s="99">
        <f>COUNTIF($E$5:$E$979,"&lt;"&amp;E298)+(COUNTIF($E$5:$E$979,"="&amp;E298)+1)/2</f>
        <v/>
      </c>
      <c r="L298" s="99">
        <f>COUNTIF($F$5:$F$979,"&lt;"&amp;F298)+(COUNTIF($F$5:$F$979,"="&amp;F298)+1)/2</f>
        <v/>
      </c>
      <c r="M298" s="99">
        <f>COUNTIF($G$5:$G$979,"&lt;"&amp;G298)+(COUNTIF($G$5:$G$979,"="&amp;G298)+1)/2</f>
        <v/>
      </c>
      <c r="N298" s="99">
        <f>COUNTIF($H$5:$H$979,"&lt;"&amp;H298)+(COUNTIF($H$5:$H$979,"="&amp;H298)+1)/2</f>
        <v/>
      </c>
      <c r="O298" s="99">
        <f>COUNTIF($I$5:$I$979,"&lt;"&amp;I298)+(COUNTIF($I$5:$I$979,"="&amp;I298)+1)/2</f>
        <v/>
      </c>
      <c r="P298" s="99">
        <f>COUNTIF($J$5:$J$979,"&lt;"&amp;J298)+(COUNTIF($J$5:$J$979,"="&amp;J298)+1)/2</f>
        <v/>
      </c>
    </row>
    <row r="299" ht="15" customHeight="1" s="68">
      <c r="A299" s="70">
        <f>'01_원자료'!A296</f>
        <v/>
      </c>
      <c r="B299" s="70">
        <f>'01_원자료'!B296</f>
        <v/>
      </c>
      <c r="C299" s="70">
        <f>'01_원자료'!C296</f>
        <v/>
      </c>
      <c r="E299" s="85">
        <f>'01_원자료'!P296*'03_가중치민감도'!$B$5+'01_원자료'!Q296*'03_가중치민감도'!$C$5+'01_원자료'!R296*'03_가중치민감도'!$D$5</f>
        <v/>
      </c>
      <c r="F299" s="85">
        <f>'01_원자료'!P296*'03_가중치민감도'!$B$6+'01_원자료'!Q296*'03_가중치민감도'!$C$6+'01_원자료'!R296*'03_가중치민감도'!$D$6</f>
        <v/>
      </c>
      <c r="G299" s="85">
        <f>'01_원자료'!P296*'03_가중치민감도'!$B$7+'01_원자료'!Q296*'03_가중치민감도'!$C$7+'01_원자료'!R296*'03_가중치민감도'!$D$7</f>
        <v/>
      </c>
      <c r="H299" s="85">
        <f>'01_원자료'!P296*'03_가중치민감도'!$B$8+'01_원자료'!Q296*'03_가중치민감도'!$C$8+'01_원자료'!R296*'03_가중치민감도'!$D$8</f>
        <v/>
      </c>
      <c r="I299" s="85">
        <f>'01_원자료'!P296*'03_가중치민감도'!$B$9+'01_원자료'!Q296*'03_가중치민감도'!$C$9+'01_원자료'!R296*'03_가중치민감도'!$D$9</f>
        <v/>
      </c>
      <c r="J299" s="85">
        <f>'01_원자료'!P296*'03_가중치민감도'!$B$10+'01_원자료'!Q296*'03_가중치민감도'!$C$10+'01_원자료'!R296*'03_가중치민감도'!$D$10</f>
        <v/>
      </c>
      <c r="K299" s="99">
        <f>COUNTIF($E$5:$E$979,"&lt;"&amp;E299)+(COUNTIF($E$5:$E$979,"="&amp;E299)+1)/2</f>
        <v/>
      </c>
      <c r="L299" s="99">
        <f>COUNTIF($F$5:$F$979,"&lt;"&amp;F299)+(COUNTIF($F$5:$F$979,"="&amp;F299)+1)/2</f>
        <v/>
      </c>
      <c r="M299" s="99">
        <f>COUNTIF($G$5:$G$979,"&lt;"&amp;G299)+(COUNTIF($G$5:$G$979,"="&amp;G299)+1)/2</f>
        <v/>
      </c>
      <c r="N299" s="99">
        <f>COUNTIF($H$5:$H$979,"&lt;"&amp;H299)+(COUNTIF($H$5:$H$979,"="&amp;H299)+1)/2</f>
        <v/>
      </c>
      <c r="O299" s="99">
        <f>COUNTIF($I$5:$I$979,"&lt;"&amp;I299)+(COUNTIF($I$5:$I$979,"="&amp;I299)+1)/2</f>
        <v/>
      </c>
      <c r="P299" s="99">
        <f>COUNTIF($J$5:$J$979,"&lt;"&amp;J299)+(COUNTIF($J$5:$J$979,"="&amp;J299)+1)/2</f>
        <v/>
      </c>
    </row>
    <row r="300" ht="15" customHeight="1" s="68">
      <c r="A300" s="70">
        <f>'01_원자료'!A297</f>
        <v/>
      </c>
      <c r="B300" s="70">
        <f>'01_원자료'!B297</f>
        <v/>
      </c>
      <c r="C300" s="70">
        <f>'01_원자료'!C297</f>
        <v/>
      </c>
      <c r="E300" s="85">
        <f>'01_원자료'!P297*'03_가중치민감도'!$B$5+'01_원자료'!Q297*'03_가중치민감도'!$C$5+'01_원자료'!R297*'03_가중치민감도'!$D$5</f>
        <v/>
      </c>
      <c r="F300" s="85">
        <f>'01_원자료'!P297*'03_가중치민감도'!$B$6+'01_원자료'!Q297*'03_가중치민감도'!$C$6+'01_원자료'!R297*'03_가중치민감도'!$D$6</f>
        <v/>
      </c>
      <c r="G300" s="85">
        <f>'01_원자료'!P297*'03_가중치민감도'!$B$7+'01_원자료'!Q297*'03_가중치민감도'!$C$7+'01_원자료'!R297*'03_가중치민감도'!$D$7</f>
        <v/>
      </c>
      <c r="H300" s="85">
        <f>'01_원자료'!P297*'03_가중치민감도'!$B$8+'01_원자료'!Q297*'03_가중치민감도'!$C$8+'01_원자료'!R297*'03_가중치민감도'!$D$8</f>
        <v/>
      </c>
      <c r="I300" s="85">
        <f>'01_원자료'!P297*'03_가중치민감도'!$B$9+'01_원자료'!Q297*'03_가중치민감도'!$C$9+'01_원자료'!R297*'03_가중치민감도'!$D$9</f>
        <v/>
      </c>
      <c r="J300" s="85">
        <f>'01_원자료'!P297*'03_가중치민감도'!$B$10+'01_원자료'!Q297*'03_가중치민감도'!$C$10+'01_원자료'!R297*'03_가중치민감도'!$D$10</f>
        <v/>
      </c>
      <c r="K300" s="99">
        <f>COUNTIF($E$5:$E$979,"&lt;"&amp;E300)+(COUNTIF($E$5:$E$979,"="&amp;E300)+1)/2</f>
        <v/>
      </c>
      <c r="L300" s="99">
        <f>COUNTIF($F$5:$F$979,"&lt;"&amp;F300)+(COUNTIF($F$5:$F$979,"="&amp;F300)+1)/2</f>
        <v/>
      </c>
      <c r="M300" s="99">
        <f>COUNTIF($G$5:$G$979,"&lt;"&amp;G300)+(COUNTIF($G$5:$G$979,"="&amp;G300)+1)/2</f>
        <v/>
      </c>
      <c r="N300" s="99">
        <f>COUNTIF($H$5:$H$979,"&lt;"&amp;H300)+(COUNTIF($H$5:$H$979,"="&amp;H300)+1)/2</f>
        <v/>
      </c>
      <c r="O300" s="99">
        <f>COUNTIF($I$5:$I$979,"&lt;"&amp;I300)+(COUNTIF($I$5:$I$979,"="&amp;I300)+1)/2</f>
        <v/>
      </c>
      <c r="P300" s="99">
        <f>COUNTIF($J$5:$J$979,"&lt;"&amp;J300)+(COUNTIF($J$5:$J$979,"="&amp;J300)+1)/2</f>
        <v/>
      </c>
    </row>
    <row r="301" ht="15" customHeight="1" s="68">
      <c r="A301" s="70">
        <f>'01_원자료'!A298</f>
        <v/>
      </c>
      <c r="B301" s="70">
        <f>'01_원자료'!B298</f>
        <v/>
      </c>
      <c r="C301" s="70">
        <f>'01_원자료'!C298</f>
        <v/>
      </c>
      <c r="E301" s="85">
        <f>'01_원자료'!P298*'03_가중치민감도'!$B$5+'01_원자료'!Q298*'03_가중치민감도'!$C$5+'01_원자료'!R298*'03_가중치민감도'!$D$5</f>
        <v/>
      </c>
      <c r="F301" s="85">
        <f>'01_원자료'!P298*'03_가중치민감도'!$B$6+'01_원자료'!Q298*'03_가중치민감도'!$C$6+'01_원자료'!R298*'03_가중치민감도'!$D$6</f>
        <v/>
      </c>
      <c r="G301" s="85">
        <f>'01_원자료'!P298*'03_가중치민감도'!$B$7+'01_원자료'!Q298*'03_가중치민감도'!$C$7+'01_원자료'!R298*'03_가중치민감도'!$D$7</f>
        <v/>
      </c>
      <c r="H301" s="85">
        <f>'01_원자료'!P298*'03_가중치민감도'!$B$8+'01_원자료'!Q298*'03_가중치민감도'!$C$8+'01_원자료'!R298*'03_가중치민감도'!$D$8</f>
        <v/>
      </c>
      <c r="I301" s="85">
        <f>'01_원자료'!P298*'03_가중치민감도'!$B$9+'01_원자료'!Q298*'03_가중치민감도'!$C$9+'01_원자료'!R298*'03_가중치민감도'!$D$9</f>
        <v/>
      </c>
      <c r="J301" s="85">
        <f>'01_원자료'!P298*'03_가중치민감도'!$B$10+'01_원자료'!Q298*'03_가중치민감도'!$C$10+'01_원자료'!R298*'03_가중치민감도'!$D$10</f>
        <v/>
      </c>
      <c r="K301" s="99">
        <f>COUNTIF($E$5:$E$979,"&lt;"&amp;E301)+(COUNTIF($E$5:$E$979,"="&amp;E301)+1)/2</f>
        <v/>
      </c>
      <c r="L301" s="99">
        <f>COUNTIF($F$5:$F$979,"&lt;"&amp;F301)+(COUNTIF($F$5:$F$979,"="&amp;F301)+1)/2</f>
        <v/>
      </c>
      <c r="M301" s="99">
        <f>COUNTIF($G$5:$G$979,"&lt;"&amp;G301)+(COUNTIF($G$5:$G$979,"="&amp;G301)+1)/2</f>
        <v/>
      </c>
      <c r="N301" s="99">
        <f>COUNTIF($H$5:$H$979,"&lt;"&amp;H301)+(COUNTIF($H$5:$H$979,"="&amp;H301)+1)/2</f>
        <v/>
      </c>
      <c r="O301" s="99">
        <f>COUNTIF($I$5:$I$979,"&lt;"&amp;I301)+(COUNTIF($I$5:$I$979,"="&amp;I301)+1)/2</f>
        <v/>
      </c>
      <c r="P301" s="99">
        <f>COUNTIF($J$5:$J$979,"&lt;"&amp;J301)+(COUNTIF($J$5:$J$979,"="&amp;J301)+1)/2</f>
        <v/>
      </c>
    </row>
    <row r="302" ht="15" customHeight="1" s="68">
      <c r="A302" s="70">
        <f>'01_원자료'!A299</f>
        <v/>
      </c>
      <c r="B302" s="70">
        <f>'01_원자료'!B299</f>
        <v/>
      </c>
      <c r="C302" s="70">
        <f>'01_원자료'!C299</f>
        <v/>
      </c>
      <c r="E302" s="85">
        <f>'01_원자료'!P299*'03_가중치민감도'!$B$5+'01_원자료'!Q299*'03_가중치민감도'!$C$5+'01_원자료'!R299*'03_가중치민감도'!$D$5</f>
        <v/>
      </c>
      <c r="F302" s="85">
        <f>'01_원자료'!P299*'03_가중치민감도'!$B$6+'01_원자료'!Q299*'03_가중치민감도'!$C$6+'01_원자료'!R299*'03_가중치민감도'!$D$6</f>
        <v/>
      </c>
      <c r="G302" s="85">
        <f>'01_원자료'!P299*'03_가중치민감도'!$B$7+'01_원자료'!Q299*'03_가중치민감도'!$C$7+'01_원자료'!R299*'03_가중치민감도'!$D$7</f>
        <v/>
      </c>
      <c r="H302" s="85">
        <f>'01_원자료'!P299*'03_가중치민감도'!$B$8+'01_원자료'!Q299*'03_가중치민감도'!$C$8+'01_원자료'!R299*'03_가중치민감도'!$D$8</f>
        <v/>
      </c>
      <c r="I302" s="85">
        <f>'01_원자료'!P299*'03_가중치민감도'!$B$9+'01_원자료'!Q299*'03_가중치민감도'!$C$9+'01_원자료'!R299*'03_가중치민감도'!$D$9</f>
        <v/>
      </c>
      <c r="J302" s="85">
        <f>'01_원자료'!P299*'03_가중치민감도'!$B$10+'01_원자료'!Q299*'03_가중치민감도'!$C$10+'01_원자료'!R299*'03_가중치민감도'!$D$10</f>
        <v/>
      </c>
      <c r="K302" s="99">
        <f>COUNTIF($E$5:$E$979,"&lt;"&amp;E302)+(COUNTIF($E$5:$E$979,"="&amp;E302)+1)/2</f>
        <v/>
      </c>
      <c r="L302" s="99">
        <f>COUNTIF($F$5:$F$979,"&lt;"&amp;F302)+(COUNTIF($F$5:$F$979,"="&amp;F302)+1)/2</f>
        <v/>
      </c>
      <c r="M302" s="99">
        <f>COUNTIF($G$5:$G$979,"&lt;"&amp;G302)+(COUNTIF($G$5:$G$979,"="&amp;G302)+1)/2</f>
        <v/>
      </c>
      <c r="N302" s="99">
        <f>COUNTIF($H$5:$H$979,"&lt;"&amp;H302)+(COUNTIF($H$5:$H$979,"="&amp;H302)+1)/2</f>
        <v/>
      </c>
      <c r="O302" s="99">
        <f>COUNTIF($I$5:$I$979,"&lt;"&amp;I302)+(COUNTIF($I$5:$I$979,"="&amp;I302)+1)/2</f>
        <v/>
      </c>
      <c r="P302" s="99">
        <f>COUNTIF($J$5:$J$979,"&lt;"&amp;J302)+(COUNTIF($J$5:$J$979,"="&amp;J302)+1)/2</f>
        <v/>
      </c>
    </row>
    <row r="303" ht="15" customHeight="1" s="68">
      <c r="A303" s="70">
        <f>'01_원자료'!A300</f>
        <v/>
      </c>
      <c r="B303" s="70">
        <f>'01_원자료'!B300</f>
        <v/>
      </c>
      <c r="C303" s="70">
        <f>'01_원자료'!C300</f>
        <v/>
      </c>
      <c r="E303" s="85">
        <f>'01_원자료'!P300*'03_가중치민감도'!$B$5+'01_원자료'!Q300*'03_가중치민감도'!$C$5+'01_원자료'!R300*'03_가중치민감도'!$D$5</f>
        <v/>
      </c>
      <c r="F303" s="85">
        <f>'01_원자료'!P300*'03_가중치민감도'!$B$6+'01_원자료'!Q300*'03_가중치민감도'!$C$6+'01_원자료'!R300*'03_가중치민감도'!$D$6</f>
        <v/>
      </c>
      <c r="G303" s="85">
        <f>'01_원자료'!P300*'03_가중치민감도'!$B$7+'01_원자료'!Q300*'03_가중치민감도'!$C$7+'01_원자료'!R300*'03_가중치민감도'!$D$7</f>
        <v/>
      </c>
      <c r="H303" s="85">
        <f>'01_원자료'!P300*'03_가중치민감도'!$B$8+'01_원자료'!Q300*'03_가중치민감도'!$C$8+'01_원자료'!R300*'03_가중치민감도'!$D$8</f>
        <v/>
      </c>
      <c r="I303" s="85">
        <f>'01_원자료'!P300*'03_가중치민감도'!$B$9+'01_원자료'!Q300*'03_가중치민감도'!$C$9+'01_원자료'!R300*'03_가중치민감도'!$D$9</f>
        <v/>
      </c>
      <c r="J303" s="85">
        <f>'01_원자료'!P300*'03_가중치민감도'!$B$10+'01_원자료'!Q300*'03_가중치민감도'!$C$10+'01_원자료'!R300*'03_가중치민감도'!$D$10</f>
        <v/>
      </c>
      <c r="K303" s="99">
        <f>COUNTIF($E$5:$E$979,"&lt;"&amp;E303)+(COUNTIF($E$5:$E$979,"="&amp;E303)+1)/2</f>
        <v/>
      </c>
      <c r="L303" s="99">
        <f>COUNTIF($F$5:$F$979,"&lt;"&amp;F303)+(COUNTIF($F$5:$F$979,"="&amp;F303)+1)/2</f>
        <v/>
      </c>
      <c r="M303" s="99">
        <f>COUNTIF($G$5:$G$979,"&lt;"&amp;G303)+(COUNTIF($G$5:$G$979,"="&amp;G303)+1)/2</f>
        <v/>
      </c>
      <c r="N303" s="99">
        <f>COUNTIF($H$5:$H$979,"&lt;"&amp;H303)+(COUNTIF($H$5:$H$979,"="&amp;H303)+1)/2</f>
        <v/>
      </c>
      <c r="O303" s="99">
        <f>COUNTIF($I$5:$I$979,"&lt;"&amp;I303)+(COUNTIF($I$5:$I$979,"="&amp;I303)+1)/2</f>
        <v/>
      </c>
      <c r="P303" s="99">
        <f>COUNTIF($J$5:$J$979,"&lt;"&amp;J303)+(COUNTIF($J$5:$J$979,"="&amp;J303)+1)/2</f>
        <v/>
      </c>
    </row>
    <row r="304" ht="15" customHeight="1" s="68">
      <c r="A304" s="70">
        <f>'01_원자료'!A301</f>
        <v/>
      </c>
      <c r="B304" s="70">
        <f>'01_원자료'!B301</f>
        <v/>
      </c>
      <c r="C304" s="70">
        <f>'01_원자료'!C301</f>
        <v/>
      </c>
      <c r="E304" s="85">
        <f>'01_원자료'!P301*'03_가중치민감도'!$B$5+'01_원자료'!Q301*'03_가중치민감도'!$C$5+'01_원자료'!R301*'03_가중치민감도'!$D$5</f>
        <v/>
      </c>
      <c r="F304" s="85">
        <f>'01_원자료'!P301*'03_가중치민감도'!$B$6+'01_원자료'!Q301*'03_가중치민감도'!$C$6+'01_원자료'!R301*'03_가중치민감도'!$D$6</f>
        <v/>
      </c>
      <c r="G304" s="85">
        <f>'01_원자료'!P301*'03_가중치민감도'!$B$7+'01_원자료'!Q301*'03_가중치민감도'!$C$7+'01_원자료'!R301*'03_가중치민감도'!$D$7</f>
        <v/>
      </c>
      <c r="H304" s="85">
        <f>'01_원자료'!P301*'03_가중치민감도'!$B$8+'01_원자료'!Q301*'03_가중치민감도'!$C$8+'01_원자료'!R301*'03_가중치민감도'!$D$8</f>
        <v/>
      </c>
      <c r="I304" s="85">
        <f>'01_원자료'!P301*'03_가중치민감도'!$B$9+'01_원자료'!Q301*'03_가중치민감도'!$C$9+'01_원자료'!R301*'03_가중치민감도'!$D$9</f>
        <v/>
      </c>
      <c r="J304" s="85">
        <f>'01_원자료'!P301*'03_가중치민감도'!$B$10+'01_원자료'!Q301*'03_가중치민감도'!$C$10+'01_원자료'!R301*'03_가중치민감도'!$D$10</f>
        <v/>
      </c>
      <c r="K304" s="99">
        <f>COUNTIF($E$5:$E$979,"&lt;"&amp;E304)+(COUNTIF($E$5:$E$979,"="&amp;E304)+1)/2</f>
        <v/>
      </c>
      <c r="L304" s="99">
        <f>COUNTIF($F$5:$F$979,"&lt;"&amp;F304)+(COUNTIF($F$5:$F$979,"="&amp;F304)+1)/2</f>
        <v/>
      </c>
      <c r="M304" s="99">
        <f>COUNTIF($G$5:$G$979,"&lt;"&amp;G304)+(COUNTIF($G$5:$G$979,"="&amp;G304)+1)/2</f>
        <v/>
      </c>
      <c r="N304" s="99">
        <f>COUNTIF($H$5:$H$979,"&lt;"&amp;H304)+(COUNTIF($H$5:$H$979,"="&amp;H304)+1)/2</f>
        <v/>
      </c>
      <c r="O304" s="99">
        <f>COUNTIF($I$5:$I$979,"&lt;"&amp;I304)+(COUNTIF($I$5:$I$979,"="&amp;I304)+1)/2</f>
        <v/>
      </c>
      <c r="P304" s="99">
        <f>COUNTIF($J$5:$J$979,"&lt;"&amp;J304)+(COUNTIF($J$5:$J$979,"="&amp;J304)+1)/2</f>
        <v/>
      </c>
    </row>
    <row r="305" ht="15" customHeight="1" s="68">
      <c r="A305" s="70">
        <f>'01_원자료'!A302</f>
        <v/>
      </c>
      <c r="B305" s="70">
        <f>'01_원자료'!B302</f>
        <v/>
      </c>
      <c r="C305" s="70">
        <f>'01_원자료'!C302</f>
        <v/>
      </c>
      <c r="E305" s="85">
        <f>'01_원자료'!P302*'03_가중치민감도'!$B$5+'01_원자료'!Q302*'03_가중치민감도'!$C$5+'01_원자료'!R302*'03_가중치민감도'!$D$5</f>
        <v/>
      </c>
      <c r="F305" s="85">
        <f>'01_원자료'!P302*'03_가중치민감도'!$B$6+'01_원자료'!Q302*'03_가중치민감도'!$C$6+'01_원자료'!R302*'03_가중치민감도'!$D$6</f>
        <v/>
      </c>
      <c r="G305" s="85">
        <f>'01_원자료'!P302*'03_가중치민감도'!$B$7+'01_원자료'!Q302*'03_가중치민감도'!$C$7+'01_원자료'!R302*'03_가중치민감도'!$D$7</f>
        <v/>
      </c>
      <c r="H305" s="85">
        <f>'01_원자료'!P302*'03_가중치민감도'!$B$8+'01_원자료'!Q302*'03_가중치민감도'!$C$8+'01_원자료'!R302*'03_가중치민감도'!$D$8</f>
        <v/>
      </c>
      <c r="I305" s="85">
        <f>'01_원자료'!P302*'03_가중치민감도'!$B$9+'01_원자료'!Q302*'03_가중치민감도'!$C$9+'01_원자료'!R302*'03_가중치민감도'!$D$9</f>
        <v/>
      </c>
      <c r="J305" s="85">
        <f>'01_원자료'!P302*'03_가중치민감도'!$B$10+'01_원자료'!Q302*'03_가중치민감도'!$C$10+'01_원자료'!R302*'03_가중치민감도'!$D$10</f>
        <v/>
      </c>
      <c r="K305" s="99">
        <f>COUNTIF($E$5:$E$979,"&lt;"&amp;E305)+(COUNTIF($E$5:$E$979,"="&amp;E305)+1)/2</f>
        <v/>
      </c>
      <c r="L305" s="99">
        <f>COUNTIF($F$5:$F$979,"&lt;"&amp;F305)+(COUNTIF($F$5:$F$979,"="&amp;F305)+1)/2</f>
        <v/>
      </c>
      <c r="M305" s="99">
        <f>COUNTIF($G$5:$G$979,"&lt;"&amp;G305)+(COUNTIF($G$5:$G$979,"="&amp;G305)+1)/2</f>
        <v/>
      </c>
      <c r="N305" s="99">
        <f>COUNTIF($H$5:$H$979,"&lt;"&amp;H305)+(COUNTIF($H$5:$H$979,"="&amp;H305)+1)/2</f>
        <v/>
      </c>
      <c r="O305" s="99">
        <f>COUNTIF($I$5:$I$979,"&lt;"&amp;I305)+(COUNTIF($I$5:$I$979,"="&amp;I305)+1)/2</f>
        <v/>
      </c>
      <c r="P305" s="99">
        <f>COUNTIF($J$5:$J$979,"&lt;"&amp;J305)+(COUNTIF($J$5:$J$979,"="&amp;J305)+1)/2</f>
        <v/>
      </c>
    </row>
    <row r="306" ht="15" customHeight="1" s="68">
      <c r="A306" s="70">
        <f>'01_원자료'!A303</f>
        <v/>
      </c>
      <c r="B306" s="70">
        <f>'01_원자료'!B303</f>
        <v/>
      </c>
      <c r="C306" s="70">
        <f>'01_원자료'!C303</f>
        <v/>
      </c>
      <c r="E306" s="85">
        <f>'01_원자료'!P303*'03_가중치민감도'!$B$5+'01_원자료'!Q303*'03_가중치민감도'!$C$5+'01_원자료'!R303*'03_가중치민감도'!$D$5</f>
        <v/>
      </c>
      <c r="F306" s="85">
        <f>'01_원자료'!P303*'03_가중치민감도'!$B$6+'01_원자료'!Q303*'03_가중치민감도'!$C$6+'01_원자료'!R303*'03_가중치민감도'!$D$6</f>
        <v/>
      </c>
      <c r="G306" s="85">
        <f>'01_원자료'!P303*'03_가중치민감도'!$B$7+'01_원자료'!Q303*'03_가중치민감도'!$C$7+'01_원자료'!R303*'03_가중치민감도'!$D$7</f>
        <v/>
      </c>
      <c r="H306" s="85">
        <f>'01_원자료'!P303*'03_가중치민감도'!$B$8+'01_원자료'!Q303*'03_가중치민감도'!$C$8+'01_원자료'!R303*'03_가중치민감도'!$D$8</f>
        <v/>
      </c>
      <c r="I306" s="85">
        <f>'01_원자료'!P303*'03_가중치민감도'!$B$9+'01_원자료'!Q303*'03_가중치민감도'!$C$9+'01_원자료'!R303*'03_가중치민감도'!$D$9</f>
        <v/>
      </c>
      <c r="J306" s="85">
        <f>'01_원자료'!P303*'03_가중치민감도'!$B$10+'01_원자료'!Q303*'03_가중치민감도'!$C$10+'01_원자료'!R303*'03_가중치민감도'!$D$10</f>
        <v/>
      </c>
      <c r="K306" s="99">
        <f>COUNTIF($E$5:$E$979,"&lt;"&amp;E306)+(COUNTIF($E$5:$E$979,"="&amp;E306)+1)/2</f>
        <v/>
      </c>
      <c r="L306" s="99">
        <f>COUNTIF($F$5:$F$979,"&lt;"&amp;F306)+(COUNTIF($F$5:$F$979,"="&amp;F306)+1)/2</f>
        <v/>
      </c>
      <c r="M306" s="99">
        <f>COUNTIF($G$5:$G$979,"&lt;"&amp;G306)+(COUNTIF($G$5:$G$979,"="&amp;G306)+1)/2</f>
        <v/>
      </c>
      <c r="N306" s="99">
        <f>COUNTIF($H$5:$H$979,"&lt;"&amp;H306)+(COUNTIF($H$5:$H$979,"="&amp;H306)+1)/2</f>
        <v/>
      </c>
      <c r="O306" s="99">
        <f>COUNTIF($I$5:$I$979,"&lt;"&amp;I306)+(COUNTIF($I$5:$I$979,"="&amp;I306)+1)/2</f>
        <v/>
      </c>
      <c r="P306" s="99">
        <f>COUNTIF($J$5:$J$979,"&lt;"&amp;J306)+(COUNTIF($J$5:$J$979,"="&amp;J306)+1)/2</f>
        <v/>
      </c>
    </row>
    <row r="307" ht="15" customHeight="1" s="68">
      <c r="A307" s="70">
        <f>'01_원자료'!A304</f>
        <v/>
      </c>
      <c r="B307" s="70">
        <f>'01_원자료'!B304</f>
        <v/>
      </c>
      <c r="C307" s="70">
        <f>'01_원자료'!C304</f>
        <v/>
      </c>
      <c r="E307" s="85">
        <f>'01_원자료'!P304*'03_가중치민감도'!$B$5+'01_원자료'!Q304*'03_가중치민감도'!$C$5+'01_원자료'!R304*'03_가중치민감도'!$D$5</f>
        <v/>
      </c>
      <c r="F307" s="85">
        <f>'01_원자료'!P304*'03_가중치민감도'!$B$6+'01_원자료'!Q304*'03_가중치민감도'!$C$6+'01_원자료'!R304*'03_가중치민감도'!$D$6</f>
        <v/>
      </c>
      <c r="G307" s="85">
        <f>'01_원자료'!P304*'03_가중치민감도'!$B$7+'01_원자료'!Q304*'03_가중치민감도'!$C$7+'01_원자료'!R304*'03_가중치민감도'!$D$7</f>
        <v/>
      </c>
      <c r="H307" s="85">
        <f>'01_원자료'!P304*'03_가중치민감도'!$B$8+'01_원자료'!Q304*'03_가중치민감도'!$C$8+'01_원자료'!R304*'03_가중치민감도'!$D$8</f>
        <v/>
      </c>
      <c r="I307" s="85">
        <f>'01_원자료'!P304*'03_가중치민감도'!$B$9+'01_원자료'!Q304*'03_가중치민감도'!$C$9+'01_원자료'!R304*'03_가중치민감도'!$D$9</f>
        <v/>
      </c>
      <c r="J307" s="85">
        <f>'01_원자료'!P304*'03_가중치민감도'!$B$10+'01_원자료'!Q304*'03_가중치민감도'!$C$10+'01_원자료'!R304*'03_가중치민감도'!$D$10</f>
        <v/>
      </c>
      <c r="K307" s="99">
        <f>COUNTIF($E$5:$E$979,"&lt;"&amp;E307)+(COUNTIF($E$5:$E$979,"="&amp;E307)+1)/2</f>
        <v/>
      </c>
      <c r="L307" s="99">
        <f>COUNTIF($F$5:$F$979,"&lt;"&amp;F307)+(COUNTIF($F$5:$F$979,"="&amp;F307)+1)/2</f>
        <v/>
      </c>
      <c r="M307" s="99">
        <f>COUNTIF($G$5:$G$979,"&lt;"&amp;G307)+(COUNTIF($G$5:$G$979,"="&amp;G307)+1)/2</f>
        <v/>
      </c>
      <c r="N307" s="99">
        <f>COUNTIF($H$5:$H$979,"&lt;"&amp;H307)+(COUNTIF($H$5:$H$979,"="&amp;H307)+1)/2</f>
        <v/>
      </c>
      <c r="O307" s="99">
        <f>COUNTIF($I$5:$I$979,"&lt;"&amp;I307)+(COUNTIF($I$5:$I$979,"="&amp;I307)+1)/2</f>
        <v/>
      </c>
      <c r="P307" s="99">
        <f>COUNTIF($J$5:$J$979,"&lt;"&amp;J307)+(COUNTIF($J$5:$J$979,"="&amp;J307)+1)/2</f>
        <v/>
      </c>
    </row>
    <row r="308" ht="15" customHeight="1" s="68">
      <c r="A308" s="70">
        <f>'01_원자료'!A305</f>
        <v/>
      </c>
      <c r="B308" s="70">
        <f>'01_원자료'!B305</f>
        <v/>
      </c>
      <c r="C308" s="70">
        <f>'01_원자료'!C305</f>
        <v/>
      </c>
      <c r="E308" s="85">
        <f>'01_원자료'!P305*'03_가중치민감도'!$B$5+'01_원자료'!Q305*'03_가중치민감도'!$C$5+'01_원자료'!R305*'03_가중치민감도'!$D$5</f>
        <v/>
      </c>
      <c r="F308" s="85">
        <f>'01_원자료'!P305*'03_가중치민감도'!$B$6+'01_원자료'!Q305*'03_가중치민감도'!$C$6+'01_원자료'!R305*'03_가중치민감도'!$D$6</f>
        <v/>
      </c>
      <c r="G308" s="85">
        <f>'01_원자료'!P305*'03_가중치민감도'!$B$7+'01_원자료'!Q305*'03_가중치민감도'!$C$7+'01_원자료'!R305*'03_가중치민감도'!$D$7</f>
        <v/>
      </c>
      <c r="H308" s="85">
        <f>'01_원자료'!P305*'03_가중치민감도'!$B$8+'01_원자료'!Q305*'03_가중치민감도'!$C$8+'01_원자료'!R305*'03_가중치민감도'!$D$8</f>
        <v/>
      </c>
      <c r="I308" s="85">
        <f>'01_원자료'!P305*'03_가중치민감도'!$B$9+'01_원자료'!Q305*'03_가중치민감도'!$C$9+'01_원자료'!R305*'03_가중치민감도'!$D$9</f>
        <v/>
      </c>
      <c r="J308" s="85">
        <f>'01_원자료'!P305*'03_가중치민감도'!$B$10+'01_원자료'!Q305*'03_가중치민감도'!$C$10+'01_원자료'!R305*'03_가중치민감도'!$D$10</f>
        <v/>
      </c>
      <c r="K308" s="99">
        <f>COUNTIF($E$5:$E$979,"&lt;"&amp;E308)+(COUNTIF($E$5:$E$979,"="&amp;E308)+1)/2</f>
        <v/>
      </c>
      <c r="L308" s="99">
        <f>COUNTIF($F$5:$F$979,"&lt;"&amp;F308)+(COUNTIF($F$5:$F$979,"="&amp;F308)+1)/2</f>
        <v/>
      </c>
      <c r="M308" s="99">
        <f>COUNTIF($G$5:$G$979,"&lt;"&amp;G308)+(COUNTIF($G$5:$G$979,"="&amp;G308)+1)/2</f>
        <v/>
      </c>
      <c r="N308" s="99">
        <f>COUNTIF($H$5:$H$979,"&lt;"&amp;H308)+(COUNTIF($H$5:$H$979,"="&amp;H308)+1)/2</f>
        <v/>
      </c>
      <c r="O308" s="99">
        <f>COUNTIF($I$5:$I$979,"&lt;"&amp;I308)+(COUNTIF($I$5:$I$979,"="&amp;I308)+1)/2</f>
        <v/>
      </c>
      <c r="P308" s="99">
        <f>COUNTIF($J$5:$J$979,"&lt;"&amp;J308)+(COUNTIF($J$5:$J$979,"="&amp;J308)+1)/2</f>
        <v/>
      </c>
    </row>
    <row r="309" ht="15" customHeight="1" s="68">
      <c r="A309" s="70">
        <f>'01_원자료'!A306</f>
        <v/>
      </c>
      <c r="B309" s="70">
        <f>'01_원자료'!B306</f>
        <v/>
      </c>
      <c r="C309" s="70">
        <f>'01_원자료'!C306</f>
        <v/>
      </c>
      <c r="E309" s="85">
        <f>'01_원자료'!P306*'03_가중치민감도'!$B$5+'01_원자료'!Q306*'03_가중치민감도'!$C$5+'01_원자료'!R306*'03_가중치민감도'!$D$5</f>
        <v/>
      </c>
      <c r="F309" s="85">
        <f>'01_원자료'!P306*'03_가중치민감도'!$B$6+'01_원자료'!Q306*'03_가중치민감도'!$C$6+'01_원자료'!R306*'03_가중치민감도'!$D$6</f>
        <v/>
      </c>
      <c r="G309" s="85">
        <f>'01_원자료'!P306*'03_가중치민감도'!$B$7+'01_원자료'!Q306*'03_가중치민감도'!$C$7+'01_원자료'!R306*'03_가중치민감도'!$D$7</f>
        <v/>
      </c>
      <c r="H309" s="85">
        <f>'01_원자료'!P306*'03_가중치민감도'!$B$8+'01_원자료'!Q306*'03_가중치민감도'!$C$8+'01_원자료'!R306*'03_가중치민감도'!$D$8</f>
        <v/>
      </c>
      <c r="I309" s="85">
        <f>'01_원자료'!P306*'03_가중치민감도'!$B$9+'01_원자료'!Q306*'03_가중치민감도'!$C$9+'01_원자료'!R306*'03_가중치민감도'!$D$9</f>
        <v/>
      </c>
      <c r="J309" s="85">
        <f>'01_원자료'!P306*'03_가중치민감도'!$B$10+'01_원자료'!Q306*'03_가중치민감도'!$C$10+'01_원자료'!R306*'03_가중치민감도'!$D$10</f>
        <v/>
      </c>
      <c r="K309" s="99">
        <f>COUNTIF($E$5:$E$979,"&lt;"&amp;E309)+(COUNTIF($E$5:$E$979,"="&amp;E309)+1)/2</f>
        <v/>
      </c>
      <c r="L309" s="99">
        <f>COUNTIF($F$5:$F$979,"&lt;"&amp;F309)+(COUNTIF($F$5:$F$979,"="&amp;F309)+1)/2</f>
        <v/>
      </c>
      <c r="M309" s="99">
        <f>COUNTIF($G$5:$G$979,"&lt;"&amp;G309)+(COUNTIF($G$5:$G$979,"="&amp;G309)+1)/2</f>
        <v/>
      </c>
      <c r="N309" s="99">
        <f>COUNTIF($H$5:$H$979,"&lt;"&amp;H309)+(COUNTIF($H$5:$H$979,"="&amp;H309)+1)/2</f>
        <v/>
      </c>
      <c r="O309" s="99">
        <f>COUNTIF($I$5:$I$979,"&lt;"&amp;I309)+(COUNTIF($I$5:$I$979,"="&amp;I309)+1)/2</f>
        <v/>
      </c>
      <c r="P309" s="99">
        <f>COUNTIF($J$5:$J$979,"&lt;"&amp;J309)+(COUNTIF($J$5:$J$979,"="&amp;J309)+1)/2</f>
        <v/>
      </c>
    </row>
    <row r="310" ht="15" customHeight="1" s="68">
      <c r="A310" s="70">
        <f>'01_원자료'!A307</f>
        <v/>
      </c>
      <c r="B310" s="70">
        <f>'01_원자료'!B307</f>
        <v/>
      </c>
      <c r="C310" s="70">
        <f>'01_원자료'!C307</f>
        <v/>
      </c>
      <c r="E310" s="85">
        <f>'01_원자료'!P307*'03_가중치민감도'!$B$5+'01_원자료'!Q307*'03_가중치민감도'!$C$5+'01_원자료'!R307*'03_가중치민감도'!$D$5</f>
        <v/>
      </c>
      <c r="F310" s="85">
        <f>'01_원자료'!P307*'03_가중치민감도'!$B$6+'01_원자료'!Q307*'03_가중치민감도'!$C$6+'01_원자료'!R307*'03_가중치민감도'!$D$6</f>
        <v/>
      </c>
      <c r="G310" s="85">
        <f>'01_원자료'!P307*'03_가중치민감도'!$B$7+'01_원자료'!Q307*'03_가중치민감도'!$C$7+'01_원자료'!R307*'03_가중치민감도'!$D$7</f>
        <v/>
      </c>
      <c r="H310" s="85">
        <f>'01_원자료'!P307*'03_가중치민감도'!$B$8+'01_원자료'!Q307*'03_가중치민감도'!$C$8+'01_원자료'!R307*'03_가중치민감도'!$D$8</f>
        <v/>
      </c>
      <c r="I310" s="85">
        <f>'01_원자료'!P307*'03_가중치민감도'!$B$9+'01_원자료'!Q307*'03_가중치민감도'!$C$9+'01_원자료'!R307*'03_가중치민감도'!$D$9</f>
        <v/>
      </c>
      <c r="J310" s="85">
        <f>'01_원자료'!P307*'03_가중치민감도'!$B$10+'01_원자료'!Q307*'03_가중치민감도'!$C$10+'01_원자료'!R307*'03_가중치민감도'!$D$10</f>
        <v/>
      </c>
      <c r="K310" s="99">
        <f>COUNTIF($E$5:$E$979,"&lt;"&amp;E310)+(COUNTIF($E$5:$E$979,"="&amp;E310)+1)/2</f>
        <v/>
      </c>
      <c r="L310" s="99">
        <f>COUNTIF($F$5:$F$979,"&lt;"&amp;F310)+(COUNTIF($F$5:$F$979,"="&amp;F310)+1)/2</f>
        <v/>
      </c>
      <c r="M310" s="99">
        <f>COUNTIF($G$5:$G$979,"&lt;"&amp;G310)+(COUNTIF($G$5:$G$979,"="&amp;G310)+1)/2</f>
        <v/>
      </c>
      <c r="N310" s="99">
        <f>COUNTIF($H$5:$H$979,"&lt;"&amp;H310)+(COUNTIF($H$5:$H$979,"="&amp;H310)+1)/2</f>
        <v/>
      </c>
      <c r="O310" s="99">
        <f>COUNTIF($I$5:$I$979,"&lt;"&amp;I310)+(COUNTIF($I$5:$I$979,"="&amp;I310)+1)/2</f>
        <v/>
      </c>
      <c r="P310" s="99">
        <f>COUNTIF($J$5:$J$979,"&lt;"&amp;J310)+(COUNTIF($J$5:$J$979,"="&amp;J310)+1)/2</f>
        <v/>
      </c>
    </row>
    <row r="311" ht="15" customHeight="1" s="68">
      <c r="A311" s="70">
        <f>'01_원자료'!A308</f>
        <v/>
      </c>
      <c r="B311" s="70">
        <f>'01_원자료'!B308</f>
        <v/>
      </c>
      <c r="C311" s="70">
        <f>'01_원자료'!C308</f>
        <v/>
      </c>
      <c r="E311" s="85">
        <f>'01_원자료'!P308*'03_가중치민감도'!$B$5+'01_원자료'!Q308*'03_가중치민감도'!$C$5+'01_원자료'!R308*'03_가중치민감도'!$D$5</f>
        <v/>
      </c>
      <c r="F311" s="85">
        <f>'01_원자료'!P308*'03_가중치민감도'!$B$6+'01_원자료'!Q308*'03_가중치민감도'!$C$6+'01_원자료'!R308*'03_가중치민감도'!$D$6</f>
        <v/>
      </c>
      <c r="G311" s="85">
        <f>'01_원자료'!P308*'03_가중치민감도'!$B$7+'01_원자료'!Q308*'03_가중치민감도'!$C$7+'01_원자료'!R308*'03_가중치민감도'!$D$7</f>
        <v/>
      </c>
      <c r="H311" s="85">
        <f>'01_원자료'!P308*'03_가중치민감도'!$B$8+'01_원자료'!Q308*'03_가중치민감도'!$C$8+'01_원자료'!R308*'03_가중치민감도'!$D$8</f>
        <v/>
      </c>
      <c r="I311" s="85">
        <f>'01_원자료'!P308*'03_가중치민감도'!$B$9+'01_원자료'!Q308*'03_가중치민감도'!$C$9+'01_원자료'!R308*'03_가중치민감도'!$D$9</f>
        <v/>
      </c>
      <c r="J311" s="85">
        <f>'01_원자료'!P308*'03_가중치민감도'!$B$10+'01_원자료'!Q308*'03_가중치민감도'!$C$10+'01_원자료'!R308*'03_가중치민감도'!$D$10</f>
        <v/>
      </c>
      <c r="K311" s="99">
        <f>COUNTIF($E$5:$E$979,"&lt;"&amp;E311)+(COUNTIF($E$5:$E$979,"="&amp;E311)+1)/2</f>
        <v/>
      </c>
      <c r="L311" s="99">
        <f>COUNTIF($F$5:$F$979,"&lt;"&amp;F311)+(COUNTIF($F$5:$F$979,"="&amp;F311)+1)/2</f>
        <v/>
      </c>
      <c r="M311" s="99">
        <f>COUNTIF($G$5:$G$979,"&lt;"&amp;G311)+(COUNTIF($G$5:$G$979,"="&amp;G311)+1)/2</f>
        <v/>
      </c>
      <c r="N311" s="99">
        <f>COUNTIF($H$5:$H$979,"&lt;"&amp;H311)+(COUNTIF($H$5:$H$979,"="&amp;H311)+1)/2</f>
        <v/>
      </c>
      <c r="O311" s="99">
        <f>COUNTIF($I$5:$I$979,"&lt;"&amp;I311)+(COUNTIF($I$5:$I$979,"="&amp;I311)+1)/2</f>
        <v/>
      </c>
      <c r="P311" s="99">
        <f>COUNTIF($J$5:$J$979,"&lt;"&amp;J311)+(COUNTIF($J$5:$J$979,"="&amp;J311)+1)/2</f>
        <v/>
      </c>
    </row>
    <row r="312" ht="15" customHeight="1" s="68">
      <c r="A312" s="70">
        <f>'01_원자료'!A309</f>
        <v/>
      </c>
      <c r="B312" s="70">
        <f>'01_원자료'!B309</f>
        <v/>
      </c>
      <c r="C312" s="70">
        <f>'01_원자료'!C309</f>
        <v/>
      </c>
      <c r="E312" s="85">
        <f>'01_원자료'!P309*'03_가중치민감도'!$B$5+'01_원자료'!Q309*'03_가중치민감도'!$C$5+'01_원자료'!R309*'03_가중치민감도'!$D$5</f>
        <v/>
      </c>
      <c r="F312" s="85">
        <f>'01_원자료'!P309*'03_가중치민감도'!$B$6+'01_원자료'!Q309*'03_가중치민감도'!$C$6+'01_원자료'!R309*'03_가중치민감도'!$D$6</f>
        <v/>
      </c>
      <c r="G312" s="85">
        <f>'01_원자료'!P309*'03_가중치민감도'!$B$7+'01_원자료'!Q309*'03_가중치민감도'!$C$7+'01_원자료'!R309*'03_가중치민감도'!$D$7</f>
        <v/>
      </c>
      <c r="H312" s="85">
        <f>'01_원자료'!P309*'03_가중치민감도'!$B$8+'01_원자료'!Q309*'03_가중치민감도'!$C$8+'01_원자료'!R309*'03_가중치민감도'!$D$8</f>
        <v/>
      </c>
      <c r="I312" s="85">
        <f>'01_원자료'!P309*'03_가중치민감도'!$B$9+'01_원자료'!Q309*'03_가중치민감도'!$C$9+'01_원자료'!R309*'03_가중치민감도'!$D$9</f>
        <v/>
      </c>
      <c r="J312" s="85">
        <f>'01_원자료'!P309*'03_가중치민감도'!$B$10+'01_원자료'!Q309*'03_가중치민감도'!$C$10+'01_원자료'!R309*'03_가중치민감도'!$D$10</f>
        <v/>
      </c>
      <c r="K312" s="99">
        <f>COUNTIF($E$5:$E$979,"&lt;"&amp;E312)+(COUNTIF($E$5:$E$979,"="&amp;E312)+1)/2</f>
        <v/>
      </c>
      <c r="L312" s="99">
        <f>COUNTIF($F$5:$F$979,"&lt;"&amp;F312)+(COUNTIF($F$5:$F$979,"="&amp;F312)+1)/2</f>
        <v/>
      </c>
      <c r="M312" s="99">
        <f>COUNTIF($G$5:$G$979,"&lt;"&amp;G312)+(COUNTIF($G$5:$G$979,"="&amp;G312)+1)/2</f>
        <v/>
      </c>
      <c r="N312" s="99">
        <f>COUNTIF($H$5:$H$979,"&lt;"&amp;H312)+(COUNTIF($H$5:$H$979,"="&amp;H312)+1)/2</f>
        <v/>
      </c>
      <c r="O312" s="99">
        <f>COUNTIF($I$5:$I$979,"&lt;"&amp;I312)+(COUNTIF($I$5:$I$979,"="&amp;I312)+1)/2</f>
        <v/>
      </c>
      <c r="P312" s="99">
        <f>COUNTIF($J$5:$J$979,"&lt;"&amp;J312)+(COUNTIF($J$5:$J$979,"="&amp;J312)+1)/2</f>
        <v/>
      </c>
    </row>
    <row r="313" ht="15" customHeight="1" s="68">
      <c r="A313" s="70">
        <f>'01_원자료'!A310</f>
        <v/>
      </c>
      <c r="B313" s="70">
        <f>'01_원자료'!B310</f>
        <v/>
      </c>
      <c r="C313" s="70">
        <f>'01_원자료'!C310</f>
        <v/>
      </c>
      <c r="E313" s="85">
        <f>'01_원자료'!P310*'03_가중치민감도'!$B$5+'01_원자료'!Q310*'03_가중치민감도'!$C$5+'01_원자료'!R310*'03_가중치민감도'!$D$5</f>
        <v/>
      </c>
      <c r="F313" s="85">
        <f>'01_원자료'!P310*'03_가중치민감도'!$B$6+'01_원자료'!Q310*'03_가중치민감도'!$C$6+'01_원자료'!R310*'03_가중치민감도'!$D$6</f>
        <v/>
      </c>
      <c r="G313" s="85">
        <f>'01_원자료'!P310*'03_가중치민감도'!$B$7+'01_원자료'!Q310*'03_가중치민감도'!$C$7+'01_원자료'!R310*'03_가중치민감도'!$D$7</f>
        <v/>
      </c>
      <c r="H313" s="85">
        <f>'01_원자료'!P310*'03_가중치민감도'!$B$8+'01_원자료'!Q310*'03_가중치민감도'!$C$8+'01_원자료'!R310*'03_가중치민감도'!$D$8</f>
        <v/>
      </c>
      <c r="I313" s="85">
        <f>'01_원자료'!P310*'03_가중치민감도'!$B$9+'01_원자료'!Q310*'03_가중치민감도'!$C$9+'01_원자료'!R310*'03_가중치민감도'!$D$9</f>
        <v/>
      </c>
      <c r="J313" s="85">
        <f>'01_원자료'!P310*'03_가중치민감도'!$B$10+'01_원자료'!Q310*'03_가중치민감도'!$C$10+'01_원자료'!R310*'03_가중치민감도'!$D$10</f>
        <v/>
      </c>
      <c r="K313" s="99">
        <f>COUNTIF($E$5:$E$979,"&lt;"&amp;E313)+(COUNTIF($E$5:$E$979,"="&amp;E313)+1)/2</f>
        <v/>
      </c>
      <c r="L313" s="99">
        <f>COUNTIF($F$5:$F$979,"&lt;"&amp;F313)+(COUNTIF($F$5:$F$979,"="&amp;F313)+1)/2</f>
        <v/>
      </c>
      <c r="M313" s="99">
        <f>COUNTIF($G$5:$G$979,"&lt;"&amp;G313)+(COUNTIF($G$5:$G$979,"="&amp;G313)+1)/2</f>
        <v/>
      </c>
      <c r="N313" s="99">
        <f>COUNTIF($H$5:$H$979,"&lt;"&amp;H313)+(COUNTIF($H$5:$H$979,"="&amp;H313)+1)/2</f>
        <v/>
      </c>
      <c r="O313" s="99">
        <f>COUNTIF($I$5:$I$979,"&lt;"&amp;I313)+(COUNTIF($I$5:$I$979,"="&amp;I313)+1)/2</f>
        <v/>
      </c>
      <c r="P313" s="99">
        <f>COUNTIF($J$5:$J$979,"&lt;"&amp;J313)+(COUNTIF($J$5:$J$979,"="&amp;J313)+1)/2</f>
        <v/>
      </c>
    </row>
    <row r="314" ht="15" customHeight="1" s="68">
      <c r="A314" s="70">
        <f>'01_원자료'!A311</f>
        <v/>
      </c>
      <c r="B314" s="70">
        <f>'01_원자료'!B311</f>
        <v/>
      </c>
      <c r="C314" s="70">
        <f>'01_원자료'!C311</f>
        <v/>
      </c>
      <c r="E314" s="85">
        <f>'01_원자료'!P311*'03_가중치민감도'!$B$5+'01_원자료'!Q311*'03_가중치민감도'!$C$5+'01_원자료'!R311*'03_가중치민감도'!$D$5</f>
        <v/>
      </c>
      <c r="F314" s="85">
        <f>'01_원자료'!P311*'03_가중치민감도'!$B$6+'01_원자료'!Q311*'03_가중치민감도'!$C$6+'01_원자료'!R311*'03_가중치민감도'!$D$6</f>
        <v/>
      </c>
      <c r="G314" s="85">
        <f>'01_원자료'!P311*'03_가중치민감도'!$B$7+'01_원자료'!Q311*'03_가중치민감도'!$C$7+'01_원자료'!R311*'03_가중치민감도'!$D$7</f>
        <v/>
      </c>
      <c r="H314" s="85">
        <f>'01_원자료'!P311*'03_가중치민감도'!$B$8+'01_원자료'!Q311*'03_가중치민감도'!$C$8+'01_원자료'!R311*'03_가중치민감도'!$D$8</f>
        <v/>
      </c>
      <c r="I314" s="85">
        <f>'01_원자료'!P311*'03_가중치민감도'!$B$9+'01_원자료'!Q311*'03_가중치민감도'!$C$9+'01_원자료'!R311*'03_가중치민감도'!$D$9</f>
        <v/>
      </c>
      <c r="J314" s="85">
        <f>'01_원자료'!P311*'03_가중치민감도'!$B$10+'01_원자료'!Q311*'03_가중치민감도'!$C$10+'01_원자료'!R311*'03_가중치민감도'!$D$10</f>
        <v/>
      </c>
      <c r="K314" s="99">
        <f>COUNTIF($E$5:$E$979,"&lt;"&amp;E314)+(COUNTIF($E$5:$E$979,"="&amp;E314)+1)/2</f>
        <v/>
      </c>
      <c r="L314" s="99">
        <f>COUNTIF($F$5:$F$979,"&lt;"&amp;F314)+(COUNTIF($F$5:$F$979,"="&amp;F314)+1)/2</f>
        <v/>
      </c>
      <c r="M314" s="99">
        <f>COUNTIF($G$5:$G$979,"&lt;"&amp;G314)+(COUNTIF($G$5:$G$979,"="&amp;G314)+1)/2</f>
        <v/>
      </c>
      <c r="N314" s="99">
        <f>COUNTIF($H$5:$H$979,"&lt;"&amp;H314)+(COUNTIF($H$5:$H$979,"="&amp;H314)+1)/2</f>
        <v/>
      </c>
      <c r="O314" s="99">
        <f>COUNTIF($I$5:$I$979,"&lt;"&amp;I314)+(COUNTIF($I$5:$I$979,"="&amp;I314)+1)/2</f>
        <v/>
      </c>
      <c r="P314" s="99">
        <f>COUNTIF($J$5:$J$979,"&lt;"&amp;J314)+(COUNTIF($J$5:$J$979,"="&amp;J314)+1)/2</f>
        <v/>
      </c>
    </row>
    <row r="315" ht="15" customHeight="1" s="68">
      <c r="A315" s="70">
        <f>'01_원자료'!A312</f>
        <v/>
      </c>
      <c r="B315" s="70">
        <f>'01_원자료'!B312</f>
        <v/>
      </c>
      <c r="C315" s="70">
        <f>'01_원자료'!C312</f>
        <v/>
      </c>
      <c r="E315" s="85">
        <f>'01_원자료'!P312*'03_가중치민감도'!$B$5+'01_원자료'!Q312*'03_가중치민감도'!$C$5+'01_원자료'!R312*'03_가중치민감도'!$D$5</f>
        <v/>
      </c>
      <c r="F315" s="85">
        <f>'01_원자료'!P312*'03_가중치민감도'!$B$6+'01_원자료'!Q312*'03_가중치민감도'!$C$6+'01_원자료'!R312*'03_가중치민감도'!$D$6</f>
        <v/>
      </c>
      <c r="G315" s="85">
        <f>'01_원자료'!P312*'03_가중치민감도'!$B$7+'01_원자료'!Q312*'03_가중치민감도'!$C$7+'01_원자료'!R312*'03_가중치민감도'!$D$7</f>
        <v/>
      </c>
      <c r="H315" s="85">
        <f>'01_원자료'!P312*'03_가중치민감도'!$B$8+'01_원자료'!Q312*'03_가중치민감도'!$C$8+'01_원자료'!R312*'03_가중치민감도'!$D$8</f>
        <v/>
      </c>
      <c r="I315" s="85">
        <f>'01_원자료'!P312*'03_가중치민감도'!$B$9+'01_원자료'!Q312*'03_가중치민감도'!$C$9+'01_원자료'!R312*'03_가중치민감도'!$D$9</f>
        <v/>
      </c>
      <c r="J315" s="85">
        <f>'01_원자료'!P312*'03_가중치민감도'!$B$10+'01_원자료'!Q312*'03_가중치민감도'!$C$10+'01_원자료'!R312*'03_가중치민감도'!$D$10</f>
        <v/>
      </c>
      <c r="K315" s="99">
        <f>COUNTIF($E$5:$E$979,"&lt;"&amp;E315)+(COUNTIF($E$5:$E$979,"="&amp;E315)+1)/2</f>
        <v/>
      </c>
      <c r="L315" s="99">
        <f>COUNTIF($F$5:$F$979,"&lt;"&amp;F315)+(COUNTIF($F$5:$F$979,"="&amp;F315)+1)/2</f>
        <v/>
      </c>
      <c r="M315" s="99">
        <f>COUNTIF($G$5:$G$979,"&lt;"&amp;G315)+(COUNTIF($G$5:$G$979,"="&amp;G315)+1)/2</f>
        <v/>
      </c>
      <c r="N315" s="99">
        <f>COUNTIF($H$5:$H$979,"&lt;"&amp;H315)+(COUNTIF($H$5:$H$979,"="&amp;H315)+1)/2</f>
        <v/>
      </c>
      <c r="O315" s="99">
        <f>COUNTIF($I$5:$I$979,"&lt;"&amp;I315)+(COUNTIF($I$5:$I$979,"="&amp;I315)+1)/2</f>
        <v/>
      </c>
      <c r="P315" s="99">
        <f>COUNTIF($J$5:$J$979,"&lt;"&amp;J315)+(COUNTIF($J$5:$J$979,"="&amp;J315)+1)/2</f>
        <v/>
      </c>
    </row>
    <row r="316" ht="15" customHeight="1" s="68">
      <c r="A316" s="70">
        <f>'01_원자료'!A313</f>
        <v/>
      </c>
      <c r="B316" s="70">
        <f>'01_원자료'!B313</f>
        <v/>
      </c>
      <c r="C316" s="70">
        <f>'01_원자료'!C313</f>
        <v/>
      </c>
      <c r="E316" s="85">
        <f>'01_원자료'!P313*'03_가중치민감도'!$B$5+'01_원자료'!Q313*'03_가중치민감도'!$C$5+'01_원자료'!R313*'03_가중치민감도'!$D$5</f>
        <v/>
      </c>
      <c r="F316" s="85">
        <f>'01_원자료'!P313*'03_가중치민감도'!$B$6+'01_원자료'!Q313*'03_가중치민감도'!$C$6+'01_원자료'!R313*'03_가중치민감도'!$D$6</f>
        <v/>
      </c>
      <c r="G316" s="85">
        <f>'01_원자료'!P313*'03_가중치민감도'!$B$7+'01_원자료'!Q313*'03_가중치민감도'!$C$7+'01_원자료'!R313*'03_가중치민감도'!$D$7</f>
        <v/>
      </c>
      <c r="H316" s="85">
        <f>'01_원자료'!P313*'03_가중치민감도'!$B$8+'01_원자료'!Q313*'03_가중치민감도'!$C$8+'01_원자료'!R313*'03_가중치민감도'!$D$8</f>
        <v/>
      </c>
      <c r="I316" s="85">
        <f>'01_원자료'!P313*'03_가중치민감도'!$B$9+'01_원자료'!Q313*'03_가중치민감도'!$C$9+'01_원자료'!R313*'03_가중치민감도'!$D$9</f>
        <v/>
      </c>
      <c r="J316" s="85">
        <f>'01_원자료'!P313*'03_가중치민감도'!$B$10+'01_원자료'!Q313*'03_가중치민감도'!$C$10+'01_원자료'!R313*'03_가중치민감도'!$D$10</f>
        <v/>
      </c>
      <c r="K316" s="99">
        <f>COUNTIF($E$5:$E$979,"&lt;"&amp;E316)+(COUNTIF($E$5:$E$979,"="&amp;E316)+1)/2</f>
        <v/>
      </c>
      <c r="L316" s="99">
        <f>COUNTIF($F$5:$F$979,"&lt;"&amp;F316)+(COUNTIF($F$5:$F$979,"="&amp;F316)+1)/2</f>
        <v/>
      </c>
      <c r="M316" s="99">
        <f>COUNTIF($G$5:$G$979,"&lt;"&amp;G316)+(COUNTIF($G$5:$G$979,"="&amp;G316)+1)/2</f>
        <v/>
      </c>
      <c r="N316" s="99">
        <f>COUNTIF($H$5:$H$979,"&lt;"&amp;H316)+(COUNTIF($H$5:$H$979,"="&amp;H316)+1)/2</f>
        <v/>
      </c>
      <c r="O316" s="99">
        <f>COUNTIF($I$5:$I$979,"&lt;"&amp;I316)+(COUNTIF($I$5:$I$979,"="&amp;I316)+1)/2</f>
        <v/>
      </c>
      <c r="P316" s="99">
        <f>COUNTIF($J$5:$J$979,"&lt;"&amp;J316)+(COUNTIF($J$5:$J$979,"="&amp;J316)+1)/2</f>
        <v/>
      </c>
    </row>
    <row r="317" ht="15" customHeight="1" s="68">
      <c r="A317" s="70">
        <f>'01_원자료'!A314</f>
        <v/>
      </c>
      <c r="B317" s="70">
        <f>'01_원자료'!B314</f>
        <v/>
      </c>
      <c r="C317" s="70">
        <f>'01_원자료'!C314</f>
        <v/>
      </c>
      <c r="E317" s="85">
        <f>'01_원자료'!P314*'03_가중치민감도'!$B$5+'01_원자료'!Q314*'03_가중치민감도'!$C$5+'01_원자료'!R314*'03_가중치민감도'!$D$5</f>
        <v/>
      </c>
      <c r="F317" s="85">
        <f>'01_원자료'!P314*'03_가중치민감도'!$B$6+'01_원자료'!Q314*'03_가중치민감도'!$C$6+'01_원자료'!R314*'03_가중치민감도'!$D$6</f>
        <v/>
      </c>
      <c r="G317" s="85">
        <f>'01_원자료'!P314*'03_가중치민감도'!$B$7+'01_원자료'!Q314*'03_가중치민감도'!$C$7+'01_원자료'!R314*'03_가중치민감도'!$D$7</f>
        <v/>
      </c>
      <c r="H317" s="85">
        <f>'01_원자료'!P314*'03_가중치민감도'!$B$8+'01_원자료'!Q314*'03_가중치민감도'!$C$8+'01_원자료'!R314*'03_가중치민감도'!$D$8</f>
        <v/>
      </c>
      <c r="I317" s="85">
        <f>'01_원자료'!P314*'03_가중치민감도'!$B$9+'01_원자료'!Q314*'03_가중치민감도'!$C$9+'01_원자료'!R314*'03_가중치민감도'!$D$9</f>
        <v/>
      </c>
      <c r="J317" s="85">
        <f>'01_원자료'!P314*'03_가중치민감도'!$B$10+'01_원자료'!Q314*'03_가중치민감도'!$C$10+'01_원자료'!R314*'03_가중치민감도'!$D$10</f>
        <v/>
      </c>
      <c r="K317" s="99">
        <f>COUNTIF($E$5:$E$979,"&lt;"&amp;E317)+(COUNTIF($E$5:$E$979,"="&amp;E317)+1)/2</f>
        <v/>
      </c>
      <c r="L317" s="99">
        <f>COUNTIF($F$5:$F$979,"&lt;"&amp;F317)+(COUNTIF($F$5:$F$979,"="&amp;F317)+1)/2</f>
        <v/>
      </c>
      <c r="M317" s="99">
        <f>COUNTIF($G$5:$G$979,"&lt;"&amp;G317)+(COUNTIF($G$5:$G$979,"="&amp;G317)+1)/2</f>
        <v/>
      </c>
      <c r="N317" s="99">
        <f>COUNTIF($H$5:$H$979,"&lt;"&amp;H317)+(COUNTIF($H$5:$H$979,"="&amp;H317)+1)/2</f>
        <v/>
      </c>
      <c r="O317" s="99">
        <f>COUNTIF($I$5:$I$979,"&lt;"&amp;I317)+(COUNTIF($I$5:$I$979,"="&amp;I317)+1)/2</f>
        <v/>
      </c>
      <c r="P317" s="99">
        <f>COUNTIF($J$5:$J$979,"&lt;"&amp;J317)+(COUNTIF($J$5:$J$979,"="&amp;J317)+1)/2</f>
        <v/>
      </c>
    </row>
    <row r="318" ht="15" customHeight="1" s="68">
      <c r="A318" s="70">
        <f>'01_원자료'!A315</f>
        <v/>
      </c>
      <c r="B318" s="70">
        <f>'01_원자료'!B315</f>
        <v/>
      </c>
      <c r="C318" s="70">
        <f>'01_원자료'!C315</f>
        <v/>
      </c>
      <c r="E318" s="85">
        <f>'01_원자료'!P315*'03_가중치민감도'!$B$5+'01_원자료'!Q315*'03_가중치민감도'!$C$5+'01_원자료'!R315*'03_가중치민감도'!$D$5</f>
        <v/>
      </c>
      <c r="F318" s="85">
        <f>'01_원자료'!P315*'03_가중치민감도'!$B$6+'01_원자료'!Q315*'03_가중치민감도'!$C$6+'01_원자료'!R315*'03_가중치민감도'!$D$6</f>
        <v/>
      </c>
      <c r="G318" s="85">
        <f>'01_원자료'!P315*'03_가중치민감도'!$B$7+'01_원자료'!Q315*'03_가중치민감도'!$C$7+'01_원자료'!R315*'03_가중치민감도'!$D$7</f>
        <v/>
      </c>
      <c r="H318" s="85">
        <f>'01_원자료'!P315*'03_가중치민감도'!$B$8+'01_원자료'!Q315*'03_가중치민감도'!$C$8+'01_원자료'!R315*'03_가중치민감도'!$D$8</f>
        <v/>
      </c>
      <c r="I318" s="85">
        <f>'01_원자료'!P315*'03_가중치민감도'!$B$9+'01_원자료'!Q315*'03_가중치민감도'!$C$9+'01_원자료'!R315*'03_가중치민감도'!$D$9</f>
        <v/>
      </c>
      <c r="J318" s="85">
        <f>'01_원자료'!P315*'03_가중치민감도'!$B$10+'01_원자료'!Q315*'03_가중치민감도'!$C$10+'01_원자료'!R315*'03_가중치민감도'!$D$10</f>
        <v/>
      </c>
      <c r="K318" s="99">
        <f>COUNTIF($E$5:$E$979,"&lt;"&amp;E318)+(COUNTIF($E$5:$E$979,"="&amp;E318)+1)/2</f>
        <v/>
      </c>
      <c r="L318" s="99">
        <f>COUNTIF($F$5:$F$979,"&lt;"&amp;F318)+(COUNTIF($F$5:$F$979,"="&amp;F318)+1)/2</f>
        <v/>
      </c>
      <c r="M318" s="99">
        <f>COUNTIF($G$5:$G$979,"&lt;"&amp;G318)+(COUNTIF($G$5:$G$979,"="&amp;G318)+1)/2</f>
        <v/>
      </c>
      <c r="N318" s="99">
        <f>COUNTIF($H$5:$H$979,"&lt;"&amp;H318)+(COUNTIF($H$5:$H$979,"="&amp;H318)+1)/2</f>
        <v/>
      </c>
      <c r="O318" s="99">
        <f>COUNTIF($I$5:$I$979,"&lt;"&amp;I318)+(COUNTIF($I$5:$I$979,"="&amp;I318)+1)/2</f>
        <v/>
      </c>
      <c r="P318" s="99">
        <f>COUNTIF($J$5:$J$979,"&lt;"&amp;J318)+(COUNTIF($J$5:$J$979,"="&amp;J318)+1)/2</f>
        <v/>
      </c>
    </row>
    <row r="319" ht="15" customHeight="1" s="68">
      <c r="A319" s="70">
        <f>'01_원자료'!A316</f>
        <v/>
      </c>
      <c r="B319" s="70">
        <f>'01_원자료'!B316</f>
        <v/>
      </c>
      <c r="C319" s="70">
        <f>'01_원자료'!C316</f>
        <v/>
      </c>
      <c r="E319" s="85">
        <f>'01_원자료'!P316*'03_가중치민감도'!$B$5+'01_원자료'!Q316*'03_가중치민감도'!$C$5+'01_원자료'!R316*'03_가중치민감도'!$D$5</f>
        <v/>
      </c>
      <c r="F319" s="85">
        <f>'01_원자료'!P316*'03_가중치민감도'!$B$6+'01_원자료'!Q316*'03_가중치민감도'!$C$6+'01_원자료'!R316*'03_가중치민감도'!$D$6</f>
        <v/>
      </c>
      <c r="G319" s="85">
        <f>'01_원자료'!P316*'03_가중치민감도'!$B$7+'01_원자료'!Q316*'03_가중치민감도'!$C$7+'01_원자료'!R316*'03_가중치민감도'!$D$7</f>
        <v/>
      </c>
      <c r="H319" s="85">
        <f>'01_원자료'!P316*'03_가중치민감도'!$B$8+'01_원자료'!Q316*'03_가중치민감도'!$C$8+'01_원자료'!R316*'03_가중치민감도'!$D$8</f>
        <v/>
      </c>
      <c r="I319" s="85">
        <f>'01_원자료'!P316*'03_가중치민감도'!$B$9+'01_원자료'!Q316*'03_가중치민감도'!$C$9+'01_원자료'!R316*'03_가중치민감도'!$D$9</f>
        <v/>
      </c>
      <c r="J319" s="85">
        <f>'01_원자료'!P316*'03_가중치민감도'!$B$10+'01_원자료'!Q316*'03_가중치민감도'!$C$10+'01_원자료'!R316*'03_가중치민감도'!$D$10</f>
        <v/>
      </c>
      <c r="K319" s="99">
        <f>COUNTIF($E$5:$E$979,"&lt;"&amp;E319)+(COUNTIF($E$5:$E$979,"="&amp;E319)+1)/2</f>
        <v/>
      </c>
      <c r="L319" s="99">
        <f>COUNTIF($F$5:$F$979,"&lt;"&amp;F319)+(COUNTIF($F$5:$F$979,"="&amp;F319)+1)/2</f>
        <v/>
      </c>
      <c r="M319" s="99">
        <f>COUNTIF($G$5:$G$979,"&lt;"&amp;G319)+(COUNTIF($G$5:$G$979,"="&amp;G319)+1)/2</f>
        <v/>
      </c>
      <c r="N319" s="99">
        <f>COUNTIF($H$5:$H$979,"&lt;"&amp;H319)+(COUNTIF($H$5:$H$979,"="&amp;H319)+1)/2</f>
        <v/>
      </c>
      <c r="O319" s="99">
        <f>COUNTIF($I$5:$I$979,"&lt;"&amp;I319)+(COUNTIF($I$5:$I$979,"="&amp;I319)+1)/2</f>
        <v/>
      </c>
      <c r="P319" s="99">
        <f>COUNTIF($J$5:$J$979,"&lt;"&amp;J319)+(COUNTIF($J$5:$J$979,"="&amp;J319)+1)/2</f>
        <v/>
      </c>
    </row>
    <row r="320" ht="15" customHeight="1" s="68">
      <c r="A320" s="70">
        <f>'01_원자료'!A317</f>
        <v/>
      </c>
      <c r="B320" s="70">
        <f>'01_원자료'!B317</f>
        <v/>
      </c>
      <c r="C320" s="70">
        <f>'01_원자료'!C317</f>
        <v/>
      </c>
      <c r="E320" s="85">
        <f>'01_원자료'!P317*'03_가중치민감도'!$B$5+'01_원자료'!Q317*'03_가중치민감도'!$C$5+'01_원자료'!R317*'03_가중치민감도'!$D$5</f>
        <v/>
      </c>
      <c r="F320" s="85">
        <f>'01_원자료'!P317*'03_가중치민감도'!$B$6+'01_원자료'!Q317*'03_가중치민감도'!$C$6+'01_원자료'!R317*'03_가중치민감도'!$D$6</f>
        <v/>
      </c>
      <c r="G320" s="85">
        <f>'01_원자료'!P317*'03_가중치민감도'!$B$7+'01_원자료'!Q317*'03_가중치민감도'!$C$7+'01_원자료'!R317*'03_가중치민감도'!$D$7</f>
        <v/>
      </c>
      <c r="H320" s="85">
        <f>'01_원자료'!P317*'03_가중치민감도'!$B$8+'01_원자료'!Q317*'03_가중치민감도'!$C$8+'01_원자료'!R317*'03_가중치민감도'!$D$8</f>
        <v/>
      </c>
      <c r="I320" s="85">
        <f>'01_원자료'!P317*'03_가중치민감도'!$B$9+'01_원자료'!Q317*'03_가중치민감도'!$C$9+'01_원자료'!R317*'03_가중치민감도'!$D$9</f>
        <v/>
      </c>
      <c r="J320" s="85">
        <f>'01_원자료'!P317*'03_가중치민감도'!$B$10+'01_원자료'!Q317*'03_가중치민감도'!$C$10+'01_원자료'!R317*'03_가중치민감도'!$D$10</f>
        <v/>
      </c>
      <c r="K320" s="99">
        <f>COUNTIF($E$5:$E$979,"&lt;"&amp;E320)+(COUNTIF($E$5:$E$979,"="&amp;E320)+1)/2</f>
        <v/>
      </c>
      <c r="L320" s="99">
        <f>COUNTIF($F$5:$F$979,"&lt;"&amp;F320)+(COUNTIF($F$5:$F$979,"="&amp;F320)+1)/2</f>
        <v/>
      </c>
      <c r="M320" s="99">
        <f>COUNTIF($G$5:$G$979,"&lt;"&amp;G320)+(COUNTIF($G$5:$G$979,"="&amp;G320)+1)/2</f>
        <v/>
      </c>
      <c r="N320" s="99">
        <f>COUNTIF($H$5:$H$979,"&lt;"&amp;H320)+(COUNTIF($H$5:$H$979,"="&amp;H320)+1)/2</f>
        <v/>
      </c>
      <c r="O320" s="99">
        <f>COUNTIF($I$5:$I$979,"&lt;"&amp;I320)+(COUNTIF($I$5:$I$979,"="&amp;I320)+1)/2</f>
        <v/>
      </c>
      <c r="P320" s="99">
        <f>COUNTIF($J$5:$J$979,"&lt;"&amp;J320)+(COUNTIF($J$5:$J$979,"="&amp;J320)+1)/2</f>
        <v/>
      </c>
    </row>
    <row r="321" ht="15" customHeight="1" s="68">
      <c r="A321" s="70">
        <f>'01_원자료'!A318</f>
        <v/>
      </c>
      <c r="B321" s="70">
        <f>'01_원자료'!B318</f>
        <v/>
      </c>
      <c r="C321" s="70">
        <f>'01_원자료'!C318</f>
        <v/>
      </c>
      <c r="E321" s="85">
        <f>'01_원자료'!P318*'03_가중치민감도'!$B$5+'01_원자료'!Q318*'03_가중치민감도'!$C$5+'01_원자료'!R318*'03_가중치민감도'!$D$5</f>
        <v/>
      </c>
      <c r="F321" s="85">
        <f>'01_원자료'!P318*'03_가중치민감도'!$B$6+'01_원자료'!Q318*'03_가중치민감도'!$C$6+'01_원자료'!R318*'03_가중치민감도'!$D$6</f>
        <v/>
      </c>
      <c r="G321" s="85">
        <f>'01_원자료'!P318*'03_가중치민감도'!$B$7+'01_원자료'!Q318*'03_가중치민감도'!$C$7+'01_원자료'!R318*'03_가중치민감도'!$D$7</f>
        <v/>
      </c>
      <c r="H321" s="85">
        <f>'01_원자료'!P318*'03_가중치민감도'!$B$8+'01_원자료'!Q318*'03_가중치민감도'!$C$8+'01_원자료'!R318*'03_가중치민감도'!$D$8</f>
        <v/>
      </c>
      <c r="I321" s="85">
        <f>'01_원자료'!P318*'03_가중치민감도'!$B$9+'01_원자료'!Q318*'03_가중치민감도'!$C$9+'01_원자료'!R318*'03_가중치민감도'!$D$9</f>
        <v/>
      </c>
      <c r="J321" s="85">
        <f>'01_원자료'!P318*'03_가중치민감도'!$B$10+'01_원자료'!Q318*'03_가중치민감도'!$C$10+'01_원자료'!R318*'03_가중치민감도'!$D$10</f>
        <v/>
      </c>
      <c r="K321" s="99">
        <f>COUNTIF($E$5:$E$979,"&lt;"&amp;E321)+(COUNTIF($E$5:$E$979,"="&amp;E321)+1)/2</f>
        <v/>
      </c>
      <c r="L321" s="99">
        <f>COUNTIF($F$5:$F$979,"&lt;"&amp;F321)+(COUNTIF($F$5:$F$979,"="&amp;F321)+1)/2</f>
        <v/>
      </c>
      <c r="M321" s="99">
        <f>COUNTIF($G$5:$G$979,"&lt;"&amp;G321)+(COUNTIF($G$5:$G$979,"="&amp;G321)+1)/2</f>
        <v/>
      </c>
      <c r="N321" s="99">
        <f>COUNTIF($H$5:$H$979,"&lt;"&amp;H321)+(COUNTIF($H$5:$H$979,"="&amp;H321)+1)/2</f>
        <v/>
      </c>
      <c r="O321" s="99">
        <f>COUNTIF($I$5:$I$979,"&lt;"&amp;I321)+(COUNTIF($I$5:$I$979,"="&amp;I321)+1)/2</f>
        <v/>
      </c>
      <c r="P321" s="99">
        <f>COUNTIF($J$5:$J$979,"&lt;"&amp;J321)+(COUNTIF($J$5:$J$979,"="&amp;J321)+1)/2</f>
        <v/>
      </c>
    </row>
    <row r="322" ht="15" customHeight="1" s="68">
      <c r="A322" s="70">
        <f>'01_원자료'!A319</f>
        <v/>
      </c>
      <c r="B322" s="70">
        <f>'01_원자료'!B319</f>
        <v/>
      </c>
      <c r="C322" s="70">
        <f>'01_원자료'!C319</f>
        <v/>
      </c>
      <c r="E322" s="85">
        <f>'01_원자료'!P319*'03_가중치민감도'!$B$5+'01_원자료'!Q319*'03_가중치민감도'!$C$5+'01_원자료'!R319*'03_가중치민감도'!$D$5</f>
        <v/>
      </c>
      <c r="F322" s="85">
        <f>'01_원자료'!P319*'03_가중치민감도'!$B$6+'01_원자료'!Q319*'03_가중치민감도'!$C$6+'01_원자료'!R319*'03_가중치민감도'!$D$6</f>
        <v/>
      </c>
      <c r="G322" s="85">
        <f>'01_원자료'!P319*'03_가중치민감도'!$B$7+'01_원자료'!Q319*'03_가중치민감도'!$C$7+'01_원자료'!R319*'03_가중치민감도'!$D$7</f>
        <v/>
      </c>
      <c r="H322" s="85">
        <f>'01_원자료'!P319*'03_가중치민감도'!$B$8+'01_원자료'!Q319*'03_가중치민감도'!$C$8+'01_원자료'!R319*'03_가중치민감도'!$D$8</f>
        <v/>
      </c>
      <c r="I322" s="85">
        <f>'01_원자료'!P319*'03_가중치민감도'!$B$9+'01_원자료'!Q319*'03_가중치민감도'!$C$9+'01_원자료'!R319*'03_가중치민감도'!$D$9</f>
        <v/>
      </c>
      <c r="J322" s="85">
        <f>'01_원자료'!P319*'03_가중치민감도'!$B$10+'01_원자료'!Q319*'03_가중치민감도'!$C$10+'01_원자료'!R319*'03_가중치민감도'!$D$10</f>
        <v/>
      </c>
      <c r="K322" s="99">
        <f>COUNTIF($E$5:$E$979,"&lt;"&amp;E322)+(COUNTIF($E$5:$E$979,"="&amp;E322)+1)/2</f>
        <v/>
      </c>
      <c r="L322" s="99">
        <f>COUNTIF($F$5:$F$979,"&lt;"&amp;F322)+(COUNTIF($F$5:$F$979,"="&amp;F322)+1)/2</f>
        <v/>
      </c>
      <c r="M322" s="99">
        <f>COUNTIF($G$5:$G$979,"&lt;"&amp;G322)+(COUNTIF($G$5:$G$979,"="&amp;G322)+1)/2</f>
        <v/>
      </c>
      <c r="N322" s="99">
        <f>COUNTIF($H$5:$H$979,"&lt;"&amp;H322)+(COUNTIF($H$5:$H$979,"="&amp;H322)+1)/2</f>
        <v/>
      </c>
      <c r="O322" s="99">
        <f>COUNTIF($I$5:$I$979,"&lt;"&amp;I322)+(COUNTIF($I$5:$I$979,"="&amp;I322)+1)/2</f>
        <v/>
      </c>
      <c r="P322" s="99">
        <f>COUNTIF($J$5:$J$979,"&lt;"&amp;J322)+(COUNTIF($J$5:$J$979,"="&amp;J322)+1)/2</f>
        <v/>
      </c>
    </row>
    <row r="323" ht="15" customHeight="1" s="68">
      <c r="A323" s="70">
        <f>'01_원자료'!A320</f>
        <v/>
      </c>
      <c r="B323" s="70">
        <f>'01_원자료'!B320</f>
        <v/>
      </c>
      <c r="C323" s="70">
        <f>'01_원자료'!C320</f>
        <v/>
      </c>
      <c r="E323" s="85">
        <f>'01_원자료'!P320*'03_가중치민감도'!$B$5+'01_원자료'!Q320*'03_가중치민감도'!$C$5+'01_원자료'!R320*'03_가중치민감도'!$D$5</f>
        <v/>
      </c>
      <c r="F323" s="85">
        <f>'01_원자료'!P320*'03_가중치민감도'!$B$6+'01_원자료'!Q320*'03_가중치민감도'!$C$6+'01_원자료'!R320*'03_가중치민감도'!$D$6</f>
        <v/>
      </c>
      <c r="G323" s="85">
        <f>'01_원자료'!P320*'03_가중치민감도'!$B$7+'01_원자료'!Q320*'03_가중치민감도'!$C$7+'01_원자료'!R320*'03_가중치민감도'!$D$7</f>
        <v/>
      </c>
      <c r="H323" s="85">
        <f>'01_원자료'!P320*'03_가중치민감도'!$B$8+'01_원자료'!Q320*'03_가중치민감도'!$C$8+'01_원자료'!R320*'03_가중치민감도'!$D$8</f>
        <v/>
      </c>
      <c r="I323" s="85">
        <f>'01_원자료'!P320*'03_가중치민감도'!$B$9+'01_원자료'!Q320*'03_가중치민감도'!$C$9+'01_원자료'!R320*'03_가중치민감도'!$D$9</f>
        <v/>
      </c>
      <c r="J323" s="85">
        <f>'01_원자료'!P320*'03_가중치민감도'!$B$10+'01_원자료'!Q320*'03_가중치민감도'!$C$10+'01_원자료'!R320*'03_가중치민감도'!$D$10</f>
        <v/>
      </c>
      <c r="K323" s="99">
        <f>COUNTIF($E$5:$E$979,"&lt;"&amp;E323)+(COUNTIF($E$5:$E$979,"="&amp;E323)+1)/2</f>
        <v/>
      </c>
      <c r="L323" s="99">
        <f>COUNTIF($F$5:$F$979,"&lt;"&amp;F323)+(COUNTIF($F$5:$F$979,"="&amp;F323)+1)/2</f>
        <v/>
      </c>
      <c r="M323" s="99">
        <f>COUNTIF($G$5:$G$979,"&lt;"&amp;G323)+(COUNTIF($G$5:$G$979,"="&amp;G323)+1)/2</f>
        <v/>
      </c>
      <c r="N323" s="99">
        <f>COUNTIF($H$5:$H$979,"&lt;"&amp;H323)+(COUNTIF($H$5:$H$979,"="&amp;H323)+1)/2</f>
        <v/>
      </c>
      <c r="O323" s="99">
        <f>COUNTIF($I$5:$I$979,"&lt;"&amp;I323)+(COUNTIF($I$5:$I$979,"="&amp;I323)+1)/2</f>
        <v/>
      </c>
      <c r="P323" s="99">
        <f>COUNTIF($J$5:$J$979,"&lt;"&amp;J323)+(COUNTIF($J$5:$J$979,"="&amp;J323)+1)/2</f>
        <v/>
      </c>
    </row>
    <row r="324" ht="15" customHeight="1" s="68">
      <c r="A324" s="70">
        <f>'01_원자료'!A321</f>
        <v/>
      </c>
      <c r="B324" s="70">
        <f>'01_원자료'!B321</f>
        <v/>
      </c>
      <c r="C324" s="70">
        <f>'01_원자료'!C321</f>
        <v/>
      </c>
      <c r="E324" s="85">
        <f>'01_원자료'!P321*'03_가중치민감도'!$B$5+'01_원자료'!Q321*'03_가중치민감도'!$C$5+'01_원자료'!R321*'03_가중치민감도'!$D$5</f>
        <v/>
      </c>
      <c r="F324" s="85">
        <f>'01_원자료'!P321*'03_가중치민감도'!$B$6+'01_원자료'!Q321*'03_가중치민감도'!$C$6+'01_원자료'!R321*'03_가중치민감도'!$D$6</f>
        <v/>
      </c>
      <c r="G324" s="85">
        <f>'01_원자료'!P321*'03_가중치민감도'!$B$7+'01_원자료'!Q321*'03_가중치민감도'!$C$7+'01_원자료'!R321*'03_가중치민감도'!$D$7</f>
        <v/>
      </c>
      <c r="H324" s="85">
        <f>'01_원자료'!P321*'03_가중치민감도'!$B$8+'01_원자료'!Q321*'03_가중치민감도'!$C$8+'01_원자료'!R321*'03_가중치민감도'!$D$8</f>
        <v/>
      </c>
      <c r="I324" s="85">
        <f>'01_원자료'!P321*'03_가중치민감도'!$B$9+'01_원자료'!Q321*'03_가중치민감도'!$C$9+'01_원자료'!R321*'03_가중치민감도'!$D$9</f>
        <v/>
      </c>
      <c r="J324" s="85">
        <f>'01_원자료'!P321*'03_가중치민감도'!$B$10+'01_원자료'!Q321*'03_가중치민감도'!$C$10+'01_원자료'!R321*'03_가중치민감도'!$D$10</f>
        <v/>
      </c>
      <c r="K324" s="99">
        <f>COUNTIF($E$5:$E$979,"&lt;"&amp;E324)+(COUNTIF($E$5:$E$979,"="&amp;E324)+1)/2</f>
        <v/>
      </c>
      <c r="L324" s="99">
        <f>COUNTIF($F$5:$F$979,"&lt;"&amp;F324)+(COUNTIF($F$5:$F$979,"="&amp;F324)+1)/2</f>
        <v/>
      </c>
      <c r="M324" s="99">
        <f>COUNTIF($G$5:$G$979,"&lt;"&amp;G324)+(COUNTIF($G$5:$G$979,"="&amp;G324)+1)/2</f>
        <v/>
      </c>
      <c r="N324" s="99">
        <f>COUNTIF($H$5:$H$979,"&lt;"&amp;H324)+(COUNTIF($H$5:$H$979,"="&amp;H324)+1)/2</f>
        <v/>
      </c>
      <c r="O324" s="99">
        <f>COUNTIF($I$5:$I$979,"&lt;"&amp;I324)+(COUNTIF($I$5:$I$979,"="&amp;I324)+1)/2</f>
        <v/>
      </c>
      <c r="P324" s="99">
        <f>COUNTIF($J$5:$J$979,"&lt;"&amp;J324)+(COUNTIF($J$5:$J$979,"="&amp;J324)+1)/2</f>
        <v/>
      </c>
    </row>
    <row r="325" ht="15" customHeight="1" s="68">
      <c r="A325" s="70">
        <f>'01_원자료'!A322</f>
        <v/>
      </c>
      <c r="B325" s="70">
        <f>'01_원자료'!B322</f>
        <v/>
      </c>
      <c r="C325" s="70">
        <f>'01_원자료'!C322</f>
        <v/>
      </c>
      <c r="E325" s="85">
        <f>'01_원자료'!P322*'03_가중치민감도'!$B$5+'01_원자료'!Q322*'03_가중치민감도'!$C$5+'01_원자료'!R322*'03_가중치민감도'!$D$5</f>
        <v/>
      </c>
      <c r="F325" s="85">
        <f>'01_원자료'!P322*'03_가중치민감도'!$B$6+'01_원자료'!Q322*'03_가중치민감도'!$C$6+'01_원자료'!R322*'03_가중치민감도'!$D$6</f>
        <v/>
      </c>
      <c r="G325" s="85">
        <f>'01_원자료'!P322*'03_가중치민감도'!$B$7+'01_원자료'!Q322*'03_가중치민감도'!$C$7+'01_원자료'!R322*'03_가중치민감도'!$D$7</f>
        <v/>
      </c>
      <c r="H325" s="85">
        <f>'01_원자료'!P322*'03_가중치민감도'!$B$8+'01_원자료'!Q322*'03_가중치민감도'!$C$8+'01_원자료'!R322*'03_가중치민감도'!$D$8</f>
        <v/>
      </c>
      <c r="I325" s="85">
        <f>'01_원자료'!P322*'03_가중치민감도'!$B$9+'01_원자료'!Q322*'03_가중치민감도'!$C$9+'01_원자료'!R322*'03_가중치민감도'!$D$9</f>
        <v/>
      </c>
      <c r="J325" s="85">
        <f>'01_원자료'!P322*'03_가중치민감도'!$B$10+'01_원자료'!Q322*'03_가중치민감도'!$C$10+'01_원자료'!R322*'03_가중치민감도'!$D$10</f>
        <v/>
      </c>
      <c r="K325" s="99">
        <f>COUNTIF($E$5:$E$979,"&lt;"&amp;E325)+(COUNTIF($E$5:$E$979,"="&amp;E325)+1)/2</f>
        <v/>
      </c>
      <c r="L325" s="99">
        <f>COUNTIF($F$5:$F$979,"&lt;"&amp;F325)+(COUNTIF($F$5:$F$979,"="&amp;F325)+1)/2</f>
        <v/>
      </c>
      <c r="M325" s="99">
        <f>COUNTIF($G$5:$G$979,"&lt;"&amp;G325)+(COUNTIF($G$5:$G$979,"="&amp;G325)+1)/2</f>
        <v/>
      </c>
      <c r="N325" s="99">
        <f>COUNTIF($H$5:$H$979,"&lt;"&amp;H325)+(COUNTIF($H$5:$H$979,"="&amp;H325)+1)/2</f>
        <v/>
      </c>
      <c r="O325" s="99">
        <f>COUNTIF($I$5:$I$979,"&lt;"&amp;I325)+(COUNTIF($I$5:$I$979,"="&amp;I325)+1)/2</f>
        <v/>
      </c>
      <c r="P325" s="99">
        <f>COUNTIF($J$5:$J$979,"&lt;"&amp;J325)+(COUNTIF($J$5:$J$979,"="&amp;J325)+1)/2</f>
        <v/>
      </c>
    </row>
    <row r="326" ht="15" customHeight="1" s="68">
      <c r="A326" s="70">
        <f>'01_원자료'!A323</f>
        <v/>
      </c>
      <c r="B326" s="70">
        <f>'01_원자료'!B323</f>
        <v/>
      </c>
      <c r="C326" s="70">
        <f>'01_원자료'!C323</f>
        <v/>
      </c>
      <c r="E326" s="85">
        <f>'01_원자료'!P323*'03_가중치민감도'!$B$5+'01_원자료'!Q323*'03_가중치민감도'!$C$5+'01_원자료'!R323*'03_가중치민감도'!$D$5</f>
        <v/>
      </c>
      <c r="F326" s="85">
        <f>'01_원자료'!P323*'03_가중치민감도'!$B$6+'01_원자료'!Q323*'03_가중치민감도'!$C$6+'01_원자료'!R323*'03_가중치민감도'!$D$6</f>
        <v/>
      </c>
      <c r="G326" s="85">
        <f>'01_원자료'!P323*'03_가중치민감도'!$B$7+'01_원자료'!Q323*'03_가중치민감도'!$C$7+'01_원자료'!R323*'03_가중치민감도'!$D$7</f>
        <v/>
      </c>
      <c r="H326" s="85">
        <f>'01_원자료'!P323*'03_가중치민감도'!$B$8+'01_원자료'!Q323*'03_가중치민감도'!$C$8+'01_원자료'!R323*'03_가중치민감도'!$D$8</f>
        <v/>
      </c>
      <c r="I326" s="85">
        <f>'01_원자료'!P323*'03_가중치민감도'!$B$9+'01_원자료'!Q323*'03_가중치민감도'!$C$9+'01_원자료'!R323*'03_가중치민감도'!$D$9</f>
        <v/>
      </c>
      <c r="J326" s="85">
        <f>'01_원자료'!P323*'03_가중치민감도'!$B$10+'01_원자료'!Q323*'03_가중치민감도'!$C$10+'01_원자료'!R323*'03_가중치민감도'!$D$10</f>
        <v/>
      </c>
      <c r="K326" s="99">
        <f>COUNTIF($E$5:$E$979,"&lt;"&amp;E326)+(COUNTIF($E$5:$E$979,"="&amp;E326)+1)/2</f>
        <v/>
      </c>
      <c r="L326" s="99">
        <f>COUNTIF($F$5:$F$979,"&lt;"&amp;F326)+(COUNTIF($F$5:$F$979,"="&amp;F326)+1)/2</f>
        <v/>
      </c>
      <c r="M326" s="99">
        <f>COUNTIF($G$5:$G$979,"&lt;"&amp;G326)+(COUNTIF($G$5:$G$979,"="&amp;G326)+1)/2</f>
        <v/>
      </c>
      <c r="N326" s="99">
        <f>COUNTIF($H$5:$H$979,"&lt;"&amp;H326)+(COUNTIF($H$5:$H$979,"="&amp;H326)+1)/2</f>
        <v/>
      </c>
      <c r="O326" s="99">
        <f>COUNTIF($I$5:$I$979,"&lt;"&amp;I326)+(COUNTIF($I$5:$I$979,"="&amp;I326)+1)/2</f>
        <v/>
      </c>
      <c r="P326" s="99">
        <f>COUNTIF($J$5:$J$979,"&lt;"&amp;J326)+(COUNTIF($J$5:$J$979,"="&amp;J326)+1)/2</f>
        <v/>
      </c>
    </row>
    <row r="327" ht="15" customHeight="1" s="68">
      <c r="A327" s="70">
        <f>'01_원자료'!A324</f>
        <v/>
      </c>
      <c r="B327" s="70">
        <f>'01_원자료'!B324</f>
        <v/>
      </c>
      <c r="C327" s="70">
        <f>'01_원자료'!C324</f>
        <v/>
      </c>
      <c r="E327" s="85">
        <f>'01_원자료'!P324*'03_가중치민감도'!$B$5+'01_원자료'!Q324*'03_가중치민감도'!$C$5+'01_원자료'!R324*'03_가중치민감도'!$D$5</f>
        <v/>
      </c>
      <c r="F327" s="85">
        <f>'01_원자료'!P324*'03_가중치민감도'!$B$6+'01_원자료'!Q324*'03_가중치민감도'!$C$6+'01_원자료'!R324*'03_가중치민감도'!$D$6</f>
        <v/>
      </c>
      <c r="G327" s="85">
        <f>'01_원자료'!P324*'03_가중치민감도'!$B$7+'01_원자료'!Q324*'03_가중치민감도'!$C$7+'01_원자료'!R324*'03_가중치민감도'!$D$7</f>
        <v/>
      </c>
      <c r="H327" s="85">
        <f>'01_원자료'!P324*'03_가중치민감도'!$B$8+'01_원자료'!Q324*'03_가중치민감도'!$C$8+'01_원자료'!R324*'03_가중치민감도'!$D$8</f>
        <v/>
      </c>
      <c r="I327" s="85">
        <f>'01_원자료'!P324*'03_가중치민감도'!$B$9+'01_원자료'!Q324*'03_가중치민감도'!$C$9+'01_원자료'!R324*'03_가중치민감도'!$D$9</f>
        <v/>
      </c>
      <c r="J327" s="85">
        <f>'01_원자료'!P324*'03_가중치민감도'!$B$10+'01_원자료'!Q324*'03_가중치민감도'!$C$10+'01_원자료'!R324*'03_가중치민감도'!$D$10</f>
        <v/>
      </c>
      <c r="K327" s="99">
        <f>COUNTIF($E$5:$E$979,"&lt;"&amp;E327)+(COUNTIF($E$5:$E$979,"="&amp;E327)+1)/2</f>
        <v/>
      </c>
      <c r="L327" s="99">
        <f>COUNTIF($F$5:$F$979,"&lt;"&amp;F327)+(COUNTIF($F$5:$F$979,"="&amp;F327)+1)/2</f>
        <v/>
      </c>
      <c r="M327" s="99">
        <f>COUNTIF($G$5:$G$979,"&lt;"&amp;G327)+(COUNTIF($G$5:$G$979,"="&amp;G327)+1)/2</f>
        <v/>
      </c>
      <c r="N327" s="99">
        <f>COUNTIF($H$5:$H$979,"&lt;"&amp;H327)+(COUNTIF($H$5:$H$979,"="&amp;H327)+1)/2</f>
        <v/>
      </c>
      <c r="O327" s="99">
        <f>COUNTIF($I$5:$I$979,"&lt;"&amp;I327)+(COUNTIF($I$5:$I$979,"="&amp;I327)+1)/2</f>
        <v/>
      </c>
      <c r="P327" s="99">
        <f>COUNTIF($J$5:$J$979,"&lt;"&amp;J327)+(COUNTIF($J$5:$J$979,"="&amp;J327)+1)/2</f>
        <v/>
      </c>
    </row>
    <row r="328" ht="15" customHeight="1" s="68">
      <c r="A328" s="70">
        <f>'01_원자료'!A325</f>
        <v/>
      </c>
      <c r="B328" s="70">
        <f>'01_원자료'!B325</f>
        <v/>
      </c>
      <c r="C328" s="70">
        <f>'01_원자료'!C325</f>
        <v/>
      </c>
      <c r="E328" s="85">
        <f>'01_원자료'!P325*'03_가중치민감도'!$B$5+'01_원자료'!Q325*'03_가중치민감도'!$C$5+'01_원자료'!R325*'03_가중치민감도'!$D$5</f>
        <v/>
      </c>
      <c r="F328" s="85">
        <f>'01_원자료'!P325*'03_가중치민감도'!$B$6+'01_원자료'!Q325*'03_가중치민감도'!$C$6+'01_원자료'!R325*'03_가중치민감도'!$D$6</f>
        <v/>
      </c>
      <c r="G328" s="85">
        <f>'01_원자료'!P325*'03_가중치민감도'!$B$7+'01_원자료'!Q325*'03_가중치민감도'!$C$7+'01_원자료'!R325*'03_가중치민감도'!$D$7</f>
        <v/>
      </c>
      <c r="H328" s="85">
        <f>'01_원자료'!P325*'03_가중치민감도'!$B$8+'01_원자료'!Q325*'03_가중치민감도'!$C$8+'01_원자료'!R325*'03_가중치민감도'!$D$8</f>
        <v/>
      </c>
      <c r="I328" s="85">
        <f>'01_원자료'!P325*'03_가중치민감도'!$B$9+'01_원자료'!Q325*'03_가중치민감도'!$C$9+'01_원자료'!R325*'03_가중치민감도'!$D$9</f>
        <v/>
      </c>
      <c r="J328" s="85">
        <f>'01_원자료'!P325*'03_가중치민감도'!$B$10+'01_원자료'!Q325*'03_가중치민감도'!$C$10+'01_원자료'!R325*'03_가중치민감도'!$D$10</f>
        <v/>
      </c>
      <c r="K328" s="99">
        <f>COUNTIF($E$5:$E$979,"&lt;"&amp;E328)+(COUNTIF($E$5:$E$979,"="&amp;E328)+1)/2</f>
        <v/>
      </c>
      <c r="L328" s="99">
        <f>COUNTIF($F$5:$F$979,"&lt;"&amp;F328)+(COUNTIF($F$5:$F$979,"="&amp;F328)+1)/2</f>
        <v/>
      </c>
      <c r="M328" s="99">
        <f>COUNTIF($G$5:$G$979,"&lt;"&amp;G328)+(COUNTIF($G$5:$G$979,"="&amp;G328)+1)/2</f>
        <v/>
      </c>
      <c r="N328" s="99">
        <f>COUNTIF($H$5:$H$979,"&lt;"&amp;H328)+(COUNTIF($H$5:$H$979,"="&amp;H328)+1)/2</f>
        <v/>
      </c>
      <c r="O328" s="99">
        <f>COUNTIF($I$5:$I$979,"&lt;"&amp;I328)+(COUNTIF($I$5:$I$979,"="&amp;I328)+1)/2</f>
        <v/>
      </c>
      <c r="P328" s="99">
        <f>COUNTIF($J$5:$J$979,"&lt;"&amp;J328)+(COUNTIF($J$5:$J$979,"="&amp;J328)+1)/2</f>
        <v/>
      </c>
    </row>
    <row r="329" ht="15" customHeight="1" s="68">
      <c r="A329" s="70">
        <f>'01_원자료'!A326</f>
        <v/>
      </c>
      <c r="B329" s="70">
        <f>'01_원자료'!B326</f>
        <v/>
      </c>
      <c r="C329" s="70">
        <f>'01_원자료'!C326</f>
        <v/>
      </c>
      <c r="E329" s="85">
        <f>'01_원자료'!P326*'03_가중치민감도'!$B$5+'01_원자료'!Q326*'03_가중치민감도'!$C$5+'01_원자료'!R326*'03_가중치민감도'!$D$5</f>
        <v/>
      </c>
      <c r="F329" s="85">
        <f>'01_원자료'!P326*'03_가중치민감도'!$B$6+'01_원자료'!Q326*'03_가중치민감도'!$C$6+'01_원자료'!R326*'03_가중치민감도'!$D$6</f>
        <v/>
      </c>
      <c r="G329" s="85">
        <f>'01_원자료'!P326*'03_가중치민감도'!$B$7+'01_원자료'!Q326*'03_가중치민감도'!$C$7+'01_원자료'!R326*'03_가중치민감도'!$D$7</f>
        <v/>
      </c>
      <c r="H329" s="85">
        <f>'01_원자료'!P326*'03_가중치민감도'!$B$8+'01_원자료'!Q326*'03_가중치민감도'!$C$8+'01_원자료'!R326*'03_가중치민감도'!$D$8</f>
        <v/>
      </c>
      <c r="I329" s="85">
        <f>'01_원자료'!P326*'03_가중치민감도'!$B$9+'01_원자료'!Q326*'03_가중치민감도'!$C$9+'01_원자료'!R326*'03_가중치민감도'!$D$9</f>
        <v/>
      </c>
      <c r="J329" s="85">
        <f>'01_원자료'!P326*'03_가중치민감도'!$B$10+'01_원자료'!Q326*'03_가중치민감도'!$C$10+'01_원자료'!R326*'03_가중치민감도'!$D$10</f>
        <v/>
      </c>
      <c r="K329" s="99">
        <f>COUNTIF($E$5:$E$979,"&lt;"&amp;E329)+(COUNTIF($E$5:$E$979,"="&amp;E329)+1)/2</f>
        <v/>
      </c>
      <c r="L329" s="99">
        <f>COUNTIF($F$5:$F$979,"&lt;"&amp;F329)+(COUNTIF($F$5:$F$979,"="&amp;F329)+1)/2</f>
        <v/>
      </c>
      <c r="M329" s="99">
        <f>COUNTIF($G$5:$G$979,"&lt;"&amp;G329)+(COUNTIF($G$5:$G$979,"="&amp;G329)+1)/2</f>
        <v/>
      </c>
      <c r="N329" s="99">
        <f>COUNTIF($H$5:$H$979,"&lt;"&amp;H329)+(COUNTIF($H$5:$H$979,"="&amp;H329)+1)/2</f>
        <v/>
      </c>
      <c r="O329" s="99">
        <f>COUNTIF($I$5:$I$979,"&lt;"&amp;I329)+(COUNTIF($I$5:$I$979,"="&amp;I329)+1)/2</f>
        <v/>
      </c>
      <c r="P329" s="99">
        <f>COUNTIF($J$5:$J$979,"&lt;"&amp;J329)+(COUNTIF($J$5:$J$979,"="&amp;J329)+1)/2</f>
        <v/>
      </c>
    </row>
    <row r="330" ht="15" customHeight="1" s="68">
      <c r="A330" s="70">
        <f>'01_원자료'!A327</f>
        <v/>
      </c>
      <c r="B330" s="70">
        <f>'01_원자료'!B327</f>
        <v/>
      </c>
      <c r="C330" s="70">
        <f>'01_원자료'!C327</f>
        <v/>
      </c>
      <c r="E330" s="85">
        <f>'01_원자료'!P327*'03_가중치민감도'!$B$5+'01_원자료'!Q327*'03_가중치민감도'!$C$5+'01_원자료'!R327*'03_가중치민감도'!$D$5</f>
        <v/>
      </c>
      <c r="F330" s="85">
        <f>'01_원자료'!P327*'03_가중치민감도'!$B$6+'01_원자료'!Q327*'03_가중치민감도'!$C$6+'01_원자료'!R327*'03_가중치민감도'!$D$6</f>
        <v/>
      </c>
      <c r="G330" s="85">
        <f>'01_원자료'!P327*'03_가중치민감도'!$B$7+'01_원자료'!Q327*'03_가중치민감도'!$C$7+'01_원자료'!R327*'03_가중치민감도'!$D$7</f>
        <v/>
      </c>
      <c r="H330" s="85">
        <f>'01_원자료'!P327*'03_가중치민감도'!$B$8+'01_원자료'!Q327*'03_가중치민감도'!$C$8+'01_원자료'!R327*'03_가중치민감도'!$D$8</f>
        <v/>
      </c>
      <c r="I330" s="85">
        <f>'01_원자료'!P327*'03_가중치민감도'!$B$9+'01_원자료'!Q327*'03_가중치민감도'!$C$9+'01_원자료'!R327*'03_가중치민감도'!$D$9</f>
        <v/>
      </c>
      <c r="J330" s="85">
        <f>'01_원자료'!P327*'03_가중치민감도'!$B$10+'01_원자료'!Q327*'03_가중치민감도'!$C$10+'01_원자료'!R327*'03_가중치민감도'!$D$10</f>
        <v/>
      </c>
      <c r="K330" s="99">
        <f>COUNTIF($E$5:$E$979,"&lt;"&amp;E330)+(COUNTIF($E$5:$E$979,"="&amp;E330)+1)/2</f>
        <v/>
      </c>
      <c r="L330" s="99">
        <f>COUNTIF($F$5:$F$979,"&lt;"&amp;F330)+(COUNTIF($F$5:$F$979,"="&amp;F330)+1)/2</f>
        <v/>
      </c>
      <c r="M330" s="99">
        <f>COUNTIF($G$5:$G$979,"&lt;"&amp;G330)+(COUNTIF($G$5:$G$979,"="&amp;G330)+1)/2</f>
        <v/>
      </c>
      <c r="N330" s="99">
        <f>COUNTIF($H$5:$H$979,"&lt;"&amp;H330)+(COUNTIF($H$5:$H$979,"="&amp;H330)+1)/2</f>
        <v/>
      </c>
      <c r="O330" s="99">
        <f>COUNTIF($I$5:$I$979,"&lt;"&amp;I330)+(COUNTIF($I$5:$I$979,"="&amp;I330)+1)/2</f>
        <v/>
      </c>
      <c r="P330" s="99">
        <f>COUNTIF($J$5:$J$979,"&lt;"&amp;J330)+(COUNTIF($J$5:$J$979,"="&amp;J330)+1)/2</f>
        <v/>
      </c>
    </row>
    <row r="331" ht="15" customHeight="1" s="68">
      <c r="A331" s="70">
        <f>'01_원자료'!A328</f>
        <v/>
      </c>
      <c r="B331" s="70">
        <f>'01_원자료'!B328</f>
        <v/>
      </c>
      <c r="C331" s="70">
        <f>'01_원자료'!C328</f>
        <v/>
      </c>
      <c r="E331" s="85">
        <f>'01_원자료'!P328*'03_가중치민감도'!$B$5+'01_원자료'!Q328*'03_가중치민감도'!$C$5+'01_원자료'!R328*'03_가중치민감도'!$D$5</f>
        <v/>
      </c>
      <c r="F331" s="85">
        <f>'01_원자료'!P328*'03_가중치민감도'!$B$6+'01_원자료'!Q328*'03_가중치민감도'!$C$6+'01_원자료'!R328*'03_가중치민감도'!$D$6</f>
        <v/>
      </c>
      <c r="G331" s="85">
        <f>'01_원자료'!P328*'03_가중치민감도'!$B$7+'01_원자료'!Q328*'03_가중치민감도'!$C$7+'01_원자료'!R328*'03_가중치민감도'!$D$7</f>
        <v/>
      </c>
      <c r="H331" s="85">
        <f>'01_원자료'!P328*'03_가중치민감도'!$B$8+'01_원자료'!Q328*'03_가중치민감도'!$C$8+'01_원자료'!R328*'03_가중치민감도'!$D$8</f>
        <v/>
      </c>
      <c r="I331" s="85">
        <f>'01_원자료'!P328*'03_가중치민감도'!$B$9+'01_원자료'!Q328*'03_가중치민감도'!$C$9+'01_원자료'!R328*'03_가중치민감도'!$D$9</f>
        <v/>
      </c>
      <c r="J331" s="85">
        <f>'01_원자료'!P328*'03_가중치민감도'!$B$10+'01_원자료'!Q328*'03_가중치민감도'!$C$10+'01_원자료'!R328*'03_가중치민감도'!$D$10</f>
        <v/>
      </c>
      <c r="K331" s="99">
        <f>COUNTIF($E$5:$E$979,"&lt;"&amp;E331)+(COUNTIF($E$5:$E$979,"="&amp;E331)+1)/2</f>
        <v/>
      </c>
      <c r="L331" s="99">
        <f>COUNTIF($F$5:$F$979,"&lt;"&amp;F331)+(COUNTIF($F$5:$F$979,"="&amp;F331)+1)/2</f>
        <v/>
      </c>
      <c r="M331" s="99">
        <f>COUNTIF($G$5:$G$979,"&lt;"&amp;G331)+(COUNTIF($G$5:$G$979,"="&amp;G331)+1)/2</f>
        <v/>
      </c>
      <c r="N331" s="99">
        <f>COUNTIF($H$5:$H$979,"&lt;"&amp;H331)+(COUNTIF($H$5:$H$979,"="&amp;H331)+1)/2</f>
        <v/>
      </c>
      <c r="O331" s="99">
        <f>COUNTIF($I$5:$I$979,"&lt;"&amp;I331)+(COUNTIF($I$5:$I$979,"="&amp;I331)+1)/2</f>
        <v/>
      </c>
      <c r="P331" s="99">
        <f>COUNTIF($J$5:$J$979,"&lt;"&amp;J331)+(COUNTIF($J$5:$J$979,"="&amp;J331)+1)/2</f>
        <v/>
      </c>
    </row>
    <row r="332" ht="15" customHeight="1" s="68">
      <c r="A332" s="70">
        <f>'01_원자료'!A329</f>
        <v/>
      </c>
      <c r="B332" s="70">
        <f>'01_원자료'!B329</f>
        <v/>
      </c>
      <c r="C332" s="70">
        <f>'01_원자료'!C329</f>
        <v/>
      </c>
      <c r="E332" s="85">
        <f>'01_원자료'!P329*'03_가중치민감도'!$B$5+'01_원자료'!Q329*'03_가중치민감도'!$C$5+'01_원자료'!R329*'03_가중치민감도'!$D$5</f>
        <v/>
      </c>
      <c r="F332" s="85">
        <f>'01_원자료'!P329*'03_가중치민감도'!$B$6+'01_원자료'!Q329*'03_가중치민감도'!$C$6+'01_원자료'!R329*'03_가중치민감도'!$D$6</f>
        <v/>
      </c>
      <c r="G332" s="85">
        <f>'01_원자료'!P329*'03_가중치민감도'!$B$7+'01_원자료'!Q329*'03_가중치민감도'!$C$7+'01_원자료'!R329*'03_가중치민감도'!$D$7</f>
        <v/>
      </c>
      <c r="H332" s="85">
        <f>'01_원자료'!P329*'03_가중치민감도'!$B$8+'01_원자료'!Q329*'03_가중치민감도'!$C$8+'01_원자료'!R329*'03_가중치민감도'!$D$8</f>
        <v/>
      </c>
      <c r="I332" s="85">
        <f>'01_원자료'!P329*'03_가중치민감도'!$B$9+'01_원자료'!Q329*'03_가중치민감도'!$C$9+'01_원자료'!R329*'03_가중치민감도'!$D$9</f>
        <v/>
      </c>
      <c r="J332" s="85">
        <f>'01_원자료'!P329*'03_가중치민감도'!$B$10+'01_원자료'!Q329*'03_가중치민감도'!$C$10+'01_원자료'!R329*'03_가중치민감도'!$D$10</f>
        <v/>
      </c>
      <c r="K332" s="99">
        <f>COUNTIF($E$5:$E$979,"&lt;"&amp;E332)+(COUNTIF($E$5:$E$979,"="&amp;E332)+1)/2</f>
        <v/>
      </c>
      <c r="L332" s="99">
        <f>COUNTIF($F$5:$F$979,"&lt;"&amp;F332)+(COUNTIF($F$5:$F$979,"="&amp;F332)+1)/2</f>
        <v/>
      </c>
      <c r="M332" s="99">
        <f>COUNTIF($G$5:$G$979,"&lt;"&amp;G332)+(COUNTIF($G$5:$G$979,"="&amp;G332)+1)/2</f>
        <v/>
      </c>
      <c r="N332" s="99">
        <f>COUNTIF($H$5:$H$979,"&lt;"&amp;H332)+(COUNTIF($H$5:$H$979,"="&amp;H332)+1)/2</f>
        <v/>
      </c>
      <c r="O332" s="99">
        <f>COUNTIF($I$5:$I$979,"&lt;"&amp;I332)+(COUNTIF($I$5:$I$979,"="&amp;I332)+1)/2</f>
        <v/>
      </c>
      <c r="P332" s="99">
        <f>COUNTIF($J$5:$J$979,"&lt;"&amp;J332)+(COUNTIF($J$5:$J$979,"="&amp;J332)+1)/2</f>
        <v/>
      </c>
    </row>
    <row r="333" ht="15" customHeight="1" s="68">
      <c r="A333" s="70">
        <f>'01_원자료'!A330</f>
        <v/>
      </c>
      <c r="B333" s="70">
        <f>'01_원자료'!B330</f>
        <v/>
      </c>
      <c r="C333" s="70">
        <f>'01_원자료'!C330</f>
        <v/>
      </c>
      <c r="E333" s="85">
        <f>'01_원자료'!P330*'03_가중치민감도'!$B$5+'01_원자료'!Q330*'03_가중치민감도'!$C$5+'01_원자료'!R330*'03_가중치민감도'!$D$5</f>
        <v/>
      </c>
      <c r="F333" s="85">
        <f>'01_원자료'!P330*'03_가중치민감도'!$B$6+'01_원자료'!Q330*'03_가중치민감도'!$C$6+'01_원자료'!R330*'03_가중치민감도'!$D$6</f>
        <v/>
      </c>
      <c r="G333" s="85">
        <f>'01_원자료'!P330*'03_가중치민감도'!$B$7+'01_원자료'!Q330*'03_가중치민감도'!$C$7+'01_원자료'!R330*'03_가중치민감도'!$D$7</f>
        <v/>
      </c>
      <c r="H333" s="85">
        <f>'01_원자료'!P330*'03_가중치민감도'!$B$8+'01_원자료'!Q330*'03_가중치민감도'!$C$8+'01_원자료'!R330*'03_가중치민감도'!$D$8</f>
        <v/>
      </c>
      <c r="I333" s="85">
        <f>'01_원자료'!P330*'03_가중치민감도'!$B$9+'01_원자료'!Q330*'03_가중치민감도'!$C$9+'01_원자료'!R330*'03_가중치민감도'!$D$9</f>
        <v/>
      </c>
      <c r="J333" s="85">
        <f>'01_원자료'!P330*'03_가중치민감도'!$B$10+'01_원자료'!Q330*'03_가중치민감도'!$C$10+'01_원자료'!R330*'03_가중치민감도'!$D$10</f>
        <v/>
      </c>
      <c r="K333" s="99">
        <f>COUNTIF($E$5:$E$979,"&lt;"&amp;E333)+(COUNTIF($E$5:$E$979,"="&amp;E333)+1)/2</f>
        <v/>
      </c>
      <c r="L333" s="99">
        <f>COUNTIF($F$5:$F$979,"&lt;"&amp;F333)+(COUNTIF($F$5:$F$979,"="&amp;F333)+1)/2</f>
        <v/>
      </c>
      <c r="M333" s="99">
        <f>COUNTIF($G$5:$G$979,"&lt;"&amp;G333)+(COUNTIF($G$5:$G$979,"="&amp;G333)+1)/2</f>
        <v/>
      </c>
      <c r="N333" s="99">
        <f>COUNTIF($H$5:$H$979,"&lt;"&amp;H333)+(COUNTIF($H$5:$H$979,"="&amp;H333)+1)/2</f>
        <v/>
      </c>
      <c r="O333" s="99">
        <f>COUNTIF($I$5:$I$979,"&lt;"&amp;I333)+(COUNTIF($I$5:$I$979,"="&amp;I333)+1)/2</f>
        <v/>
      </c>
      <c r="P333" s="99">
        <f>COUNTIF($J$5:$J$979,"&lt;"&amp;J333)+(COUNTIF($J$5:$J$979,"="&amp;J333)+1)/2</f>
        <v/>
      </c>
    </row>
    <row r="334" ht="15" customHeight="1" s="68">
      <c r="A334" s="70">
        <f>'01_원자료'!A331</f>
        <v/>
      </c>
      <c r="B334" s="70">
        <f>'01_원자료'!B331</f>
        <v/>
      </c>
      <c r="C334" s="70">
        <f>'01_원자료'!C331</f>
        <v/>
      </c>
      <c r="E334" s="85">
        <f>'01_원자료'!P331*'03_가중치민감도'!$B$5+'01_원자료'!Q331*'03_가중치민감도'!$C$5+'01_원자료'!R331*'03_가중치민감도'!$D$5</f>
        <v/>
      </c>
      <c r="F334" s="85">
        <f>'01_원자료'!P331*'03_가중치민감도'!$B$6+'01_원자료'!Q331*'03_가중치민감도'!$C$6+'01_원자료'!R331*'03_가중치민감도'!$D$6</f>
        <v/>
      </c>
      <c r="G334" s="85">
        <f>'01_원자료'!P331*'03_가중치민감도'!$B$7+'01_원자료'!Q331*'03_가중치민감도'!$C$7+'01_원자료'!R331*'03_가중치민감도'!$D$7</f>
        <v/>
      </c>
      <c r="H334" s="85">
        <f>'01_원자료'!P331*'03_가중치민감도'!$B$8+'01_원자료'!Q331*'03_가중치민감도'!$C$8+'01_원자료'!R331*'03_가중치민감도'!$D$8</f>
        <v/>
      </c>
      <c r="I334" s="85">
        <f>'01_원자료'!P331*'03_가중치민감도'!$B$9+'01_원자료'!Q331*'03_가중치민감도'!$C$9+'01_원자료'!R331*'03_가중치민감도'!$D$9</f>
        <v/>
      </c>
      <c r="J334" s="85">
        <f>'01_원자료'!P331*'03_가중치민감도'!$B$10+'01_원자료'!Q331*'03_가중치민감도'!$C$10+'01_원자료'!R331*'03_가중치민감도'!$D$10</f>
        <v/>
      </c>
      <c r="K334" s="99">
        <f>COUNTIF($E$5:$E$979,"&lt;"&amp;E334)+(COUNTIF($E$5:$E$979,"="&amp;E334)+1)/2</f>
        <v/>
      </c>
      <c r="L334" s="99">
        <f>COUNTIF($F$5:$F$979,"&lt;"&amp;F334)+(COUNTIF($F$5:$F$979,"="&amp;F334)+1)/2</f>
        <v/>
      </c>
      <c r="M334" s="99">
        <f>COUNTIF($G$5:$G$979,"&lt;"&amp;G334)+(COUNTIF($G$5:$G$979,"="&amp;G334)+1)/2</f>
        <v/>
      </c>
      <c r="N334" s="99">
        <f>COUNTIF($H$5:$H$979,"&lt;"&amp;H334)+(COUNTIF($H$5:$H$979,"="&amp;H334)+1)/2</f>
        <v/>
      </c>
      <c r="O334" s="99">
        <f>COUNTIF($I$5:$I$979,"&lt;"&amp;I334)+(COUNTIF($I$5:$I$979,"="&amp;I334)+1)/2</f>
        <v/>
      </c>
      <c r="P334" s="99">
        <f>COUNTIF($J$5:$J$979,"&lt;"&amp;J334)+(COUNTIF($J$5:$J$979,"="&amp;J334)+1)/2</f>
        <v/>
      </c>
    </row>
    <row r="335" ht="15" customHeight="1" s="68">
      <c r="A335" s="70">
        <f>'01_원자료'!A332</f>
        <v/>
      </c>
      <c r="B335" s="70">
        <f>'01_원자료'!B332</f>
        <v/>
      </c>
      <c r="C335" s="70">
        <f>'01_원자료'!C332</f>
        <v/>
      </c>
      <c r="E335" s="85">
        <f>'01_원자료'!P332*'03_가중치민감도'!$B$5+'01_원자료'!Q332*'03_가중치민감도'!$C$5+'01_원자료'!R332*'03_가중치민감도'!$D$5</f>
        <v/>
      </c>
      <c r="F335" s="85">
        <f>'01_원자료'!P332*'03_가중치민감도'!$B$6+'01_원자료'!Q332*'03_가중치민감도'!$C$6+'01_원자료'!R332*'03_가중치민감도'!$D$6</f>
        <v/>
      </c>
      <c r="G335" s="85">
        <f>'01_원자료'!P332*'03_가중치민감도'!$B$7+'01_원자료'!Q332*'03_가중치민감도'!$C$7+'01_원자료'!R332*'03_가중치민감도'!$D$7</f>
        <v/>
      </c>
      <c r="H335" s="85">
        <f>'01_원자료'!P332*'03_가중치민감도'!$B$8+'01_원자료'!Q332*'03_가중치민감도'!$C$8+'01_원자료'!R332*'03_가중치민감도'!$D$8</f>
        <v/>
      </c>
      <c r="I335" s="85">
        <f>'01_원자료'!P332*'03_가중치민감도'!$B$9+'01_원자료'!Q332*'03_가중치민감도'!$C$9+'01_원자료'!R332*'03_가중치민감도'!$D$9</f>
        <v/>
      </c>
      <c r="J335" s="85">
        <f>'01_원자료'!P332*'03_가중치민감도'!$B$10+'01_원자료'!Q332*'03_가중치민감도'!$C$10+'01_원자료'!R332*'03_가중치민감도'!$D$10</f>
        <v/>
      </c>
      <c r="K335" s="99">
        <f>COUNTIF($E$5:$E$979,"&lt;"&amp;E335)+(COUNTIF($E$5:$E$979,"="&amp;E335)+1)/2</f>
        <v/>
      </c>
      <c r="L335" s="99">
        <f>COUNTIF($F$5:$F$979,"&lt;"&amp;F335)+(COUNTIF($F$5:$F$979,"="&amp;F335)+1)/2</f>
        <v/>
      </c>
      <c r="M335" s="99">
        <f>COUNTIF($G$5:$G$979,"&lt;"&amp;G335)+(COUNTIF($G$5:$G$979,"="&amp;G335)+1)/2</f>
        <v/>
      </c>
      <c r="N335" s="99">
        <f>COUNTIF($H$5:$H$979,"&lt;"&amp;H335)+(COUNTIF($H$5:$H$979,"="&amp;H335)+1)/2</f>
        <v/>
      </c>
      <c r="O335" s="99">
        <f>COUNTIF($I$5:$I$979,"&lt;"&amp;I335)+(COUNTIF($I$5:$I$979,"="&amp;I335)+1)/2</f>
        <v/>
      </c>
      <c r="P335" s="99">
        <f>COUNTIF($J$5:$J$979,"&lt;"&amp;J335)+(COUNTIF($J$5:$J$979,"="&amp;J335)+1)/2</f>
        <v/>
      </c>
    </row>
    <row r="336" ht="15" customHeight="1" s="68">
      <c r="A336" s="70">
        <f>'01_원자료'!A333</f>
        <v/>
      </c>
      <c r="B336" s="70">
        <f>'01_원자료'!B333</f>
        <v/>
      </c>
      <c r="C336" s="70">
        <f>'01_원자료'!C333</f>
        <v/>
      </c>
      <c r="E336" s="85">
        <f>'01_원자료'!P333*'03_가중치민감도'!$B$5+'01_원자료'!Q333*'03_가중치민감도'!$C$5+'01_원자료'!R333*'03_가중치민감도'!$D$5</f>
        <v/>
      </c>
      <c r="F336" s="85">
        <f>'01_원자료'!P333*'03_가중치민감도'!$B$6+'01_원자료'!Q333*'03_가중치민감도'!$C$6+'01_원자료'!R333*'03_가중치민감도'!$D$6</f>
        <v/>
      </c>
      <c r="G336" s="85">
        <f>'01_원자료'!P333*'03_가중치민감도'!$B$7+'01_원자료'!Q333*'03_가중치민감도'!$C$7+'01_원자료'!R333*'03_가중치민감도'!$D$7</f>
        <v/>
      </c>
      <c r="H336" s="85">
        <f>'01_원자료'!P333*'03_가중치민감도'!$B$8+'01_원자료'!Q333*'03_가중치민감도'!$C$8+'01_원자료'!R333*'03_가중치민감도'!$D$8</f>
        <v/>
      </c>
      <c r="I336" s="85">
        <f>'01_원자료'!P333*'03_가중치민감도'!$B$9+'01_원자료'!Q333*'03_가중치민감도'!$C$9+'01_원자료'!R333*'03_가중치민감도'!$D$9</f>
        <v/>
      </c>
      <c r="J336" s="85">
        <f>'01_원자료'!P333*'03_가중치민감도'!$B$10+'01_원자료'!Q333*'03_가중치민감도'!$C$10+'01_원자료'!R333*'03_가중치민감도'!$D$10</f>
        <v/>
      </c>
      <c r="K336" s="99">
        <f>COUNTIF($E$5:$E$979,"&lt;"&amp;E336)+(COUNTIF($E$5:$E$979,"="&amp;E336)+1)/2</f>
        <v/>
      </c>
      <c r="L336" s="99">
        <f>COUNTIF($F$5:$F$979,"&lt;"&amp;F336)+(COUNTIF($F$5:$F$979,"="&amp;F336)+1)/2</f>
        <v/>
      </c>
      <c r="M336" s="99">
        <f>COUNTIF($G$5:$G$979,"&lt;"&amp;G336)+(COUNTIF($G$5:$G$979,"="&amp;G336)+1)/2</f>
        <v/>
      </c>
      <c r="N336" s="99">
        <f>COUNTIF($H$5:$H$979,"&lt;"&amp;H336)+(COUNTIF($H$5:$H$979,"="&amp;H336)+1)/2</f>
        <v/>
      </c>
      <c r="O336" s="99">
        <f>COUNTIF($I$5:$I$979,"&lt;"&amp;I336)+(COUNTIF($I$5:$I$979,"="&amp;I336)+1)/2</f>
        <v/>
      </c>
      <c r="P336" s="99">
        <f>COUNTIF($J$5:$J$979,"&lt;"&amp;J336)+(COUNTIF($J$5:$J$979,"="&amp;J336)+1)/2</f>
        <v/>
      </c>
    </row>
    <row r="337" ht="15" customHeight="1" s="68">
      <c r="A337" s="70">
        <f>'01_원자료'!A334</f>
        <v/>
      </c>
      <c r="B337" s="70">
        <f>'01_원자료'!B334</f>
        <v/>
      </c>
      <c r="C337" s="70">
        <f>'01_원자료'!C334</f>
        <v/>
      </c>
      <c r="E337" s="85">
        <f>'01_원자료'!P334*'03_가중치민감도'!$B$5+'01_원자료'!Q334*'03_가중치민감도'!$C$5+'01_원자료'!R334*'03_가중치민감도'!$D$5</f>
        <v/>
      </c>
      <c r="F337" s="85">
        <f>'01_원자료'!P334*'03_가중치민감도'!$B$6+'01_원자료'!Q334*'03_가중치민감도'!$C$6+'01_원자료'!R334*'03_가중치민감도'!$D$6</f>
        <v/>
      </c>
      <c r="G337" s="85">
        <f>'01_원자료'!P334*'03_가중치민감도'!$B$7+'01_원자료'!Q334*'03_가중치민감도'!$C$7+'01_원자료'!R334*'03_가중치민감도'!$D$7</f>
        <v/>
      </c>
      <c r="H337" s="85">
        <f>'01_원자료'!P334*'03_가중치민감도'!$B$8+'01_원자료'!Q334*'03_가중치민감도'!$C$8+'01_원자료'!R334*'03_가중치민감도'!$D$8</f>
        <v/>
      </c>
      <c r="I337" s="85">
        <f>'01_원자료'!P334*'03_가중치민감도'!$B$9+'01_원자료'!Q334*'03_가중치민감도'!$C$9+'01_원자료'!R334*'03_가중치민감도'!$D$9</f>
        <v/>
      </c>
      <c r="J337" s="85">
        <f>'01_원자료'!P334*'03_가중치민감도'!$B$10+'01_원자료'!Q334*'03_가중치민감도'!$C$10+'01_원자료'!R334*'03_가중치민감도'!$D$10</f>
        <v/>
      </c>
      <c r="K337" s="99">
        <f>COUNTIF($E$5:$E$979,"&lt;"&amp;E337)+(COUNTIF($E$5:$E$979,"="&amp;E337)+1)/2</f>
        <v/>
      </c>
      <c r="L337" s="99">
        <f>COUNTIF($F$5:$F$979,"&lt;"&amp;F337)+(COUNTIF($F$5:$F$979,"="&amp;F337)+1)/2</f>
        <v/>
      </c>
      <c r="M337" s="99">
        <f>COUNTIF($G$5:$G$979,"&lt;"&amp;G337)+(COUNTIF($G$5:$G$979,"="&amp;G337)+1)/2</f>
        <v/>
      </c>
      <c r="N337" s="99">
        <f>COUNTIF($H$5:$H$979,"&lt;"&amp;H337)+(COUNTIF($H$5:$H$979,"="&amp;H337)+1)/2</f>
        <v/>
      </c>
      <c r="O337" s="99">
        <f>COUNTIF($I$5:$I$979,"&lt;"&amp;I337)+(COUNTIF($I$5:$I$979,"="&amp;I337)+1)/2</f>
        <v/>
      </c>
      <c r="P337" s="99">
        <f>COUNTIF($J$5:$J$979,"&lt;"&amp;J337)+(COUNTIF($J$5:$J$979,"="&amp;J337)+1)/2</f>
        <v/>
      </c>
    </row>
    <row r="338" ht="15" customHeight="1" s="68">
      <c r="A338" s="70">
        <f>'01_원자료'!A335</f>
        <v/>
      </c>
      <c r="B338" s="70">
        <f>'01_원자료'!B335</f>
        <v/>
      </c>
      <c r="C338" s="70">
        <f>'01_원자료'!C335</f>
        <v/>
      </c>
      <c r="E338" s="85">
        <f>'01_원자료'!P335*'03_가중치민감도'!$B$5+'01_원자료'!Q335*'03_가중치민감도'!$C$5+'01_원자료'!R335*'03_가중치민감도'!$D$5</f>
        <v/>
      </c>
      <c r="F338" s="85">
        <f>'01_원자료'!P335*'03_가중치민감도'!$B$6+'01_원자료'!Q335*'03_가중치민감도'!$C$6+'01_원자료'!R335*'03_가중치민감도'!$D$6</f>
        <v/>
      </c>
      <c r="G338" s="85">
        <f>'01_원자료'!P335*'03_가중치민감도'!$B$7+'01_원자료'!Q335*'03_가중치민감도'!$C$7+'01_원자료'!R335*'03_가중치민감도'!$D$7</f>
        <v/>
      </c>
      <c r="H338" s="85">
        <f>'01_원자료'!P335*'03_가중치민감도'!$B$8+'01_원자료'!Q335*'03_가중치민감도'!$C$8+'01_원자료'!R335*'03_가중치민감도'!$D$8</f>
        <v/>
      </c>
      <c r="I338" s="85">
        <f>'01_원자료'!P335*'03_가중치민감도'!$B$9+'01_원자료'!Q335*'03_가중치민감도'!$C$9+'01_원자료'!R335*'03_가중치민감도'!$D$9</f>
        <v/>
      </c>
      <c r="J338" s="85">
        <f>'01_원자료'!P335*'03_가중치민감도'!$B$10+'01_원자료'!Q335*'03_가중치민감도'!$C$10+'01_원자료'!R335*'03_가중치민감도'!$D$10</f>
        <v/>
      </c>
      <c r="K338" s="99">
        <f>COUNTIF($E$5:$E$979,"&lt;"&amp;E338)+(COUNTIF($E$5:$E$979,"="&amp;E338)+1)/2</f>
        <v/>
      </c>
      <c r="L338" s="99">
        <f>COUNTIF($F$5:$F$979,"&lt;"&amp;F338)+(COUNTIF($F$5:$F$979,"="&amp;F338)+1)/2</f>
        <v/>
      </c>
      <c r="M338" s="99">
        <f>COUNTIF($G$5:$G$979,"&lt;"&amp;G338)+(COUNTIF($G$5:$G$979,"="&amp;G338)+1)/2</f>
        <v/>
      </c>
      <c r="N338" s="99">
        <f>COUNTIF($H$5:$H$979,"&lt;"&amp;H338)+(COUNTIF($H$5:$H$979,"="&amp;H338)+1)/2</f>
        <v/>
      </c>
      <c r="O338" s="99">
        <f>COUNTIF($I$5:$I$979,"&lt;"&amp;I338)+(COUNTIF($I$5:$I$979,"="&amp;I338)+1)/2</f>
        <v/>
      </c>
      <c r="P338" s="99">
        <f>COUNTIF($J$5:$J$979,"&lt;"&amp;J338)+(COUNTIF($J$5:$J$979,"="&amp;J338)+1)/2</f>
        <v/>
      </c>
    </row>
    <row r="339" ht="15" customHeight="1" s="68">
      <c r="A339" s="70">
        <f>'01_원자료'!A336</f>
        <v/>
      </c>
      <c r="B339" s="70">
        <f>'01_원자료'!B336</f>
        <v/>
      </c>
      <c r="C339" s="70">
        <f>'01_원자료'!C336</f>
        <v/>
      </c>
      <c r="E339" s="85">
        <f>'01_원자료'!P336*'03_가중치민감도'!$B$5+'01_원자료'!Q336*'03_가중치민감도'!$C$5+'01_원자료'!R336*'03_가중치민감도'!$D$5</f>
        <v/>
      </c>
      <c r="F339" s="85">
        <f>'01_원자료'!P336*'03_가중치민감도'!$B$6+'01_원자료'!Q336*'03_가중치민감도'!$C$6+'01_원자료'!R336*'03_가중치민감도'!$D$6</f>
        <v/>
      </c>
      <c r="G339" s="85">
        <f>'01_원자료'!P336*'03_가중치민감도'!$B$7+'01_원자료'!Q336*'03_가중치민감도'!$C$7+'01_원자료'!R336*'03_가중치민감도'!$D$7</f>
        <v/>
      </c>
      <c r="H339" s="85">
        <f>'01_원자료'!P336*'03_가중치민감도'!$B$8+'01_원자료'!Q336*'03_가중치민감도'!$C$8+'01_원자료'!R336*'03_가중치민감도'!$D$8</f>
        <v/>
      </c>
      <c r="I339" s="85">
        <f>'01_원자료'!P336*'03_가중치민감도'!$B$9+'01_원자료'!Q336*'03_가중치민감도'!$C$9+'01_원자료'!R336*'03_가중치민감도'!$D$9</f>
        <v/>
      </c>
      <c r="J339" s="85">
        <f>'01_원자료'!P336*'03_가중치민감도'!$B$10+'01_원자료'!Q336*'03_가중치민감도'!$C$10+'01_원자료'!R336*'03_가중치민감도'!$D$10</f>
        <v/>
      </c>
      <c r="K339" s="99">
        <f>COUNTIF($E$5:$E$979,"&lt;"&amp;E339)+(COUNTIF($E$5:$E$979,"="&amp;E339)+1)/2</f>
        <v/>
      </c>
      <c r="L339" s="99">
        <f>COUNTIF($F$5:$F$979,"&lt;"&amp;F339)+(COUNTIF($F$5:$F$979,"="&amp;F339)+1)/2</f>
        <v/>
      </c>
      <c r="M339" s="99">
        <f>COUNTIF($G$5:$G$979,"&lt;"&amp;G339)+(COUNTIF($G$5:$G$979,"="&amp;G339)+1)/2</f>
        <v/>
      </c>
      <c r="N339" s="99">
        <f>COUNTIF($H$5:$H$979,"&lt;"&amp;H339)+(COUNTIF($H$5:$H$979,"="&amp;H339)+1)/2</f>
        <v/>
      </c>
      <c r="O339" s="99">
        <f>COUNTIF($I$5:$I$979,"&lt;"&amp;I339)+(COUNTIF($I$5:$I$979,"="&amp;I339)+1)/2</f>
        <v/>
      </c>
      <c r="P339" s="99">
        <f>COUNTIF($J$5:$J$979,"&lt;"&amp;J339)+(COUNTIF($J$5:$J$979,"="&amp;J339)+1)/2</f>
        <v/>
      </c>
    </row>
    <row r="340" ht="15" customHeight="1" s="68">
      <c r="A340" s="70">
        <f>'01_원자료'!A337</f>
        <v/>
      </c>
      <c r="B340" s="70">
        <f>'01_원자료'!B337</f>
        <v/>
      </c>
      <c r="C340" s="70">
        <f>'01_원자료'!C337</f>
        <v/>
      </c>
      <c r="E340" s="85">
        <f>'01_원자료'!P337*'03_가중치민감도'!$B$5+'01_원자료'!Q337*'03_가중치민감도'!$C$5+'01_원자료'!R337*'03_가중치민감도'!$D$5</f>
        <v/>
      </c>
      <c r="F340" s="85">
        <f>'01_원자료'!P337*'03_가중치민감도'!$B$6+'01_원자료'!Q337*'03_가중치민감도'!$C$6+'01_원자료'!R337*'03_가중치민감도'!$D$6</f>
        <v/>
      </c>
      <c r="G340" s="85">
        <f>'01_원자료'!P337*'03_가중치민감도'!$B$7+'01_원자료'!Q337*'03_가중치민감도'!$C$7+'01_원자료'!R337*'03_가중치민감도'!$D$7</f>
        <v/>
      </c>
      <c r="H340" s="85">
        <f>'01_원자료'!P337*'03_가중치민감도'!$B$8+'01_원자료'!Q337*'03_가중치민감도'!$C$8+'01_원자료'!R337*'03_가중치민감도'!$D$8</f>
        <v/>
      </c>
      <c r="I340" s="85">
        <f>'01_원자료'!P337*'03_가중치민감도'!$B$9+'01_원자료'!Q337*'03_가중치민감도'!$C$9+'01_원자료'!R337*'03_가중치민감도'!$D$9</f>
        <v/>
      </c>
      <c r="J340" s="85">
        <f>'01_원자료'!P337*'03_가중치민감도'!$B$10+'01_원자료'!Q337*'03_가중치민감도'!$C$10+'01_원자료'!R337*'03_가중치민감도'!$D$10</f>
        <v/>
      </c>
      <c r="K340" s="99">
        <f>COUNTIF($E$5:$E$979,"&lt;"&amp;E340)+(COUNTIF($E$5:$E$979,"="&amp;E340)+1)/2</f>
        <v/>
      </c>
      <c r="L340" s="99">
        <f>COUNTIF($F$5:$F$979,"&lt;"&amp;F340)+(COUNTIF($F$5:$F$979,"="&amp;F340)+1)/2</f>
        <v/>
      </c>
      <c r="M340" s="99">
        <f>COUNTIF($G$5:$G$979,"&lt;"&amp;G340)+(COUNTIF($G$5:$G$979,"="&amp;G340)+1)/2</f>
        <v/>
      </c>
      <c r="N340" s="99">
        <f>COUNTIF($H$5:$H$979,"&lt;"&amp;H340)+(COUNTIF($H$5:$H$979,"="&amp;H340)+1)/2</f>
        <v/>
      </c>
      <c r="O340" s="99">
        <f>COUNTIF($I$5:$I$979,"&lt;"&amp;I340)+(COUNTIF($I$5:$I$979,"="&amp;I340)+1)/2</f>
        <v/>
      </c>
      <c r="P340" s="99">
        <f>COUNTIF($J$5:$J$979,"&lt;"&amp;J340)+(COUNTIF($J$5:$J$979,"="&amp;J340)+1)/2</f>
        <v/>
      </c>
    </row>
    <row r="341" ht="15" customHeight="1" s="68">
      <c r="A341" s="70">
        <f>'01_원자료'!A338</f>
        <v/>
      </c>
      <c r="B341" s="70">
        <f>'01_원자료'!B338</f>
        <v/>
      </c>
      <c r="C341" s="70">
        <f>'01_원자료'!C338</f>
        <v/>
      </c>
      <c r="E341" s="85">
        <f>'01_원자료'!P338*'03_가중치민감도'!$B$5+'01_원자료'!Q338*'03_가중치민감도'!$C$5+'01_원자료'!R338*'03_가중치민감도'!$D$5</f>
        <v/>
      </c>
      <c r="F341" s="85">
        <f>'01_원자료'!P338*'03_가중치민감도'!$B$6+'01_원자료'!Q338*'03_가중치민감도'!$C$6+'01_원자료'!R338*'03_가중치민감도'!$D$6</f>
        <v/>
      </c>
      <c r="G341" s="85">
        <f>'01_원자료'!P338*'03_가중치민감도'!$B$7+'01_원자료'!Q338*'03_가중치민감도'!$C$7+'01_원자료'!R338*'03_가중치민감도'!$D$7</f>
        <v/>
      </c>
      <c r="H341" s="85">
        <f>'01_원자료'!P338*'03_가중치민감도'!$B$8+'01_원자료'!Q338*'03_가중치민감도'!$C$8+'01_원자료'!R338*'03_가중치민감도'!$D$8</f>
        <v/>
      </c>
      <c r="I341" s="85">
        <f>'01_원자료'!P338*'03_가중치민감도'!$B$9+'01_원자료'!Q338*'03_가중치민감도'!$C$9+'01_원자료'!R338*'03_가중치민감도'!$D$9</f>
        <v/>
      </c>
      <c r="J341" s="85">
        <f>'01_원자료'!P338*'03_가중치민감도'!$B$10+'01_원자료'!Q338*'03_가중치민감도'!$C$10+'01_원자료'!R338*'03_가중치민감도'!$D$10</f>
        <v/>
      </c>
      <c r="K341" s="99">
        <f>COUNTIF($E$5:$E$979,"&lt;"&amp;E341)+(COUNTIF($E$5:$E$979,"="&amp;E341)+1)/2</f>
        <v/>
      </c>
      <c r="L341" s="99">
        <f>COUNTIF($F$5:$F$979,"&lt;"&amp;F341)+(COUNTIF($F$5:$F$979,"="&amp;F341)+1)/2</f>
        <v/>
      </c>
      <c r="M341" s="99">
        <f>COUNTIF($G$5:$G$979,"&lt;"&amp;G341)+(COUNTIF($G$5:$G$979,"="&amp;G341)+1)/2</f>
        <v/>
      </c>
      <c r="N341" s="99">
        <f>COUNTIF($H$5:$H$979,"&lt;"&amp;H341)+(COUNTIF($H$5:$H$979,"="&amp;H341)+1)/2</f>
        <v/>
      </c>
      <c r="O341" s="99">
        <f>COUNTIF($I$5:$I$979,"&lt;"&amp;I341)+(COUNTIF($I$5:$I$979,"="&amp;I341)+1)/2</f>
        <v/>
      </c>
      <c r="P341" s="99">
        <f>COUNTIF($J$5:$J$979,"&lt;"&amp;J341)+(COUNTIF($J$5:$J$979,"="&amp;J341)+1)/2</f>
        <v/>
      </c>
    </row>
    <row r="342" ht="15" customHeight="1" s="68">
      <c r="A342" s="70">
        <f>'01_원자료'!A339</f>
        <v/>
      </c>
      <c r="B342" s="70">
        <f>'01_원자료'!B339</f>
        <v/>
      </c>
      <c r="C342" s="70">
        <f>'01_원자료'!C339</f>
        <v/>
      </c>
      <c r="E342" s="85">
        <f>'01_원자료'!P339*'03_가중치민감도'!$B$5+'01_원자료'!Q339*'03_가중치민감도'!$C$5+'01_원자료'!R339*'03_가중치민감도'!$D$5</f>
        <v/>
      </c>
      <c r="F342" s="85">
        <f>'01_원자료'!P339*'03_가중치민감도'!$B$6+'01_원자료'!Q339*'03_가중치민감도'!$C$6+'01_원자료'!R339*'03_가중치민감도'!$D$6</f>
        <v/>
      </c>
      <c r="G342" s="85">
        <f>'01_원자료'!P339*'03_가중치민감도'!$B$7+'01_원자료'!Q339*'03_가중치민감도'!$C$7+'01_원자료'!R339*'03_가중치민감도'!$D$7</f>
        <v/>
      </c>
      <c r="H342" s="85">
        <f>'01_원자료'!P339*'03_가중치민감도'!$B$8+'01_원자료'!Q339*'03_가중치민감도'!$C$8+'01_원자료'!R339*'03_가중치민감도'!$D$8</f>
        <v/>
      </c>
      <c r="I342" s="85">
        <f>'01_원자료'!P339*'03_가중치민감도'!$B$9+'01_원자료'!Q339*'03_가중치민감도'!$C$9+'01_원자료'!R339*'03_가중치민감도'!$D$9</f>
        <v/>
      </c>
      <c r="J342" s="85">
        <f>'01_원자료'!P339*'03_가중치민감도'!$B$10+'01_원자료'!Q339*'03_가중치민감도'!$C$10+'01_원자료'!R339*'03_가중치민감도'!$D$10</f>
        <v/>
      </c>
      <c r="K342" s="99">
        <f>COUNTIF($E$5:$E$979,"&lt;"&amp;E342)+(COUNTIF($E$5:$E$979,"="&amp;E342)+1)/2</f>
        <v/>
      </c>
      <c r="L342" s="99">
        <f>COUNTIF($F$5:$F$979,"&lt;"&amp;F342)+(COUNTIF($F$5:$F$979,"="&amp;F342)+1)/2</f>
        <v/>
      </c>
      <c r="M342" s="99">
        <f>COUNTIF($G$5:$G$979,"&lt;"&amp;G342)+(COUNTIF($G$5:$G$979,"="&amp;G342)+1)/2</f>
        <v/>
      </c>
      <c r="N342" s="99">
        <f>COUNTIF($H$5:$H$979,"&lt;"&amp;H342)+(COUNTIF($H$5:$H$979,"="&amp;H342)+1)/2</f>
        <v/>
      </c>
      <c r="O342" s="99">
        <f>COUNTIF($I$5:$I$979,"&lt;"&amp;I342)+(COUNTIF($I$5:$I$979,"="&amp;I342)+1)/2</f>
        <v/>
      </c>
      <c r="P342" s="99">
        <f>COUNTIF($J$5:$J$979,"&lt;"&amp;J342)+(COUNTIF($J$5:$J$979,"="&amp;J342)+1)/2</f>
        <v/>
      </c>
    </row>
    <row r="343" ht="15" customHeight="1" s="68">
      <c r="A343" s="70">
        <f>'01_원자료'!A340</f>
        <v/>
      </c>
      <c r="B343" s="70">
        <f>'01_원자료'!B340</f>
        <v/>
      </c>
      <c r="C343" s="70">
        <f>'01_원자료'!C340</f>
        <v/>
      </c>
      <c r="E343" s="85">
        <f>'01_원자료'!P340*'03_가중치민감도'!$B$5+'01_원자료'!Q340*'03_가중치민감도'!$C$5+'01_원자료'!R340*'03_가중치민감도'!$D$5</f>
        <v/>
      </c>
      <c r="F343" s="85">
        <f>'01_원자료'!P340*'03_가중치민감도'!$B$6+'01_원자료'!Q340*'03_가중치민감도'!$C$6+'01_원자료'!R340*'03_가중치민감도'!$D$6</f>
        <v/>
      </c>
      <c r="G343" s="85">
        <f>'01_원자료'!P340*'03_가중치민감도'!$B$7+'01_원자료'!Q340*'03_가중치민감도'!$C$7+'01_원자료'!R340*'03_가중치민감도'!$D$7</f>
        <v/>
      </c>
      <c r="H343" s="85">
        <f>'01_원자료'!P340*'03_가중치민감도'!$B$8+'01_원자료'!Q340*'03_가중치민감도'!$C$8+'01_원자료'!R340*'03_가중치민감도'!$D$8</f>
        <v/>
      </c>
      <c r="I343" s="85">
        <f>'01_원자료'!P340*'03_가중치민감도'!$B$9+'01_원자료'!Q340*'03_가중치민감도'!$C$9+'01_원자료'!R340*'03_가중치민감도'!$D$9</f>
        <v/>
      </c>
      <c r="J343" s="85">
        <f>'01_원자료'!P340*'03_가중치민감도'!$B$10+'01_원자료'!Q340*'03_가중치민감도'!$C$10+'01_원자료'!R340*'03_가중치민감도'!$D$10</f>
        <v/>
      </c>
      <c r="K343" s="99">
        <f>COUNTIF($E$5:$E$979,"&lt;"&amp;E343)+(COUNTIF($E$5:$E$979,"="&amp;E343)+1)/2</f>
        <v/>
      </c>
      <c r="L343" s="99">
        <f>COUNTIF($F$5:$F$979,"&lt;"&amp;F343)+(COUNTIF($F$5:$F$979,"="&amp;F343)+1)/2</f>
        <v/>
      </c>
      <c r="M343" s="99">
        <f>COUNTIF($G$5:$G$979,"&lt;"&amp;G343)+(COUNTIF($G$5:$G$979,"="&amp;G343)+1)/2</f>
        <v/>
      </c>
      <c r="N343" s="99">
        <f>COUNTIF($H$5:$H$979,"&lt;"&amp;H343)+(COUNTIF($H$5:$H$979,"="&amp;H343)+1)/2</f>
        <v/>
      </c>
      <c r="O343" s="99">
        <f>COUNTIF($I$5:$I$979,"&lt;"&amp;I343)+(COUNTIF($I$5:$I$979,"="&amp;I343)+1)/2</f>
        <v/>
      </c>
      <c r="P343" s="99">
        <f>COUNTIF($J$5:$J$979,"&lt;"&amp;J343)+(COUNTIF($J$5:$J$979,"="&amp;J343)+1)/2</f>
        <v/>
      </c>
    </row>
    <row r="344" ht="15" customHeight="1" s="68">
      <c r="A344" s="70">
        <f>'01_원자료'!A341</f>
        <v/>
      </c>
      <c r="B344" s="70">
        <f>'01_원자료'!B341</f>
        <v/>
      </c>
      <c r="C344" s="70">
        <f>'01_원자료'!C341</f>
        <v/>
      </c>
      <c r="E344" s="85">
        <f>'01_원자료'!P341*'03_가중치민감도'!$B$5+'01_원자료'!Q341*'03_가중치민감도'!$C$5+'01_원자료'!R341*'03_가중치민감도'!$D$5</f>
        <v/>
      </c>
      <c r="F344" s="85">
        <f>'01_원자료'!P341*'03_가중치민감도'!$B$6+'01_원자료'!Q341*'03_가중치민감도'!$C$6+'01_원자료'!R341*'03_가중치민감도'!$D$6</f>
        <v/>
      </c>
      <c r="G344" s="85">
        <f>'01_원자료'!P341*'03_가중치민감도'!$B$7+'01_원자료'!Q341*'03_가중치민감도'!$C$7+'01_원자료'!R341*'03_가중치민감도'!$D$7</f>
        <v/>
      </c>
      <c r="H344" s="85">
        <f>'01_원자료'!P341*'03_가중치민감도'!$B$8+'01_원자료'!Q341*'03_가중치민감도'!$C$8+'01_원자료'!R341*'03_가중치민감도'!$D$8</f>
        <v/>
      </c>
      <c r="I344" s="85">
        <f>'01_원자료'!P341*'03_가중치민감도'!$B$9+'01_원자료'!Q341*'03_가중치민감도'!$C$9+'01_원자료'!R341*'03_가중치민감도'!$D$9</f>
        <v/>
      </c>
      <c r="J344" s="85">
        <f>'01_원자료'!P341*'03_가중치민감도'!$B$10+'01_원자료'!Q341*'03_가중치민감도'!$C$10+'01_원자료'!R341*'03_가중치민감도'!$D$10</f>
        <v/>
      </c>
      <c r="K344" s="99">
        <f>COUNTIF($E$5:$E$979,"&lt;"&amp;E344)+(COUNTIF($E$5:$E$979,"="&amp;E344)+1)/2</f>
        <v/>
      </c>
      <c r="L344" s="99">
        <f>COUNTIF($F$5:$F$979,"&lt;"&amp;F344)+(COUNTIF($F$5:$F$979,"="&amp;F344)+1)/2</f>
        <v/>
      </c>
      <c r="M344" s="99">
        <f>COUNTIF($G$5:$G$979,"&lt;"&amp;G344)+(COUNTIF($G$5:$G$979,"="&amp;G344)+1)/2</f>
        <v/>
      </c>
      <c r="N344" s="99">
        <f>COUNTIF($H$5:$H$979,"&lt;"&amp;H344)+(COUNTIF($H$5:$H$979,"="&amp;H344)+1)/2</f>
        <v/>
      </c>
      <c r="O344" s="99">
        <f>COUNTIF($I$5:$I$979,"&lt;"&amp;I344)+(COUNTIF($I$5:$I$979,"="&amp;I344)+1)/2</f>
        <v/>
      </c>
      <c r="P344" s="99">
        <f>COUNTIF($J$5:$J$979,"&lt;"&amp;J344)+(COUNTIF($J$5:$J$979,"="&amp;J344)+1)/2</f>
        <v/>
      </c>
    </row>
    <row r="345" ht="15" customHeight="1" s="68">
      <c r="A345" s="70">
        <f>'01_원자료'!A342</f>
        <v/>
      </c>
      <c r="B345" s="70">
        <f>'01_원자료'!B342</f>
        <v/>
      </c>
      <c r="C345" s="70">
        <f>'01_원자료'!C342</f>
        <v/>
      </c>
      <c r="E345" s="85">
        <f>'01_원자료'!P342*'03_가중치민감도'!$B$5+'01_원자료'!Q342*'03_가중치민감도'!$C$5+'01_원자료'!R342*'03_가중치민감도'!$D$5</f>
        <v/>
      </c>
      <c r="F345" s="85">
        <f>'01_원자료'!P342*'03_가중치민감도'!$B$6+'01_원자료'!Q342*'03_가중치민감도'!$C$6+'01_원자료'!R342*'03_가중치민감도'!$D$6</f>
        <v/>
      </c>
      <c r="G345" s="85">
        <f>'01_원자료'!P342*'03_가중치민감도'!$B$7+'01_원자료'!Q342*'03_가중치민감도'!$C$7+'01_원자료'!R342*'03_가중치민감도'!$D$7</f>
        <v/>
      </c>
      <c r="H345" s="85">
        <f>'01_원자료'!P342*'03_가중치민감도'!$B$8+'01_원자료'!Q342*'03_가중치민감도'!$C$8+'01_원자료'!R342*'03_가중치민감도'!$D$8</f>
        <v/>
      </c>
      <c r="I345" s="85">
        <f>'01_원자료'!P342*'03_가중치민감도'!$B$9+'01_원자료'!Q342*'03_가중치민감도'!$C$9+'01_원자료'!R342*'03_가중치민감도'!$D$9</f>
        <v/>
      </c>
      <c r="J345" s="85">
        <f>'01_원자료'!P342*'03_가중치민감도'!$B$10+'01_원자료'!Q342*'03_가중치민감도'!$C$10+'01_원자료'!R342*'03_가중치민감도'!$D$10</f>
        <v/>
      </c>
      <c r="K345" s="99">
        <f>COUNTIF($E$5:$E$979,"&lt;"&amp;E345)+(COUNTIF($E$5:$E$979,"="&amp;E345)+1)/2</f>
        <v/>
      </c>
      <c r="L345" s="99">
        <f>COUNTIF($F$5:$F$979,"&lt;"&amp;F345)+(COUNTIF($F$5:$F$979,"="&amp;F345)+1)/2</f>
        <v/>
      </c>
      <c r="M345" s="99">
        <f>COUNTIF($G$5:$G$979,"&lt;"&amp;G345)+(COUNTIF($G$5:$G$979,"="&amp;G345)+1)/2</f>
        <v/>
      </c>
      <c r="N345" s="99">
        <f>COUNTIF($H$5:$H$979,"&lt;"&amp;H345)+(COUNTIF($H$5:$H$979,"="&amp;H345)+1)/2</f>
        <v/>
      </c>
      <c r="O345" s="99">
        <f>COUNTIF($I$5:$I$979,"&lt;"&amp;I345)+(COUNTIF($I$5:$I$979,"="&amp;I345)+1)/2</f>
        <v/>
      </c>
      <c r="P345" s="99">
        <f>COUNTIF($J$5:$J$979,"&lt;"&amp;J345)+(COUNTIF($J$5:$J$979,"="&amp;J345)+1)/2</f>
        <v/>
      </c>
    </row>
    <row r="346" ht="15" customHeight="1" s="68">
      <c r="A346" s="70">
        <f>'01_원자료'!A343</f>
        <v/>
      </c>
      <c r="B346" s="70">
        <f>'01_원자료'!B343</f>
        <v/>
      </c>
      <c r="C346" s="70">
        <f>'01_원자료'!C343</f>
        <v/>
      </c>
      <c r="E346" s="85">
        <f>'01_원자료'!P343*'03_가중치민감도'!$B$5+'01_원자료'!Q343*'03_가중치민감도'!$C$5+'01_원자료'!R343*'03_가중치민감도'!$D$5</f>
        <v/>
      </c>
      <c r="F346" s="85">
        <f>'01_원자료'!P343*'03_가중치민감도'!$B$6+'01_원자료'!Q343*'03_가중치민감도'!$C$6+'01_원자료'!R343*'03_가중치민감도'!$D$6</f>
        <v/>
      </c>
      <c r="G346" s="85">
        <f>'01_원자료'!P343*'03_가중치민감도'!$B$7+'01_원자료'!Q343*'03_가중치민감도'!$C$7+'01_원자료'!R343*'03_가중치민감도'!$D$7</f>
        <v/>
      </c>
      <c r="H346" s="85">
        <f>'01_원자료'!P343*'03_가중치민감도'!$B$8+'01_원자료'!Q343*'03_가중치민감도'!$C$8+'01_원자료'!R343*'03_가중치민감도'!$D$8</f>
        <v/>
      </c>
      <c r="I346" s="85">
        <f>'01_원자료'!P343*'03_가중치민감도'!$B$9+'01_원자료'!Q343*'03_가중치민감도'!$C$9+'01_원자료'!R343*'03_가중치민감도'!$D$9</f>
        <v/>
      </c>
      <c r="J346" s="85">
        <f>'01_원자료'!P343*'03_가중치민감도'!$B$10+'01_원자료'!Q343*'03_가중치민감도'!$C$10+'01_원자료'!R343*'03_가중치민감도'!$D$10</f>
        <v/>
      </c>
      <c r="K346" s="99">
        <f>COUNTIF($E$5:$E$979,"&lt;"&amp;E346)+(COUNTIF($E$5:$E$979,"="&amp;E346)+1)/2</f>
        <v/>
      </c>
      <c r="L346" s="99">
        <f>COUNTIF($F$5:$F$979,"&lt;"&amp;F346)+(COUNTIF($F$5:$F$979,"="&amp;F346)+1)/2</f>
        <v/>
      </c>
      <c r="M346" s="99">
        <f>COUNTIF($G$5:$G$979,"&lt;"&amp;G346)+(COUNTIF($G$5:$G$979,"="&amp;G346)+1)/2</f>
        <v/>
      </c>
      <c r="N346" s="99">
        <f>COUNTIF($H$5:$H$979,"&lt;"&amp;H346)+(COUNTIF($H$5:$H$979,"="&amp;H346)+1)/2</f>
        <v/>
      </c>
      <c r="O346" s="99">
        <f>COUNTIF($I$5:$I$979,"&lt;"&amp;I346)+(COUNTIF($I$5:$I$979,"="&amp;I346)+1)/2</f>
        <v/>
      </c>
      <c r="P346" s="99">
        <f>COUNTIF($J$5:$J$979,"&lt;"&amp;J346)+(COUNTIF($J$5:$J$979,"="&amp;J346)+1)/2</f>
        <v/>
      </c>
    </row>
    <row r="347" ht="15" customHeight="1" s="68">
      <c r="A347" s="70">
        <f>'01_원자료'!A344</f>
        <v/>
      </c>
      <c r="B347" s="70">
        <f>'01_원자료'!B344</f>
        <v/>
      </c>
      <c r="C347" s="70">
        <f>'01_원자료'!C344</f>
        <v/>
      </c>
      <c r="E347" s="85">
        <f>'01_원자료'!P344*'03_가중치민감도'!$B$5+'01_원자료'!Q344*'03_가중치민감도'!$C$5+'01_원자료'!R344*'03_가중치민감도'!$D$5</f>
        <v/>
      </c>
      <c r="F347" s="85">
        <f>'01_원자료'!P344*'03_가중치민감도'!$B$6+'01_원자료'!Q344*'03_가중치민감도'!$C$6+'01_원자료'!R344*'03_가중치민감도'!$D$6</f>
        <v/>
      </c>
      <c r="G347" s="85">
        <f>'01_원자료'!P344*'03_가중치민감도'!$B$7+'01_원자료'!Q344*'03_가중치민감도'!$C$7+'01_원자료'!R344*'03_가중치민감도'!$D$7</f>
        <v/>
      </c>
      <c r="H347" s="85">
        <f>'01_원자료'!P344*'03_가중치민감도'!$B$8+'01_원자료'!Q344*'03_가중치민감도'!$C$8+'01_원자료'!R344*'03_가중치민감도'!$D$8</f>
        <v/>
      </c>
      <c r="I347" s="85">
        <f>'01_원자료'!P344*'03_가중치민감도'!$B$9+'01_원자료'!Q344*'03_가중치민감도'!$C$9+'01_원자료'!R344*'03_가중치민감도'!$D$9</f>
        <v/>
      </c>
      <c r="J347" s="85">
        <f>'01_원자료'!P344*'03_가중치민감도'!$B$10+'01_원자료'!Q344*'03_가중치민감도'!$C$10+'01_원자료'!R344*'03_가중치민감도'!$D$10</f>
        <v/>
      </c>
      <c r="K347" s="99">
        <f>COUNTIF($E$5:$E$979,"&lt;"&amp;E347)+(COUNTIF($E$5:$E$979,"="&amp;E347)+1)/2</f>
        <v/>
      </c>
      <c r="L347" s="99">
        <f>COUNTIF($F$5:$F$979,"&lt;"&amp;F347)+(COUNTIF($F$5:$F$979,"="&amp;F347)+1)/2</f>
        <v/>
      </c>
      <c r="M347" s="99">
        <f>COUNTIF($G$5:$G$979,"&lt;"&amp;G347)+(COUNTIF($G$5:$G$979,"="&amp;G347)+1)/2</f>
        <v/>
      </c>
      <c r="N347" s="99">
        <f>COUNTIF($H$5:$H$979,"&lt;"&amp;H347)+(COUNTIF($H$5:$H$979,"="&amp;H347)+1)/2</f>
        <v/>
      </c>
      <c r="O347" s="99">
        <f>COUNTIF($I$5:$I$979,"&lt;"&amp;I347)+(COUNTIF($I$5:$I$979,"="&amp;I347)+1)/2</f>
        <v/>
      </c>
      <c r="P347" s="99">
        <f>COUNTIF($J$5:$J$979,"&lt;"&amp;J347)+(COUNTIF($J$5:$J$979,"="&amp;J347)+1)/2</f>
        <v/>
      </c>
    </row>
    <row r="348" ht="15" customHeight="1" s="68">
      <c r="A348" s="70">
        <f>'01_원자료'!A345</f>
        <v/>
      </c>
      <c r="B348" s="70">
        <f>'01_원자료'!B345</f>
        <v/>
      </c>
      <c r="C348" s="70">
        <f>'01_원자료'!C345</f>
        <v/>
      </c>
      <c r="E348" s="85">
        <f>'01_원자료'!P345*'03_가중치민감도'!$B$5+'01_원자료'!Q345*'03_가중치민감도'!$C$5+'01_원자료'!R345*'03_가중치민감도'!$D$5</f>
        <v/>
      </c>
      <c r="F348" s="85">
        <f>'01_원자료'!P345*'03_가중치민감도'!$B$6+'01_원자료'!Q345*'03_가중치민감도'!$C$6+'01_원자료'!R345*'03_가중치민감도'!$D$6</f>
        <v/>
      </c>
      <c r="G348" s="85">
        <f>'01_원자료'!P345*'03_가중치민감도'!$B$7+'01_원자료'!Q345*'03_가중치민감도'!$C$7+'01_원자료'!R345*'03_가중치민감도'!$D$7</f>
        <v/>
      </c>
      <c r="H348" s="85">
        <f>'01_원자료'!P345*'03_가중치민감도'!$B$8+'01_원자료'!Q345*'03_가중치민감도'!$C$8+'01_원자료'!R345*'03_가중치민감도'!$D$8</f>
        <v/>
      </c>
      <c r="I348" s="85">
        <f>'01_원자료'!P345*'03_가중치민감도'!$B$9+'01_원자료'!Q345*'03_가중치민감도'!$C$9+'01_원자료'!R345*'03_가중치민감도'!$D$9</f>
        <v/>
      </c>
      <c r="J348" s="85">
        <f>'01_원자료'!P345*'03_가중치민감도'!$B$10+'01_원자료'!Q345*'03_가중치민감도'!$C$10+'01_원자료'!R345*'03_가중치민감도'!$D$10</f>
        <v/>
      </c>
      <c r="K348" s="99">
        <f>COUNTIF($E$5:$E$979,"&lt;"&amp;E348)+(COUNTIF($E$5:$E$979,"="&amp;E348)+1)/2</f>
        <v/>
      </c>
      <c r="L348" s="99">
        <f>COUNTIF($F$5:$F$979,"&lt;"&amp;F348)+(COUNTIF($F$5:$F$979,"="&amp;F348)+1)/2</f>
        <v/>
      </c>
      <c r="M348" s="99">
        <f>COUNTIF($G$5:$G$979,"&lt;"&amp;G348)+(COUNTIF($G$5:$G$979,"="&amp;G348)+1)/2</f>
        <v/>
      </c>
      <c r="N348" s="99">
        <f>COUNTIF($H$5:$H$979,"&lt;"&amp;H348)+(COUNTIF($H$5:$H$979,"="&amp;H348)+1)/2</f>
        <v/>
      </c>
      <c r="O348" s="99">
        <f>COUNTIF($I$5:$I$979,"&lt;"&amp;I348)+(COUNTIF($I$5:$I$979,"="&amp;I348)+1)/2</f>
        <v/>
      </c>
      <c r="P348" s="99">
        <f>COUNTIF($J$5:$J$979,"&lt;"&amp;J348)+(COUNTIF($J$5:$J$979,"="&amp;J348)+1)/2</f>
        <v/>
      </c>
    </row>
    <row r="349" ht="15" customHeight="1" s="68">
      <c r="A349" s="70">
        <f>'01_원자료'!A346</f>
        <v/>
      </c>
      <c r="B349" s="70">
        <f>'01_원자료'!B346</f>
        <v/>
      </c>
      <c r="C349" s="70">
        <f>'01_원자료'!C346</f>
        <v/>
      </c>
      <c r="E349" s="85">
        <f>'01_원자료'!P346*'03_가중치민감도'!$B$5+'01_원자료'!Q346*'03_가중치민감도'!$C$5+'01_원자료'!R346*'03_가중치민감도'!$D$5</f>
        <v/>
      </c>
      <c r="F349" s="85">
        <f>'01_원자료'!P346*'03_가중치민감도'!$B$6+'01_원자료'!Q346*'03_가중치민감도'!$C$6+'01_원자료'!R346*'03_가중치민감도'!$D$6</f>
        <v/>
      </c>
      <c r="G349" s="85">
        <f>'01_원자료'!P346*'03_가중치민감도'!$B$7+'01_원자료'!Q346*'03_가중치민감도'!$C$7+'01_원자료'!R346*'03_가중치민감도'!$D$7</f>
        <v/>
      </c>
      <c r="H349" s="85">
        <f>'01_원자료'!P346*'03_가중치민감도'!$B$8+'01_원자료'!Q346*'03_가중치민감도'!$C$8+'01_원자료'!R346*'03_가중치민감도'!$D$8</f>
        <v/>
      </c>
      <c r="I349" s="85">
        <f>'01_원자료'!P346*'03_가중치민감도'!$B$9+'01_원자료'!Q346*'03_가중치민감도'!$C$9+'01_원자료'!R346*'03_가중치민감도'!$D$9</f>
        <v/>
      </c>
      <c r="J349" s="85">
        <f>'01_원자료'!P346*'03_가중치민감도'!$B$10+'01_원자료'!Q346*'03_가중치민감도'!$C$10+'01_원자료'!R346*'03_가중치민감도'!$D$10</f>
        <v/>
      </c>
      <c r="K349" s="99">
        <f>COUNTIF($E$5:$E$979,"&lt;"&amp;E349)+(COUNTIF($E$5:$E$979,"="&amp;E349)+1)/2</f>
        <v/>
      </c>
      <c r="L349" s="99">
        <f>COUNTIF($F$5:$F$979,"&lt;"&amp;F349)+(COUNTIF($F$5:$F$979,"="&amp;F349)+1)/2</f>
        <v/>
      </c>
      <c r="M349" s="99">
        <f>COUNTIF($G$5:$G$979,"&lt;"&amp;G349)+(COUNTIF($G$5:$G$979,"="&amp;G349)+1)/2</f>
        <v/>
      </c>
      <c r="N349" s="99">
        <f>COUNTIF($H$5:$H$979,"&lt;"&amp;H349)+(COUNTIF($H$5:$H$979,"="&amp;H349)+1)/2</f>
        <v/>
      </c>
      <c r="O349" s="99">
        <f>COUNTIF($I$5:$I$979,"&lt;"&amp;I349)+(COUNTIF($I$5:$I$979,"="&amp;I349)+1)/2</f>
        <v/>
      </c>
      <c r="P349" s="99">
        <f>COUNTIF($J$5:$J$979,"&lt;"&amp;J349)+(COUNTIF($J$5:$J$979,"="&amp;J349)+1)/2</f>
        <v/>
      </c>
    </row>
    <row r="350" ht="15" customHeight="1" s="68">
      <c r="A350" s="70">
        <f>'01_원자료'!A347</f>
        <v/>
      </c>
      <c r="B350" s="70">
        <f>'01_원자료'!B347</f>
        <v/>
      </c>
      <c r="C350" s="70">
        <f>'01_원자료'!C347</f>
        <v/>
      </c>
      <c r="E350" s="85">
        <f>'01_원자료'!P347*'03_가중치민감도'!$B$5+'01_원자료'!Q347*'03_가중치민감도'!$C$5+'01_원자료'!R347*'03_가중치민감도'!$D$5</f>
        <v/>
      </c>
      <c r="F350" s="85">
        <f>'01_원자료'!P347*'03_가중치민감도'!$B$6+'01_원자료'!Q347*'03_가중치민감도'!$C$6+'01_원자료'!R347*'03_가중치민감도'!$D$6</f>
        <v/>
      </c>
      <c r="G350" s="85">
        <f>'01_원자료'!P347*'03_가중치민감도'!$B$7+'01_원자료'!Q347*'03_가중치민감도'!$C$7+'01_원자료'!R347*'03_가중치민감도'!$D$7</f>
        <v/>
      </c>
      <c r="H350" s="85">
        <f>'01_원자료'!P347*'03_가중치민감도'!$B$8+'01_원자료'!Q347*'03_가중치민감도'!$C$8+'01_원자료'!R347*'03_가중치민감도'!$D$8</f>
        <v/>
      </c>
      <c r="I350" s="85">
        <f>'01_원자료'!P347*'03_가중치민감도'!$B$9+'01_원자료'!Q347*'03_가중치민감도'!$C$9+'01_원자료'!R347*'03_가중치민감도'!$D$9</f>
        <v/>
      </c>
      <c r="J350" s="85">
        <f>'01_원자료'!P347*'03_가중치민감도'!$B$10+'01_원자료'!Q347*'03_가중치민감도'!$C$10+'01_원자료'!R347*'03_가중치민감도'!$D$10</f>
        <v/>
      </c>
      <c r="K350" s="99">
        <f>COUNTIF($E$5:$E$979,"&lt;"&amp;E350)+(COUNTIF($E$5:$E$979,"="&amp;E350)+1)/2</f>
        <v/>
      </c>
      <c r="L350" s="99">
        <f>COUNTIF($F$5:$F$979,"&lt;"&amp;F350)+(COUNTIF($F$5:$F$979,"="&amp;F350)+1)/2</f>
        <v/>
      </c>
      <c r="M350" s="99">
        <f>COUNTIF($G$5:$G$979,"&lt;"&amp;G350)+(COUNTIF($G$5:$G$979,"="&amp;G350)+1)/2</f>
        <v/>
      </c>
      <c r="N350" s="99">
        <f>COUNTIF($H$5:$H$979,"&lt;"&amp;H350)+(COUNTIF($H$5:$H$979,"="&amp;H350)+1)/2</f>
        <v/>
      </c>
      <c r="O350" s="99">
        <f>COUNTIF($I$5:$I$979,"&lt;"&amp;I350)+(COUNTIF($I$5:$I$979,"="&amp;I350)+1)/2</f>
        <v/>
      </c>
      <c r="P350" s="99">
        <f>COUNTIF($J$5:$J$979,"&lt;"&amp;J350)+(COUNTIF($J$5:$J$979,"="&amp;J350)+1)/2</f>
        <v/>
      </c>
    </row>
    <row r="351" ht="15" customHeight="1" s="68">
      <c r="A351" s="70">
        <f>'01_원자료'!A348</f>
        <v/>
      </c>
      <c r="B351" s="70">
        <f>'01_원자료'!B348</f>
        <v/>
      </c>
      <c r="C351" s="70">
        <f>'01_원자료'!C348</f>
        <v/>
      </c>
      <c r="E351" s="85">
        <f>'01_원자료'!P348*'03_가중치민감도'!$B$5+'01_원자료'!Q348*'03_가중치민감도'!$C$5+'01_원자료'!R348*'03_가중치민감도'!$D$5</f>
        <v/>
      </c>
      <c r="F351" s="85">
        <f>'01_원자료'!P348*'03_가중치민감도'!$B$6+'01_원자료'!Q348*'03_가중치민감도'!$C$6+'01_원자료'!R348*'03_가중치민감도'!$D$6</f>
        <v/>
      </c>
      <c r="G351" s="85">
        <f>'01_원자료'!P348*'03_가중치민감도'!$B$7+'01_원자료'!Q348*'03_가중치민감도'!$C$7+'01_원자료'!R348*'03_가중치민감도'!$D$7</f>
        <v/>
      </c>
      <c r="H351" s="85">
        <f>'01_원자료'!P348*'03_가중치민감도'!$B$8+'01_원자료'!Q348*'03_가중치민감도'!$C$8+'01_원자료'!R348*'03_가중치민감도'!$D$8</f>
        <v/>
      </c>
      <c r="I351" s="85">
        <f>'01_원자료'!P348*'03_가중치민감도'!$B$9+'01_원자료'!Q348*'03_가중치민감도'!$C$9+'01_원자료'!R348*'03_가중치민감도'!$D$9</f>
        <v/>
      </c>
      <c r="J351" s="85">
        <f>'01_원자료'!P348*'03_가중치민감도'!$B$10+'01_원자료'!Q348*'03_가중치민감도'!$C$10+'01_원자료'!R348*'03_가중치민감도'!$D$10</f>
        <v/>
      </c>
      <c r="K351" s="99">
        <f>COUNTIF($E$5:$E$979,"&lt;"&amp;E351)+(COUNTIF($E$5:$E$979,"="&amp;E351)+1)/2</f>
        <v/>
      </c>
      <c r="L351" s="99">
        <f>COUNTIF($F$5:$F$979,"&lt;"&amp;F351)+(COUNTIF($F$5:$F$979,"="&amp;F351)+1)/2</f>
        <v/>
      </c>
      <c r="M351" s="99">
        <f>COUNTIF($G$5:$G$979,"&lt;"&amp;G351)+(COUNTIF($G$5:$G$979,"="&amp;G351)+1)/2</f>
        <v/>
      </c>
      <c r="N351" s="99">
        <f>COUNTIF($H$5:$H$979,"&lt;"&amp;H351)+(COUNTIF($H$5:$H$979,"="&amp;H351)+1)/2</f>
        <v/>
      </c>
      <c r="O351" s="99">
        <f>COUNTIF($I$5:$I$979,"&lt;"&amp;I351)+(COUNTIF($I$5:$I$979,"="&amp;I351)+1)/2</f>
        <v/>
      </c>
      <c r="P351" s="99">
        <f>COUNTIF($J$5:$J$979,"&lt;"&amp;J351)+(COUNTIF($J$5:$J$979,"="&amp;J351)+1)/2</f>
        <v/>
      </c>
    </row>
    <row r="352" ht="15" customHeight="1" s="68">
      <c r="A352" s="70">
        <f>'01_원자료'!A349</f>
        <v/>
      </c>
      <c r="B352" s="70">
        <f>'01_원자료'!B349</f>
        <v/>
      </c>
      <c r="C352" s="70">
        <f>'01_원자료'!C349</f>
        <v/>
      </c>
      <c r="E352" s="85">
        <f>'01_원자료'!P349*'03_가중치민감도'!$B$5+'01_원자료'!Q349*'03_가중치민감도'!$C$5+'01_원자료'!R349*'03_가중치민감도'!$D$5</f>
        <v/>
      </c>
      <c r="F352" s="85">
        <f>'01_원자료'!P349*'03_가중치민감도'!$B$6+'01_원자료'!Q349*'03_가중치민감도'!$C$6+'01_원자료'!R349*'03_가중치민감도'!$D$6</f>
        <v/>
      </c>
      <c r="G352" s="85">
        <f>'01_원자료'!P349*'03_가중치민감도'!$B$7+'01_원자료'!Q349*'03_가중치민감도'!$C$7+'01_원자료'!R349*'03_가중치민감도'!$D$7</f>
        <v/>
      </c>
      <c r="H352" s="85">
        <f>'01_원자료'!P349*'03_가중치민감도'!$B$8+'01_원자료'!Q349*'03_가중치민감도'!$C$8+'01_원자료'!R349*'03_가중치민감도'!$D$8</f>
        <v/>
      </c>
      <c r="I352" s="85">
        <f>'01_원자료'!P349*'03_가중치민감도'!$B$9+'01_원자료'!Q349*'03_가중치민감도'!$C$9+'01_원자료'!R349*'03_가중치민감도'!$D$9</f>
        <v/>
      </c>
      <c r="J352" s="85">
        <f>'01_원자료'!P349*'03_가중치민감도'!$B$10+'01_원자료'!Q349*'03_가중치민감도'!$C$10+'01_원자료'!R349*'03_가중치민감도'!$D$10</f>
        <v/>
      </c>
      <c r="K352" s="99">
        <f>COUNTIF($E$5:$E$979,"&lt;"&amp;E352)+(COUNTIF($E$5:$E$979,"="&amp;E352)+1)/2</f>
        <v/>
      </c>
      <c r="L352" s="99">
        <f>COUNTIF($F$5:$F$979,"&lt;"&amp;F352)+(COUNTIF($F$5:$F$979,"="&amp;F352)+1)/2</f>
        <v/>
      </c>
      <c r="M352" s="99">
        <f>COUNTIF($G$5:$G$979,"&lt;"&amp;G352)+(COUNTIF($G$5:$G$979,"="&amp;G352)+1)/2</f>
        <v/>
      </c>
      <c r="N352" s="99">
        <f>COUNTIF($H$5:$H$979,"&lt;"&amp;H352)+(COUNTIF($H$5:$H$979,"="&amp;H352)+1)/2</f>
        <v/>
      </c>
      <c r="O352" s="99">
        <f>COUNTIF($I$5:$I$979,"&lt;"&amp;I352)+(COUNTIF($I$5:$I$979,"="&amp;I352)+1)/2</f>
        <v/>
      </c>
      <c r="P352" s="99">
        <f>COUNTIF($J$5:$J$979,"&lt;"&amp;J352)+(COUNTIF($J$5:$J$979,"="&amp;J352)+1)/2</f>
        <v/>
      </c>
    </row>
    <row r="353" ht="15" customHeight="1" s="68">
      <c r="A353" s="70">
        <f>'01_원자료'!A350</f>
        <v/>
      </c>
      <c r="B353" s="70">
        <f>'01_원자료'!B350</f>
        <v/>
      </c>
      <c r="C353" s="70">
        <f>'01_원자료'!C350</f>
        <v/>
      </c>
      <c r="E353" s="85">
        <f>'01_원자료'!P350*'03_가중치민감도'!$B$5+'01_원자료'!Q350*'03_가중치민감도'!$C$5+'01_원자료'!R350*'03_가중치민감도'!$D$5</f>
        <v/>
      </c>
      <c r="F353" s="85">
        <f>'01_원자료'!P350*'03_가중치민감도'!$B$6+'01_원자료'!Q350*'03_가중치민감도'!$C$6+'01_원자료'!R350*'03_가중치민감도'!$D$6</f>
        <v/>
      </c>
      <c r="G353" s="85">
        <f>'01_원자료'!P350*'03_가중치민감도'!$B$7+'01_원자료'!Q350*'03_가중치민감도'!$C$7+'01_원자료'!R350*'03_가중치민감도'!$D$7</f>
        <v/>
      </c>
      <c r="H353" s="85">
        <f>'01_원자료'!P350*'03_가중치민감도'!$B$8+'01_원자료'!Q350*'03_가중치민감도'!$C$8+'01_원자료'!R350*'03_가중치민감도'!$D$8</f>
        <v/>
      </c>
      <c r="I353" s="85">
        <f>'01_원자료'!P350*'03_가중치민감도'!$B$9+'01_원자료'!Q350*'03_가중치민감도'!$C$9+'01_원자료'!R350*'03_가중치민감도'!$D$9</f>
        <v/>
      </c>
      <c r="J353" s="85">
        <f>'01_원자료'!P350*'03_가중치민감도'!$B$10+'01_원자료'!Q350*'03_가중치민감도'!$C$10+'01_원자료'!R350*'03_가중치민감도'!$D$10</f>
        <v/>
      </c>
      <c r="K353" s="99">
        <f>COUNTIF($E$5:$E$979,"&lt;"&amp;E353)+(COUNTIF($E$5:$E$979,"="&amp;E353)+1)/2</f>
        <v/>
      </c>
      <c r="L353" s="99">
        <f>COUNTIF($F$5:$F$979,"&lt;"&amp;F353)+(COUNTIF($F$5:$F$979,"="&amp;F353)+1)/2</f>
        <v/>
      </c>
      <c r="M353" s="99">
        <f>COUNTIF($G$5:$G$979,"&lt;"&amp;G353)+(COUNTIF($G$5:$G$979,"="&amp;G353)+1)/2</f>
        <v/>
      </c>
      <c r="N353" s="99">
        <f>COUNTIF($H$5:$H$979,"&lt;"&amp;H353)+(COUNTIF($H$5:$H$979,"="&amp;H353)+1)/2</f>
        <v/>
      </c>
      <c r="O353" s="99">
        <f>COUNTIF($I$5:$I$979,"&lt;"&amp;I353)+(COUNTIF($I$5:$I$979,"="&amp;I353)+1)/2</f>
        <v/>
      </c>
      <c r="P353" s="99">
        <f>COUNTIF($J$5:$J$979,"&lt;"&amp;J353)+(COUNTIF($J$5:$J$979,"="&amp;J353)+1)/2</f>
        <v/>
      </c>
    </row>
    <row r="354" ht="15" customHeight="1" s="68">
      <c r="A354" s="70">
        <f>'01_원자료'!A351</f>
        <v/>
      </c>
      <c r="B354" s="70">
        <f>'01_원자료'!B351</f>
        <v/>
      </c>
      <c r="C354" s="70">
        <f>'01_원자료'!C351</f>
        <v/>
      </c>
      <c r="E354" s="85">
        <f>'01_원자료'!P351*'03_가중치민감도'!$B$5+'01_원자료'!Q351*'03_가중치민감도'!$C$5+'01_원자료'!R351*'03_가중치민감도'!$D$5</f>
        <v/>
      </c>
      <c r="F354" s="85">
        <f>'01_원자료'!P351*'03_가중치민감도'!$B$6+'01_원자료'!Q351*'03_가중치민감도'!$C$6+'01_원자료'!R351*'03_가중치민감도'!$D$6</f>
        <v/>
      </c>
      <c r="G354" s="85">
        <f>'01_원자료'!P351*'03_가중치민감도'!$B$7+'01_원자료'!Q351*'03_가중치민감도'!$C$7+'01_원자료'!R351*'03_가중치민감도'!$D$7</f>
        <v/>
      </c>
      <c r="H354" s="85">
        <f>'01_원자료'!P351*'03_가중치민감도'!$B$8+'01_원자료'!Q351*'03_가중치민감도'!$C$8+'01_원자료'!R351*'03_가중치민감도'!$D$8</f>
        <v/>
      </c>
      <c r="I354" s="85">
        <f>'01_원자료'!P351*'03_가중치민감도'!$B$9+'01_원자료'!Q351*'03_가중치민감도'!$C$9+'01_원자료'!R351*'03_가중치민감도'!$D$9</f>
        <v/>
      </c>
      <c r="J354" s="85">
        <f>'01_원자료'!P351*'03_가중치민감도'!$B$10+'01_원자료'!Q351*'03_가중치민감도'!$C$10+'01_원자료'!R351*'03_가중치민감도'!$D$10</f>
        <v/>
      </c>
      <c r="K354" s="99">
        <f>COUNTIF($E$5:$E$979,"&lt;"&amp;E354)+(COUNTIF($E$5:$E$979,"="&amp;E354)+1)/2</f>
        <v/>
      </c>
      <c r="L354" s="99">
        <f>COUNTIF($F$5:$F$979,"&lt;"&amp;F354)+(COUNTIF($F$5:$F$979,"="&amp;F354)+1)/2</f>
        <v/>
      </c>
      <c r="M354" s="99">
        <f>COUNTIF($G$5:$G$979,"&lt;"&amp;G354)+(COUNTIF($G$5:$G$979,"="&amp;G354)+1)/2</f>
        <v/>
      </c>
      <c r="N354" s="99">
        <f>COUNTIF($H$5:$H$979,"&lt;"&amp;H354)+(COUNTIF($H$5:$H$979,"="&amp;H354)+1)/2</f>
        <v/>
      </c>
      <c r="O354" s="99">
        <f>COUNTIF($I$5:$I$979,"&lt;"&amp;I354)+(COUNTIF($I$5:$I$979,"="&amp;I354)+1)/2</f>
        <v/>
      </c>
      <c r="P354" s="99">
        <f>COUNTIF($J$5:$J$979,"&lt;"&amp;J354)+(COUNTIF($J$5:$J$979,"="&amp;J354)+1)/2</f>
        <v/>
      </c>
    </row>
    <row r="355" ht="15" customHeight="1" s="68">
      <c r="A355" s="70">
        <f>'01_원자료'!A352</f>
        <v/>
      </c>
      <c r="B355" s="70">
        <f>'01_원자료'!B352</f>
        <v/>
      </c>
      <c r="C355" s="70">
        <f>'01_원자료'!C352</f>
        <v/>
      </c>
      <c r="E355" s="85">
        <f>'01_원자료'!P352*'03_가중치민감도'!$B$5+'01_원자료'!Q352*'03_가중치민감도'!$C$5+'01_원자료'!R352*'03_가중치민감도'!$D$5</f>
        <v/>
      </c>
      <c r="F355" s="85">
        <f>'01_원자료'!P352*'03_가중치민감도'!$B$6+'01_원자료'!Q352*'03_가중치민감도'!$C$6+'01_원자료'!R352*'03_가중치민감도'!$D$6</f>
        <v/>
      </c>
      <c r="G355" s="85">
        <f>'01_원자료'!P352*'03_가중치민감도'!$B$7+'01_원자료'!Q352*'03_가중치민감도'!$C$7+'01_원자료'!R352*'03_가중치민감도'!$D$7</f>
        <v/>
      </c>
      <c r="H355" s="85">
        <f>'01_원자료'!P352*'03_가중치민감도'!$B$8+'01_원자료'!Q352*'03_가중치민감도'!$C$8+'01_원자료'!R352*'03_가중치민감도'!$D$8</f>
        <v/>
      </c>
      <c r="I355" s="85">
        <f>'01_원자료'!P352*'03_가중치민감도'!$B$9+'01_원자료'!Q352*'03_가중치민감도'!$C$9+'01_원자료'!R352*'03_가중치민감도'!$D$9</f>
        <v/>
      </c>
      <c r="J355" s="85">
        <f>'01_원자료'!P352*'03_가중치민감도'!$B$10+'01_원자료'!Q352*'03_가중치민감도'!$C$10+'01_원자료'!R352*'03_가중치민감도'!$D$10</f>
        <v/>
      </c>
      <c r="K355" s="99">
        <f>COUNTIF($E$5:$E$979,"&lt;"&amp;E355)+(COUNTIF($E$5:$E$979,"="&amp;E355)+1)/2</f>
        <v/>
      </c>
      <c r="L355" s="99">
        <f>COUNTIF($F$5:$F$979,"&lt;"&amp;F355)+(COUNTIF($F$5:$F$979,"="&amp;F355)+1)/2</f>
        <v/>
      </c>
      <c r="M355" s="99">
        <f>COUNTIF($G$5:$G$979,"&lt;"&amp;G355)+(COUNTIF($G$5:$G$979,"="&amp;G355)+1)/2</f>
        <v/>
      </c>
      <c r="N355" s="99">
        <f>COUNTIF($H$5:$H$979,"&lt;"&amp;H355)+(COUNTIF($H$5:$H$979,"="&amp;H355)+1)/2</f>
        <v/>
      </c>
      <c r="O355" s="99">
        <f>COUNTIF($I$5:$I$979,"&lt;"&amp;I355)+(COUNTIF($I$5:$I$979,"="&amp;I355)+1)/2</f>
        <v/>
      </c>
      <c r="P355" s="99">
        <f>COUNTIF($J$5:$J$979,"&lt;"&amp;J355)+(COUNTIF($J$5:$J$979,"="&amp;J355)+1)/2</f>
        <v/>
      </c>
    </row>
    <row r="356" ht="15" customHeight="1" s="68">
      <c r="A356" s="70">
        <f>'01_원자료'!A353</f>
        <v/>
      </c>
      <c r="B356" s="70">
        <f>'01_원자료'!B353</f>
        <v/>
      </c>
      <c r="C356" s="70">
        <f>'01_원자료'!C353</f>
        <v/>
      </c>
      <c r="E356" s="85">
        <f>'01_원자료'!P353*'03_가중치민감도'!$B$5+'01_원자료'!Q353*'03_가중치민감도'!$C$5+'01_원자료'!R353*'03_가중치민감도'!$D$5</f>
        <v/>
      </c>
      <c r="F356" s="85">
        <f>'01_원자료'!P353*'03_가중치민감도'!$B$6+'01_원자료'!Q353*'03_가중치민감도'!$C$6+'01_원자료'!R353*'03_가중치민감도'!$D$6</f>
        <v/>
      </c>
      <c r="G356" s="85">
        <f>'01_원자료'!P353*'03_가중치민감도'!$B$7+'01_원자료'!Q353*'03_가중치민감도'!$C$7+'01_원자료'!R353*'03_가중치민감도'!$D$7</f>
        <v/>
      </c>
      <c r="H356" s="85">
        <f>'01_원자료'!P353*'03_가중치민감도'!$B$8+'01_원자료'!Q353*'03_가중치민감도'!$C$8+'01_원자료'!R353*'03_가중치민감도'!$D$8</f>
        <v/>
      </c>
      <c r="I356" s="85">
        <f>'01_원자료'!P353*'03_가중치민감도'!$B$9+'01_원자료'!Q353*'03_가중치민감도'!$C$9+'01_원자료'!R353*'03_가중치민감도'!$D$9</f>
        <v/>
      </c>
      <c r="J356" s="85">
        <f>'01_원자료'!P353*'03_가중치민감도'!$B$10+'01_원자료'!Q353*'03_가중치민감도'!$C$10+'01_원자료'!R353*'03_가중치민감도'!$D$10</f>
        <v/>
      </c>
      <c r="K356" s="99">
        <f>COUNTIF($E$5:$E$979,"&lt;"&amp;E356)+(COUNTIF($E$5:$E$979,"="&amp;E356)+1)/2</f>
        <v/>
      </c>
      <c r="L356" s="99">
        <f>COUNTIF($F$5:$F$979,"&lt;"&amp;F356)+(COUNTIF($F$5:$F$979,"="&amp;F356)+1)/2</f>
        <v/>
      </c>
      <c r="M356" s="99">
        <f>COUNTIF($G$5:$G$979,"&lt;"&amp;G356)+(COUNTIF($G$5:$G$979,"="&amp;G356)+1)/2</f>
        <v/>
      </c>
      <c r="N356" s="99">
        <f>COUNTIF($H$5:$H$979,"&lt;"&amp;H356)+(COUNTIF($H$5:$H$979,"="&amp;H356)+1)/2</f>
        <v/>
      </c>
      <c r="O356" s="99">
        <f>COUNTIF($I$5:$I$979,"&lt;"&amp;I356)+(COUNTIF($I$5:$I$979,"="&amp;I356)+1)/2</f>
        <v/>
      </c>
      <c r="P356" s="99">
        <f>COUNTIF($J$5:$J$979,"&lt;"&amp;J356)+(COUNTIF($J$5:$J$979,"="&amp;J356)+1)/2</f>
        <v/>
      </c>
    </row>
    <row r="357" ht="15" customHeight="1" s="68">
      <c r="A357" s="70">
        <f>'01_원자료'!A354</f>
        <v/>
      </c>
      <c r="B357" s="70">
        <f>'01_원자료'!B354</f>
        <v/>
      </c>
      <c r="C357" s="70">
        <f>'01_원자료'!C354</f>
        <v/>
      </c>
      <c r="E357" s="85">
        <f>'01_원자료'!P354*'03_가중치민감도'!$B$5+'01_원자료'!Q354*'03_가중치민감도'!$C$5+'01_원자료'!R354*'03_가중치민감도'!$D$5</f>
        <v/>
      </c>
      <c r="F357" s="85">
        <f>'01_원자료'!P354*'03_가중치민감도'!$B$6+'01_원자료'!Q354*'03_가중치민감도'!$C$6+'01_원자료'!R354*'03_가중치민감도'!$D$6</f>
        <v/>
      </c>
      <c r="G357" s="85">
        <f>'01_원자료'!P354*'03_가중치민감도'!$B$7+'01_원자료'!Q354*'03_가중치민감도'!$C$7+'01_원자료'!R354*'03_가중치민감도'!$D$7</f>
        <v/>
      </c>
      <c r="H357" s="85">
        <f>'01_원자료'!P354*'03_가중치민감도'!$B$8+'01_원자료'!Q354*'03_가중치민감도'!$C$8+'01_원자료'!R354*'03_가중치민감도'!$D$8</f>
        <v/>
      </c>
      <c r="I357" s="85">
        <f>'01_원자료'!P354*'03_가중치민감도'!$B$9+'01_원자료'!Q354*'03_가중치민감도'!$C$9+'01_원자료'!R354*'03_가중치민감도'!$D$9</f>
        <v/>
      </c>
      <c r="J357" s="85">
        <f>'01_원자료'!P354*'03_가중치민감도'!$B$10+'01_원자료'!Q354*'03_가중치민감도'!$C$10+'01_원자료'!R354*'03_가중치민감도'!$D$10</f>
        <v/>
      </c>
      <c r="K357" s="99">
        <f>COUNTIF($E$5:$E$979,"&lt;"&amp;E357)+(COUNTIF($E$5:$E$979,"="&amp;E357)+1)/2</f>
        <v/>
      </c>
      <c r="L357" s="99">
        <f>COUNTIF($F$5:$F$979,"&lt;"&amp;F357)+(COUNTIF($F$5:$F$979,"="&amp;F357)+1)/2</f>
        <v/>
      </c>
      <c r="M357" s="99">
        <f>COUNTIF($G$5:$G$979,"&lt;"&amp;G357)+(COUNTIF($G$5:$G$979,"="&amp;G357)+1)/2</f>
        <v/>
      </c>
      <c r="N357" s="99">
        <f>COUNTIF($H$5:$H$979,"&lt;"&amp;H357)+(COUNTIF($H$5:$H$979,"="&amp;H357)+1)/2</f>
        <v/>
      </c>
      <c r="O357" s="99">
        <f>COUNTIF($I$5:$I$979,"&lt;"&amp;I357)+(COUNTIF($I$5:$I$979,"="&amp;I357)+1)/2</f>
        <v/>
      </c>
      <c r="P357" s="99">
        <f>COUNTIF($J$5:$J$979,"&lt;"&amp;J357)+(COUNTIF($J$5:$J$979,"="&amp;J357)+1)/2</f>
        <v/>
      </c>
    </row>
    <row r="358" ht="15" customHeight="1" s="68">
      <c r="A358" s="70">
        <f>'01_원자료'!A355</f>
        <v/>
      </c>
      <c r="B358" s="70">
        <f>'01_원자료'!B355</f>
        <v/>
      </c>
      <c r="C358" s="70">
        <f>'01_원자료'!C355</f>
        <v/>
      </c>
      <c r="E358" s="85">
        <f>'01_원자료'!P355*'03_가중치민감도'!$B$5+'01_원자료'!Q355*'03_가중치민감도'!$C$5+'01_원자료'!R355*'03_가중치민감도'!$D$5</f>
        <v/>
      </c>
      <c r="F358" s="85">
        <f>'01_원자료'!P355*'03_가중치민감도'!$B$6+'01_원자료'!Q355*'03_가중치민감도'!$C$6+'01_원자료'!R355*'03_가중치민감도'!$D$6</f>
        <v/>
      </c>
      <c r="G358" s="85">
        <f>'01_원자료'!P355*'03_가중치민감도'!$B$7+'01_원자료'!Q355*'03_가중치민감도'!$C$7+'01_원자료'!R355*'03_가중치민감도'!$D$7</f>
        <v/>
      </c>
      <c r="H358" s="85">
        <f>'01_원자료'!P355*'03_가중치민감도'!$B$8+'01_원자료'!Q355*'03_가중치민감도'!$C$8+'01_원자료'!R355*'03_가중치민감도'!$D$8</f>
        <v/>
      </c>
      <c r="I358" s="85">
        <f>'01_원자료'!P355*'03_가중치민감도'!$B$9+'01_원자료'!Q355*'03_가중치민감도'!$C$9+'01_원자료'!R355*'03_가중치민감도'!$D$9</f>
        <v/>
      </c>
      <c r="J358" s="85">
        <f>'01_원자료'!P355*'03_가중치민감도'!$B$10+'01_원자료'!Q355*'03_가중치민감도'!$C$10+'01_원자료'!R355*'03_가중치민감도'!$D$10</f>
        <v/>
      </c>
      <c r="K358" s="99">
        <f>COUNTIF($E$5:$E$979,"&lt;"&amp;E358)+(COUNTIF($E$5:$E$979,"="&amp;E358)+1)/2</f>
        <v/>
      </c>
      <c r="L358" s="99">
        <f>COUNTIF($F$5:$F$979,"&lt;"&amp;F358)+(COUNTIF($F$5:$F$979,"="&amp;F358)+1)/2</f>
        <v/>
      </c>
      <c r="M358" s="99">
        <f>COUNTIF($G$5:$G$979,"&lt;"&amp;G358)+(COUNTIF($G$5:$G$979,"="&amp;G358)+1)/2</f>
        <v/>
      </c>
      <c r="N358" s="99">
        <f>COUNTIF($H$5:$H$979,"&lt;"&amp;H358)+(COUNTIF($H$5:$H$979,"="&amp;H358)+1)/2</f>
        <v/>
      </c>
      <c r="O358" s="99">
        <f>COUNTIF($I$5:$I$979,"&lt;"&amp;I358)+(COUNTIF($I$5:$I$979,"="&amp;I358)+1)/2</f>
        <v/>
      </c>
      <c r="P358" s="99">
        <f>COUNTIF($J$5:$J$979,"&lt;"&amp;J358)+(COUNTIF($J$5:$J$979,"="&amp;J358)+1)/2</f>
        <v/>
      </c>
    </row>
    <row r="359" ht="15" customHeight="1" s="68">
      <c r="A359" s="70">
        <f>'01_원자료'!A356</f>
        <v/>
      </c>
      <c r="B359" s="70">
        <f>'01_원자료'!B356</f>
        <v/>
      </c>
      <c r="C359" s="70">
        <f>'01_원자료'!C356</f>
        <v/>
      </c>
      <c r="E359" s="85">
        <f>'01_원자료'!P356*'03_가중치민감도'!$B$5+'01_원자료'!Q356*'03_가중치민감도'!$C$5+'01_원자료'!R356*'03_가중치민감도'!$D$5</f>
        <v/>
      </c>
      <c r="F359" s="85">
        <f>'01_원자료'!P356*'03_가중치민감도'!$B$6+'01_원자료'!Q356*'03_가중치민감도'!$C$6+'01_원자료'!R356*'03_가중치민감도'!$D$6</f>
        <v/>
      </c>
      <c r="G359" s="85">
        <f>'01_원자료'!P356*'03_가중치민감도'!$B$7+'01_원자료'!Q356*'03_가중치민감도'!$C$7+'01_원자료'!R356*'03_가중치민감도'!$D$7</f>
        <v/>
      </c>
      <c r="H359" s="85">
        <f>'01_원자료'!P356*'03_가중치민감도'!$B$8+'01_원자료'!Q356*'03_가중치민감도'!$C$8+'01_원자료'!R356*'03_가중치민감도'!$D$8</f>
        <v/>
      </c>
      <c r="I359" s="85">
        <f>'01_원자료'!P356*'03_가중치민감도'!$B$9+'01_원자료'!Q356*'03_가중치민감도'!$C$9+'01_원자료'!R356*'03_가중치민감도'!$D$9</f>
        <v/>
      </c>
      <c r="J359" s="85">
        <f>'01_원자료'!P356*'03_가중치민감도'!$B$10+'01_원자료'!Q356*'03_가중치민감도'!$C$10+'01_원자료'!R356*'03_가중치민감도'!$D$10</f>
        <v/>
      </c>
      <c r="K359" s="99">
        <f>COUNTIF($E$5:$E$979,"&lt;"&amp;E359)+(COUNTIF($E$5:$E$979,"="&amp;E359)+1)/2</f>
        <v/>
      </c>
      <c r="L359" s="99">
        <f>COUNTIF($F$5:$F$979,"&lt;"&amp;F359)+(COUNTIF($F$5:$F$979,"="&amp;F359)+1)/2</f>
        <v/>
      </c>
      <c r="M359" s="99">
        <f>COUNTIF($G$5:$G$979,"&lt;"&amp;G359)+(COUNTIF($G$5:$G$979,"="&amp;G359)+1)/2</f>
        <v/>
      </c>
      <c r="N359" s="99">
        <f>COUNTIF($H$5:$H$979,"&lt;"&amp;H359)+(COUNTIF($H$5:$H$979,"="&amp;H359)+1)/2</f>
        <v/>
      </c>
      <c r="O359" s="99">
        <f>COUNTIF($I$5:$I$979,"&lt;"&amp;I359)+(COUNTIF($I$5:$I$979,"="&amp;I359)+1)/2</f>
        <v/>
      </c>
      <c r="P359" s="99">
        <f>COUNTIF($J$5:$J$979,"&lt;"&amp;J359)+(COUNTIF($J$5:$J$979,"="&amp;J359)+1)/2</f>
        <v/>
      </c>
    </row>
    <row r="360" ht="15" customHeight="1" s="68">
      <c r="A360" s="70">
        <f>'01_원자료'!A357</f>
        <v/>
      </c>
      <c r="B360" s="70">
        <f>'01_원자료'!B357</f>
        <v/>
      </c>
      <c r="C360" s="70">
        <f>'01_원자료'!C357</f>
        <v/>
      </c>
      <c r="E360" s="85">
        <f>'01_원자료'!P357*'03_가중치민감도'!$B$5+'01_원자료'!Q357*'03_가중치민감도'!$C$5+'01_원자료'!R357*'03_가중치민감도'!$D$5</f>
        <v/>
      </c>
      <c r="F360" s="85">
        <f>'01_원자료'!P357*'03_가중치민감도'!$B$6+'01_원자료'!Q357*'03_가중치민감도'!$C$6+'01_원자료'!R357*'03_가중치민감도'!$D$6</f>
        <v/>
      </c>
      <c r="G360" s="85">
        <f>'01_원자료'!P357*'03_가중치민감도'!$B$7+'01_원자료'!Q357*'03_가중치민감도'!$C$7+'01_원자료'!R357*'03_가중치민감도'!$D$7</f>
        <v/>
      </c>
      <c r="H360" s="85">
        <f>'01_원자료'!P357*'03_가중치민감도'!$B$8+'01_원자료'!Q357*'03_가중치민감도'!$C$8+'01_원자료'!R357*'03_가중치민감도'!$D$8</f>
        <v/>
      </c>
      <c r="I360" s="85">
        <f>'01_원자료'!P357*'03_가중치민감도'!$B$9+'01_원자료'!Q357*'03_가중치민감도'!$C$9+'01_원자료'!R357*'03_가중치민감도'!$D$9</f>
        <v/>
      </c>
      <c r="J360" s="85">
        <f>'01_원자료'!P357*'03_가중치민감도'!$B$10+'01_원자료'!Q357*'03_가중치민감도'!$C$10+'01_원자료'!R357*'03_가중치민감도'!$D$10</f>
        <v/>
      </c>
      <c r="K360" s="99">
        <f>COUNTIF($E$5:$E$979,"&lt;"&amp;E360)+(COUNTIF($E$5:$E$979,"="&amp;E360)+1)/2</f>
        <v/>
      </c>
      <c r="L360" s="99">
        <f>COUNTIF($F$5:$F$979,"&lt;"&amp;F360)+(COUNTIF($F$5:$F$979,"="&amp;F360)+1)/2</f>
        <v/>
      </c>
      <c r="M360" s="99">
        <f>COUNTIF($G$5:$G$979,"&lt;"&amp;G360)+(COUNTIF($G$5:$G$979,"="&amp;G360)+1)/2</f>
        <v/>
      </c>
      <c r="N360" s="99">
        <f>COUNTIF($H$5:$H$979,"&lt;"&amp;H360)+(COUNTIF($H$5:$H$979,"="&amp;H360)+1)/2</f>
        <v/>
      </c>
      <c r="O360" s="99">
        <f>COUNTIF($I$5:$I$979,"&lt;"&amp;I360)+(COUNTIF($I$5:$I$979,"="&amp;I360)+1)/2</f>
        <v/>
      </c>
      <c r="P360" s="99">
        <f>COUNTIF($J$5:$J$979,"&lt;"&amp;J360)+(COUNTIF($J$5:$J$979,"="&amp;J360)+1)/2</f>
        <v/>
      </c>
    </row>
    <row r="361" ht="15" customHeight="1" s="68">
      <c r="A361" s="70">
        <f>'01_원자료'!A358</f>
        <v/>
      </c>
      <c r="B361" s="70">
        <f>'01_원자료'!B358</f>
        <v/>
      </c>
      <c r="C361" s="70">
        <f>'01_원자료'!C358</f>
        <v/>
      </c>
      <c r="E361" s="85">
        <f>'01_원자료'!P358*'03_가중치민감도'!$B$5+'01_원자료'!Q358*'03_가중치민감도'!$C$5+'01_원자료'!R358*'03_가중치민감도'!$D$5</f>
        <v/>
      </c>
      <c r="F361" s="85">
        <f>'01_원자료'!P358*'03_가중치민감도'!$B$6+'01_원자료'!Q358*'03_가중치민감도'!$C$6+'01_원자료'!R358*'03_가중치민감도'!$D$6</f>
        <v/>
      </c>
      <c r="G361" s="85">
        <f>'01_원자료'!P358*'03_가중치민감도'!$B$7+'01_원자료'!Q358*'03_가중치민감도'!$C$7+'01_원자료'!R358*'03_가중치민감도'!$D$7</f>
        <v/>
      </c>
      <c r="H361" s="85">
        <f>'01_원자료'!P358*'03_가중치민감도'!$B$8+'01_원자료'!Q358*'03_가중치민감도'!$C$8+'01_원자료'!R358*'03_가중치민감도'!$D$8</f>
        <v/>
      </c>
      <c r="I361" s="85">
        <f>'01_원자료'!P358*'03_가중치민감도'!$B$9+'01_원자료'!Q358*'03_가중치민감도'!$C$9+'01_원자료'!R358*'03_가중치민감도'!$D$9</f>
        <v/>
      </c>
      <c r="J361" s="85">
        <f>'01_원자료'!P358*'03_가중치민감도'!$B$10+'01_원자료'!Q358*'03_가중치민감도'!$C$10+'01_원자료'!R358*'03_가중치민감도'!$D$10</f>
        <v/>
      </c>
      <c r="K361" s="99">
        <f>COUNTIF($E$5:$E$979,"&lt;"&amp;E361)+(COUNTIF($E$5:$E$979,"="&amp;E361)+1)/2</f>
        <v/>
      </c>
      <c r="L361" s="99">
        <f>COUNTIF($F$5:$F$979,"&lt;"&amp;F361)+(COUNTIF($F$5:$F$979,"="&amp;F361)+1)/2</f>
        <v/>
      </c>
      <c r="M361" s="99">
        <f>COUNTIF($G$5:$G$979,"&lt;"&amp;G361)+(COUNTIF($G$5:$G$979,"="&amp;G361)+1)/2</f>
        <v/>
      </c>
      <c r="N361" s="99">
        <f>COUNTIF($H$5:$H$979,"&lt;"&amp;H361)+(COUNTIF($H$5:$H$979,"="&amp;H361)+1)/2</f>
        <v/>
      </c>
      <c r="O361" s="99">
        <f>COUNTIF($I$5:$I$979,"&lt;"&amp;I361)+(COUNTIF($I$5:$I$979,"="&amp;I361)+1)/2</f>
        <v/>
      </c>
      <c r="P361" s="99">
        <f>COUNTIF($J$5:$J$979,"&lt;"&amp;J361)+(COUNTIF($J$5:$J$979,"="&amp;J361)+1)/2</f>
        <v/>
      </c>
    </row>
    <row r="362" ht="15" customHeight="1" s="68">
      <c r="A362" s="70">
        <f>'01_원자료'!A359</f>
        <v/>
      </c>
      <c r="B362" s="70">
        <f>'01_원자료'!B359</f>
        <v/>
      </c>
      <c r="C362" s="70">
        <f>'01_원자료'!C359</f>
        <v/>
      </c>
      <c r="E362" s="85">
        <f>'01_원자료'!P359*'03_가중치민감도'!$B$5+'01_원자료'!Q359*'03_가중치민감도'!$C$5+'01_원자료'!R359*'03_가중치민감도'!$D$5</f>
        <v/>
      </c>
      <c r="F362" s="85">
        <f>'01_원자료'!P359*'03_가중치민감도'!$B$6+'01_원자료'!Q359*'03_가중치민감도'!$C$6+'01_원자료'!R359*'03_가중치민감도'!$D$6</f>
        <v/>
      </c>
      <c r="G362" s="85">
        <f>'01_원자료'!P359*'03_가중치민감도'!$B$7+'01_원자료'!Q359*'03_가중치민감도'!$C$7+'01_원자료'!R359*'03_가중치민감도'!$D$7</f>
        <v/>
      </c>
      <c r="H362" s="85">
        <f>'01_원자료'!P359*'03_가중치민감도'!$B$8+'01_원자료'!Q359*'03_가중치민감도'!$C$8+'01_원자료'!R359*'03_가중치민감도'!$D$8</f>
        <v/>
      </c>
      <c r="I362" s="85">
        <f>'01_원자료'!P359*'03_가중치민감도'!$B$9+'01_원자료'!Q359*'03_가중치민감도'!$C$9+'01_원자료'!R359*'03_가중치민감도'!$D$9</f>
        <v/>
      </c>
      <c r="J362" s="85">
        <f>'01_원자료'!P359*'03_가중치민감도'!$B$10+'01_원자료'!Q359*'03_가중치민감도'!$C$10+'01_원자료'!R359*'03_가중치민감도'!$D$10</f>
        <v/>
      </c>
      <c r="K362" s="99">
        <f>COUNTIF($E$5:$E$979,"&lt;"&amp;E362)+(COUNTIF($E$5:$E$979,"="&amp;E362)+1)/2</f>
        <v/>
      </c>
      <c r="L362" s="99">
        <f>COUNTIF($F$5:$F$979,"&lt;"&amp;F362)+(COUNTIF($F$5:$F$979,"="&amp;F362)+1)/2</f>
        <v/>
      </c>
      <c r="M362" s="99">
        <f>COUNTIF($G$5:$G$979,"&lt;"&amp;G362)+(COUNTIF($G$5:$G$979,"="&amp;G362)+1)/2</f>
        <v/>
      </c>
      <c r="N362" s="99">
        <f>COUNTIF($H$5:$H$979,"&lt;"&amp;H362)+(COUNTIF($H$5:$H$979,"="&amp;H362)+1)/2</f>
        <v/>
      </c>
      <c r="O362" s="99">
        <f>COUNTIF($I$5:$I$979,"&lt;"&amp;I362)+(COUNTIF($I$5:$I$979,"="&amp;I362)+1)/2</f>
        <v/>
      </c>
      <c r="P362" s="99">
        <f>COUNTIF($J$5:$J$979,"&lt;"&amp;J362)+(COUNTIF($J$5:$J$979,"="&amp;J362)+1)/2</f>
        <v/>
      </c>
    </row>
    <row r="363" ht="15" customHeight="1" s="68">
      <c r="A363" s="70">
        <f>'01_원자료'!A360</f>
        <v/>
      </c>
      <c r="B363" s="70">
        <f>'01_원자료'!B360</f>
        <v/>
      </c>
      <c r="C363" s="70">
        <f>'01_원자료'!C360</f>
        <v/>
      </c>
      <c r="E363" s="85">
        <f>'01_원자료'!P360*'03_가중치민감도'!$B$5+'01_원자료'!Q360*'03_가중치민감도'!$C$5+'01_원자료'!R360*'03_가중치민감도'!$D$5</f>
        <v/>
      </c>
      <c r="F363" s="85">
        <f>'01_원자료'!P360*'03_가중치민감도'!$B$6+'01_원자료'!Q360*'03_가중치민감도'!$C$6+'01_원자료'!R360*'03_가중치민감도'!$D$6</f>
        <v/>
      </c>
      <c r="G363" s="85">
        <f>'01_원자료'!P360*'03_가중치민감도'!$B$7+'01_원자료'!Q360*'03_가중치민감도'!$C$7+'01_원자료'!R360*'03_가중치민감도'!$D$7</f>
        <v/>
      </c>
      <c r="H363" s="85">
        <f>'01_원자료'!P360*'03_가중치민감도'!$B$8+'01_원자료'!Q360*'03_가중치민감도'!$C$8+'01_원자료'!R360*'03_가중치민감도'!$D$8</f>
        <v/>
      </c>
      <c r="I363" s="85">
        <f>'01_원자료'!P360*'03_가중치민감도'!$B$9+'01_원자료'!Q360*'03_가중치민감도'!$C$9+'01_원자료'!R360*'03_가중치민감도'!$D$9</f>
        <v/>
      </c>
      <c r="J363" s="85">
        <f>'01_원자료'!P360*'03_가중치민감도'!$B$10+'01_원자료'!Q360*'03_가중치민감도'!$C$10+'01_원자료'!R360*'03_가중치민감도'!$D$10</f>
        <v/>
      </c>
      <c r="K363" s="99">
        <f>COUNTIF($E$5:$E$979,"&lt;"&amp;E363)+(COUNTIF($E$5:$E$979,"="&amp;E363)+1)/2</f>
        <v/>
      </c>
      <c r="L363" s="99">
        <f>COUNTIF($F$5:$F$979,"&lt;"&amp;F363)+(COUNTIF($F$5:$F$979,"="&amp;F363)+1)/2</f>
        <v/>
      </c>
      <c r="M363" s="99">
        <f>COUNTIF($G$5:$G$979,"&lt;"&amp;G363)+(COUNTIF($G$5:$G$979,"="&amp;G363)+1)/2</f>
        <v/>
      </c>
      <c r="N363" s="99">
        <f>COUNTIF($H$5:$H$979,"&lt;"&amp;H363)+(COUNTIF($H$5:$H$979,"="&amp;H363)+1)/2</f>
        <v/>
      </c>
      <c r="O363" s="99">
        <f>COUNTIF($I$5:$I$979,"&lt;"&amp;I363)+(COUNTIF($I$5:$I$979,"="&amp;I363)+1)/2</f>
        <v/>
      </c>
      <c r="P363" s="99">
        <f>COUNTIF($J$5:$J$979,"&lt;"&amp;J363)+(COUNTIF($J$5:$J$979,"="&amp;J363)+1)/2</f>
        <v/>
      </c>
    </row>
    <row r="364" ht="15" customHeight="1" s="68">
      <c r="A364" s="70">
        <f>'01_원자료'!A361</f>
        <v/>
      </c>
      <c r="B364" s="70">
        <f>'01_원자료'!B361</f>
        <v/>
      </c>
      <c r="C364" s="70">
        <f>'01_원자료'!C361</f>
        <v/>
      </c>
      <c r="E364" s="85">
        <f>'01_원자료'!P361*'03_가중치민감도'!$B$5+'01_원자료'!Q361*'03_가중치민감도'!$C$5+'01_원자료'!R361*'03_가중치민감도'!$D$5</f>
        <v/>
      </c>
      <c r="F364" s="85">
        <f>'01_원자료'!P361*'03_가중치민감도'!$B$6+'01_원자료'!Q361*'03_가중치민감도'!$C$6+'01_원자료'!R361*'03_가중치민감도'!$D$6</f>
        <v/>
      </c>
      <c r="G364" s="85">
        <f>'01_원자료'!P361*'03_가중치민감도'!$B$7+'01_원자료'!Q361*'03_가중치민감도'!$C$7+'01_원자료'!R361*'03_가중치민감도'!$D$7</f>
        <v/>
      </c>
      <c r="H364" s="85">
        <f>'01_원자료'!P361*'03_가중치민감도'!$B$8+'01_원자료'!Q361*'03_가중치민감도'!$C$8+'01_원자료'!R361*'03_가중치민감도'!$D$8</f>
        <v/>
      </c>
      <c r="I364" s="85">
        <f>'01_원자료'!P361*'03_가중치민감도'!$B$9+'01_원자료'!Q361*'03_가중치민감도'!$C$9+'01_원자료'!R361*'03_가중치민감도'!$D$9</f>
        <v/>
      </c>
      <c r="J364" s="85">
        <f>'01_원자료'!P361*'03_가중치민감도'!$B$10+'01_원자료'!Q361*'03_가중치민감도'!$C$10+'01_원자료'!R361*'03_가중치민감도'!$D$10</f>
        <v/>
      </c>
      <c r="K364" s="99">
        <f>COUNTIF($E$5:$E$979,"&lt;"&amp;E364)+(COUNTIF($E$5:$E$979,"="&amp;E364)+1)/2</f>
        <v/>
      </c>
      <c r="L364" s="99">
        <f>COUNTIF($F$5:$F$979,"&lt;"&amp;F364)+(COUNTIF($F$5:$F$979,"="&amp;F364)+1)/2</f>
        <v/>
      </c>
      <c r="M364" s="99">
        <f>COUNTIF($G$5:$G$979,"&lt;"&amp;G364)+(COUNTIF($G$5:$G$979,"="&amp;G364)+1)/2</f>
        <v/>
      </c>
      <c r="N364" s="99">
        <f>COUNTIF($H$5:$H$979,"&lt;"&amp;H364)+(COUNTIF($H$5:$H$979,"="&amp;H364)+1)/2</f>
        <v/>
      </c>
      <c r="O364" s="99">
        <f>COUNTIF($I$5:$I$979,"&lt;"&amp;I364)+(COUNTIF($I$5:$I$979,"="&amp;I364)+1)/2</f>
        <v/>
      </c>
      <c r="P364" s="99">
        <f>COUNTIF($J$5:$J$979,"&lt;"&amp;J364)+(COUNTIF($J$5:$J$979,"="&amp;J364)+1)/2</f>
        <v/>
      </c>
    </row>
    <row r="365" ht="15" customHeight="1" s="68">
      <c r="A365" s="70">
        <f>'01_원자료'!A362</f>
        <v/>
      </c>
      <c r="B365" s="70">
        <f>'01_원자료'!B362</f>
        <v/>
      </c>
      <c r="C365" s="70">
        <f>'01_원자료'!C362</f>
        <v/>
      </c>
      <c r="E365" s="85">
        <f>'01_원자료'!P362*'03_가중치민감도'!$B$5+'01_원자료'!Q362*'03_가중치민감도'!$C$5+'01_원자료'!R362*'03_가중치민감도'!$D$5</f>
        <v/>
      </c>
      <c r="F365" s="85">
        <f>'01_원자료'!P362*'03_가중치민감도'!$B$6+'01_원자료'!Q362*'03_가중치민감도'!$C$6+'01_원자료'!R362*'03_가중치민감도'!$D$6</f>
        <v/>
      </c>
      <c r="G365" s="85">
        <f>'01_원자료'!P362*'03_가중치민감도'!$B$7+'01_원자료'!Q362*'03_가중치민감도'!$C$7+'01_원자료'!R362*'03_가중치민감도'!$D$7</f>
        <v/>
      </c>
      <c r="H365" s="85">
        <f>'01_원자료'!P362*'03_가중치민감도'!$B$8+'01_원자료'!Q362*'03_가중치민감도'!$C$8+'01_원자료'!R362*'03_가중치민감도'!$D$8</f>
        <v/>
      </c>
      <c r="I365" s="85">
        <f>'01_원자료'!P362*'03_가중치민감도'!$B$9+'01_원자료'!Q362*'03_가중치민감도'!$C$9+'01_원자료'!R362*'03_가중치민감도'!$D$9</f>
        <v/>
      </c>
      <c r="J365" s="85">
        <f>'01_원자료'!P362*'03_가중치민감도'!$B$10+'01_원자료'!Q362*'03_가중치민감도'!$C$10+'01_원자료'!R362*'03_가중치민감도'!$D$10</f>
        <v/>
      </c>
      <c r="K365" s="99">
        <f>COUNTIF($E$5:$E$979,"&lt;"&amp;E365)+(COUNTIF($E$5:$E$979,"="&amp;E365)+1)/2</f>
        <v/>
      </c>
      <c r="L365" s="99">
        <f>COUNTIF($F$5:$F$979,"&lt;"&amp;F365)+(COUNTIF($F$5:$F$979,"="&amp;F365)+1)/2</f>
        <v/>
      </c>
      <c r="M365" s="99">
        <f>COUNTIF($G$5:$G$979,"&lt;"&amp;G365)+(COUNTIF($G$5:$G$979,"="&amp;G365)+1)/2</f>
        <v/>
      </c>
      <c r="N365" s="99">
        <f>COUNTIF($H$5:$H$979,"&lt;"&amp;H365)+(COUNTIF($H$5:$H$979,"="&amp;H365)+1)/2</f>
        <v/>
      </c>
      <c r="O365" s="99">
        <f>COUNTIF($I$5:$I$979,"&lt;"&amp;I365)+(COUNTIF($I$5:$I$979,"="&amp;I365)+1)/2</f>
        <v/>
      </c>
      <c r="P365" s="99">
        <f>COUNTIF($J$5:$J$979,"&lt;"&amp;J365)+(COUNTIF($J$5:$J$979,"="&amp;J365)+1)/2</f>
        <v/>
      </c>
    </row>
    <row r="366" ht="15" customHeight="1" s="68">
      <c r="A366" s="70">
        <f>'01_원자료'!A363</f>
        <v/>
      </c>
      <c r="B366" s="70">
        <f>'01_원자료'!B363</f>
        <v/>
      </c>
      <c r="C366" s="70">
        <f>'01_원자료'!C363</f>
        <v/>
      </c>
      <c r="E366" s="85">
        <f>'01_원자료'!P363*'03_가중치민감도'!$B$5+'01_원자료'!Q363*'03_가중치민감도'!$C$5+'01_원자료'!R363*'03_가중치민감도'!$D$5</f>
        <v/>
      </c>
      <c r="F366" s="85">
        <f>'01_원자료'!P363*'03_가중치민감도'!$B$6+'01_원자료'!Q363*'03_가중치민감도'!$C$6+'01_원자료'!R363*'03_가중치민감도'!$D$6</f>
        <v/>
      </c>
      <c r="G366" s="85">
        <f>'01_원자료'!P363*'03_가중치민감도'!$B$7+'01_원자료'!Q363*'03_가중치민감도'!$C$7+'01_원자료'!R363*'03_가중치민감도'!$D$7</f>
        <v/>
      </c>
      <c r="H366" s="85">
        <f>'01_원자료'!P363*'03_가중치민감도'!$B$8+'01_원자료'!Q363*'03_가중치민감도'!$C$8+'01_원자료'!R363*'03_가중치민감도'!$D$8</f>
        <v/>
      </c>
      <c r="I366" s="85">
        <f>'01_원자료'!P363*'03_가중치민감도'!$B$9+'01_원자료'!Q363*'03_가중치민감도'!$C$9+'01_원자료'!R363*'03_가중치민감도'!$D$9</f>
        <v/>
      </c>
      <c r="J366" s="85">
        <f>'01_원자료'!P363*'03_가중치민감도'!$B$10+'01_원자료'!Q363*'03_가중치민감도'!$C$10+'01_원자료'!R363*'03_가중치민감도'!$D$10</f>
        <v/>
      </c>
      <c r="K366" s="99">
        <f>COUNTIF($E$5:$E$979,"&lt;"&amp;E366)+(COUNTIF($E$5:$E$979,"="&amp;E366)+1)/2</f>
        <v/>
      </c>
      <c r="L366" s="99">
        <f>COUNTIF($F$5:$F$979,"&lt;"&amp;F366)+(COUNTIF($F$5:$F$979,"="&amp;F366)+1)/2</f>
        <v/>
      </c>
      <c r="M366" s="99">
        <f>COUNTIF($G$5:$G$979,"&lt;"&amp;G366)+(COUNTIF($G$5:$G$979,"="&amp;G366)+1)/2</f>
        <v/>
      </c>
      <c r="N366" s="99">
        <f>COUNTIF($H$5:$H$979,"&lt;"&amp;H366)+(COUNTIF($H$5:$H$979,"="&amp;H366)+1)/2</f>
        <v/>
      </c>
      <c r="O366" s="99">
        <f>COUNTIF($I$5:$I$979,"&lt;"&amp;I366)+(COUNTIF($I$5:$I$979,"="&amp;I366)+1)/2</f>
        <v/>
      </c>
      <c r="P366" s="99">
        <f>COUNTIF($J$5:$J$979,"&lt;"&amp;J366)+(COUNTIF($J$5:$J$979,"="&amp;J366)+1)/2</f>
        <v/>
      </c>
    </row>
    <row r="367" ht="15" customHeight="1" s="68">
      <c r="A367" s="70">
        <f>'01_원자료'!A364</f>
        <v/>
      </c>
      <c r="B367" s="70">
        <f>'01_원자료'!B364</f>
        <v/>
      </c>
      <c r="C367" s="70">
        <f>'01_원자료'!C364</f>
        <v/>
      </c>
      <c r="E367" s="85">
        <f>'01_원자료'!P364*'03_가중치민감도'!$B$5+'01_원자료'!Q364*'03_가중치민감도'!$C$5+'01_원자료'!R364*'03_가중치민감도'!$D$5</f>
        <v/>
      </c>
      <c r="F367" s="85">
        <f>'01_원자료'!P364*'03_가중치민감도'!$B$6+'01_원자료'!Q364*'03_가중치민감도'!$C$6+'01_원자료'!R364*'03_가중치민감도'!$D$6</f>
        <v/>
      </c>
      <c r="G367" s="85">
        <f>'01_원자료'!P364*'03_가중치민감도'!$B$7+'01_원자료'!Q364*'03_가중치민감도'!$C$7+'01_원자료'!R364*'03_가중치민감도'!$D$7</f>
        <v/>
      </c>
      <c r="H367" s="85">
        <f>'01_원자료'!P364*'03_가중치민감도'!$B$8+'01_원자료'!Q364*'03_가중치민감도'!$C$8+'01_원자료'!R364*'03_가중치민감도'!$D$8</f>
        <v/>
      </c>
      <c r="I367" s="85">
        <f>'01_원자료'!P364*'03_가중치민감도'!$B$9+'01_원자료'!Q364*'03_가중치민감도'!$C$9+'01_원자료'!R364*'03_가중치민감도'!$D$9</f>
        <v/>
      </c>
      <c r="J367" s="85">
        <f>'01_원자료'!P364*'03_가중치민감도'!$B$10+'01_원자료'!Q364*'03_가중치민감도'!$C$10+'01_원자료'!R364*'03_가중치민감도'!$D$10</f>
        <v/>
      </c>
      <c r="K367" s="99">
        <f>COUNTIF($E$5:$E$979,"&lt;"&amp;E367)+(COUNTIF($E$5:$E$979,"="&amp;E367)+1)/2</f>
        <v/>
      </c>
      <c r="L367" s="99">
        <f>COUNTIF($F$5:$F$979,"&lt;"&amp;F367)+(COUNTIF($F$5:$F$979,"="&amp;F367)+1)/2</f>
        <v/>
      </c>
      <c r="M367" s="99">
        <f>COUNTIF($G$5:$G$979,"&lt;"&amp;G367)+(COUNTIF($G$5:$G$979,"="&amp;G367)+1)/2</f>
        <v/>
      </c>
      <c r="N367" s="99">
        <f>COUNTIF($H$5:$H$979,"&lt;"&amp;H367)+(COUNTIF($H$5:$H$979,"="&amp;H367)+1)/2</f>
        <v/>
      </c>
      <c r="O367" s="99">
        <f>COUNTIF($I$5:$I$979,"&lt;"&amp;I367)+(COUNTIF($I$5:$I$979,"="&amp;I367)+1)/2</f>
        <v/>
      </c>
      <c r="P367" s="99">
        <f>COUNTIF($J$5:$J$979,"&lt;"&amp;J367)+(COUNTIF($J$5:$J$979,"="&amp;J367)+1)/2</f>
        <v/>
      </c>
    </row>
    <row r="368" ht="15" customHeight="1" s="68">
      <c r="A368" s="70">
        <f>'01_원자료'!A365</f>
        <v/>
      </c>
      <c r="B368" s="70">
        <f>'01_원자료'!B365</f>
        <v/>
      </c>
      <c r="C368" s="70">
        <f>'01_원자료'!C365</f>
        <v/>
      </c>
      <c r="E368" s="85">
        <f>'01_원자료'!P365*'03_가중치민감도'!$B$5+'01_원자료'!Q365*'03_가중치민감도'!$C$5+'01_원자료'!R365*'03_가중치민감도'!$D$5</f>
        <v/>
      </c>
      <c r="F368" s="85">
        <f>'01_원자료'!P365*'03_가중치민감도'!$B$6+'01_원자료'!Q365*'03_가중치민감도'!$C$6+'01_원자료'!R365*'03_가중치민감도'!$D$6</f>
        <v/>
      </c>
      <c r="G368" s="85">
        <f>'01_원자료'!P365*'03_가중치민감도'!$B$7+'01_원자료'!Q365*'03_가중치민감도'!$C$7+'01_원자료'!R365*'03_가중치민감도'!$D$7</f>
        <v/>
      </c>
      <c r="H368" s="85">
        <f>'01_원자료'!P365*'03_가중치민감도'!$B$8+'01_원자료'!Q365*'03_가중치민감도'!$C$8+'01_원자료'!R365*'03_가중치민감도'!$D$8</f>
        <v/>
      </c>
      <c r="I368" s="85">
        <f>'01_원자료'!P365*'03_가중치민감도'!$B$9+'01_원자료'!Q365*'03_가중치민감도'!$C$9+'01_원자료'!R365*'03_가중치민감도'!$D$9</f>
        <v/>
      </c>
      <c r="J368" s="85">
        <f>'01_원자료'!P365*'03_가중치민감도'!$B$10+'01_원자료'!Q365*'03_가중치민감도'!$C$10+'01_원자료'!R365*'03_가중치민감도'!$D$10</f>
        <v/>
      </c>
      <c r="K368" s="99">
        <f>COUNTIF($E$5:$E$979,"&lt;"&amp;E368)+(COUNTIF($E$5:$E$979,"="&amp;E368)+1)/2</f>
        <v/>
      </c>
      <c r="L368" s="99">
        <f>COUNTIF($F$5:$F$979,"&lt;"&amp;F368)+(COUNTIF($F$5:$F$979,"="&amp;F368)+1)/2</f>
        <v/>
      </c>
      <c r="M368" s="99">
        <f>COUNTIF($G$5:$G$979,"&lt;"&amp;G368)+(COUNTIF($G$5:$G$979,"="&amp;G368)+1)/2</f>
        <v/>
      </c>
      <c r="N368" s="99">
        <f>COUNTIF($H$5:$H$979,"&lt;"&amp;H368)+(COUNTIF($H$5:$H$979,"="&amp;H368)+1)/2</f>
        <v/>
      </c>
      <c r="O368" s="99">
        <f>COUNTIF($I$5:$I$979,"&lt;"&amp;I368)+(COUNTIF($I$5:$I$979,"="&amp;I368)+1)/2</f>
        <v/>
      </c>
      <c r="P368" s="99">
        <f>COUNTIF($J$5:$J$979,"&lt;"&amp;J368)+(COUNTIF($J$5:$J$979,"="&amp;J368)+1)/2</f>
        <v/>
      </c>
    </row>
    <row r="369" ht="15" customHeight="1" s="68">
      <c r="A369" s="70">
        <f>'01_원자료'!A366</f>
        <v/>
      </c>
      <c r="B369" s="70">
        <f>'01_원자료'!B366</f>
        <v/>
      </c>
      <c r="C369" s="70">
        <f>'01_원자료'!C366</f>
        <v/>
      </c>
      <c r="E369" s="85">
        <f>'01_원자료'!P366*'03_가중치민감도'!$B$5+'01_원자료'!Q366*'03_가중치민감도'!$C$5+'01_원자료'!R366*'03_가중치민감도'!$D$5</f>
        <v/>
      </c>
      <c r="F369" s="85">
        <f>'01_원자료'!P366*'03_가중치민감도'!$B$6+'01_원자료'!Q366*'03_가중치민감도'!$C$6+'01_원자료'!R366*'03_가중치민감도'!$D$6</f>
        <v/>
      </c>
      <c r="G369" s="85">
        <f>'01_원자료'!P366*'03_가중치민감도'!$B$7+'01_원자료'!Q366*'03_가중치민감도'!$C$7+'01_원자료'!R366*'03_가중치민감도'!$D$7</f>
        <v/>
      </c>
      <c r="H369" s="85">
        <f>'01_원자료'!P366*'03_가중치민감도'!$B$8+'01_원자료'!Q366*'03_가중치민감도'!$C$8+'01_원자료'!R366*'03_가중치민감도'!$D$8</f>
        <v/>
      </c>
      <c r="I369" s="85">
        <f>'01_원자료'!P366*'03_가중치민감도'!$B$9+'01_원자료'!Q366*'03_가중치민감도'!$C$9+'01_원자료'!R366*'03_가중치민감도'!$D$9</f>
        <v/>
      </c>
      <c r="J369" s="85">
        <f>'01_원자료'!P366*'03_가중치민감도'!$B$10+'01_원자료'!Q366*'03_가중치민감도'!$C$10+'01_원자료'!R366*'03_가중치민감도'!$D$10</f>
        <v/>
      </c>
      <c r="K369" s="99">
        <f>COUNTIF($E$5:$E$979,"&lt;"&amp;E369)+(COUNTIF($E$5:$E$979,"="&amp;E369)+1)/2</f>
        <v/>
      </c>
      <c r="L369" s="99">
        <f>COUNTIF($F$5:$F$979,"&lt;"&amp;F369)+(COUNTIF($F$5:$F$979,"="&amp;F369)+1)/2</f>
        <v/>
      </c>
      <c r="M369" s="99">
        <f>COUNTIF($G$5:$G$979,"&lt;"&amp;G369)+(COUNTIF($G$5:$G$979,"="&amp;G369)+1)/2</f>
        <v/>
      </c>
      <c r="N369" s="99">
        <f>COUNTIF($H$5:$H$979,"&lt;"&amp;H369)+(COUNTIF($H$5:$H$979,"="&amp;H369)+1)/2</f>
        <v/>
      </c>
      <c r="O369" s="99">
        <f>COUNTIF($I$5:$I$979,"&lt;"&amp;I369)+(COUNTIF($I$5:$I$979,"="&amp;I369)+1)/2</f>
        <v/>
      </c>
      <c r="P369" s="99">
        <f>COUNTIF($J$5:$J$979,"&lt;"&amp;J369)+(COUNTIF($J$5:$J$979,"="&amp;J369)+1)/2</f>
        <v/>
      </c>
    </row>
    <row r="370" ht="15" customHeight="1" s="68">
      <c r="A370" s="70">
        <f>'01_원자료'!A367</f>
        <v/>
      </c>
      <c r="B370" s="70">
        <f>'01_원자료'!B367</f>
        <v/>
      </c>
      <c r="C370" s="70">
        <f>'01_원자료'!C367</f>
        <v/>
      </c>
      <c r="E370" s="85">
        <f>'01_원자료'!P367*'03_가중치민감도'!$B$5+'01_원자료'!Q367*'03_가중치민감도'!$C$5+'01_원자료'!R367*'03_가중치민감도'!$D$5</f>
        <v/>
      </c>
      <c r="F370" s="85">
        <f>'01_원자료'!P367*'03_가중치민감도'!$B$6+'01_원자료'!Q367*'03_가중치민감도'!$C$6+'01_원자료'!R367*'03_가중치민감도'!$D$6</f>
        <v/>
      </c>
      <c r="G370" s="85">
        <f>'01_원자료'!P367*'03_가중치민감도'!$B$7+'01_원자료'!Q367*'03_가중치민감도'!$C$7+'01_원자료'!R367*'03_가중치민감도'!$D$7</f>
        <v/>
      </c>
      <c r="H370" s="85">
        <f>'01_원자료'!P367*'03_가중치민감도'!$B$8+'01_원자료'!Q367*'03_가중치민감도'!$C$8+'01_원자료'!R367*'03_가중치민감도'!$D$8</f>
        <v/>
      </c>
      <c r="I370" s="85">
        <f>'01_원자료'!P367*'03_가중치민감도'!$B$9+'01_원자료'!Q367*'03_가중치민감도'!$C$9+'01_원자료'!R367*'03_가중치민감도'!$D$9</f>
        <v/>
      </c>
      <c r="J370" s="85">
        <f>'01_원자료'!P367*'03_가중치민감도'!$B$10+'01_원자료'!Q367*'03_가중치민감도'!$C$10+'01_원자료'!R367*'03_가중치민감도'!$D$10</f>
        <v/>
      </c>
      <c r="K370" s="99">
        <f>COUNTIF($E$5:$E$979,"&lt;"&amp;E370)+(COUNTIF($E$5:$E$979,"="&amp;E370)+1)/2</f>
        <v/>
      </c>
      <c r="L370" s="99">
        <f>COUNTIF($F$5:$F$979,"&lt;"&amp;F370)+(COUNTIF($F$5:$F$979,"="&amp;F370)+1)/2</f>
        <v/>
      </c>
      <c r="M370" s="99">
        <f>COUNTIF($G$5:$G$979,"&lt;"&amp;G370)+(COUNTIF($G$5:$G$979,"="&amp;G370)+1)/2</f>
        <v/>
      </c>
      <c r="N370" s="99">
        <f>COUNTIF($H$5:$H$979,"&lt;"&amp;H370)+(COUNTIF($H$5:$H$979,"="&amp;H370)+1)/2</f>
        <v/>
      </c>
      <c r="O370" s="99">
        <f>COUNTIF($I$5:$I$979,"&lt;"&amp;I370)+(COUNTIF($I$5:$I$979,"="&amp;I370)+1)/2</f>
        <v/>
      </c>
      <c r="P370" s="99">
        <f>COUNTIF($J$5:$J$979,"&lt;"&amp;J370)+(COUNTIF($J$5:$J$979,"="&amp;J370)+1)/2</f>
        <v/>
      </c>
    </row>
    <row r="371" ht="15" customHeight="1" s="68">
      <c r="A371" s="70">
        <f>'01_원자료'!A368</f>
        <v/>
      </c>
      <c r="B371" s="70">
        <f>'01_원자료'!B368</f>
        <v/>
      </c>
      <c r="C371" s="70">
        <f>'01_원자료'!C368</f>
        <v/>
      </c>
      <c r="E371" s="85">
        <f>'01_원자료'!P368*'03_가중치민감도'!$B$5+'01_원자료'!Q368*'03_가중치민감도'!$C$5+'01_원자료'!R368*'03_가중치민감도'!$D$5</f>
        <v/>
      </c>
      <c r="F371" s="85">
        <f>'01_원자료'!P368*'03_가중치민감도'!$B$6+'01_원자료'!Q368*'03_가중치민감도'!$C$6+'01_원자료'!R368*'03_가중치민감도'!$D$6</f>
        <v/>
      </c>
      <c r="G371" s="85">
        <f>'01_원자료'!P368*'03_가중치민감도'!$B$7+'01_원자료'!Q368*'03_가중치민감도'!$C$7+'01_원자료'!R368*'03_가중치민감도'!$D$7</f>
        <v/>
      </c>
      <c r="H371" s="85">
        <f>'01_원자료'!P368*'03_가중치민감도'!$B$8+'01_원자료'!Q368*'03_가중치민감도'!$C$8+'01_원자료'!R368*'03_가중치민감도'!$D$8</f>
        <v/>
      </c>
      <c r="I371" s="85">
        <f>'01_원자료'!P368*'03_가중치민감도'!$B$9+'01_원자료'!Q368*'03_가중치민감도'!$C$9+'01_원자료'!R368*'03_가중치민감도'!$D$9</f>
        <v/>
      </c>
      <c r="J371" s="85">
        <f>'01_원자료'!P368*'03_가중치민감도'!$B$10+'01_원자료'!Q368*'03_가중치민감도'!$C$10+'01_원자료'!R368*'03_가중치민감도'!$D$10</f>
        <v/>
      </c>
      <c r="K371" s="99">
        <f>COUNTIF($E$5:$E$979,"&lt;"&amp;E371)+(COUNTIF($E$5:$E$979,"="&amp;E371)+1)/2</f>
        <v/>
      </c>
      <c r="L371" s="99">
        <f>COUNTIF($F$5:$F$979,"&lt;"&amp;F371)+(COUNTIF($F$5:$F$979,"="&amp;F371)+1)/2</f>
        <v/>
      </c>
      <c r="M371" s="99">
        <f>COUNTIF($G$5:$G$979,"&lt;"&amp;G371)+(COUNTIF($G$5:$G$979,"="&amp;G371)+1)/2</f>
        <v/>
      </c>
      <c r="N371" s="99">
        <f>COUNTIF($H$5:$H$979,"&lt;"&amp;H371)+(COUNTIF($H$5:$H$979,"="&amp;H371)+1)/2</f>
        <v/>
      </c>
      <c r="O371" s="99">
        <f>COUNTIF($I$5:$I$979,"&lt;"&amp;I371)+(COUNTIF($I$5:$I$979,"="&amp;I371)+1)/2</f>
        <v/>
      </c>
      <c r="P371" s="99">
        <f>COUNTIF($J$5:$J$979,"&lt;"&amp;J371)+(COUNTIF($J$5:$J$979,"="&amp;J371)+1)/2</f>
        <v/>
      </c>
    </row>
    <row r="372" ht="15" customHeight="1" s="68">
      <c r="A372" s="70">
        <f>'01_원자료'!A369</f>
        <v/>
      </c>
      <c r="B372" s="70">
        <f>'01_원자료'!B369</f>
        <v/>
      </c>
      <c r="C372" s="70">
        <f>'01_원자료'!C369</f>
        <v/>
      </c>
      <c r="E372" s="85">
        <f>'01_원자료'!P369*'03_가중치민감도'!$B$5+'01_원자료'!Q369*'03_가중치민감도'!$C$5+'01_원자료'!R369*'03_가중치민감도'!$D$5</f>
        <v/>
      </c>
      <c r="F372" s="85">
        <f>'01_원자료'!P369*'03_가중치민감도'!$B$6+'01_원자료'!Q369*'03_가중치민감도'!$C$6+'01_원자료'!R369*'03_가중치민감도'!$D$6</f>
        <v/>
      </c>
      <c r="G372" s="85">
        <f>'01_원자료'!P369*'03_가중치민감도'!$B$7+'01_원자료'!Q369*'03_가중치민감도'!$C$7+'01_원자료'!R369*'03_가중치민감도'!$D$7</f>
        <v/>
      </c>
      <c r="H372" s="85">
        <f>'01_원자료'!P369*'03_가중치민감도'!$B$8+'01_원자료'!Q369*'03_가중치민감도'!$C$8+'01_원자료'!R369*'03_가중치민감도'!$D$8</f>
        <v/>
      </c>
      <c r="I372" s="85">
        <f>'01_원자료'!P369*'03_가중치민감도'!$B$9+'01_원자료'!Q369*'03_가중치민감도'!$C$9+'01_원자료'!R369*'03_가중치민감도'!$D$9</f>
        <v/>
      </c>
      <c r="J372" s="85">
        <f>'01_원자료'!P369*'03_가중치민감도'!$B$10+'01_원자료'!Q369*'03_가중치민감도'!$C$10+'01_원자료'!R369*'03_가중치민감도'!$D$10</f>
        <v/>
      </c>
      <c r="K372" s="99">
        <f>COUNTIF($E$5:$E$979,"&lt;"&amp;E372)+(COUNTIF($E$5:$E$979,"="&amp;E372)+1)/2</f>
        <v/>
      </c>
      <c r="L372" s="99">
        <f>COUNTIF($F$5:$F$979,"&lt;"&amp;F372)+(COUNTIF($F$5:$F$979,"="&amp;F372)+1)/2</f>
        <v/>
      </c>
      <c r="M372" s="99">
        <f>COUNTIF($G$5:$G$979,"&lt;"&amp;G372)+(COUNTIF($G$5:$G$979,"="&amp;G372)+1)/2</f>
        <v/>
      </c>
      <c r="N372" s="99">
        <f>COUNTIF($H$5:$H$979,"&lt;"&amp;H372)+(COUNTIF($H$5:$H$979,"="&amp;H372)+1)/2</f>
        <v/>
      </c>
      <c r="O372" s="99">
        <f>COUNTIF($I$5:$I$979,"&lt;"&amp;I372)+(COUNTIF($I$5:$I$979,"="&amp;I372)+1)/2</f>
        <v/>
      </c>
      <c r="P372" s="99">
        <f>COUNTIF($J$5:$J$979,"&lt;"&amp;J372)+(COUNTIF($J$5:$J$979,"="&amp;J372)+1)/2</f>
        <v/>
      </c>
    </row>
    <row r="373" ht="15" customHeight="1" s="68">
      <c r="A373" s="70">
        <f>'01_원자료'!A370</f>
        <v/>
      </c>
      <c r="B373" s="70">
        <f>'01_원자료'!B370</f>
        <v/>
      </c>
      <c r="C373" s="70">
        <f>'01_원자료'!C370</f>
        <v/>
      </c>
      <c r="E373" s="85">
        <f>'01_원자료'!P370*'03_가중치민감도'!$B$5+'01_원자료'!Q370*'03_가중치민감도'!$C$5+'01_원자료'!R370*'03_가중치민감도'!$D$5</f>
        <v/>
      </c>
      <c r="F373" s="85">
        <f>'01_원자료'!P370*'03_가중치민감도'!$B$6+'01_원자료'!Q370*'03_가중치민감도'!$C$6+'01_원자료'!R370*'03_가중치민감도'!$D$6</f>
        <v/>
      </c>
      <c r="G373" s="85">
        <f>'01_원자료'!P370*'03_가중치민감도'!$B$7+'01_원자료'!Q370*'03_가중치민감도'!$C$7+'01_원자료'!R370*'03_가중치민감도'!$D$7</f>
        <v/>
      </c>
      <c r="H373" s="85">
        <f>'01_원자료'!P370*'03_가중치민감도'!$B$8+'01_원자료'!Q370*'03_가중치민감도'!$C$8+'01_원자료'!R370*'03_가중치민감도'!$D$8</f>
        <v/>
      </c>
      <c r="I373" s="85">
        <f>'01_원자료'!P370*'03_가중치민감도'!$B$9+'01_원자료'!Q370*'03_가중치민감도'!$C$9+'01_원자료'!R370*'03_가중치민감도'!$D$9</f>
        <v/>
      </c>
      <c r="J373" s="85">
        <f>'01_원자료'!P370*'03_가중치민감도'!$B$10+'01_원자료'!Q370*'03_가중치민감도'!$C$10+'01_원자료'!R370*'03_가중치민감도'!$D$10</f>
        <v/>
      </c>
      <c r="K373" s="99">
        <f>COUNTIF($E$5:$E$979,"&lt;"&amp;E373)+(COUNTIF($E$5:$E$979,"="&amp;E373)+1)/2</f>
        <v/>
      </c>
      <c r="L373" s="99">
        <f>COUNTIF($F$5:$F$979,"&lt;"&amp;F373)+(COUNTIF($F$5:$F$979,"="&amp;F373)+1)/2</f>
        <v/>
      </c>
      <c r="M373" s="99">
        <f>COUNTIF($G$5:$G$979,"&lt;"&amp;G373)+(COUNTIF($G$5:$G$979,"="&amp;G373)+1)/2</f>
        <v/>
      </c>
      <c r="N373" s="99">
        <f>COUNTIF($H$5:$H$979,"&lt;"&amp;H373)+(COUNTIF($H$5:$H$979,"="&amp;H373)+1)/2</f>
        <v/>
      </c>
      <c r="O373" s="99">
        <f>COUNTIF($I$5:$I$979,"&lt;"&amp;I373)+(COUNTIF($I$5:$I$979,"="&amp;I373)+1)/2</f>
        <v/>
      </c>
      <c r="P373" s="99">
        <f>COUNTIF($J$5:$J$979,"&lt;"&amp;J373)+(COUNTIF($J$5:$J$979,"="&amp;J373)+1)/2</f>
        <v/>
      </c>
    </row>
    <row r="374" ht="15" customHeight="1" s="68">
      <c r="A374" s="70">
        <f>'01_원자료'!A371</f>
        <v/>
      </c>
      <c r="B374" s="70">
        <f>'01_원자료'!B371</f>
        <v/>
      </c>
      <c r="C374" s="70">
        <f>'01_원자료'!C371</f>
        <v/>
      </c>
      <c r="E374" s="85">
        <f>'01_원자료'!P371*'03_가중치민감도'!$B$5+'01_원자료'!Q371*'03_가중치민감도'!$C$5+'01_원자료'!R371*'03_가중치민감도'!$D$5</f>
        <v/>
      </c>
      <c r="F374" s="85">
        <f>'01_원자료'!P371*'03_가중치민감도'!$B$6+'01_원자료'!Q371*'03_가중치민감도'!$C$6+'01_원자료'!R371*'03_가중치민감도'!$D$6</f>
        <v/>
      </c>
      <c r="G374" s="85">
        <f>'01_원자료'!P371*'03_가중치민감도'!$B$7+'01_원자료'!Q371*'03_가중치민감도'!$C$7+'01_원자료'!R371*'03_가중치민감도'!$D$7</f>
        <v/>
      </c>
      <c r="H374" s="85">
        <f>'01_원자료'!P371*'03_가중치민감도'!$B$8+'01_원자료'!Q371*'03_가중치민감도'!$C$8+'01_원자료'!R371*'03_가중치민감도'!$D$8</f>
        <v/>
      </c>
      <c r="I374" s="85">
        <f>'01_원자료'!P371*'03_가중치민감도'!$B$9+'01_원자료'!Q371*'03_가중치민감도'!$C$9+'01_원자료'!R371*'03_가중치민감도'!$D$9</f>
        <v/>
      </c>
      <c r="J374" s="85">
        <f>'01_원자료'!P371*'03_가중치민감도'!$B$10+'01_원자료'!Q371*'03_가중치민감도'!$C$10+'01_원자료'!R371*'03_가중치민감도'!$D$10</f>
        <v/>
      </c>
      <c r="K374" s="99">
        <f>COUNTIF($E$5:$E$979,"&lt;"&amp;E374)+(COUNTIF($E$5:$E$979,"="&amp;E374)+1)/2</f>
        <v/>
      </c>
      <c r="L374" s="99">
        <f>COUNTIF($F$5:$F$979,"&lt;"&amp;F374)+(COUNTIF($F$5:$F$979,"="&amp;F374)+1)/2</f>
        <v/>
      </c>
      <c r="M374" s="99">
        <f>COUNTIF($G$5:$G$979,"&lt;"&amp;G374)+(COUNTIF($G$5:$G$979,"="&amp;G374)+1)/2</f>
        <v/>
      </c>
      <c r="N374" s="99">
        <f>COUNTIF($H$5:$H$979,"&lt;"&amp;H374)+(COUNTIF($H$5:$H$979,"="&amp;H374)+1)/2</f>
        <v/>
      </c>
      <c r="O374" s="99">
        <f>COUNTIF($I$5:$I$979,"&lt;"&amp;I374)+(COUNTIF($I$5:$I$979,"="&amp;I374)+1)/2</f>
        <v/>
      </c>
      <c r="P374" s="99">
        <f>COUNTIF($J$5:$J$979,"&lt;"&amp;J374)+(COUNTIF($J$5:$J$979,"="&amp;J374)+1)/2</f>
        <v/>
      </c>
    </row>
    <row r="375" ht="15" customHeight="1" s="68">
      <c r="A375" s="70">
        <f>'01_원자료'!A372</f>
        <v/>
      </c>
      <c r="B375" s="70">
        <f>'01_원자료'!B372</f>
        <v/>
      </c>
      <c r="C375" s="70">
        <f>'01_원자료'!C372</f>
        <v/>
      </c>
      <c r="E375" s="85">
        <f>'01_원자료'!P372*'03_가중치민감도'!$B$5+'01_원자료'!Q372*'03_가중치민감도'!$C$5+'01_원자료'!R372*'03_가중치민감도'!$D$5</f>
        <v/>
      </c>
      <c r="F375" s="85">
        <f>'01_원자료'!P372*'03_가중치민감도'!$B$6+'01_원자료'!Q372*'03_가중치민감도'!$C$6+'01_원자료'!R372*'03_가중치민감도'!$D$6</f>
        <v/>
      </c>
      <c r="G375" s="85">
        <f>'01_원자료'!P372*'03_가중치민감도'!$B$7+'01_원자료'!Q372*'03_가중치민감도'!$C$7+'01_원자료'!R372*'03_가중치민감도'!$D$7</f>
        <v/>
      </c>
      <c r="H375" s="85">
        <f>'01_원자료'!P372*'03_가중치민감도'!$B$8+'01_원자료'!Q372*'03_가중치민감도'!$C$8+'01_원자료'!R372*'03_가중치민감도'!$D$8</f>
        <v/>
      </c>
      <c r="I375" s="85">
        <f>'01_원자료'!P372*'03_가중치민감도'!$B$9+'01_원자료'!Q372*'03_가중치민감도'!$C$9+'01_원자료'!R372*'03_가중치민감도'!$D$9</f>
        <v/>
      </c>
      <c r="J375" s="85">
        <f>'01_원자료'!P372*'03_가중치민감도'!$B$10+'01_원자료'!Q372*'03_가중치민감도'!$C$10+'01_원자료'!R372*'03_가중치민감도'!$D$10</f>
        <v/>
      </c>
      <c r="K375" s="99">
        <f>COUNTIF($E$5:$E$979,"&lt;"&amp;E375)+(COUNTIF($E$5:$E$979,"="&amp;E375)+1)/2</f>
        <v/>
      </c>
      <c r="L375" s="99">
        <f>COUNTIF($F$5:$F$979,"&lt;"&amp;F375)+(COUNTIF($F$5:$F$979,"="&amp;F375)+1)/2</f>
        <v/>
      </c>
      <c r="M375" s="99">
        <f>COUNTIF($G$5:$G$979,"&lt;"&amp;G375)+(COUNTIF($G$5:$G$979,"="&amp;G375)+1)/2</f>
        <v/>
      </c>
      <c r="N375" s="99">
        <f>COUNTIF($H$5:$H$979,"&lt;"&amp;H375)+(COUNTIF($H$5:$H$979,"="&amp;H375)+1)/2</f>
        <v/>
      </c>
      <c r="O375" s="99">
        <f>COUNTIF($I$5:$I$979,"&lt;"&amp;I375)+(COUNTIF($I$5:$I$979,"="&amp;I375)+1)/2</f>
        <v/>
      </c>
      <c r="P375" s="99">
        <f>COUNTIF($J$5:$J$979,"&lt;"&amp;J375)+(COUNTIF($J$5:$J$979,"="&amp;J375)+1)/2</f>
        <v/>
      </c>
    </row>
    <row r="376" ht="15" customHeight="1" s="68">
      <c r="A376" s="70">
        <f>'01_원자료'!A373</f>
        <v/>
      </c>
      <c r="B376" s="70">
        <f>'01_원자료'!B373</f>
        <v/>
      </c>
      <c r="C376" s="70">
        <f>'01_원자료'!C373</f>
        <v/>
      </c>
      <c r="E376" s="85">
        <f>'01_원자료'!P373*'03_가중치민감도'!$B$5+'01_원자료'!Q373*'03_가중치민감도'!$C$5+'01_원자료'!R373*'03_가중치민감도'!$D$5</f>
        <v/>
      </c>
      <c r="F376" s="85">
        <f>'01_원자료'!P373*'03_가중치민감도'!$B$6+'01_원자료'!Q373*'03_가중치민감도'!$C$6+'01_원자료'!R373*'03_가중치민감도'!$D$6</f>
        <v/>
      </c>
      <c r="G376" s="85">
        <f>'01_원자료'!P373*'03_가중치민감도'!$B$7+'01_원자료'!Q373*'03_가중치민감도'!$C$7+'01_원자료'!R373*'03_가중치민감도'!$D$7</f>
        <v/>
      </c>
      <c r="H376" s="85">
        <f>'01_원자료'!P373*'03_가중치민감도'!$B$8+'01_원자료'!Q373*'03_가중치민감도'!$C$8+'01_원자료'!R373*'03_가중치민감도'!$D$8</f>
        <v/>
      </c>
      <c r="I376" s="85">
        <f>'01_원자료'!P373*'03_가중치민감도'!$B$9+'01_원자료'!Q373*'03_가중치민감도'!$C$9+'01_원자료'!R373*'03_가중치민감도'!$D$9</f>
        <v/>
      </c>
      <c r="J376" s="85">
        <f>'01_원자료'!P373*'03_가중치민감도'!$B$10+'01_원자료'!Q373*'03_가중치민감도'!$C$10+'01_원자료'!R373*'03_가중치민감도'!$D$10</f>
        <v/>
      </c>
      <c r="K376" s="99">
        <f>COUNTIF($E$5:$E$979,"&lt;"&amp;E376)+(COUNTIF($E$5:$E$979,"="&amp;E376)+1)/2</f>
        <v/>
      </c>
      <c r="L376" s="99">
        <f>COUNTIF($F$5:$F$979,"&lt;"&amp;F376)+(COUNTIF($F$5:$F$979,"="&amp;F376)+1)/2</f>
        <v/>
      </c>
      <c r="M376" s="99">
        <f>COUNTIF($G$5:$G$979,"&lt;"&amp;G376)+(COUNTIF($G$5:$G$979,"="&amp;G376)+1)/2</f>
        <v/>
      </c>
      <c r="N376" s="99">
        <f>COUNTIF($H$5:$H$979,"&lt;"&amp;H376)+(COUNTIF($H$5:$H$979,"="&amp;H376)+1)/2</f>
        <v/>
      </c>
      <c r="O376" s="99">
        <f>COUNTIF($I$5:$I$979,"&lt;"&amp;I376)+(COUNTIF($I$5:$I$979,"="&amp;I376)+1)/2</f>
        <v/>
      </c>
      <c r="P376" s="99">
        <f>COUNTIF($J$5:$J$979,"&lt;"&amp;J376)+(COUNTIF($J$5:$J$979,"="&amp;J376)+1)/2</f>
        <v/>
      </c>
    </row>
    <row r="377" ht="15" customHeight="1" s="68">
      <c r="A377" s="70">
        <f>'01_원자료'!A374</f>
        <v/>
      </c>
      <c r="B377" s="70">
        <f>'01_원자료'!B374</f>
        <v/>
      </c>
      <c r="C377" s="70">
        <f>'01_원자료'!C374</f>
        <v/>
      </c>
      <c r="E377" s="85">
        <f>'01_원자료'!P374*'03_가중치민감도'!$B$5+'01_원자료'!Q374*'03_가중치민감도'!$C$5+'01_원자료'!R374*'03_가중치민감도'!$D$5</f>
        <v/>
      </c>
      <c r="F377" s="85">
        <f>'01_원자료'!P374*'03_가중치민감도'!$B$6+'01_원자료'!Q374*'03_가중치민감도'!$C$6+'01_원자료'!R374*'03_가중치민감도'!$D$6</f>
        <v/>
      </c>
      <c r="G377" s="85">
        <f>'01_원자료'!P374*'03_가중치민감도'!$B$7+'01_원자료'!Q374*'03_가중치민감도'!$C$7+'01_원자료'!R374*'03_가중치민감도'!$D$7</f>
        <v/>
      </c>
      <c r="H377" s="85">
        <f>'01_원자료'!P374*'03_가중치민감도'!$B$8+'01_원자료'!Q374*'03_가중치민감도'!$C$8+'01_원자료'!R374*'03_가중치민감도'!$D$8</f>
        <v/>
      </c>
      <c r="I377" s="85">
        <f>'01_원자료'!P374*'03_가중치민감도'!$B$9+'01_원자료'!Q374*'03_가중치민감도'!$C$9+'01_원자료'!R374*'03_가중치민감도'!$D$9</f>
        <v/>
      </c>
      <c r="J377" s="85">
        <f>'01_원자료'!P374*'03_가중치민감도'!$B$10+'01_원자료'!Q374*'03_가중치민감도'!$C$10+'01_원자료'!R374*'03_가중치민감도'!$D$10</f>
        <v/>
      </c>
      <c r="K377" s="99">
        <f>COUNTIF($E$5:$E$979,"&lt;"&amp;E377)+(COUNTIF($E$5:$E$979,"="&amp;E377)+1)/2</f>
        <v/>
      </c>
      <c r="L377" s="99">
        <f>COUNTIF($F$5:$F$979,"&lt;"&amp;F377)+(COUNTIF($F$5:$F$979,"="&amp;F377)+1)/2</f>
        <v/>
      </c>
      <c r="M377" s="99">
        <f>COUNTIF($G$5:$G$979,"&lt;"&amp;G377)+(COUNTIF($G$5:$G$979,"="&amp;G377)+1)/2</f>
        <v/>
      </c>
      <c r="N377" s="99">
        <f>COUNTIF($H$5:$H$979,"&lt;"&amp;H377)+(COUNTIF($H$5:$H$979,"="&amp;H377)+1)/2</f>
        <v/>
      </c>
      <c r="O377" s="99">
        <f>COUNTIF($I$5:$I$979,"&lt;"&amp;I377)+(COUNTIF($I$5:$I$979,"="&amp;I377)+1)/2</f>
        <v/>
      </c>
      <c r="P377" s="99">
        <f>COUNTIF($J$5:$J$979,"&lt;"&amp;J377)+(COUNTIF($J$5:$J$979,"="&amp;J377)+1)/2</f>
        <v/>
      </c>
    </row>
    <row r="378" ht="15" customHeight="1" s="68">
      <c r="A378" s="70">
        <f>'01_원자료'!A375</f>
        <v/>
      </c>
      <c r="B378" s="70">
        <f>'01_원자료'!B375</f>
        <v/>
      </c>
      <c r="C378" s="70">
        <f>'01_원자료'!C375</f>
        <v/>
      </c>
      <c r="E378" s="85">
        <f>'01_원자료'!P375*'03_가중치민감도'!$B$5+'01_원자료'!Q375*'03_가중치민감도'!$C$5+'01_원자료'!R375*'03_가중치민감도'!$D$5</f>
        <v/>
      </c>
      <c r="F378" s="85">
        <f>'01_원자료'!P375*'03_가중치민감도'!$B$6+'01_원자료'!Q375*'03_가중치민감도'!$C$6+'01_원자료'!R375*'03_가중치민감도'!$D$6</f>
        <v/>
      </c>
      <c r="G378" s="85">
        <f>'01_원자료'!P375*'03_가중치민감도'!$B$7+'01_원자료'!Q375*'03_가중치민감도'!$C$7+'01_원자료'!R375*'03_가중치민감도'!$D$7</f>
        <v/>
      </c>
      <c r="H378" s="85">
        <f>'01_원자료'!P375*'03_가중치민감도'!$B$8+'01_원자료'!Q375*'03_가중치민감도'!$C$8+'01_원자료'!R375*'03_가중치민감도'!$D$8</f>
        <v/>
      </c>
      <c r="I378" s="85">
        <f>'01_원자료'!P375*'03_가중치민감도'!$B$9+'01_원자료'!Q375*'03_가중치민감도'!$C$9+'01_원자료'!R375*'03_가중치민감도'!$D$9</f>
        <v/>
      </c>
      <c r="J378" s="85">
        <f>'01_원자료'!P375*'03_가중치민감도'!$B$10+'01_원자료'!Q375*'03_가중치민감도'!$C$10+'01_원자료'!R375*'03_가중치민감도'!$D$10</f>
        <v/>
      </c>
      <c r="K378" s="99">
        <f>COUNTIF($E$5:$E$979,"&lt;"&amp;E378)+(COUNTIF($E$5:$E$979,"="&amp;E378)+1)/2</f>
        <v/>
      </c>
      <c r="L378" s="99">
        <f>COUNTIF($F$5:$F$979,"&lt;"&amp;F378)+(COUNTIF($F$5:$F$979,"="&amp;F378)+1)/2</f>
        <v/>
      </c>
      <c r="M378" s="99">
        <f>COUNTIF($G$5:$G$979,"&lt;"&amp;G378)+(COUNTIF($G$5:$G$979,"="&amp;G378)+1)/2</f>
        <v/>
      </c>
      <c r="N378" s="99">
        <f>COUNTIF($H$5:$H$979,"&lt;"&amp;H378)+(COUNTIF($H$5:$H$979,"="&amp;H378)+1)/2</f>
        <v/>
      </c>
      <c r="O378" s="99">
        <f>COUNTIF($I$5:$I$979,"&lt;"&amp;I378)+(COUNTIF($I$5:$I$979,"="&amp;I378)+1)/2</f>
        <v/>
      </c>
      <c r="P378" s="99">
        <f>COUNTIF($J$5:$J$979,"&lt;"&amp;J378)+(COUNTIF($J$5:$J$979,"="&amp;J378)+1)/2</f>
        <v/>
      </c>
    </row>
    <row r="379" ht="15" customHeight="1" s="68">
      <c r="A379" s="70">
        <f>'01_원자료'!A376</f>
        <v/>
      </c>
      <c r="B379" s="70">
        <f>'01_원자료'!B376</f>
        <v/>
      </c>
      <c r="C379" s="70">
        <f>'01_원자료'!C376</f>
        <v/>
      </c>
      <c r="E379" s="85">
        <f>'01_원자료'!P376*'03_가중치민감도'!$B$5+'01_원자료'!Q376*'03_가중치민감도'!$C$5+'01_원자료'!R376*'03_가중치민감도'!$D$5</f>
        <v/>
      </c>
      <c r="F379" s="85">
        <f>'01_원자료'!P376*'03_가중치민감도'!$B$6+'01_원자료'!Q376*'03_가중치민감도'!$C$6+'01_원자료'!R376*'03_가중치민감도'!$D$6</f>
        <v/>
      </c>
      <c r="G379" s="85">
        <f>'01_원자료'!P376*'03_가중치민감도'!$B$7+'01_원자료'!Q376*'03_가중치민감도'!$C$7+'01_원자료'!R376*'03_가중치민감도'!$D$7</f>
        <v/>
      </c>
      <c r="H379" s="85">
        <f>'01_원자료'!P376*'03_가중치민감도'!$B$8+'01_원자료'!Q376*'03_가중치민감도'!$C$8+'01_원자료'!R376*'03_가중치민감도'!$D$8</f>
        <v/>
      </c>
      <c r="I379" s="85">
        <f>'01_원자료'!P376*'03_가중치민감도'!$B$9+'01_원자료'!Q376*'03_가중치민감도'!$C$9+'01_원자료'!R376*'03_가중치민감도'!$D$9</f>
        <v/>
      </c>
      <c r="J379" s="85">
        <f>'01_원자료'!P376*'03_가중치민감도'!$B$10+'01_원자료'!Q376*'03_가중치민감도'!$C$10+'01_원자료'!R376*'03_가중치민감도'!$D$10</f>
        <v/>
      </c>
      <c r="K379" s="99">
        <f>COUNTIF($E$5:$E$979,"&lt;"&amp;E379)+(COUNTIF($E$5:$E$979,"="&amp;E379)+1)/2</f>
        <v/>
      </c>
      <c r="L379" s="99">
        <f>COUNTIF($F$5:$F$979,"&lt;"&amp;F379)+(COUNTIF($F$5:$F$979,"="&amp;F379)+1)/2</f>
        <v/>
      </c>
      <c r="M379" s="99">
        <f>COUNTIF($G$5:$G$979,"&lt;"&amp;G379)+(COUNTIF($G$5:$G$979,"="&amp;G379)+1)/2</f>
        <v/>
      </c>
      <c r="N379" s="99">
        <f>COUNTIF($H$5:$H$979,"&lt;"&amp;H379)+(COUNTIF($H$5:$H$979,"="&amp;H379)+1)/2</f>
        <v/>
      </c>
      <c r="O379" s="99">
        <f>COUNTIF($I$5:$I$979,"&lt;"&amp;I379)+(COUNTIF($I$5:$I$979,"="&amp;I379)+1)/2</f>
        <v/>
      </c>
      <c r="P379" s="99">
        <f>COUNTIF($J$5:$J$979,"&lt;"&amp;J379)+(COUNTIF($J$5:$J$979,"="&amp;J379)+1)/2</f>
        <v/>
      </c>
    </row>
    <row r="380" ht="15" customHeight="1" s="68">
      <c r="A380" s="70">
        <f>'01_원자료'!A377</f>
        <v/>
      </c>
      <c r="B380" s="70">
        <f>'01_원자료'!B377</f>
        <v/>
      </c>
      <c r="C380" s="70">
        <f>'01_원자료'!C377</f>
        <v/>
      </c>
      <c r="E380" s="85">
        <f>'01_원자료'!P377*'03_가중치민감도'!$B$5+'01_원자료'!Q377*'03_가중치민감도'!$C$5+'01_원자료'!R377*'03_가중치민감도'!$D$5</f>
        <v/>
      </c>
      <c r="F380" s="85">
        <f>'01_원자료'!P377*'03_가중치민감도'!$B$6+'01_원자료'!Q377*'03_가중치민감도'!$C$6+'01_원자료'!R377*'03_가중치민감도'!$D$6</f>
        <v/>
      </c>
      <c r="G380" s="85">
        <f>'01_원자료'!P377*'03_가중치민감도'!$B$7+'01_원자료'!Q377*'03_가중치민감도'!$C$7+'01_원자료'!R377*'03_가중치민감도'!$D$7</f>
        <v/>
      </c>
      <c r="H380" s="85">
        <f>'01_원자료'!P377*'03_가중치민감도'!$B$8+'01_원자료'!Q377*'03_가중치민감도'!$C$8+'01_원자료'!R377*'03_가중치민감도'!$D$8</f>
        <v/>
      </c>
      <c r="I380" s="85">
        <f>'01_원자료'!P377*'03_가중치민감도'!$B$9+'01_원자료'!Q377*'03_가중치민감도'!$C$9+'01_원자료'!R377*'03_가중치민감도'!$D$9</f>
        <v/>
      </c>
      <c r="J380" s="85">
        <f>'01_원자료'!P377*'03_가중치민감도'!$B$10+'01_원자료'!Q377*'03_가중치민감도'!$C$10+'01_원자료'!R377*'03_가중치민감도'!$D$10</f>
        <v/>
      </c>
      <c r="K380" s="99">
        <f>COUNTIF($E$5:$E$979,"&lt;"&amp;E380)+(COUNTIF($E$5:$E$979,"="&amp;E380)+1)/2</f>
        <v/>
      </c>
      <c r="L380" s="99">
        <f>COUNTIF($F$5:$F$979,"&lt;"&amp;F380)+(COUNTIF($F$5:$F$979,"="&amp;F380)+1)/2</f>
        <v/>
      </c>
      <c r="M380" s="99">
        <f>COUNTIF($G$5:$G$979,"&lt;"&amp;G380)+(COUNTIF($G$5:$G$979,"="&amp;G380)+1)/2</f>
        <v/>
      </c>
      <c r="N380" s="99">
        <f>COUNTIF($H$5:$H$979,"&lt;"&amp;H380)+(COUNTIF($H$5:$H$979,"="&amp;H380)+1)/2</f>
        <v/>
      </c>
      <c r="O380" s="99">
        <f>COUNTIF($I$5:$I$979,"&lt;"&amp;I380)+(COUNTIF($I$5:$I$979,"="&amp;I380)+1)/2</f>
        <v/>
      </c>
      <c r="P380" s="99">
        <f>COUNTIF($J$5:$J$979,"&lt;"&amp;J380)+(COUNTIF($J$5:$J$979,"="&amp;J380)+1)/2</f>
        <v/>
      </c>
    </row>
    <row r="381" ht="15" customHeight="1" s="68">
      <c r="A381" s="70">
        <f>'01_원자료'!A378</f>
        <v/>
      </c>
      <c r="B381" s="70">
        <f>'01_원자료'!B378</f>
        <v/>
      </c>
      <c r="C381" s="70">
        <f>'01_원자료'!C378</f>
        <v/>
      </c>
      <c r="E381" s="85">
        <f>'01_원자료'!P378*'03_가중치민감도'!$B$5+'01_원자료'!Q378*'03_가중치민감도'!$C$5+'01_원자료'!R378*'03_가중치민감도'!$D$5</f>
        <v/>
      </c>
      <c r="F381" s="85">
        <f>'01_원자료'!P378*'03_가중치민감도'!$B$6+'01_원자료'!Q378*'03_가중치민감도'!$C$6+'01_원자료'!R378*'03_가중치민감도'!$D$6</f>
        <v/>
      </c>
      <c r="G381" s="85">
        <f>'01_원자료'!P378*'03_가중치민감도'!$B$7+'01_원자료'!Q378*'03_가중치민감도'!$C$7+'01_원자료'!R378*'03_가중치민감도'!$D$7</f>
        <v/>
      </c>
      <c r="H381" s="85">
        <f>'01_원자료'!P378*'03_가중치민감도'!$B$8+'01_원자료'!Q378*'03_가중치민감도'!$C$8+'01_원자료'!R378*'03_가중치민감도'!$D$8</f>
        <v/>
      </c>
      <c r="I381" s="85">
        <f>'01_원자료'!P378*'03_가중치민감도'!$B$9+'01_원자료'!Q378*'03_가중치민감도'!$C$9+'01_원자료'!R378*'03_가중치민감도'!$D$9</f>
        <v/>
      </c>
      <c r="J381" s="85">
        <f>'01_원자료'!P378*'03_가중치민감도'!$B$10+'01_원자료'!Q378*'03_가중치민감도'!$C$10+'01_원자료'!R378*'03_가중치민감도'!$D$10</f>
        <v/>
      </c>
      <c r="K381" s="99">
        <f>COUNTIF($E$5:$E$979,"&lt;"&amp;E381)+(COUNTIF($E$5:$E$979,"="&amp;E381)+1)/2</f>
        <v/>
      </c>
      <c r="L381" s="99">
        <f>COUNTIF($F$5:$F$979,"&lt;"&amp;F381)+(COUNTIF($F$5:$F$979,"="&amp;F381)+1)/2</f>
        <v/>
      </c>
      <c r="M381" s="99">
        <f>COUNTIF($G$5:$G$979,"&lt;"&amp;G381)+(COUNTIF($G$5:$G$979,"="&amp;G381)+1)/2</f>
        <v/>
      </c>
      <c r="N381" s="99">
        <f>COUNTIF($H$5:$H$979,"&lt;"&amp;H381)+(COUNTIF($H$5:$H$979,"="&amp;H381)+1)/2</f>
        <v/>
      </c>
      <c r="O381" s="99">
        <f>COUNTIF($I$5:$I$979,"&lt;"&amp;I381)+(COUNTIF($I$5:$I$979,"="&amp;I381)+1)/2</f>
        <v/>
      </c>
      <c r="P381" s="99">
        <f>COUNTIF($J$5:$J$979,"&lt;"&amp;J381)+(COUNTIF($J$5:$J$979,"="&amp;J381)+1)/2</f>
        <v/>
      </c>
    </row>
    <row r="382" ht="15" customHeight="1" s="68">
      <c r="A382" s="70">
        <f>'01_원자료'!A379</f>
        <v/>
      </c>
      <c r="B382" s="70">
        <f>'01_원자료'!B379</f>
        <v/>
      </c>
      <c r="C382" s="70">
        <f>'01_원자료'!C379</f>
        <v/>
      </c>
      <c r="E382" s="85">
        <f>'01_원자료'!P379*'03_가중치민감도'!$B$5+'01_원자료'!Q379*'03_가중치민감도'!$C$5+'01_원자료'!R379*'03_가중치민감도'!$D$5</f>
        <v/>
      </c>
      <c r="F382" s="85">
        <f>'01_원자료'!P379*'03_가중치민감도'!$B$6+'01_원자료'!Q379*'03_가중치민감도'!$C$6+'01_원자료'!R379*'03_가중치민감도'!$D$6</f>
        <v/>
      </c>
      <c r="G382" s="85">
        <f>'01_원자료'!P379*'03_가중치민감도'!$B$7+'01_원자료'!Q379*'03_가중치민감도'!$C$7+'01_원자료'!R379*'03_가중치민감도'!$D$7</f>
        <v/>
      </c>
      <c r="H382" s="85">
        <f>'01_원자료'!P379*'03_가중치민감도'!$B$8+'01_원자료'!Q379*'03_가중치민감도'!$C$8+'01_원자료'!R379*'03_가중치민감도'!$D$8</f>
        <v/>
      </c>
      <c r="I382" s="85">
        <f>'01_원자료'!P379*'03_가중치민감도'!$B$9+'01_원자료'!Q379*'03_가중치민감도'!$C$9+'01_원자료'!R379*'03_가중치민감도'!$D$9</f>
        <v/>
      </c>
      <c r="J382" s="85">
        <f>'01_원자료'!P379*'03_가중치민감도'!$B$10+'01_원자료'!Q379*'03_가중치민감도'!$C$10+'01_원자료'!R379*'03_가중치민감도'!$D$10</f>
        <v/>
      </c>
      <c r="K382" s="99">
        <f>COUNTIF($E$5:$E$979,"&lt;"&amp;E382)+(COUNTIF($E$5:$E$979,"="&amp;E382)+1)/2</f>
        <v/>
      </c>
      <c r="L382" s="99">
        <f>COUNTIF($F$5:$F$979,"&lt;"&amp;F382)+(COUNTIF($F$5:$F$979,"="&amp;F382)+1)/2</f>
        <v/>
      </c>
      <c r="M382" s="99">
        <f>COUNTIF($G$5:$G$979,"&lt;"&amp;G382)+(COUNTIF($G$5:$G$979,"="&amp;G382)+1)/2</f>
        <v/>
      </c>
      <c r="N382" s="99">
        <f>COUNTIF($H$5:$H$979,"&lt;"&amp;H382)+(COUNTIF($H$5:$H$979,"="&amp;H382)+1)/2</f>
        <v/>
      </c>
      <c r="O382" s="99">
        <f>COUNTIF($I$5:$I$979,"&lt;"&amp;I382)+(COUNTIF($I$5:$I$979,"="&amp;I382)+1)/2</f>
        <v/>
      </c>
      <c r="P382" s="99">
        <f>COUNTIF($J$5:$J$979,"&lt;"&amp;J382)+(COUNTIF($J$5:$J$979,"="&amp;J382)+1)/2</f>
        <v/>
      </c>
    </row>
    <row r="383" ht="15" customHeight="1" s="68">
      <c r="A383" s="70">
        <f>'01_원자료'!A380</f>
        <v/>
      </c>
      <c r="B383" s="70">
        <f>'01_원자료'!B380</f>
        <v/>
      </c>
      <c r="C383" s="70">
        <f>'01_원자료'!C380</f>
        <v/>
      </c>
      <c r="E383" s="85">
        <f>'01_원자료'!P380*'03_가중치민감도'!$B$5+'01_원자료'!Q380*'03_가중치민감도'!$C$5+'01_원자료'!R380*'03_가중치민감도'!$D$5</f>
        <v/>
      </c>
      <c r="F383" s="85">
        <f>'01_원자료'!P380*'03_가중치민감도'!$B$6+'01_원자료'!Q380*'03_가중치민감도'!$C$6+'01_원자료'!R380*'03_가중치민감도'!$D$6</f>
        <v/>
      </c>
      <c r="G383" s="85">
        <f>'01_원자료'!P380*'03_가중치민감도'!$B$7+'01_원자료'!Q380*'03_가중치민감도'!$C$7+'01_원자료'!R380*'03_가중치민감도'!$D$7</f>
        <v/>
      </c>
      <c r="H383" s="85">
        <f>'01_원자료'!P380*'03_가중치민감도'!$B$8+'01_원자료'!Q380*'03_가중치민감도'!$C$8+'01_원자료'!R380*'03_가중치민감도'!$D$8</f>
        <v/>
      </c>
      <c r="I383" s="85">
        <f>'01_원자료'!P380*'03_가중치민감도'!$B$9+'01_원자료'!Q380*'03_가중치민감도'!$C$9+'01_원자료'!R380*'03_가중치민감도'!$D$9</f>
        <v/>
      </c>
      <c r="J383" s="85">
        <f>'01_원자료'!P380*'03_가중치민감도'!$B$10+'01_원자료'!Q380*'03_가중치민감도'!$C$10+'01_원자료'!R380*'03_가중치민감도'!$D$10</f>
        <v/>
      </c>
      <c r="K383" s="99">
        <f>COUNTIF($E$5:$E$979,"&lt;"&amp;E383)+(COUNTIF($E$5:$E$979,"="&amp;E383)+1)/2</f>
        <v/>
      </c>
      <c r="L383" s="99">
        <f>COUNTIF($F$5:$F$979,"&lt;"&amp;F383)+(COUNTIF($F$5:$F$979,"="&amp;F383)+1)/2</f>
        <v/>
      </c>
      <c r="M383" s="99">
        <f>COUNTIF($G$5:$G$979,"&lt;"&amp;G383)+(COUNTIF($G$5:$G$979,"="&amp;G383)+1)/2</f>
        <v/>
      </c>
      <c r="N383" s="99">
        <f>COUNTIF($H$5:$H$979,"&lt;"&amp;H383)+(COUNTIF($H$5:$H$979,"="&amp;H383)+1)/2</f>
        <v/>
      </c>
      <c r="O383" s="99">
        <f>COUNTIF($I$5:$I$979,"&lt;"&amp;I383)+(COUNTIF($I$5:$I$979,"="&amp;I383)+1)/2</f>
        <v/>
      </c>
      <c r="P383" s="99">
        <f>COUNTIF($J$5:$J$979,"&lt;"&amp;J383)+(COUNTIF($J$5:$J$979,"="&amp;J383)+1)/2</f>
        <v/>
      </c>
    </row>
    <row r="384" ht="15" customHeight="1" s="68">
      <c r="A384" s="70">
        <f>'01_원자료'!A381</f>
        <v/>
      </c>
      <c r="B384" s="70">
        <f>'01_원자료'!B381</f>
        <v/>
      </c>
      <c r="C384" s="70">
        <f>'01_원자료'!C381</f>
        <v/>
      </c>
      <c r="E384" s="85">
        <f>'01_원자료'!P381*'03_가중치민감도'!$B$5+'01_원자료'!Q381*'03_가중치민감도'!$C$5+'01_원자료'!R381*'03_가중치민감도'!$D$5</f>
        <v/>
      </c>
      <c r="F384" s="85">
        <f>'01_원자료'!P381*'03_가중치민감도'!$B$6+'01_원자료'!Q381*'03_가중치민감도'!$C$6+'01_원자료'!R381*'03_가중치민감도'!$D$6</f>
        <v/>
      </c>
      <c r="G384" s="85">
        <f>'01_원자료'!P381*'03_가중치민감도'!$B$7+'01_원자료'!Q381*'03_가중치민감도'!$C$7+'01_원자료'!R381*'03_가중치민감도'!$D$7</f>
        <v/>
      </c>
      <c r="H384" s="85">
        <f>'01_원자료'!P381*'03_가중치민감도'!$B$8+'01_원자료'!Q381*'03_가중치민감도'!$C$8+'01_원자료'!R381*'03_가중치민감도'!$D$8</f>
        <v/>
      </c>
      <c r="I384" s="85">
        <f>'01_원자료'!P381*'03_가중치민감도'!$B$9+'01_원자료'!Q381*'03_가중치민감도'!$C$9+'01_원자료'!R381*'03_가중치민감도'!$D$9</f>
        <v/>
      </c>
      <c r="J384" s="85">
        <f>'01_원자료'!P381*'03_가중치민감도'!$B$10+'01_원자료'!Q381*'03_가중치민감도'!$C$10+'01_원자료'!R381*'03_가중치민감도'!$D$10</f>
        <v/>
      </c>
      <c r="K384" s="99">
        <f>COUNTIF($E$5:$E$979,"&lt;"&amp;E384)+(COUNTIF($E$5:$E$979,"="&amp;E384)+1)/2</f>
        <v/>
      </c>
      <c r="L384" s="99">
        <f>COUNTIF($F$5:$F$979,"&lt;"&amp;F384)+(COUNTIF($F$5:$F$979,"="&amp;F384)+1)/2</f>
        <v/>
      </c>
      <c r="M384" s="99">
        <f>COUNTIF($G$5:$G$979,"&lt;"&amp;G384)+(COUNTIF($G$5:$G$979,"="&amp;G384)+1)/2</f>
        <v/>
      </c>
      <c r="N384" s="99">
        <f>COUNTIF($H$5:$H$979,"&lt;"&amp;H384)+(COUNTIF($H$5:$H$979,"="&amp;H384)+1)/2</f>
        <v/>
      </c>
      <c r="O384" s="99">
        <f>COUNTIF($I$5:$I$979,"&lt;"&amp;I384)+(COUNTIF($I$5:$I$979,"="&amp;I384)+1)/2</f>
        <v/>
      </c>
      <c r="P384" s="99">
        <f>COUNTIF($J$5:$J$979,"&lt;"&amp;J384)+(COUNTIF($J$5:$J$979,"="&amp;J384)+1)/2</f>
        <v/>
      </c>
    </row>
    <row r="385" ht="15" customHeight="1" s="68">
      <c r="A385" s="70">
        <f>'01_원자료'!A382</f>
        <v/>
      </c>
      <c r="B385" s="70">
        <f>'01_원자료'!B382</f>
        <v/>
      </c>
      <c r="C385" s="70">
        <f>'01_원자료'!C382</f>
        <v/>
      </c>
      <c r="E385" s="85">
        <f>'01_원자료'!P382*'03_가중치민감도'!$B$5+'01_원자료'!Q382*'03_가중치민감도'!$C$5+'01_원자료'!R382*'03_가중치민감도'!$D$5</f>
        <v/>
      </c>
      <c r="F385" s="85">
        <f>'01_원자료'!P382*'03_가중치민감도'!$B$6+'01_원자료'!Q382*'03_가중치민감도'!$C$6+'01_원자료'!R382*'03_가중치민감도'!$D$6</f>
        <v/>
      </c>
      <c r="G385" s="85">
        <f>'01_원자료'!P382*'03_가중치민감도'!$B$7+'01_원자료'!Q382*'03_가중치민감도'!$C$7+'01_원자료'!R382*'03_가중치민감도'!$D$7</f>
        <v/>
      </c>
      <c r="H385" s="85">
        <f>'01_원자료'!P382*'03_가중치민감도'!$B$8+'01_원자료'!Q382*'03_가중치민감도'!$C$8+'01_원자료'!R382*'03_가중치민감도'!$D$8</f>
        <v/>
      </c>
      <c r="I385" s="85">
        <f>'01_원자료'!P382*'03_가중치민감도'!$B$9+'01_원자료'!Q382*'03_가중치민감도'!$C$9+'01_원자료'!R382*'03_가중치민감도'!$D$9</f>
        <v/>
      </c>
      <c r="J385" s="85">
        <f>'01_원자료'!P382*'03_가중치민감도'!$B$10+'01_원자료'!Q382*'03_가중치민감도'!$C$10+'01_원자료'!R382*'03_가중치민감도'!$D$10</f>
        <v/>
      </c>
      <c r="K385" s="99">
        <f>COUNTIF($E$5:$E$979,"&lt;"&amp;E385)+(COUNTIF($E$5:$E$979,"="&amp;E385)+1)/2</f>
        <v/>
      </c>
      <c r="L385" s="99">
        <f>COUNTIF($F$5:$F$979,"&lt;"&amp;F385)+(COUNTIF($F$5:$F$979,"="&amp;F385)+1)/2</f>
        <v/>
      </c>
      <c r="M385" s="99">
        <f>COUNTIF($G$5:$G$979,"&lt;"&amp;G385)+(COUNTIF($G$5:$G$979,"="&amp;G385)+1)/2</f>
        <v/>
      </c>
      <c r="N385" s="99">
        <f>COUNTIF($H$5:$H$979,"&lt;"&amp;H385)+(COUNTIF($H$5:$H$979,"="&amp;H385)+1)/2</f>
        <v/>
      </c>
      <c r="O385" s="99">
        <f>COUNTIF($I$5:$I$979,"&lt;"&amp;I385)+(COUNTIF($I$5:$I$979,"="&amp;I385)+1)/2</f>
        <v/>
      </c>
      <c r="P385" s="99">
        <f>COUNTIF($J$5:$J$979,"&lt;"&amp;J385)+(COUNTIF($J$5:$J$979,"="&amp;J385)+1)/2</f>
        <v/>
      </c>
    </row>
    <row r="386" ht="15" customHeight="1" s="68">
      <c r="A386" s="70">
        <f>'01_원자료'!A383</f>
        <v/>
      </c>
      <c r="B386" s="70">
        <f>'01_원자료'!B383</f>
        <v/>
      </c>
      <c r="C386" s="70">
        <f>'01_원자료'!C383</f>
        <v/>
      </c>
      <c r="E386" s="85">
        <f>'01_원자료'!P383*'03_가중치민감도'!$B$5+'01_원자료'!Q383*'03_가중치민감도'!$C$5+'01_원자료'!R383*'03_가중치민감도'!$D$5</f>
        <v/>
      </c>
      <c r="F386" s="85">
        <f>'01_원자료'!P383*'03_가중치민감도'!$B$6+'01_원자료'!Q383*'03_가중치민감도'!$C$6+'01_원자료'!R383*'03_가중치민감도'!$D$6</f>
        <v/>
      </c>
      <c r="G386" s="85">
        <f>'01_원자료'!P383*'03_가중치민감도'!$B$7+'01_원자료'!Q383*'03_가중치민감도'!$C$7+'01_원자료'!R383*'03_가중치민감도'!$D$7</f>
        <v/>
      </c>
      <c r="H386" s="85">
        <f>'01_원자료'!P383*'03_가중치민감도'!$B$8+'01_원자료'!Q383*'03_가중치민감도'!$C$8+'01_원자료'!R383*'03_가중치민감도'!$D$8</f>
        <v/>
      </c>
      <c r="I386" s="85">
        <f>'01_원자료'!P383*'03_가중치민감도'!$B$9+'01_원자료'!Q383*'03_가중치민감도'!$C$9+'01_원자료'!R383*'03_가중치민감도'!$D$9</f>
        <v/>
      </c>
      <c r="J386" s="85">
        <f>'01_원자료'!P383*'03_가중치민감도'!$B$10+'01_원자료'!Q383*'03_가중치민감도'!$C$10+'01_원자료'!R383*'03_가중치민감도'!$D$10</f>
        <v/>
      </c>
      <c r="K386" s="99">
        <f>COUNTIF($E$5:$E$979,"&lt;"&amp;E386)+(COUNTIF($E$5:$E$979,"="&amp;E386)+1)/2</f>
        <v/>
      </c>
      <c r="L386" s="99">
        <f>COUNTIF($F$5:$F$979,"&lt;"&amp;F386)+(COUNTIF($F$5:$F$979,"="&amp;F386)+1)/2</f>
        <v/>
      </c>
      <c r="M386" s="99">
        <f>COUNTIF($G$5:$G$979,"&lt;"&amp;G386)+(COUNTIF($G$5:$G$979,"="&amp;G386)+1)/2</f>
        <v/>
      </c>
      <c r="N386" s="99">
        <f>COUNTIF($H$5:$H$979,"&lt;"&amp;H386)+(COUNTIF($H$5:$H$979,"="&amp;H386)+1)/2</f>
        <v/>
      </c>
      <c r="O386" s="99">
        <f>COUNTIF($I$5:$I$979,"&lt;"&amp;I386)+(COUNTIF($I$5:$I$979,"="&amp;I386)+1)/2</f>
        <v/>
      </c>
      <c r="P386" s="99">
        <f>COUNTIF($J$5:$J$979,"&lt;"&amp;J386)+(COUNTIF($J$5:$J$979,"="&amp;J386)+1)/2</f>
        <v/>
      </c>
    </row>
    <row r="387" ht="15" customHeight="1" s="68">
      <c r="A387" s="70">
        <f>'01_원자료'!A384</f>
        <v/>
      </c>
      <c r="B387" s="70">
        <f>'01_원자료'!B384</f>
        <v/>
      </c>
      <c r="C387" s="70">
        <f>'01_원자료'!C384</f>
        <v/>
      </c>
      <c r="E387" s="85">
        <f>'01_원자료'!P384*'03_가중치민감도'!$B$5+'01_원자료'!Q384*'03_가중치민감도'!$C$5+'01_원자료'!R384*'03_가중치민감도'!$D$5</f>
        <v/>
      </c>
      <c r="F387" s="85">
        <f>'01_원자료'!P384*'03_가중치민감도'!$B$6+'01_원자료'!Q384*'03_가중치민감도'!$C$6+'01_원자료'!R384*'03_가중치민감도'!$D$6</f>
        <v/>
      </c>
      <c r="G387" s="85">
        <f>'01_원자료'!P384*'03_가중치민감도'!$B$7+'01_원자료'!Q384*'03_가중치민감도'!$C$7+'01_원자료'!R384*'03_가중치민감도'!$D$7</f>
        <v/>
      </c>
      <c r="H387" s="85">
        <f>'01_원자료'!P384*'03_가중치민감도'!$B$8+'01_원자료'!Q384*'03_가중치민감도'!$C$8+'01_원자료'!R384*'03_가중치민감도'!$D$8</f>
        <v/>
      </c>
      <c r="I387" s="85">
        <f>'01_원자료'!P384*'03_가중치민감도'!$B$9+'01_원자료'!Q384*'03_가중치민감도'!$C$9+'01_원자료'!R384*'03_가중치민감도'!$D$9</f>
        <v/>
      </c>
      <c r="J387" s="85">
        <f>'01_원자료'!P384*'03_가중치민감도'!$B$10+'01_원자료'!Q384*'03_가중치민감도'!$C$10+'01_원자료'!R384*'03_가중치민감도'!$D$10</f>
        <v/>
      </c>
      <c r="K387" s="99">
        <f>COUNTIF($E$5:$E$979,"&lt;"&amp;E387)+(COUNTIF($E$5:$E$979,"="&amp;E387)+1)/2</f>
        <v/>
      </c>
      <c r="L387" s="99">
        <f>COUNTIF($F$5:$F$979,"&lt;"&amp;F387)+(COUNTIF($F$5:$F$979,"="&amp;F387)+1)/2</f>
        <v/>
      </c>
      <c r="M387" s="99">
        <f>COUNTIF($G$5:$G$979,"&lt;"&amp;G387)+(COUNTIF($G$5:$G$979,"="&amp;G387)+1)/2</f>
        <v/>
      </c>
      <c r="N387" s="99">
        <f>COUNTIF($H$5:$H$979,"&lt;"&amp;H387)+(COUNTIF($H$5:$H$979,"="&amp;H387)+1)/2</f>
        <v/>
      </c>
      <c r="O387" s="99">
        <f>COUNTIF($I$5:$I$979,"&lt;"&amp;I387)+(COUNTIF($I$5:$I$979,"="&amp;I387)+1)/2</f>
        <v/>
      </c>
      <c r="P387" s="99">
        <f>COUNTIF($J$5:$J$979,"&lt;"&amp;J387)+(COUNTIF($J$5:$J$979,"="&amp;J387)+1)/2</f>
        <v/>
      </c>
    </row>
    <row r="388" ht="15" customHeight="1" s="68">
      <c r="A388" s="70">
        <f>'01_원자료'!A385</f>
        <v/>
      </c>
      <c r="B388" s="70">
        <f>'01_원자료'!B385</f>
        <v/>
      </c>
      <c r="C388" s="70">
        <f>'01_원자료'!C385</f>
        <v/>
      </c>
      <c r="E388" s="85">
        <f>'01_원자료'!P385*'03_가중치민감도'!$B$5+'01_원자료'!Q385*'03_가중치민감도'!$C$5+'01_원자료'!R385*'03_가중치민감도'!$D$5</f>
        <v/>
      </c>
      <c r="F388" s="85">
        <f>'01_원자료'!P385*'03_가중치민감도'!$B$6+'01_원자료'!Q385*'03_가중치민감도'!$C$6+'01_원자료'!R385*'03_가중치민감도'!$D$6</f>
        <v/>
      </c>
      <c r="G388" s="85">
        <f>'01_원자료'!P385*'03_가중치민감도'!$B$7+'01_원자료'!Q385*'03_가중치민감도'!$C$7+'01_원자료'!R385*'03_가중치민감도'!$D$7</f>
        <v/>
      </c>
      <c r="H388" s="85">
        <f>'01_원자료'!P385*'03_가중치민감도'!$B$8+'01_원자료'!Q385*'03_가중치민감도'!$C$8+'01_원자료'!R385*'03_가중치민감도'!$D$8</f>
        <v/>
      </c>
      <c r="I388" s="85">
        <f>'01_원자료'!P385*'03_가중치민감도'!$B$9+'01_원자료'!Q385*'03_가중치민감도'!$C$9+'01_원자료'!R385*'03_가중치민감도'!$D$9</f>
        <v/>
      </c>
      <c r="J388" s="85">
        <f>'01_원자료'!P385*'03_가중치민감도'!$B$10+'01_원자료'!Q385*'03_가중치민감도'!$C$10+'01_원자료'!R385*'03_가중치민감도'!$D$10</f>
        <v/>
      </c>
      <c r="K388" s="99">
        <f>COUNTIF($E$5:$E$979,"&lt;"&amp;E388)+(COUNTIF($E$5:$E$979,"="&amp;E388)+1)/2</f>
        <v/>
      </c>
      <c r="L388" s="99">
        <f>COUNTIF($F$5:$F$979,"&lt;"&amp;F388)+(COUNTIF($F$5:$F$979,"="&amp;F388)+1)/2</f>
        <v/>
      </c>
      <c r="M388" s="99">
        <f>COUNTIF($G$5:$G$979,"&lt;"&amp;G388)+(COUNTIF($G$5:$G$979,"="&amp;G388)+1)/2</f>
        <v/>
      </c>
      <c r="N388" s="99">
        <f>COUNTIF($H$5:$H$979,"&lt;"&amp;H388)+(COUNTIF($H$5:$H$979,"="&amp;H388)+1)/2</f>
        <v/>
      </c>
      <c r="O388" s="99">
        <f>COUNTIF($I$5:$I$979,"&lt;"&amp;I388)+(COUNTIF($I$5:$I$979,"="&amp;I388)+1)/2</f>
        <v/>
      </c>
      <c r="P388" s="99">
        <f>COUNTIF($J$5:$J$979,"&lt;"&amp;J388)+(COUNTIF($J$5:$J$979,"="&amp;J388)+1)/2</f>
        <v/>
      </c>
    </row>
    <row r="389" ht="15" customHeight="1" s="68">
      <c r="A389" s="70">
        <f>'01_원자료'!A386</f>
        <v/>
      </c>
      <c r="B389" s="70">
        <f>'01_원자료'!B386</f>
        <v/>
      </c>
      <c r="C389" s="70">
        <f>'01_원자료'!C386</f>
        <v/>
      </c>
      <c r="E389" s="85">
        <f>'01_원자료'!P386*'03_가중치민감도'!$B$5+'01_원자료'!Q386*'03_가중치민감도'!$C$5+'01_원자료'!R386*'03_가중치민감도'!$D$5</f>
        <v/>
      </c>
      <c r="F389" s="85">
        <f>'01_원자료'!P386*'03_가중치민감도'!$B$6+'01_원자료'!Q386*'03_가중치민감도'!$C$6+'01_원자료'!R386*'03_가중치민감도'!$D$6</f>
        <v/>
      </c>
      <c r="G389" s="85">
        <f>'01_원자료'!P386*'03_가중치민감도'!$B$7+'01_원자료'!Q386*'03_가중치민감도'!$C$7+'01_원자료'!R386*'03_가중치민감도'!$D$7</f>
        <v/>
      </c>
      <c r="H389" s="85">
        <f>'01_원자료'!P386*'03_가중치민감도'!$B$8+'01_원자료'!Q386*'03_가중치민감도'!$C$8+'01_원자료'!R386*'03_가중치민감도'!$D$8</f>
        <v/>
      </c>
      <c r="I389" s="85">
        <f>'01_원자료'!P386*'03_가중치민감도'!$B$9+'01_원자료'!Q386*'03_가중치민감도'!$C$9+'01_원자료'!R386*'03_가중치민감도'!$D$9</f>
        <v/>
      </c>
      <c r="J389" s="85">
        <f>'01_원자료'!P386*'03_가중치민감도'!$B$10+'01_원자료'!Q386*'03_가중치민감도'!$C$10+'01_원자료'!R386*'03_가중치민감도'!$D$10</f>
        <v/>
      </c>
      <c r="K389" s="99">
        <f>COUNTIF($E$5:$E$979,"&lt;"&amp;E389)+(COUNTIF($E$5:$E$979,"="&amp;E389)+1)/2</f>
        <v/>
      </c>
      <c r="L389" s="99">
        <f>COUNTIF($F$5:$F$979,"&lt;"&amp;F389)+(COUNTIF($F$5:$F$979,"="&amp;F389)+1)/2</f>
        <v/>
      </c>
      <c r="M389" s="99">
        <f>COUNTIF($G$5:$G$979,"&lt;"&amp;G389)+(COUNTIF($G$5:$G$979,"="&amp;G389)+1)/2</f>
        <v/>
      </c>
      <c r="N389" s="99">
        <f>COUNTIF($H$5:$H$979,"&lt;"&amp;H389)+(COUNTIF($H$5:$H$979,"="&amp;H389)+1)/2</f>
        <v/>
      </c>
      <c r="O389" s="99">
        <f>COUNTIF($I$5:$I$979,"&lt;"&amp;I389)+(COUNTIF($I$5:$I$979,"="&amp;I389)+1)/2</f>
        <v/>
      </c>
      <c r="P389" s="99">
        <f>COUNTIF($J$5:$J$979,"&lt;"&amp;J389)+(COUNTIF($J$5:$J$979,"="&amp;J389)+1)/2</f>
        <v/>
      </c>
    </row>
    <row r="390" ht="15" customHeight="1" s="68">
      <c r="A390" s="70">
        <f>'01_원자료'!A387</f>
        <v/>
      </c>
      <c r="B390" s="70">
        <f>'01_원자료'!B387</f>
        <v/>
      </c>
      <c r="C390" s="70">
        <f>'01_원자료'!C387</f>
        <v/>
      </c>
      <c r="E390" s="85">
        <f>'01_원자료'!P387*'03_가중치민감도'!$B$5+'01_원자료'!Q387*'03_가중치민감도'!$C$5+'01_원자료'!R387*'03_가중치민감도'!$D$5</f>
        <v/>
      </c>
      <c r="F390" s="85">
        <f>'01_원자료'!P387*'03_가중치민감도'!$B$6+'01_원자료'!Q387*'03_가중치민감도'!$C$6+'01_원자료'!R387*'03_가중치민감도'!$D$6</f>
        <v/>
      </c>
      <c r="G390" s="85">
        <f>'01_원자료'!P387*'03_가중치민감도'!$B$7+'01_원자료'!Q387*'03_가중치민감도'!$C$7+'01_원자료'!R387*'03_가중치민감도'!$D$7</f>
        <v/>
      </c>
      <c r="H390" s="85">
        <f>'01_원자료'!P387*'03_가중치민감도'!$B$8+'01_원자료'!Q387*'03_가중치민감도'!$C$8+'01_원자료'!R387*'03_가중치민감도'!$D$8</f>
        <v/>
      </c>
      <c r="I390" s="85">
        <f>'01_원자료'!P387*'03_가중치민감도'!$B$9+'01_원자료'!Q387*'03_가중치민감도'!$C$9+'01_원자료'!R387*'03_가중치민감도'!$D$9</f>
        <v/>
      </c>
      <c r="J390" s="85">
        <f>'01_원자료'!P387*'03_가중치민감도'!$B$10+'01_원자료'!Q387*'03_가중치민감도'!$C$10+'01_원자료'!R387*'03_가중치민감도'!$D$10</f>
        <v/>
      </c>
      <c r="K390" s="99">
        <f>COUNTIF($E$5:$E$979,"&lt;"&amp;E390)+(COUNTIF($E$5:$E$979,"="&amp;E390)+1)/2</f>
        <v/>
      </c>
      <c r="L390" s="99">
        <f>COUNTIF($F$5:$F$979,"&lt;"&amp;F390)+(COUNTIF($F$5:$F$979,"="&amp;F390)+1)/2</f>
        <v/>
      </c>
      <c r="M390" s="99">
        <f>COUNTIF($G$5:$G$979,"&lt;"&amp;G390)+(COUNTIF($G$5:$G$979,"="&amp;G390)+1)/2</f>
        <v/>
      </c>
      <c r="N390" s="99">
        <f>COUNTIF($H$5:$H$979,"&lt;"&amp;H390)+(COUNTIF($H$5:$H$979,"="&amp;H390)+1)/2</f>
        <v/>
      </c>
      <c r="O390" s="99">
        <f>COUNTIF($I$5:$I$979,"&lt;"&amp;I390)+(COUNTIF($I$5:$I$979,"="&amp;I390)+1)/2</f>
        <v/>
      </c>
      <c r="P390" s="99">
        <f>COUNTIF($J$5:$J$979,"&lt;"&amp;J390)+(COUNTIF($J$5:$J$979,"="&amp;J390)+1)/2</f>
        <v/>
      </c>
    </row>
    <row r="391" ht="15" customHeight="1" s="68">
      <c r="A391" s="70">
        <f>'01_원자료'!A388</f>
        <v/>
      </c>
      <c r="B391" s="70">
        <f>'01_원자료'!B388</f>
        <v/>
      </c>
      <c r="C391" s="70">
        <f>'01_원자료'!C388</f>
        <v/>
      </c>
      <c r="E391" s="85">
        <f>'01_원자료'!P388*'03_가중치민감도'!$B$5+'01_원자료'!Q388*'03_가중치민감도'!$C$5+'01_원자료'!R388*'03_가중치민감도'!$D$5</f>
        <v/>
      </c>
      <c r="F391" s="85">
        <f>'01_원자료'!P388*'03_가중치민감도'!$B$6+'01_원자료'!Q388*'03_가중치민감도'!$C$6+'01_원자료'!R388*'03_가중치민감도'!$D$6</f>
        <v/>
      </c>
      <c r="G391" s="85">
        <f>'01_원자료'!P388*'03_가중치민감도'!$B$7+'01_원자료'!Q388*'03_가중치민감도'!$C$7+'01_원자료'!R388*'03_가중치민감도'!$D$7</f>
        <v/>
      </c>
      <c r="H391" s="85">
        <f>'01_원자료'!P388*'03_가중치민감도'!$B$8+'01_원자료'!Q388*'03_가중치민감도'!$C$8+'01_원자료'!R388*'03_가중치민감도'!$D$8</f>
        <v/>
      </c>
      <c r="I391" s="85">
        <f>'01_원자료'!P388*'03_가중치민감도'!$B$9+'01_원자료'!Q388*'03_가중치민감도'!$C$9+'01_원자료'!R388*'03_가중치민감도'!$D$9</f>
        <v/>
      </c>
      <c r="J391" s="85">
        <f>'01_원자료'!P388*'03_가중치민감도'!$B$10+'01_원자료'!Q388*'03_가중치민감도'!$C$10+'01_원자료'!R388*'03_가중치민감도'!$D$10</f>
        <v/>
      </c>
      <c r="K391" s="99">
        <f>COUNTIF($E$5:$E$979,"&lt;"&amp;E391)+(COUNTIF($E$5:$E$979,"="&amp;E391)+1)/2</f>
        <v/>
      </c>
      <c r="L391" s="99">
        <f>COUNTIF($F$5:$F$979,"&lt;"&amp;F391)+(COUNTIF($F$5:$F$979,"="&amp;F391)+1)/2</f>
        <v/>
      </c>
      <c r="M391" s="99">
        <f>COUNTIF($G$5:$G$979,"&lt;"&amp;G391)+(COUNTIF($G$5:$G$979,"="&amp;G391)+1)/2</f>
        <v/>
      </c>
      <c r="N391" s="99">
        <f>COUNTIF($H$5:$H$979,"&lt;"&amp;H391)+(COUNTIF($H$5:$H$979,"="&amp;H391)+1)/2</f>
        <v/>
      </c>
      <c r="O391" s="99">
        <f>COUNTIF($I$5:$I$979,"&lt;"&amp;I391)+(COUNTIF($I$5:$I$979,"="&amp;I391)+1)/2</f>
        <v/>
      </c>
      <c r="P391" s="99">
        <f>COUNTIF($J$5:$J$979,"&lt;"&amp;J391)+(COUNTIF($J$5:$J$979,"="&amp;J391)+1)/2</f>
        <v/>
      </c>
    </row>
    <row r="392" ht="15" customHeight="1" s="68">
      <c r="A392" s="70">
        <f>'01_원자료'!A389</f>
        <v/>
      </c>
      <c r="B392" s="70">
        <f>'01_원자료'!B389</f>
        <v/>
      </c>
      <c r="C392" s="70">
        <f>'01_원자료'!C389</f>
        <v/>
      </c>
      <c r="E392" s="85">
        <f>'01_원자료'!P389*'03_가중치민감도'!$B$5+'01_원자료'!Q389*'03_가중치민감도'!$C$5+'01_원자료'!R389*'03_가중치민감도'!$D$5</f>
        <v/>
      </c>
      <c r="F392" s="85">
        <f>'01_원자료'!P389*'03_가중치민감도'!$B$6+'01_원자료'!Q389*'03_가중치민감도'!$C$6+'01_원자료'!R389*'03_가중치민감도'!$D$6</f>
        <v/>
      </c>
      <c r="G392" s="85">
        <f>'01_원자료'!P389*'03_가중치민감도'!$B$7+'01_원자료'!Q389*'03_가중치민감도'!$C$7+'01_원자료'!R389*'03_가중치민감도'!$D$7</f>
        <v/>
      </c>
      <c r="H392" s="85">
        <f>'01_원자료'!P389*'03_가중치민감도'!$B$8+'01_원자료'!Q389*'03_가중치민감도'!$C$8+'01_원자료'!R389*'03_가중치민감도'!$D$8</f>
        <v/>
      </c>
      <c r="I392" s="85">
        <f>'01_원자료'!P389*'03_가중치민감도'!$B$9+'01_원자료'!Q389*'03_가중치민감도'!$C$9+'01_원자료'!R389*'03_가중치민감도'!$D$9</f>
        <v/>
      </c>
      <c r="J392" s="85">
        <f>'01_원자료'!P389*'03_가중치민감도'!$B$10+'01_원자료'!Q389*'03_가중치민감도'!$C$10+'01_원자료'!R389*'03_가중치민감도'!$D$10</f>
        <v/>
      </c>
      <c r="K392" s="99">
        <f>COUNTIF($E$5:$E$979,"&lt;"&amp;E392)+(COUNTIF($E$5:$E$979,"="&amp;E392)+1)/2</f>
        <v/>
      </c>
      <c r="L392" s="99">
        <f>COUNTIF($F$5:$F$979,"&lt;"&amp;F392)+(COUNTIF($F$5:$F$979,"="&amp;F392)+1)/2</f>
        <v/>
      </c>
      <c r="M392" s="99">
        <f>COUNTIF($G$5:$G$979,"&lt;"&amp;G392)+(COUNTIF($G$5:$G$979,"="&amp;G392)+1)/2</f>
        <v/>
      </c>
      <c r="N392" s="99">
        <f>COUNTIF($H$5:$H$979,"&lt;"&amp;H392)+(COUNTIF($H$5:$H$979,"="&amp;H392)+1)/2</f>
        <v/>
      </c>
      <c r="O392" s="99">
        <f>COUNTIF($I$5:$I$979,"&lt;"&amp;I392)+(COUNTIF($I$5:$I$979,"="&amp;I392)+1)/2</f>
        <v/>
      </c>
      <c r="P392" s="99">
        <f>COUNTIF($J$5:$J$979,"&lt;"&amp;J392)+(COUNTIF($J$5:$J$979,"="&amp;J392)+1)/2</f>
        <v/>
      </c>
    </row>
    <row r="393" ht="15" customHeight="1" s="68">
      <c r="A393" s="70">
        <f>'01_원자료'!A390</f>
        <v/>
      </c>
      <c r="B393" s="70">
        <f>'01_원자료'!B390</f>
        <v/>
      </c>
      <c r="C393" s="70">
        <f>'01_원자료'!C390</f>
        <v/>
      </c>
      <c r="E393" s="85">
        <f>'01_원자료'!P390*'03_가중치민감도'!$B$5+'01_원자료'!Q390*'03_가중치민감도'!$C$5+'01_원자료'!R390*'03_가중치민감도'!$D$5</f>
        <v/>
      </c>
      <c r="F393" s="85">
        <f>'01_원자료'!P390*'03_가중치민감도'!$B$6+'01_원자료'!Q390*'03_가중치민감도'!$C$6+'01_원자료'!R390*'03_가중치민감도'!$D$6</f>
        <v/>
      </c>
      <c r="G393" s="85">
        <f>'01_원자료'!P390*'03_가중치민감도'!$B$7+'01_원자료'!Q390*'03_가중치민감도'!$C$7+'01_원자료'!R390*'03_가중치민감도'!$D$7</f>
        <v/>
      </c>
      <c r="H393" s="85">
        <f>'01_원자료'!P390*'03_가중치민감도'!$B$8+'01_원자료'!Q390*'03_가중치민감도'!$C$8+'01_원자료'!R390*'03_가중치민감도'!$D$8</f>
        <v/>
      </c>
      <c r="I393" s="85">
        <f>'01_원자료'!P390*'03_가중치민감도'!$B$9+'01_원자료'!Q390*'03_가중치민감도'!$C$9+'01_원자료'!R390*'03_가중치민감도'!$D$9</f>
        <v/>
      </c>
      <c r="J393" s="85">
        <f>'01_원자료'!P390*'03_가중치민감도'!$B$10+'01_원자료'!Q390*'03_가중치민감도'!$C$10+'01_원자료'!R390*'03_가중치민감도'!$D$10</f>
        <v/>
      </c>
      <c r="K393" s="99">
        <f>COUNTIF($E$5:$E$979,"&lt;"&amp;E393)+(COUNTIF($E$5:$E$979,"="&amp;E393)+1)/2</f>
        <v/>
      </c>
      <c r="L393" s="99">
        <f>COUNTIF($F$5:$F$979,"&lt;"&amp;F393)+(COUNTIF($F$5:$F$979,"="&amp;F393)+1)/2</f>
        <v/>
      </c>
      <c r="M393" s="99">
        <f>COUNTIF($G$5:$G$979,"&lt;"&amp;G393)+(COUNTIF($G$5:$G$979,"="&amp;G393)+1)/2</f>
        <v/>
      </c>
      <c r="N393" s="99">
        <f>COUNTIF($H$5:$H$979,"&lt;"&amp;H393)+(COUNTIF($H$5:$H$979,"="&amp;H393)+1)/2</f>
        <v/>
      </c>
      <c r="O393" s="99">
        <f>COUNTIF($I$5:$I$979,"&lt;"&amp;I393)+(COUNTIF($I$5:$I$979,"="&amp;I393)+1)/2</f>
        <v/>
      </c>
      <c r="P393" s="99">
        <f>COUNTIF($J$5:$J$979,"&lt;"&amp;J393)+(COUNTIF($J$5:$J$979,"="&amp;J393)+1)/2</f>
        <v/>
      </c>
    </row>
    <row r="394" ht="15" customHeight="1" s="68">
      <c r="A394" s="70">
        <f>'01_원자료'!A391</f>
        <v/>
      </c>
      <c r="B394" s="70">
        <f>'01_원자료'!B391</f>
        <v/>
      </c>
      <c r="C394" s="70">
        <f>'01_원자료'!C391</f>
        <v/>
      </c>
      <c r="E394" s="85">
        <f>'01_원자료'!P391*'03_가중치민감도'!$B$5+'01_원자료'!Q391*'03_가중치민감도'!$C$5+'01_원자료'!R391*'03_가중치민감도'!$D$5</f>
        <v/>
      </c>
      <c r="F394" s="85">
        <f>'01_원자료'!P391*'03_가중치민감도'!$B$6+'01_원자료'!Q391*'03_가중치민감도'!$C$6+'01_원자료'!R391*'03_가중치민감도'!$D$6</f>
        <v/>
      </c>
      <c r="G394" s="85">
        <f>'01_원자료'!P391*'03_가중치민감도'!$B$7+'01_원자료'!Q391*'03_가중치민감도'!$C$7+'01_원자료'!R391*'03_가중치민감도'!$D$7</f>
        <v/>
      </c>
      <c r="H394" s="85">
        <f>'01_원자료'!P391*'03_가중치민감도'!$B$8+'01_원자료'!Q391*'03_가중치민감도'!$C$8+'01_원자료'!R391*'03_가중치민감도'!$D$8</f>
        <v/>
      </c>
      <c r="I394" s="85">
        <f>'01_원자료'!P391*'03_가중치민감도'!$B$9+'01_원자료'!Q391*'03_가중치민감도'!$C$9+'01_원자료'!R391*'03_가중치민감도'!$D$9</f>
        <v/>
      </c>
      <c r="J394" s="85">
        <f>'01_원자료'!P391*'03_가중치민감도'!$B$10+'01_원자료'!Q391*'03_가중치민감도'!$C$10+'01_원자료'!R391*'03_가중치민감도'!$D$10</f>
        <v/>
      </c>
      <c r="K394" s="99">
        <f>COUNTIF($E$5:$E$979,"&lt;"&amp;E394)+(COUNTIF($E$5:$E$979,"="&amp;E394)+1)/2</f>
        <v/>
      </c>
      <c r="L394" s="99">
        <f>COUNTIF($F$5:$F$979,"&lt;"&amp;F394)+(COUNTIF($F$5:$F$979,"="&amp;F394)+1)/2</f>
        <v/>
      </c>
      <c r="M394" s="99">
        <f>COUNTIF($G$5:$G$979,"&lt;"&amp;G394)+(COUNTIF($G$5:$G$979,"="&amp;G394)+1)/2</f>
        <v/>
      </c>
      <c r="N394" s="99">
        <f>COUNTIF($H$5:$H$979,"&lt;"&amp;H394)+(COUNTIF($H$5:$H$979,"="&amp;H394)+1)/2</f>
        <v/>
      </c>
      <c r="O394" s="99">
        <f>COUNTIF($I$5:$I$979,"&lt;"&amp;I394)+(COUNTIF($I$5:$I$979,"="&amp;I394)+1)/2</f>
        <v/>
      </c>
      <c r="P394" s="99">
        <f>COUNTIF($J$5:$J$979,"&lt;"&amp;J394)+(COUNTIF($J$5:$J$979,"="&amp;J394)+1)/2</f>
        <v/>
      </c>
    </row>
    <row r="395" ht="15" customHeight="1" s="68">
      <c r="A395" s="70">
        <f>'01_원자료'!A392</f>
        <v/>
      </c>
      <c r="B395" s="70">
        <f>'01_원자료'!B392</f>
        <v/>
      </c>
      <c r="C395" s="70">
        <f>'01_원자료'!C392</f>
        <v/>
      </c>
      <c r="E395" s="85">
        <f>'01_원자료'!P392*'03_가중치민감도'!$B$5+'01_원자료'!Q392*'03_가중치민감도'!$C$5+'01_원자료'!R392*'03_가중치민감도'!$D$5</f>
        <v/>
      </c>
      <c r="F395" s="85">
        <f>'01_원자료'!P392*'03_가중치민감도'!$B$6+'01_원자료'!Q392*'03_가중치민감도'!$C$6+'01_원자료'!R392*'03_가중치민감도'!$D$6</f>
        <v/>
      </c>
      <c r="G395" s="85">
        <f>'01_원자료'!P392*'03_가중치민감도'!$B$7+'01_원자료'!Q392*'03_가중치민감도'!$C$7+'01_원자료'!R392*'03_가중치민감도'!$D$7</f>
        <v/>
      </c>
      <c r="H395" s="85">
        <f>'01_원자료'!P392*'03_가중치민감도'!$B$8+'01_원자료'!Q392*'03_가중치민감도'!$C$8+'01_원자료'!R392*'03_가중치민감도'!$D$8</f>
        <v/>
      </c>
      <c r="I395" s="85">
        <f>'01_원자료'!P392*'03_가중치민감도'!$B$9+'01_원자료'!Q392*'03_가중치민감도'!$C$9+'01_원자료'!R392*'03_가중치민감도'!$D$9</f>
        <v/>
      </c>
      <c r="J395" s="85">
        <f>'01_원자료'!P392*'03_가중치민감도'!$B$10+'01_원자료'!Q392*'03_가중치민감도'!$C$10+'01_원자료'!R392*'03_가중치민감도'!$D$10</f>
        <v/>
      </c>
      <c r="K395" s="99">
        <f>COUNTIF($E$5:$E$979,"&lt;"&amp;E395)+(COUNTIF($E$5:$E$979,"="&amp;E395)+1)/2</f>
        <v/>
      </c>
      <c r="L395" s="99">
        <f>COUNTIF($F$5:$F$979,"&lt;"&amp;F395)+(COUNTIF($F$5:$F$979,"="&amp;F395)+1)/2</f>
        <v/>
      </c>
      <c r="M395" s="99">
        <f>COUNTIF($G$5:$G$979,"&lt;"&amp;G395)+(COUNTIF($G$5:$G$979,"="&amp;G395)+1)/2</f>
        <v/>
      </c>
      <c r="N395" s="99">
        <f>COUNTIF($H$5:$H$979,"&lt;"&amp;H395)+(COUNTIF($H$5:$H$979,"="&amp;H395)+1)/2</f>
        <v/>
      </c>
      <c r="O395" s="99">
        <f>COUNTIF($I$5:$I$979,"&lt;"&amp;I395)+(COUNTIF($I$5:$I$979,"="&amp;I395)+1)/2</f>
        <v/>
      </c>
      <c r="P395" s="99">
        <f>COUNTIF($J$5:$J$979,"&lt;"&amp;J395)+(COUNTIF($J$5:$J$979,"="&amp;J395)+1)/2</f>
        <v/>
      </c>
    </row>
    <row r="396" ht="15" customHeight="1" s="68">
      <c r="A396" s="70">
        <f>'01_원자료'!A393</f>
        <v/>
      </c>
      <c r="B396" s="70">
        <f>'01_원자료'!B393</f>
        <v/>
      </c>
      <c r="C396" s="70">
        <f>'01_원자료'!C393</f>
        <v/>
      </c>
      <c r="E396" s="85">
        <f>'01_원자료'!P393*'03_가중치민감도'!$B$5+'01_원자료'!Q393*'03_가중치민감도'!$C$5+'01_원자료'!R393*'03_가중치민감도'!$D$5</f>
        <v/>
      </c>
      <c r="F396" s="85">
        <f>'01_원자료'!P393*'03_가중치민감도'!$B$6+'01_원자료'!Q393*'03_가중치민감도'!$C$6+'01_원자료'!R393*'03_가중치민감도'!$D$6</f>
        <v/>
      </c>
      <c r="G396" s="85">
        <f>'01_원자료'!P393*'03_가중치민감도'!$B$7+'01_원자료'!Q393*'03_가중치민감도'!$C$7+'01_원자료'!R393*'03_가중치민감도'!$D$7</f>
        <v/>
      </c>
      <c r="H396" s="85">
        <f>'01_원자료'!P393*'03_가중치민감도'!$B$8+'01_원자료'!Q393*'03_가중치민감도'!$C$8+'01_원자료'!R393*'03_가중치민감도'!$D$8</f>
        <v/>
      </c>
      <c r="I396" s="85">
        <f>'01_원자료'!P393*'03_가중치민감도'!$B$9+'01_원자료'!Q393*'03_가중치민감도'!$C$9+'01_원자료'!R393*'03_가중치민감도'!$D$9</f>
        <v/>
      </c>
      <c r="J396" s="85">
        <f>'01_원자료'!P393*'03_가중치민감도'!$B$10+'01_원자료'!Q393*'03_가중치민감도'!$C$10+'01_원자료'!R393*'03_가중치민감도'!$D$10</f>
        <v/>
      </c>
      <c r="K396" s="99">
        <f>COUNTIF($E$5:$E$979,"&lt;"&amp;E396)+(COUNTIF($E$5:$E$979,"="&amp;E396)+1)/2</f>
        <v/>
      </c>
      <c r="L396" s="99">
        <f>COUNTIF($F$5:$F$979,"&lt;"&amp;F396)+(COUNTIF($F$5:$F$979,"="&amp;F396)+1)/2</f>
        <v/>
      </c>
      <c r="M396" s="99">
        <f>COUNTIF($G$5:$G$979,"&lt;"&amp;G396)+(COUNTIF($G$5:$G$979,"="&amp;G396)+1)/2</f>
        <v/>
      </c>
      <c r="N396" s="99">
        <f>COUNTIF($H$5:$H$979,"&lt;"&amp;H396)+(COUNTIF($H$5:$H$979,"="&amp;H396)+1)/2</f>
        <v/>
      </c>
      <c r="O396" s="99">
        <f>COUNTIF($I$5:$I$979,"&lt;"&amp;I396)+(COUNTIF($I$5:$I$979,"="&amp;I396)+1)/2</f>
        <v/>
      </c>
      <c r="P396" s="99">
        <f>COUNTIF($J$5:$J$979,"&lt;"&amp;J396)+(COUNTIF($J$5:$J$979,"="&amp;J396)+1)/2</f>
        <v/>
      </c>
    </row>
    <row r="397" ht="15" customHeight="1" s="68">
      <c r="A397" s="70">
        <f>'01_원자료'!A394</f>
        <v/>
      </c>
      <c r="B397" s="70">
        <f>'01_원자료'!B394</f>
        <v/>
      </c>
      <c r="C397" s="70">
        <f>'01_원자료'!C394</f>
        <v/>
      </c>
      <c r="E397" s="85">
        <f>'01_원자료'!P394*'03_가중치민감도'!$B$5+'01_원자료'!Q394*'03_가중치민감도'!$C$5+'01_원자료'!R394*'03_가중치민감도'!$D$5</f>
        <v/>
      </c>
      <c r="F397" s="85">
        <f>'01_원자료'!P394*'03_가중치민감도'!$B$6+'01_원자료'!Q394*'03_가중치민감도'!$C$6+'01_원자료'!R394*'03_가중치민감도'!$D$6</f>
        <v/>
      </c>
      <c r="G397" s="85">
        <f>'01_원자료'!P394*'03_가중치민감도'!$B$7+'01_원자료'!Q394*'03_가중치민감도'!$C$7+'01_원자료'!R394*'03_가중치민감도'!$D$7</f>
        <v/>
      </c>
      <c r="H397" s="85">
        <f>'01_원자료'!P394*'03_가중치민감도'!$B$8+'01_원자료'!Q394*'03_가중치민감도'!$C$8+'01_원자료'!R394*'03_가중치민감도'!$D$8</f>
        <v/>
      </c>
      <c r="I397" s="85">
        <f>'01_원자료'!P394*'03_가중치민감도'!$B$9+'01_원자료'!Q394*'03_가중치민감도'!$C$9+'01_원자료'!R394*'03_가중치민감도'!$D$9</f>
        <v/>
      </c>
      <c r="J397" s="85">
        <f>'01_원자료'!P394*'03_가중치민감도'!$B$10+'01_원자료'!Q394*'03_가중치민감도'!$C$10+'01_원자료'!R394*'03_가중치민감도'!$D$10</f>
        <v/>
      </c>
      <c r="K397" s="99">
        <f>COUNTIF($E$5:$E$979,"&lt;"&amp;E397)+(COUNTIF($E$5:$E$979,"="&amp;E397)+1)/2</f>
        <v/>
      </c>
      <c r="L397" s="99">
        <f>COUNTIF($F$5:$F$979,"&lt;"&amp;F397)+(COUNTIF($F$5:$F$979,"="&amp;F397)+1)/2</f>
        <v/>
      </c>
      <c r="M397" s="99">
        <f>COUNTIF($G$5:$G$979,"&lt;"&amp;G397)+(COUNTIF($G$5:$G$979,"="&amp;G397)+1)/2</f>
        <v/>
      </c>
      <c r="N397" s="99">
        <f>COUNTIF($H$5:$H$979,"&lt;"&amp;H397)+(COUNTIF($H$5:$H$979,"="&amp;H397)+1)/2</f>
        <v/>
      </c>
      <c r="O397" s="99">
        <f>COUNTIF($I$5:$I$979,"&lt;"&amp;I397)+(COUNTIF($I$5:$I$979,"="&amp;I397)+1)/2</f>
        <v/>
      </c>
      <c r="P397" s="99">
        <f>COUNTIF($J$5:$J$979,"&lt;"&amp;J397)+(COUNTIF($J$5:$J$979,"="&amp;J397)+1)/2</f>
        <v/>
      </c>
    </row>
    <row r="398" ht="15" customHeight="1" s="68">
      <c r="A398" s="70">
        <f>'01_원자료'!A395</f>
        <v/>
      </c>
      <c r="B398" s="70">
        <f>'01_원자료'!B395</f>
        <v/>
      </c>
      <c r="C398" s="70">
        <f>'01_원자료'!C395</f>
        <v/>
      </c>
      <c r="E398" s="85">
        <f>'01_원자료'!P395*'03_가중치민감도'!$B$5+'01_원자료'!Q395*'03_가중치민감도'!$C$5+'01_원자료'!R395*'03_가중치민감도'!$D$5</f>
        <v/>
      </c>
      <c r="F398" s="85">
        <f>'01_원자료'!P395*'03_가중치민감도'!$B$6+'01_원자료'!Q395*'03_가중치민감도'!$C$6+'01_원자료'!R395*'03_가중치민감도'!$D$6</f>
        <v/>
      </c>
      <c r="G398" s="85">
        <f>'01_원자료'!P395*'03_가중치민감도'!$B$7+'01_원자료'!Q395*'03_가중치민감도'!$C$7+'01_원자료'!R395*'03_가중치민감도'!$D$7</f>
        <v/>
      </c>
      <c r="H398" s="85">
        <f>'01_원자료'!P395*'03_가중치민감도'!$B$8+'01_원자료'!Q395*'03_가중치민감도'!$C$8+'01_원자료'!R395*'03_가중치민감도'!$D$8</f>
        <v/>
      </c>
      <c r="I398" s="85">
        <f>'01_원자료'!P395*'03_가중치민감도'!$B$9+'01_원자료'!Q395*'03_가중치민감도'!$C$9+'01_원자료'!R395*'03_가중치민감도'!$D$9</f>
        <v/>
      </c>
      <c r="J398" s="85">
        <f>'01_원자료'!P395*'03_가중치민감도'!$B$10+'01_원자료'!Q395*'03_가중치민감도'!$C$10+'01_원자료'!R395*'03_가중치민감도'!$D$10</f>
        <v/>
      </c>
      <c r="K398" s="99">
        <f>COUNTIF($E$5:$E$979,"&lt;"&amp;E398)+(COUNTIF($E$5:$E$979,"="&amp;E398)+1)/2</f>
        <v/>
      </c>
      <c r="L398" s="99">
        <f>COUNTIF($F$5:$F$979,"&lt;"&amp;F398)+(COUNTIF($F$5:$F$979,"="&amp;F398)+1)/2</f>
        <v/>
      </c>
      <c r="M398" s="99">
        <f>COUNTIF($G$5:$G$979,"&lt;"&amp;G398)+(COUNTIF($G$5:$G$979,"="&amp;G398)+1)/2</f>
        <v/>
      </c>
      <c r="N398" s="99">
        <f>COUNTIF($H$5:$H$979,"&lt;"&amp;H398)+(COUNTIF($H$5:$H$979,"="&amp;H398)+1)/2</f>
        <v/>
      </c>
      <c r="O398" s="99">
        <f>COUNTIF($I$5:$I$979,"&lt;"&amp;I398)+(COUNTIF($I$5:$I$979,"="&amp;I398)+1)/2</f>
        <v/>
      </c>
      <c r="P398" s="99">
        <f>COUNTIF($J$5:$J$979,"&lt;"&amp;J398)+(COUNTIF($J$5:$J$979,"="&amp;J398)+1)/2</f>
        <v/>
      </c>
    </row>
    <row r="399" ht="15" customHeight="1" s="68">
      <c r="A399" s="70">
        <f>'01_원자료'!A396</f>
        <v/>
      </c>
      <c r="B399" s="70">
        <f>'01_원자료'!B396</f>
        <v/>
      </c>
      <c r="C399" s="70">
        <f>'01_원자료'!C396</f>
        <v/>
      </c>
      <c r="E399" s="85">
        <f>'01_원자료'!P396*'03_가중치민감도'!$B$5+'01_원자료'!Q396*'03_가중치민감도'!$C$5+'01_원자료'!R396*'03_가중치민감도'!$D$5</f>
        <v/>
      </c>
      <c r="F399" s="85">
        <f>'01_원자료'!P396*'03_가중치민감도'!$B$6+'01_원자료'!Q396*'03_가중치민감도'!$C$6+'01_원자료'!R396*'03_가중치민감도'!$D$6</f>
        <v/>
      </c>
      <c r="G399" s="85">
        <f>'01_원자료'!P396*'03_가중치민감도'!$B$7+'01_원자료'!Q396*'03_가중치민감도'!$C$7+'01_원자료'!R396*'03_가중치민감도'!$D$7</f>
        <v/>
      </c>
      <c r="H399" s="85">
        <f>'01_원자료'!P396*'03_가중치민감도'!$B$8+'01_원자료'!Q396*'03_가중치민감도'!$C$8+'01_원자료'!R396*'03_가중치민감도'!$D$8</f>
        <v/>
      </c>
      <c r="I399" s="85">
        <f>'01_원자료'!P396*'03_가중치민감도'!$B$9+'01_원자료'!Q396*'03_가중치민감도'!$C$9+'01_원자료'!R396*'03_가중치민감도'!$D$9</f>
        <v/>
      </c>
      <c r="J399" s="85">
        <f>'01_원자료'!P396*'03_가중치민감도'!$B$10+'01_원자료'!Q396*'03_가중치민감도'!$C$10+'01_원자료'!R396*'03_가중치민감도'!$D$10</f>
        <v/>
      </c>
      <c r="K399" s="99">
        <f>COUNTIF($E$5:$E$979,"&lt;"&amp;E399)+(COUNTIF($E$5:$E$979,"="&amp;E399)+1)/2</f>
        <v/>
      </c>
      <c r="L399" s="99">
        <f>COUNTIF($F$5:$F$979,"&lt;"&amp;F399)+(COUNTIF($F$5:$F$979,"="&amp;F399)+1)/2</f>
        <v/>
      </c>
      <c r="M399" s="99">
        <f>COUNTIF($G$5:$G$979,"&lt;"&amp;G399)+(COUNTIF($G$5:$G$979,"="&amp;G399)+1)/2</f>
        <v/>
      </c>
      <c r="N399" s="99">
        <f>COUNTIF($H$5:$H$979,"&lt;"&amp;H399)+(COUNTIF($H$5:$H$979,"="&amp;H399)+1)/2</f>
        <v/>
      </c>
      <c r="O399" s="99">
        <f>COUNTIF($I$5:$I$979,"&lt;"&amp;I399)+(COUNTIF($I$5:$I$979,"="&amp;I399)+1)/2</f>
        <v/>
      </c>
      <c r="P399" s="99">
        <f>COUNTIF($J$5:$J$979,"&lt;"&amp;J399)+(COUNTIF($J$5:$J$979,"="&amp;J399)+1)/2</f>
        <v/>
      </c>
    </row>
    <row r="400" ht="15" customHeight="1" s="68">
      <c r="A400" s="70">
        <f>'01_원자료'!A397</f>
        <v/>
      </c>
      <c r="B400" s="70">
        <f>'01_원자료'!B397</f>
        <v/>
      </c>
      <c r="C400" s="70">
        <f>'01_원자료'!C397</f>
        <v/>
      </c>
      <c r="E400" s="85">
        <f>'01_원자료'!P397*'03_가중치민감도'!$B$5+'01_원자료'!Q397*'03_가중치민감도'!$C$5+'01_원자료'!R397*'03_가중치민감도'!$D$5</f>
        <v/>
      </c>
      <c r="F400" s="85">
        <f>'01_원자료'!P397*'03_가중치민감도'!$B$6+'01_원자료'!Q397*'03_가중치민감도'!$C$6+'01_원자료'!R397*'03_가중치민감도'!$D$6</f>
        <v/>
      </c>
      <c r="G400" s="85">
        <f>'01_원자료'!P397*'03_가중치민감도'!$B$7+'01_원자료'!Q397*'03_가중치민감도'!$C$7+'01_원자료'!R397*'03_가중치민감도'!$D$7</f>
        <v/>
      </c>
      <c r="H400" s="85">
        <f>'01_원자료'!P397*'03_가중치민감도'!$B$8+'01_원자료'!Q397*'03_가중치민감도'!$C$8+'01_원자료'!R397*'03_가중치민감도'!$D$8</f>
        <v/>
      </c>
      <c r="I400" s="85">
        <f>'01_원자료'!P397*'03_가중치민감도'!$B$9+'01_원자료'!Q397*'03_가중치민감도'!$C$9+'01_원자료'!R397*'03_가중치민감도'!$D$9</f>
        <v/>
      </c>
      <c r="J400" s="85">
        <f>'01_원자료'!P397*'03_가중치민감도'!$B$10+'01_원자료'!Q397*'03_가중치민감도'!$C$10+'01_원자료'!R397*'03_가중치민감도'!$D$10</f>
        <v/>
      </c>
      <c r="K400" s="99">
        <f>COUNTIF($E$5:$E$979,"&lt;"&amp;E400)+(COUNTIF($E$5:$E$979,"="&amp;E400)+1)/2</f>
        <v/>
      </c>
      <c r="L400" s="99">
        <f>COUNTIF($F$5:$F$979,"&lt;"&amp;F400)+(COUNTIF($F$5:$F$979,"="&amp;F400)+1)/2</f>
        <v/>
      </c>
      <c r="M400" s="99">
        <f>COUNTIF($G$5:$G$979,"&lt;"&amp;G400)+(COUNTIF($G$5:$G$979,"="&amp;G400)+1)/2</f>
        <v/>
      </c>
      <c r="N400" s="99">
        <f>COUNTIF($H$5:$H$979,"&lt;"&amp;H400)+(COUNTIF($H$5:$H$979,"="&amp;H400)+1)/2</f>
        <v/>
      </c>
      <c r="O400" s="99">
        <f>COUNTIF($I$5:$I$979,"&lt;"&amp;I400)+(COUNTIF($I$5:$I$979,"="&amp;I400)+1)/2</f>
        <v/>
      </c>
      <c r="P400" s="99">
        <f>COUNTIF($J$5:$J$979,"&lt;"&amp;J400)+(COUNTIF($J$5:$J$979,"="&amp;J400)+1)/2</f>
        <v/>
      </c>
    </row>
    <row r="401" ht="15" customHeight="1" s="68">
      <c r="A401" s="70">
        <f>'01_원자료'!A398</f>
        <v/>
      </c>
      <c r="B401" s="70">
        <f>'01_원자료'!B398</f>
        <v/>
      </c>
      <c r="C401" s="70">
        <f>'01_원자료'!C398</f>
        <v/>
      </c>
      <c r="E401" s="85">
        <f>'01_원자료'!P398*'03_가중치민감도'!$B$5+'01_원자료'!Q398*'03_가중치민감도'!$C$5+'01_원자료'!R398*'03_가중치민감도'!$D$5</f>
        <v/>
      </c>
      <c r="F401" s="85">
        <f>'01_원자료'!P398*'03_가중치민감도'!$B$6+'01_원자료'!Q398*'03_가중치민감도'!$C$6+'01_원자료'!R398*'03_가중치민감도'!$D$6</f>
        <v/>
      </c>
      <c r="G401" s="85">
        <f>'01_원자료'!P398*'03_가중치민감도'!$B$7+'01_원자료'!Q398*'03_가중치민감도'!$C$7+'01_원자료'!R398*'03_가중치민감도'!$D$7</f>
        <v/>
      </c>
      <c r="H401" s="85">
        <f>'01_원자료'!P398*'03_가중치민감도'!$B$8+'01_원자료'!Q398*'03_가중치민감도'!$C$8+'01_원자료'!R398*'03_가중치민감도'!$D$8</f>
        <v/>
      </c>
      <c r="I401" s="85">
        <f>'01_원자료'!P398*'03_가중치민감도'!$B$9+'01_원자료'!Q398*'03_가중치민감도'!$C$9+'01_원자료'!R398*'03_가중치민감도'!$D$9</f>
        <v/>
      </c>
      <c r="J401" s="85">
        <f>'01_원자료'!P398*'03_가중치민감도'!$B$10+'01_원자료'!Q398*'03_가중치민감도'!$C$10+'01_원자료'!R398*'03_가중치민감도'!$D$10</f>
        <v/>
      </c>
      <c r="K401" s="99">
        <f>COUNTIF($E$5:$E$979,"&lt;"&amp;E401)+(COUNTIF($E$5:$E$979,"="&amp;E401)+1)/2</f>
        <v/>
      </c>
      <c r="L401" s="99">
        <f>COUNTIF($F$5:$F$979,"&lt;"&amp;F401)+(COUNTIF($F$5:$F$979,"="&amp;F401)+1)/2</f>
        <v/>
      </c>
      <c r="M401" s="99">
        <f>COUNTIF($G$5:$G$979,"&lt;"&amp;G401)+(COUNTIF($G$5:$G$979,"="&amp;G401)+1)/2</f>
        <v/>
      </c>
      <c r="N401" s="99">
        <f>COUNTIF($H$5:$H$979,"&lt;"&amp;H401)+(COUNTIF($H$5:$H$979,"="&amp;H401)+1)/2</f>
        <v/>
      </c>
      <c r="O401" s="99">
        <f>COUNTIF($I$5:$I$979,"&lt;"&amp;I401)+(COUNTIF($I$5:$I$979,"="&amp;I401)+1)/2</f>
        <v/>
      </c>
      <c r="P401" s="99">
        <f>COUNTIF($J$5:$J$979,"&lt;"&amp;J401)+(COUNTIF($J$5:$J$979,"="&amp;J401)+1)/2</f>
        <v/>
      </c>
    </row>
    <row r="402" ht="15" customHeight="1" s="68">
      <c r="A402" s="70">
        <f>'01_원자료'!A399</f>
        <v/>
      </c>
      <c r="B402" s="70">
        <f>'01_원자료'!B399</f>
        <v/>
      </c>
      <c r="C402" s="70">
        <f>'01_원자료'!C399</f>
        <v/>
      </c>
      <c r="E402" s="85">
        <f>'01_원자료'!P399*'03_가중치민감도'!$B$5+'01_원자료'!Q399*'03_가중치민감도'!$C$5+'01_원자료'!R399*'03_가중치민감도'!$D$5</f>
        <v/>
      </c>
      <c r="F402" s="85">
        <f>'01_원자료'!P399*'03_가중치민감도'!$B$6+'01_원자료'!Q399*'03_가중치민감도'!$C$6+'01_원자료'!R399*'03_가중치민감도'!$D$6</f>
        <v/>
      </c>
      <c r="G402" s="85">
        <f>'01_원자료'!P399*'03_가중치민감도'!$B$7+'01_원자료'!Q399*'03_가중치민감도'!$C$7+'01_원자료'!R399*'03_가중치민감도'!$D$7</f>
        <v/>
      </c>
      <c r="H402" s="85">
        <f>'01_원자료'!P399*'03_가중치민감도'!$B$8+'01_원자료'!Q399*'03_가중치민감도'!$C$8+'01_원자료'!R399*'03_가중치민감도'!$D$8</f>
        <v/>
      </c>
      <c r="I402" s="85">
        <f>'01_원자료'!P399*'03_가중치민감도'!$B$9+'01_원자료'!Q399*'03_가중치민감도'!$C$9+'01_원자료'!R399*'03_가중치민감도'!$D$9</f>
        <v/>
      </c>
      <c r="J402" s="85">
        <f>'01_원자료'!P399*'03_가중치민감도'!$B$10+'01_원자료'!Q399*'03_가중치민감도'!$C$10+'01_원자료'!R399*'03_가중치민감도'!$D$10</f>
        <v/>
      </c>
      <c r="K402" s="99">
        <f>COUNTIF($E$5:$E$979,"&lt;"&amp;E402)+(COUNTIF($E$5:$E$979,"="&amp;E402)+1)/2</f>
        <v/>
      </c>
      <c r="L402" s="99">
        <f>COUNTIF($F$5:$F$979,"&lt;"&amp;F402)+(COUNTIF($F$5:$F$979,"="&amp;F402)+1)/2</f>
        <v/>
      </c>
      <c r="M402" s="99">
        <f>COUNTIF($G$5:$G$979,"&lt;"&amp;G402)+(COUNTIF($G$5:$G$979,"="&amp;G402)+1)/2</f>
        <v/>
      </c>
      <c r="N402" s="99">
        <f>COUNTIF($H$5:$H$979,"&lt;"&amp;H402)+(COUNTIF($H$5:$H$979,"="&amp;H402)+1)/2</f>
        <v/>
      </c>
      <c r="O402" s="99">
        <f>COUNTIF($I$5:$I$979,"&lt;"&amp;I402)+(COUNTIF($I$5:$I$979,"="&amp;I402)+1)/2</f>
        <v/>
      </c>
      <c r="P402" s="99">
        <f>COUNTIF($J$5:$J$979,"&lt;"&amp;J402)+(COUNTIF($J$5:$J$979,"="&amp;J402)+1)/2</f>
        <v/>
      </c>
    </row>
    <row r="403" ht="15" customHeight="1" s="68">
      <c r="A403" s="70">
        <f>'01_원자료'!A400</f>
        <v/>
      </c>
      <c r="B403" s="70">
        <f>'01_원자료'!B400</f>
        <v/>
      </c>
      <c r="C403" s="70">
        <f>'01_원자료'!C400</f>
        <v/>
      </c>
      <c r="E403" s="85">
        <f>'01_원자료'!P400*'03_가중치민감도'!$B$5+'01_원자료'!Q400*'03_가중치민감도'!$C$5+'01_원자료'!R400*'03_가중치민감도'!$D$5</f>
        <v/>
      </c>
      <c r="F403" s="85">
        <f>'01_원자료'!P400*'03_가중치민감도'!$B$6+'01_원자료'!Q400*'03_가중치민감도'!$C$6+'01_원자료'!R400*'03_가중치민감도'!$D$6</f>
        <v/>
      </c>
      <c r="G403" s="85">
        <f>'01_원자료'!P400*'03_가중치민감도'!$B$7+'01_원자료'!Q400*'03_가중치민감도'!$C$7+'01_원자료'!R400*'03_가중치민감도'!$D$7</f>
        <v/>
      </c>
      <c r="H403" s="85">
        <f>'01_원자료'!P400*'03_가중치민감도'!$B$8+'01_원자료'!Q400*'03_가중치민감도'!$C$8+'01_원자료'!R400*'03_가중치민감도'!$D$8</f>
        <v/>
      </c>
      <c r="I403" s="85">
        <f>'01_원자료'!P400*'03_가중치민감도'!$B$9+'01_원자료'!Q400*'03_가중치민감도'!$C$9+'01_원자료'!R400*'03_가중치민감도'!$D$9</f>
        <v/>
      </c>
      <c r="J403" s="85">
        <f>'01_원자료'!P400*'03_가중치민감도'!$B$10+'01_원자료'!Q400*'03_가중치민감도'!$C$10+'01_원자료'!R400*'03_가중치민감도'!$D$10</f>
        <v/>
      </c>
      <c r="K403" s="99">
        <f>COUNTIF($E$5:$E$979,"&lt;"&amp;E403)+(COUNTIF($E$5:$E$979,"="&amp;E403)+1)/2</f>
        <v/>
      </c>
      <c r="L403" s="99">
        <f>COUNTIF($F$5:$F$979,"&lt;"&amp;F403)+(COUNTIF($F$5:$F$979,"="&amp;F403)+1)/2</f>
        <v/>
      </c>
      <c r="M403" s="99">
        <f>COUNTIF($G$5:$G$979,"&lt;"&amp;G403)+(COUNTIF($G$5:$G$979,"="&amp;G403)+1)/2</f>
        <v/>
      </c>
      <c r="N403" s="99">
        <f>COUNTIF($H$5:$H$979,"&lt;"&amp;H403)+(COUNTIF($H$5:$H$979,"="&amp;H403)+1)/2</f>
        <v/>
      </c>
      <c r="O403" s="99">
        <f>COUNTIF($I$5:$I$979,"&lt;"&amp;I403)+(COUNTIF($I$5:$I$979,"="&amp;I403)+1)/2</f>
        <v/>
      </c>
      <c r="P403" s="99">
        <f>COUNTIF($J$5:$J$979,"&lt;"&amp;J403)+(COUNTIF($J$5:$J$979,"="&amp;J403)+1)/2</f>
        <v/>
      </c>
    </row>
    <row r="404" ht="15" customHeight="1" s="68">
      <c r="A404" s="70">
        <f>'01_원자료'!A401</f>
        <v/>
      </c>
      <c r="B404" s="70">
        <f>'01_원자료'!B401</f>
        <v/>
      </c>
      <c r="C404" s="70">
        <f>'01_원자료'!C401</f>
        <v/>
      </c>
      <c r="E404" s="85">
        <f>'01_원자료'!P401*'03_가중치민감도'!$B$5+'01_원자료'!Q401*'03_가중치민감도'!$C$5+'01_원자료'!R401*'03_가중치민감도'!$D$5</f>
        <v/>
      </c>
      <c r="F404" s="85">
        <f>'01_원자료'!P401*'03_가중치민감도'!$B$6+'01_원자료'!Q401*'03_가중치민감도'!$C$6+'01_원자료'!R401*'03_가중치민감도'!$D$6</f>
        <v/>
      </c>
      <c r="G404" s="85">
        <f>'01_원자료'!P401*'03_가중치민감도'!$B$7+'01_원자료'!Q401*'03_가중치민감도'!$C$7+'01_원자료'!R401*'03_가중치민감도'!$D$7</f>
        <v/>
      </c>
      <c r="H404" s="85">
        <f>'01_원자료'!P401*'03_가중치민감도'!$B$8+'01_원자료'!Q401*'03_가중치민감도'!$C$8+'01_원자료'!R401*'03_가중치민감도'!$D$8</f>
        <v/>
      </c>
      <c r="I404" s="85">
        <f>'01_원자료'!P401*'03_가중치민감도'!$B$9+'01_원자료'!Q401*'03_가중치민감도'!$C$9+'01_원자료'!R401*'03_가중치민감도'!$D$9</f>
        <v/>
      </c>
      <c r="J404" s="85">
        <f>'01_원자료'!P401*'03_가중치민감도'!$B$10+'01_원자료'!Q401*'03_가중치민감도'!$C$10+'01_원자료'!R401*'03_가중치민감도'!$D$10</f>
        <v/>
      </c>
      <c r="K404" s="99">
        <f>COUNTIF($E$5:$E$979,"&lt;"&amp;E404)+(COUNTIF($E$5:$E$979,"="&amp;E404)+1)/2</f>
        <v/>
      </c>
      <c r="L404" s="99">
        <f>COUNTIF($F$5:$F$979,"&lt;"&amp;F404)+(COUNTIF($F$5:$F$979,"="&amp;F404)+1)/2</f>
        <v/>
      </c>
      <c r="M404" s="99">
        <f>COUNTIF($G$5:$G$979,"&lt;"&amp;G404)+(COUNTIF($G$5:$G$979,"="&amp;G404)+1)/2</f>
        <v/>
      </c>
      <c r="N404" s="99">
        <f>COUNTIF($H$5:$H$979,"&lt;"&amp;H404)+(COUNTIF($H$5:$H$979,"="&amp;H404)+1)/2</f>
        <v/>
      </c>
      <c r="O404" s="99">
        <f>COUNTIF($I$5:$I$979,"&lt;"&amp;I404)+(COUNTIF($I$5:$I$979,"="&amp;I404)+1)/2</f>
        <v/>
      </c>
      <c r="P404" s="99">
        <f>COUNTIF($J$5:$J$979,"&lt;"&amp;J404)+(COUNTIF($J$5:$J$979,"="&amp;J404)+1)/2</f>
        <v/>
      </c>
    </row>
    <row r="405" ht="15" customHeight="1" s="68">
      <c r="A405" s="70">
        <f>'01_원자료'!A402</f>
        <v/>
      </c>
      <c r="B405" s="70">
        <f>'01_원자료'!B402</f>
        <v/>
      </c>
      <c r="C405" s="70">
        <f>'01_원자료'!C402</f>
        <v/>
      </c>
      <c r="E405" s="85">
        <f>'01_원자료'!P402*'03_가중치민감도'!$B$5+'01_원자료'!Q402*'03_가중치민감도'!$C$5+'01_원자료'!R402*'03_가중치민감도'!$D$5</f>
        <v/>
      </c>
      <c r="F405" s="85">
        <f>'01_원자료'!P402*'03_가중치민감도'!$B$6+'01_원자료'!Q402*'03_가중치민감도'!$C$6+'01_원자료'!R402*'03_가중치민감도'!$D$6</f>
        <v/>
      </c>
      <c r="G405" s="85">
        <f>'01_원자료'!P402*'03_가중치민감도'!$B$7+'01_원자료'!Q402*'03_가중치민감도'!$C$7+'01_원자료'!R402*'03_가중치민감도'!$D$7</f>
        <v/>
      </c>
      <c r="H405" s="85">
        <f>'01_원자료'!P402*'03_가중치민감도'!$B$8+'01_원자료'!Q402*'03_가중치민감도'!$C$8+'01_원자료'!R402*'03_가중치민감도'!$D$8</f>
        <v/>
      </c>
      <c r="I405" s="85">
        <f>'01_원자료'!P402*'03_가중치민감도'!$B$9+'01_원자료'!Q402*'03_가중치민감도'!$C$9+'01_원자료'!R402*'03_가중치민감도'!$D$9</f>
        <v/>
      </c>
      <c r="J405" s="85">
        <f>'01_원자료'!P402*'03_가중치민감도'!$B$10+'01_원자료'!Q402*'03_가중치민감도'!$C$10+'01_원자료'!R402*'03_가중치민감도'!$D$10</f>
        <v/>
      </c>
      <c r="K405" s="99">
        <f>COUNTIF($E$5:$E$979,"&lt;"&amp;E405)+(COUNTIF($E$5:$E$979,"="&amp;E405)+1)/2</f>
        <v/>
      </c>
      <c r="L405" s="99">
        <f>COUNTIF($F$5:$F$979,"&lt;"&amp;F405)+(COUNTIF($F$5:$F$979,"="&amp;F405)+1)/2</f>
        <v/>
      </c>
      <c r="M405" s="99">
        <f>COUNTIF($G$5:$G$979,"&lt;"&amp;G405)+(COUNTIF($G$5:$G$979,"="&amp;G405)+1)/2</f>
        <v/>
      </c>
      <c r="N405" s="99">
        <f>COUNTIF($H$5:$H$979,"&lt;"&amp;H405)+(COUNTIF($H$5:$H$979,"="&amp;H405)+1)/2</f>
        <v/>
      </c>
      <c r="O405" s="99">
        <f>COUNTIF($I$5:$I$979,"&lt;"&amp;I405)+(COUNTIF($I$5:$I$979,"="&amp;I405)+1)/2</f>
        <v/>
      </c>
      <c r="P405" s="99">
        <f>COUNTIF($J$5:$J$979,"&lt;"&amp;J405)+(COUNTIF($J$5:$J$979,"="&amp;J405)+1)/2</f>
        <v/>
      </c>
    </row>
    <row r="406" ht="15" customHeight="1" s="68">
      <c r="A406" s="70">
        <f>'01_원자료'!A403</f>
        <v/>
      </c>
      <c r="B406" s="70">
        <f>'01_원자료'!B403</f>
        <v/>
      </c>
      <c r="C406" s="70">
        <f>'01_원자료'!C403</f>
        <v/>
      </c>
      <c r="E406" s="85">
        <f>'01_원자료'!P403*'03_가중치민감도'!$B$5+'01_원자료'!Q403*'03_가중치민감도'!$C$5+'01_원자료'!R403*'03_가중치민감도'!$D$5</f>
        <v/>
      </c>
      <c r="F406" s="85">
        <f>'01_원자료'!P403*'03_가중치민감도'!$B$6+'01_원자료'!Q403*'03_가중치민감도'!$C$6+'01_원자료'!R403*'03_가중치민감도'!$D$6</f>
        <v/>
      </c>
      <c r="G406" s="85">
        <f>'01_원자료'!P403*'03_가중치민감도'!$B$7+'01_원자료'!Q403*'03_가중치민감도'!$C$7+'01_원자료'!R403*'03_가중치민감도'!$D$7</f>
        <v/>
      </c>
      <c r="H406" s="85">
        <f>'01_원자료'!P403*'03_가중치민감도'!$B$8+'01_원자료'!Q403*'03_가중치민감도'!$C$8+'01_원자료'!R403*'03_가중치민감도'!$D$8</f>
        <v/>
      </c>
      <c r="I406" s="85">
        <f>'01_원자료'!P403*'03_가중치민감도'!$B$9+'01_원자료'!Q403*'03_가중치민감도'!$C$9+'01_원자료'!R403*'03_가중치민감도'!$D$9</f>
        <v/>
      </c>
      <c r="J406" s="85">
        <f>'01_원자료'!P403*'03_가중치민감도'!$B$10+'01_원자료'!Q403*'03_가중치민감도'!$C$10+'01_원자료'!R403*'03_가중치민감도'!$D$10</f>
        <v/>
      </c>
      <c r="K406" s="99">
        <f>COUNTIF($E$5:$E$979,"&lt;"&amp;E406)+(COUNTIF($E$5:$E$979,"="&amp;E406)+1)/2</f>
        <v/>
      </c>
      <c r="L406" s="99">
        <f>COUNTIF($F$5:$F$979,"&lt;"&amp;F406)+(COUNTIF($F$5:$F$979,"="&amp;F406)+1)/2</f>
        <v/>
      </c>
      <c r="M406" s="99">
        <f>COUNTIF($G$5:$G$979,"&lt;"&amp;G406)+(COUNTIF($G$5:$G$979,"="&amp;G406)+1)/2</f>
        <v/>
      </c>
      <c r="N406" s="99">
        <f>COUNTIF($H$5:$H$979,"&lt;"&amp;H406)+(COUNTIF($H$5:$H$979,"="&amp;H406)+1)/2</f>
        <v/>
      </c>
      <c r="O406" s="99">
        <f>COUNTIF($I$5:$I$979,"&lt;"&amp;I406)+(COUNTIF($I$5:$I$979,"="&amp;I406)+1)/2</f>
        <v/>
      </c>
      <c r="P406" s="99">
        <f>COUNTIF($J$5:$J$979,"&lt;"&amp;J406)+(COUNTIF($J$5:$J$979,"="&amp;J406)+1)/2</f>
        <v/>
      </c>
    </row>
    <row r="407" ht="15" customHeight="1" s="68">
      <c r="A407" s="70">
        <f>'01_원자료'!A404</f>
        <v/>
      </c>
      <c r="B407" s="70">
        <f>'01_원자료'!B404</f>
        <v/>
      </c>
      <c r="C407" s="70">
        <f>'01_원자료'!C404</f>
        <v/>
      </c>
      <c r="E407" s="85">
        <f>'01_원자료'!P404*'03_가중치민감도'!$B$5+'01_원자료'!Q404*'03_가중치민감도'!$C$5+'01_원자료'!R404*'03_가중치민감도'!$D$5</f>
        <v/>
      </c>
      <c r="F407" s="85">
        <f>'01_원자료'!P404*'03_가중치민감도'!$B$6+'01_원자료'!Q404*'03_가중치민감도'!$C$6+'01_원자료'!R404*'03_가중치민감도'!$D$6</f>
        <v/>
      </c>
      <c r="G407" s="85">
        <f>'01_원자료'!P404*'03_가중치민감도'!$B$7+'01_원자료'!Q404*'03_가중치민감도'!$C$7+'01_원자료'!R404*'03_가중치민감도'!$D$7</f>
        <v/>
      </c>
      <c r="H407" s="85">
        <f>'01_원자료'!P404*'03_가중치민감도'!$B$8+'01_원자료'!Q404*'03_가중치민감도'!$C$8+'01_원자료'!R404*'03_가중치민감도'!$D$8</f>
        <v/>
      </c>
      <c r="I407" s="85">
        <f>'01_원자료'!P404*'03_가중치민감도'!$B$9+'01_원자료'!Q404*'03_가중치민감도'!$C$9+'01_원자료'!R404*'03_가중치민감도'!$D$9</f>
        <v/>
      </c>
      <c r="J407" s="85">
        <f>'01_원자료'!P404*'03_가중치민감도'!$B$10+'01_원자료'!Q404*'03_가중치민감도'!$C$10+'01_원자료'!R404*'03_가중치민감도'!$D$10</f>
        <v/>
      </c>
      <c r="K407" s="99">
        <f>COUNTIF($E$5:$E$979,"&lt;"&amp;E407)+(COUNTIF($E$5:$E$979,"="&amp;E407)+1)/2</f>
        <v/>
      </c>
      <c r="L407" s="99">
        <f>COUNTIF($F$5:$F$979,"&lt;"&amp;F407)+(COUNTIF($F$5:$F$979,"="&amp;F407)+1)/2</f>
        <v/>
      </c>
      <c r="M407" s="99">
        <f>COUNTIF($G$5:$G$979,"&lt;"&amp;G407)+(COUNTIF($G$5:$G$979,"="&amp;G407)+1)/2</f>
        <v/>
      </c>
      <c r="N407" s="99">
        <f>COUNTIF($H$5:$H$979,"&lt;"&amp;H407)+(COUNTIF($H$5:$H$979,"="&amp;H407)+1)/2</f>
        <v/>
      </c>
      <c r="O407" s="99">
        <f>COUNTIF($I$5:$I$979,"&lt;"&amp;I407)+(COUNTIF($I$5:$I$979,"="&amp;I407)+1)/2</f>
        <v/>
      </c>
      <c r="P407" s="99">
        <f>COUNTIF($J$5:$J$979,"&lt;"&amp;J407)+(COUNTIF($J$5:$J$979,"="&amp;J407)+1)/2</f>
        <v/>
      </c>
    </row>
    <row r="408" ht="15" customHeight="1" s="68">
      <c r="A408" s="70">
        <f>'01_원자료'!A405</f>
        <v/>
      </c>
      <c r="B408" s="70">
        <f>'01_원자료'!B405</f>
        <v/>
      </c>
      <c r="C408" s="70">
        <f>'01_원자료'!C405</f>
        <v/>
      </c>
      <c r="E408" s="85">
        <f>'01_원자료'!P405*'03_가중치민감도'!$B$5+'01_원자료'!Q405*'03_가중치민감도'!$C$5+'01_원자료'!R405*'03_가중치민감도'!$D$5</f>
        <v/>
      </c>
      <c r="F408" s="85">
        <f>'01_원자료'!P405*'03_가중치민감도'!$B$6+'01_원자료'!Q405*'03_가중치민감도'!$C$6+'01_원자료'!R405*'03_가중치민감도'!$D$6</f>
        <v/>
      </c>
      <c r="G408" s="85">
        <f>'01_원자료'!P405*'03_가중치민감도'!$B$7+'01_원자료'!Q405*'03_가중치민감도'!$C$7+'01_원자료'!R405*'03_가중치민감도'!$D$7</f>
        <v/>
      </c>
      <c r="H408" s="85">
        <f>'01_원자료'!P405*'03_가중치민감도'!$B$8+'01_원자료'!Q405*'03_가중치민감도'!$C$8+'01_원자료'!R405*'03_가중치민감도'!$D$8</f>
        <v/>
      </c>
      <c r="I408" s="85">
        <f>'01_원자료'!P405*'03_가중치민감도'!$B$9+'01_원자료'!Q405*'03_가중치민감도'!$C$9+'01_원자료'!R405*'03_가중치민감도'!$D$9</f>
        <v/>
      </c>
      <c r="J408" s="85">
        <f>'01_원자료'!P405*'03_가중치민감도'!$B$10+'01_원자료'!Q405*'03_가중치민감도'!$C$10+'01_원자료'!R405*'03_가중치민감도'!$D$10</f>
        <v/>
      </c>
      <c r="K408" s="99">
        <f>COUNTIF($E$5:$E$979,"&lt;"&amp;E408)+(COUNTIF($E$5:$E$979,"="&amp;E408)+1)/2</f>
        <v/>
      </c>
      <c r="L408" s="99">
        <f>COUNTIF($F$5:$F$979,"&lt;"&amp;F408)+(COUNTIF($F$5:$F$979,"="&amp;F408)+1)/2</f>
        <v/>
      </c>
      <c r="M408" s="99">
        <f>COUNTIF($G$5:$G$979,"&lt;"&amp;G408)+(COUNTIF($G$5:$G$979,"="&amp;G408)+1)/2</f>
        <v/>
      </c>
      <c r="N408" s="99">
        <f>COUNTIF($H$5:$H$979,"&lt;"&amp;H408)+(COUNTIF($H$5:$H$979,"="&amp;H408)+1)/2</f>
        <v/>
      </c>
      <c r="O408" s="99">
        <f>COUNTIF($I$5:$I$979,"&lt;"&amp;I408)+(COUNTIF($I$5:$I$979,"="&amp;I408)+1)/2</f>
        <v/>
      </c>
      <c r="P408" s="99">
        <f>COUNTIF($J$5:$J$979,"&lt;"&amp;J408)+(COUNTIF($J$5:$J$979,"="&amp;J408)+1)/2</f>
        <v/>
      </c>
    </row>
    <row r="409" ht="15" customHeight="1" s="68">
      <c r="A409" s="70">
        <f>'01_원자료'!A406</f>
        <v/>
      </c>
      <c r="B409" s="70">
        <f>'01_원자료'!B406</f>
        <v/>
      </c>
      <c r="C409" s="70">
        <f>'01_원자료'!C406</f>
        <v/>
      </c>
      <c r="E409" s="85">
        <f>'01_원자료'!P406*'03_가중치민감도'!$B$5+'01_원자료'!Q406*'03_가중치민감도'!$C$5+'01_원자료'!R406*'03_가중치민감도'!$D$5</f>
        <v/>
      </c>
      <c r="F409" s="85">
        <f>'01_원자료'!P406*'03_가중치민감도'!$B$6+'01_원자료'!Q406*'03_가중치민감도'!$C$6+'01_원자료'!R406*'03_가중치민감도'!$D$6</f>
        <v/>
      </c>
      <c r="G409" s="85">
        <f>'01_원자료'!P406*'03_가중치민감도'!$B$7+'01_원자료'!Q406*'03_가중치민감도'!$C$7+'01_원자료'!R406*'03_가중치민감도'!$D$7</f>
        <v/>
      </c>
      <c r="H409" s="85">
        <f>'01_원자료'!P406*'03_가중치민감도'!$B$8+'01_원자료'!Q406*'03_가중치민감도'!$C$8+'01_원자료'!R406*'03_가중치민감도'!$D$8</f>
        <v/>
      </c>
      <c r="I409" s="85">
        <f>'01_원자료'!P406*'03_가중치민감도'!$B$9+'01_원자료'!Q406*'03_가중치민감도'!$C$9+'01_원자료'!R406*'03_가중치민감도'!$D$9</f>
        <v/>
      </c>
      <c r="J409" s="85">
        <f>'01_원자료'!P406*'03_가중치민감도'!$B$10+'01_원자료'!Q406*'03_가중치민감도'!$C$10+'01_원자료'!R406*'03_가중치민감도'!$D$10</f>
        <v/>
      </c>
      <c r="K409" s="99">
        <f>COUNTIF($E$5:$E$979,"&lt;"&amp;E409)+(COUNTIF($E$5:$E$979,"="&amp;E409)+1)/2</f>
        <v/>
      </c>
      <c r="L409" s="99">
        <f>COUNTIF($F$5:$F$979,"&lt;"&amp;F409)+(COUNTIF($F$5:$F$979,"="&amp;F409)+1)/2</f>
        <v/>
      </c>
      <c r="M409" s="99">
        <f>COUNTIF($G$5:$G$979,"&lt;"&amp;G409)+(COUNTIF($G$5:$G$979,"="&amp;G409)+1)/2</f>
        <v/>
      </c>
      <c r="N409" s="99">
        <f>COUNTIF($H$5:$H$979,"&lt;"&amp;H409)+(COUNTIF($H$5:$H$979,"="&amp;H409)+1)/2</f>
        <v/>
      </c>
      <c r="O409" s="99">
        <f>COUNTIF($I$5:$I$979,"&lt;"&amp;I409)+(COUNTIF($I$5:$I$979,"="&amp;I409)+1)/2</f>
        <v/>
      </c>
      <c r="P409" s="99">
        <f>COUNTIF($J$5:$J$979,"&lt;"&amp;J409)+(COUNTIF($J$5:$J$979,"="&amp;J409)+1)/2</f>
        <v/>
      </c>
    </row>
    <row r="410" ht="15" customHeight="1" s="68">
      <c r="A410" s="70">
        <f>'01_원자료'!A407</f>
        <v/>
      </c>
      <c r="B410" s="70">
        <f>'01_원자료'!B407</f>
        <v/>
      </c>
      <c r="C410" s="70">
        <f>'01_원자료'!C407</f>
        <v/>
      </c>
      <c r="E410" s="85">
        <f>'01_원자료'!P407*'03_가중치민감도'!$B$5+'01_원자료'!Q407*'03_가중치민감도'!$C$5+'01_원자료'!R407*'03_가중치민감도'!$D$5</f>
        <v/>
      </c>
      <c r="F410" s="85">
        <f>'01_원자료'!P407*'03_가중치민감도'!$B$6+'01_원자료'!Q407*'03_가중치민감도'!$C$6+'01_원자료'!R407*'03_가중치민감도'!$D$6</f>
        <v/>
      </c>
      <c r="G410" s="85">
        <f>'01_원자료'!P407*'03_가중치민감도'!$B$7+'01_원자료'!Q407*'03_가중치민감도'!$C$7+'01_원자료'!R407*'03_가중치민감도'!$D$7</f>
        <v/>
      </c>
      <c r="H410" s="85">
        <f>'01_원자료'!P407*'03_가중치민감도'!$B$8+'01_원자료'!Q407*'03_가중치민감도'!$C$8+'01_원자료'!R407*'03_가중치민감도'!$D$8</f>
        <v/>
      </c>
      <c r="I410" s="85">
        <f>'01_원자료'!P407*'03_가중치민감도'!$B$9+'01_원자료'!Q407*'03_가중치민감도'!$C$9+'01_원자료'!R407*'03_가중치민감도'!$D$9</f>
        <v/>
      </c>
      <c r="J410" s="85">
        <f>'01_원자료'!P407*'03_가중치민감도'!$B$10+'01_원자료'!Q407*'03_가중치민감도'!$C$10+'01_원자료'!R407*'03_가중치민감도'!$D$10</f>
        <v/>
      </c>
      <c r="K410" s="99">
        <f>COUNTIF($E$5:$E$979,"&lt;"&amp;E410)+(COUNTIF($E$5:$E$979,"="&amp;E410)+1)/2</f>
        <v/>
      </c>
      <c r="L410" s="99">
        <f>COUNTIF($F$5:$F$979,"&lt;"&amp;F410)+(COUNTIF($F$5:$F$979,"="&amp;F410)+1)/2</f>
        <v/>
      </c>
      <c r="M410" s="99">
        <f>COUNTIF($G$5:$G$979,"&lt;"&amp;G410)+(COUNTIF($G$5:$G$979,"="&amp;G410)+1)/2</f>
        <v/>
      </c>
      <c r="N410" s="99">
        <f>COUNTIF($H$5:$H$979,"&lt;"&amp;H410)+(COUNTIF($H$5:$H$979,"="&amp;H410)+1)/2</f>
        <v/>
      </c>
      <c r="O410" s="99">
        <f>COUNTIF($I$5:$I$979,"&lt;"&amp;I410)+(COUNTIF($I$5:$I$979,"="&amp;I410)+1)/2</f>
        <v/>
      </c>
      <c r="P410" s="99">
        <f>COUNTIF($J$5:$J$979,"&lt;"&amp;J410)+(COUNTIF($J$5:$J$979,"="&amp;J410)+1)/2</f>
        <v/>
      </c>
    </row>
    <row r="411" ht="15" customHeight="1" s="68">
      <c r="A411" s="70">
        <f>'01_원자료'!A408</f>
        <v/>
      </c>
      <c r="B411" s="70">
        <f>'01_원자료'!B408</f>
        <v/>
      </c>
      <c r="C411" s="70">
        <f>'01_원자료'!C408</f>
        <v/>
      </c>
      <c r="E411" s="85">
        <f>'01_원자료'!P408*'03_가중치민감도'!$B$5+'01_원자료'!Q408*'03_가중치민감도'!$C$5+'01_원자료'!R408*'03_가중치민감도'!$D$5</f>
        <v/>
      </c>
      <c r="F411" s="85">
        <f>'01_원자료'!P408*'03_가중치민감도'!$B$6+'01_원자료'!Q408*'03_가중치민감도'!$C$6+'01_원자료'!R408*'03_가중치민감도'!$D$6</f>
        <v/>
      </c>
      <c r="G411" s="85">
        <f>'01_원자료'!P408*'03_가중치민감도'!$B$7+'01_원자료'!Q408*'03_가중치민감도'!$C$7+'01_원자료'!R408*'03_가중치민감도'!$D$7</f>
        <v/>
      </c>
      <c r="H411" s="85">
        <f>'01_원자료'!P408*'03_가중치민감도'!$B$8+'01_원자료'!Q408*'03_가중치민감도'!$C$8+'01_원자료'!R408*'03_가중치민감도'!$D$8</f>
        <v/>
      </c>
      <c r="I411" s="85">
        <f>'01_원자료'!P408*'03_가중치민감도'!$B$9+'01_원자료'!Q408*'03_가중치민감도'!$C$9+'01_원자료'!R408*'03_가중치민감도'!$D$9</f>
        <v/>
      </c>
      <c r="J411" s="85">
        <f>'01_원자료'!P408*'03_가중치민감도'!$B$10+'01_원자료'!Q408*'03_가중치민감도'!$C$10+'01_원자료'!R408*'03_가중치민감도'!$D$10</f>
        <v/>
      </c>
      <c r="K411" s="99">
        <f>COUNTIF($E$5:$E$979,"&lt;"&amp;E411)+(COUNTIF($E$5:$E$979,"="&amp;E411)+1)/2</f>
        <v/>
      </c>
      <c r="L411" s="99">
        <f>COUNTIF($F$5:$F$979,"&lt;"&amp;F411)+(COUNTIF($F$5:$F$979,"="&amp;F411)+1)/2</f>
        <v/>
      </c>
      <c r="M411" s="99">
        <f>COUNTIF($G$5:$G$979,"&lt;"&amp;G411)+(COUNTIF($G$5:$G$979,"="&amp;G411)+1)/2</f>
        <v/>
      </c>
      <c r="N411" s="99">
        <f>COUNTIF($H$5:$H$979,"&lt;"&amp;H411)+(COUNTIF($H$5:$H$979,"="&amp;H411)+1)/2</f>
        <v/>
      </c>
      <c r="O411" s="99">
        <f>COUNTIF($I$5:$I$979,"&lt;"&amp;I411)+(COUNTIF($I$5:$I$979,"="&amp;I411)+1)/2</f>
        <v/>
      </c>
      <c r="P411" s="99">
        <f>COUNTIF($J$5:$J$979,"&lt;"&amp;J411)+(COUNTIF($J$5:$J$979,"="&amp;J411)+1)/2</f>
        <v/>
      </c>
    </row>
    <row r="412" ht="15" customHeight="1" s="68">
      <c r="A412" s="70">
        <f>'01_원자료'!A409</f>
        <v/>
      </c>
      <c r="B412" s="70">
        <f>'01_원자료'!B409</f>
        <v/>
      </c>
      <c r="C412" s="70">
        <f>'01_원자료'!C409</f>
        <v/>
      </c>
      <c r="E412" s="85">
        <f>'01_원자료'!P409*'03_가중치민감도'!$B$5+'01_원자료'!Q409*'03_가중치민감도'!$C$5+'01_원자료'!R409*'03_가중치민감도'!$D$5</f>
        <v/>
      </c>
      <c r="F412" s="85">
        <f>'01_원자료'!P409*'03_가중치민감도'!$B$6+'01_원자료'!Q409*'03_가중치민감도'!$C$6+'01_원자료'!R409*'03_가중치민감도'!$D$6</f>
        <v/>
      </c>
      <c r="G412" s="85">
        <f>'01_원자료'!P409*'03_가중치민감도'!$B$7+'01_원자료'!Q409*'03_가중치민감도'!$C$7+'01_원자료'!R409*'03_가중치민감도'!$D$7</f>
        <v/>
      </c>
      <c r="H412" s="85">
        <f>'01_원자료'!P409*'03_가중치민감도'!$B$8+'01_원자료'!Q409*'03_가중치민감도'!$C$8+'01_원자료'!R409*'03_가중치민감도'!$D$8</f>
        <v/>
      </c>
      <c r="I412" s="85">
        <f>'01_원자료'!P409*'03_가중치민감도'!$B$9+'01_원자료'!Q409*'03_가중치민감도'!$C$9+'01_원자료'!R409*'03_가중치민감도'!$D$9</f>
        <v/>
      </c>
      <c r="J412" s="85">
        <f>'01_원자료'!P409*'03_가중치민감도'!$B$10+'01_원자료'!Q409*'03_가중치민감도'!$C$10+'01_원자료'!R409*'03_가중치민감도'!$D$10</f>
        <v/>
      </c>
      <c r="K412" s="99">
        <f>COUNTIF($E$5:$E$979,"&lt;"&amp;E412)+(COUNTIF($E$5:$E$979,"="&amp;E412)+1)/2</f>
        <v/>
      </c>
      <c r="L412" s="99">
        <f>COUNTIF($F$5:$F$979,"&lt;"&amp;F412)+(COUNTIF($F$5:$F$979,"="&amp;F412)+1)/2</f>
        <v/>
      </c>
      <c r="M412" s="99">
        <f>COUNTIF($G$5:$G$979,"&lt;"&amp;G412)+(COUNTIF($G$5:$G$979,"="&amp;G412)+1)/2</f>
        <v/>
      </c>
      <c r="N412" s="99">
        <f>COUNTIF($H$5:$H$979,"&lt;"&amp;H412)+(COUNTIF($H$5:$H$979,"="&amp;H412)+1)/2</f>
        <v/>
      </c>
      <c r="O412" s="99">
        <f>COUNTIF($I$5:$I$979,"&lt;"&amp;I412)+(COUNTIF($I$5:$I$979,"="&amp;I412)+1)/2</f>
        <v/>
      </c>
      <c r="P412" s="99">
        <f>COUNTIF($J$5:$J$979,"&lt;"&amp;J412)+(COUNTIF($J$5:$J$979,"="&amp;J412)+1)/2</f>
        <v/>
      </c>
    </row>
    <row r="413" ht="15" customHeight="1" s="68">
      <c r="A413" s="70">
        <f>'01_원자료'!A410</f>
        <v/>
      </c>
      <c r="B413" s="70">
        <f>'01_원자료'!B410</f>
        <v/>
      </c>
      <c r="C413" s="70">
        <f>'01_원자료'!C410</f>
        <v/>
      </c>
      <c r="E413" s="85">
        <f>'01_원자료'!P410*'03_가중치민감도'!$B$5+'01_원자료'!Q410*'03_가중치민감도'!$C$5+'01_원자료'!R410*'03_가중치민감도'!$D$5</f>
        <v/>
      </c>
      <c r="F413" s="85">
        <f>'01_원자료'!P410*'03_가중치민감도'!$B$6+'01_원자료'!Q410*'03_가중치민감도'!$C$6+'01_원자료'!R410*'03_가중치민감도'!$D$6</f>
        <v/>
      </c>
      <c r="G413" s="85">
        <f>'01_원자료'!P410*'03_가중치민감도'!$B$7+'01_원자료'!Q410*'03_가중치민감도'!$C$7+'01_원자료'!R410*'03_가중치민감도'!$D$7</f>
        <v/>
      </c>
      <c r="H413" s="85">
        <f>'01_원자료'!P410*'03_가중치민감도'!$B$8+'01_원자료'!Q410*'03_가중치민감도'!$C$8+'01_원자료'!R410*'03_가중치민감도'!$D$8</f>
        <v/>
      </c>
      <c r="I413" s="85">
        <f>'01_원자료'!P410*'03_가중치민감도'!$B$9+'01_원자료'!Q410*'03_가중치민감도'!$C$9+'01_원자료'!R410*'03_가중치민감도'!$D$9</f>
        <v/>
      </c>
      <c r="J413" s="85">
        <f>'01_원자료'!P410*'03_가중치민감도'!$B$10+'01_원자료'!Q410*'03_가중치민감도'!$C$10+'01_원자료'!R410*'03_가중치민감도'!$D$10</f>
        <v/>
      </c>
      <c r="K413" s="99">
        <f>COUNTIF($E$5:$E$979,"&lt;"&amp;E413)+(COUNTIF($E$5:$E$979,"="&amp;E413)+1)/2</f>
        <v/>
      </c>
      <c r="L413" s="99">
        <f>COUNTIF($F$5:$F$979,"&lt;"&amp;F413)+(COUNTIF($F$5:$F$979,"="&amp;F413)+1)/2</f>
        <v/>
      </c>
      <c r="M413" s="99">
        <f>COUNTIF($G$5:$G$979,"&lt;"&amp;G413)+(COUNTIF($G$5:$G$979,"="&amp;G413)+1)/2</f>
        <v/>
      </c>
      <c r="N413" s="99">
        <f>COUNTIF($H$5:$H$979,"&lt;"&amp;H413)+(COUNTIF($H$5:$H$979,"="&amp;H413)+1)/2</f>
        <v/>
      </c>
      <c r="O413" s="99">
        <f>COUNTIF($I$5:$I$979,"&lt;"&amp;I413)+(COUNTIF($I$5:$I$979,"="&amp;I413)+1)/2</f>
        <v/>
      </c>
      <c r="P413" s="99">
        <f>COUNTIF($J$5:$J$979,"&lt;"&amp;J413)+(COUNTIF($J$5:$J$979,"="&amp;J413)+1)/2</f>
        <v/>
      </c>
    </row>
    <row r="414" ht="15" customHeight="1" s="68">
      <c r="A414" s="70">
        <f>'01_원자료'!A411</f>
        <v/>
      </c>
      <c r="B414" s="70">
        <f>'01_원자료'!B411</f>
        <v/>
      </c>
      <c r="C414" s="70">
        <f>'01_원자료'!C411</f>
        <v/>
      </c>
      <c r="E414" s="85">
        <f>'01_원자료'!P411*'03_가중치민감도'!$B$5+'01_원자료'!Q411*'03_가중치민감도'!$C$5+'01_원자료'!R411*'03_가중치민감도'!$D$5</f>
        <v/>
      </c>
      <c r="F414" s="85">
        <f>'01_원자료'!P411*'03_가중치민감도'!$B$6+'01_원자료'!Q411*'03_가중치민감도'!$C$6+'01_원자료'!R411*'03_가중치민감도'!$D$6</f>
        <v/>
      </c>
      <c r="G414" s="85">
        <f>'01_원자료'!P411*'03_가중치민감도'!$B$7+'01_원자료'!Q411*'03_가중치민감도'!$C$7+'01_원자료'!R411*'03_가중치민감도'!$D$7</f>
        <v/>
      </c>
      <c r="H414" s="85">
        <f>'01_원자료'!P411*'03_가중치민감도'!$B$8+'01_원자료'!Q411*'03_가중치민감도'!$C$8+'01_원자료'!R411*'03_가중치민감도'!$D$8</f>
        <v/>
      </c>
      <c r="I414" s="85">
        <f>'01_원자료'!P411*'03_가중치민감도'!$B$9+'01_원자료'!Q411*'03_가중치민감도'!$C$9+'01_원자료'!R411*'03_가중치민감도'!$D$9</f>
        <v/>
      </c>
      <c r="J414" s="85">
        <f>'01_원자료'!P411*'03_가중치민감도'!$B$10+'01_원자료'!Q411*'03_가중치민감도'!$C$10+'01_원자료'!R411*'03_가중치민감도'!$D$10</f>
        <v/>
      </c>
      <c r="K414" s="99">
        <f>COUNTIF($E$5:$E$979,"&lt;"&amp;E414)+(COUNTIF($E$5:$E$979,"="&amp;E414)+1)/2</f>
        <v/>
      </c>
      <c r="L414" s="99">
        <f>COUNTIF($F$5:$F$979,"&lt;"&amp;F414)+(COUNTIF($F$5:$F$979,"="&amp;F414)+1)/2</f>
        <v/>
      </c>
      <c r="M414" s="99">
        <f>COUNTIF($G$5:$G$979,"&lt;"&amp;G414)+(COUNTIF($G$5:$G$979,"="&amp;G414)+1)/2</f>
        <v/>
      </c>
      <c r="N414" s="99">
        <f>COUNTIF($H$5:$H$979,"&lt;"&amp;H414)+(COUNTIF($H$5:$H$979,"="&amp;H414)+1)/2</f>
        <v/>
      </c>
      <c r="O414" s="99">
        <f>COUNTIF($I$5:$I$979,"&lt;"&amp;I414)+(COUNTIF($I$5:$I$979,"="&amp;I414)+1)/2</f>
        <v/>
      </c>
      <c r="P414" s="99">
        <f>COUNTIF($J$5:$J$979,"&lt;"&amp;J414)+(COUNTIF($J$5:$J$979,"="&amp;J414)+1)/2</f>
        <v/>
      </c>
    </row>
    <row r="415" ht="15" customHeight="1" s="68">
      <c r="A415" s="70">
        <f>'01_원자료'!A412</f>
        <v/>
      </c>
      <c r="B415" s="70">
        <f>'01_원자료'!B412</f>
        <v/>
      </c>
      <c r="C415" s="70">
        <f>'01_원자료'!C412</f>
        <v/>
      </c>
      <c r="E415" s="85">
        <f>'01_원자료'!P412*'03_가중치민감도'!$B$5+'01_원자료'!Q412*'03_가중치민감도'!$C$5+'01_원자료'!R412*'03_가중치민감도'!$D$5</f>
        <v/>
      </c>
      <c r="F415" s="85">
        <f>'01_원자료'!P412*'03_가중치민감도'!$B$6+'01_원자료'!Q412*'03_가중치민감도'!$C$6+'01_원자료'!R412*'03_가중치민감도'!$D$6</f>
        <v/>
      </c>
      <c r="G415" s="85">
        <f>'01_원자료'!P412*'03_가중치민감도'!$B$7+'01_원자료'!Q412*'03_가중치민감도'!$C$7+'01_원자료'!R412*'03_가중치민감도'!$D$7</f>
        <v/>
      </c>
      <c r="H415" s="85">
        <f>'01_원자료'!P412*'03_가중치민감도'!$B$8+'01_원자료'!Q412*'03_가중치민감도'!$C$8+'01_원자료'!R412*'03_가중치민감도'!$D$8</f>
        <v/>
      </c>
      <c r="I415" s="85">
        <f>'01_원자료'!P412*'03_가중치민감도'!$B$9+'01_원자료'!Q412*'03_가중치민감도'!$C$9+'01_원자료'!R412*'03_가중치민감도'!$D$9</f>
        <v/>
      </c>
      <c r="J415" s="85">
        <f>'01_원자료'!P412*'03_가중치민감도'!$B$10+'01_원자료'!Q412*'03_가중치민감도'!$C$10+'01_원자료'!R412*'03_가중치민감도'!$D$10</f>
        <v/>
      </c>
      <c r="K415" s="99">
        <f>COUNTIF($E$5:$E$979,"&lt;"&amp;E415)+(COUNTIF($E$5:$E$979,"="&amp;E415)+1)/2</f>
        <v/>
      </c>
      <c r="L415" s="99">
        <f>COUNTIF($F$5:$F$979,"&lt;"&amp;F415)+(COUNTIF($F$5:$F$979,"="&amp;F415)+1)/2</f>
        <v/>
      </c>
      <c r="M415" s="99">
        <f>COUNTIF($G$5:$G$979,"&lt;"&amp;G415)+(COUNTIF($G$5:$G$979,"="&amp;G415)+1)/2</f>
        <v/>
      </c>
      <c r="N415" s="99">
        <f>COUNTIF($H$5:$H$979,"&lt;"&amp;H415)+(COUNTIF($H$5:$H$979,"="&amp;H415)+1)/2</f>
        <v/>
      </c>
      <c r="O415" s="99">
        <f>COUNTIF($I$5:$I$979,"&lt;"&amp;I415)+(COUNTIF($I$5:$I$979,"="&amp;I415)+1)/2</f>
        <v/>
      </c>
      <c r="P415" s="99">
        <f>COUNTIF($J$5:$J$979,"&lt;"&amp;J415)+(COUNTIF($J$5:$J$979,"="&amp;J415)+1)/2</f>
        <v/>
      </c>
    </row>
    <row r="416" ht="15" customHeight="1" s="68">
      <c r="A416" s="70">
        <f>'01_원자료'!A413</f>
        <v/>
      </c>
      <c r="B416" s="70">
        <f>'01_원자료'!B413</f>
        <v/>
      </c>
      <c r="C416" s="70">
        <f>'01_원자료'!C413</f>
        <v/>
      </c>
      <c r="E416" s="85">
        <f>'01_원자료'!P413*'03_가중치민감도'!$B$5+'01_원자료'!Q413*'03_가중치민감도'!$C$5+'01_원자료'!R413*'03_가중치민감도'!$D$5</f>
        <v/>
      </c>
      <c r="F416" s="85">
        <f>'01_원자료'!P413*'03_가중치민감도'!$B$6+'01_원자료'!Q413*'03_가중치민감도'!$C$6+'01_원자료'!R413*'03_가중치민감도'!$D$6</f>
        <v/>
      </c>
      <c r="G416" s="85">
        <f>'01_원자료'!P413*'03_가중치민감도'!$B$7+'01_원자료'!Q413*'03_가중치민감도'!$C$7+'01_원자료'!R413*'03_가중치민감도'!$D$7</f>
        <v/>
      </c>
      <c r="H416" s="85">
        <f>'01_원자료'!P413*'03_가중치민감도'!$B$8+'01_원자료'!Q413*'03_가중치민감도'!$C$8+'01_원자료'!R413*'03_가중치민감도'!$D$8</f>
        <v/>
      </c>
      <c r="I416" s="85">
        <f>'01_원자료'!P413*'03_가중치민감도'!$B$9+'01_원자료'!Q413*'03_가중치민감도'!$C$9+'01_원자료'!R413*'03_가중치민감도'!$D$9</f>
        <v/>
      </c>
      <c r="J416" s="85">
        <f>'01_원자료'!P413*'03_가중치민감도'!$B$10+'01_원자료'!Q413*'03_가중치민감도'!$C$10+'01_원자료'!R413*'03_가중치민감도'!$D$10</f>
        <v/>
      </c>
      <c r="K416" s="99">
        <f>COUNTIF($E$5:$E$979,"&lt;"&amp;E416)+(COUNTIF($E$5:$E$979,"="&amp;E416)+1)/2</f>
        <v/>
      </c>
      <c r="L416" s="99">
        <f>COUNTIF($F$5:$F$979,"&lt;"&amp;F416)+(COUNTIF($F$5:$F$979,"="&amp;F416)+1)/2</f>
        <v/>
      </c>
      <c r="M416" s="99">
        <f>COUNTIF($G$5:$G$979,"&lt;"&amp;G416)+(COUNTIF($G$5:$G$979,"="&amp;G416)+1)/2</f>
        <v/>
      </c>
      <c r="N416" s="99">
        <f>COUNTIF($H$5:$H$979,"&lt;"&amp;H416)+(COUNTIF($H$5:$H$979,"="&amp;H416)+1)/2</f>
        <v/>
      </c>
      <c r="O416" s="99">
        <f>COUNTIF($I$5:$I$979,"&lt;"&amp;I416)+(COUNTIF($I$5:$I$979,"="&amp;I416)+1)/2</f>
        <v/>
      </c>
      <c r="P416" s="99">
        <f>COUNTIF($J$5:$J$979,"&lt;"&amp;J416)+(COUNTIF($J$5:$J$979,"="&amp;J416)+1)/2</f>
        <v/>
      </c>
    </row>
    <row r="417" ht="15" customHeight="1" s="68">
      <c r="A417" s="70">
        <f>'01_원자료'!A414</f>
        <v/>
      </c>
      <c r="B417" s="70">
        <f>'01_원자료'!B414</f>
        <v/>
      </c>
      <c r="C417" s="70">
        <f>'01_원자료'!C414</f>
        <v/>
      </c>
      <c r="E417" s="85">
        <f>'01_원자료'!P414*'03_가중치민감도'!$B$5+'01_원자료'!Q414*'03_가중치민감도'!$C$5+'01_원자료'!R414*'03_가중치민감도'!$D$5</f>
        <v/>
      </c>
      <c r="F417" s="85">
        <f>'01_원자료'!P414*'03_가중치민감도'!$B$6+'01_원자료'!Q414*'03_가중치민감도'!$C$6+'01_원자료'!R414*'03_가중치민감도'!$D$6</f>
        <v/>
      </c>
      <c r="G417" s="85">
        <f>'01_원자료'!P414*'03_가중치민감도'!$B$7+'01_원자료'!Q414*'03_가중치민감도'!$C$7+'01_원자료'!R414*'03_가중치민감도'!$D$7</f>
        <v/>
      </c>
      <c r="H417" s="85">
        <f>'01_원자료'!P414*'03_가중치민감도'!$B$8+'01_원자료'!Q414*'03_가중치민감도'!$C$8+'01_원자료'!R414*'03_가중치민감도'!$D$8</f>
        <v/>
      </c>
      <c r="I417" s="85">
        <f>'01_원자료'!P414*'03_가중치민감도'!$B$9+'01_원자료'!Q414*'03_가중치민감도'!$C$9+'01_원자료'!R414*'03_가중치민감도'!$D$9</f>
        <v/>
      </c>
      <c r="J417" s="85">
        <f>'01_원자료'!P414*'03_가중치민감도'!$B$10+'01_원자료'!Q414*'03_가중치민감도'!$C$10+'01_원자료'!R414*'03_가중치민감도'!$D$10</f>
        <v/>
      </c>
      <c r="K417" s="99">
        <f>COUNTIF($E$5:$E$979,"&lt;"&amp;E417)+(COUNTIF($E$5:$E$979,"="&amp;E417)+1)/2</f>
        <v/>
      </c>
      <c r="L417" s="99">
        <f>COUNTIF($F$5:$F$979,"&lt;"&amp;F417)+(COUNTIF($F$5:$F$979,"="&amp;F417)+1)/2</f>
        <v/>
      </c>
      <c r="M417" s="99">
        <f>COUNTIF($G$5:$G$979,"&lt;"&amp;G417)+(COUNTIF($G$5:$G$979,"="&amp;G417)+1)/2</f>
        <v/>
      </c>
      <c r="N417" s="99">
        <f>COUNTIF($H$5:$H$979,"&lt;"&amp;H417)+(COUNTIF($H$5:$H$979,"="&amp;H417)+1)/2</f>
        <v/>
      </c>
      <c r="O417" s="99">
        <f>COUNTIF($I$5:$I$979,"&lt;"&amp;I417)+(COUNTIF($I$5:$I$979,"="&amp;I417)+1)/2</f>
        <v/>
      </c>
      <c r="P417" s="99">
        <f>COUNTIF($J$5:$J$979,"&lt;"&amp;J417)+(COUNTIF($J$5:$J$979,"="&amp;J417)+1)/2</f>
        <v/>
      </c>
    </row>
    <row r="418" ht="15" customHeight="1" s="68">
      <c r="A418" s="70">
        <f>'01_원자료'!A415</f>
        <v/>
      </c>
      <c r="B418" s="70">
        <f>'01_원자료'!B415</f>
        <v/>
      </c>
      <c r="C418" s="70">
        <f>'01_원자료'!C415</f>
        <v/>
      </c>
      <c r="E418" s="85">
        <f>'01_원자료'!P415*'03_가중치민감도'!$B$5+'01_원자료'!Q415*'03_가중치민감도'!$C$5+'01_원자료'!R415*'03_가중치민감도'!$D$5</f>
        <v/>
      </c>
      <c r="F418" s="85">
        <f>'01_원자료'!P415*'03_가중치민감도'!$B$6+'01_원자료'!Q415*'03_가중치민감도'!$C$6+'01_원자료'!R415*'03_가중치민감도'!$D$6</f>
        <v/>
      </c>
      <c r="G418" s="85">
        <f>'01_원자료'!P415*'03_가중치민감도'!$B$7+'01_원자료'!Q415*'03_가중치민감도'!$C$7+'01_원자료'!R415*'03_가중치민감도'!$D$7</f>
        <v/>
      </c>
      <c r="H418" s="85">
        <f>'01_원자료'!P415*'03_가중치민감도'!$B$8+'01_원자료'!Q415*'03_가중치민감도'!$C$8+'01_원자료'!R415*'03_가중치민감도'!$D$8</f>
        <v/>
      </c>
      <c r="I418" s="85">
        <f>'01_원자료'!P415*'03_가중치민감도'!$B$9+'01_원자료'!Q415*'03_가중치민감도'!$C$9+'01_원자료'!R415*'03_가중치민감도'!$D$9</f>
        <v/>
      </c>
      <c r="J418" s="85">
        <f>'01_원자료'!P415*'03_가중치민감도'!$B$10+'01_원자료'!Q415*'03_가중치민감도'!$C$10+'01_원자료'!R415*'03_가중치민감도'!$D$10</f>
        <v/>
      </c>
      <c r="K418" s="99">
        <f>COUNTIF($E$5:$E$979,"&lt;"&amp;E418)+(COUNTIF($E$5:$E$979,"="&amp;E418)+1)/2</f>
        <v/>
      </c>
      <c r="L418" s="99">
        <f>COUNTIF($F$5:$F$979,"&lt;"&amp;F418)+(COUNTIF($F$5:$F$979,"="&amp;F418)+1)/2</f>
        <v/>
      </c>
      <c r="M418" s="99">
        <f>COUNTIF($G$5:$G$979,"&lt;"&amp;G418)+(COUNTIF($G$5:$G$979,"="&amp;G418)+1)/2</f>
        <v/>
      </c>
      <c r="N418" s="99">
        <f>COUNTIF($H$5:$H$979,"&lt;"&amp;H418)+(COUNTIF($H$5:$H$979,"="&amp;H418)+1)/2</f>
        <v/>
      </c>
      <c r="O418" s="99">
        <f>COUNTIF($I$5:$I$979,"&lt;"&amp;I418)+(COUNTIF($I$5:$I$979,"="&amp;I418)+1)/2</f>
        <v/>
      </c>
      <c r="P418" s="99">
        <f>COUNTIF($J$5:$J$979,"&lt;"&amp;J418)+(COUNTIF($J$5:$J$979,"="&amp;J418)+1)/2</f>
        <v/>
      </c>
    </row>
    <row r="419" ht="15" customHeight="1" s="68">
      <c r="A419" s="70">
        <f>'01_원자료'!A416</f>
        <v/>
      </c>
      <c r="B419" s="70">
        <f>'01_원자료'!B416</f>
        <v/>
      </c>
      <c r="C419" s="70">
        <f>'01_원자료'!C416</f>
        <v/>
      </c>
      <c r="E419" s="85">
        <f>'01_원자료'!P416*'03_가중치민감도'!$B$5+'01_원자료'!Q416*'03_가중치민감도'!$C$5+'01_원자료'!R416*'03_가중치민감도'!$D$5</f>
        <v/>
      </c>
      <c r="F419" s="85">
        <f>'01_원자료'!P416*'03_가중치민감도'!$B$6+'01_원자료'!Q416*'03_가중치민감도'!$C$6+'01_원자료'!R416*'03_가중치민감도'!$D$6</f>
        <v/>
      </c>
      <c r="G419" s="85">
        <f>'01_원자료'!P416*'03_가중치민감도'!$B$7+'01_원자료'!Q416*'03_가중치민감도'!$C$7+'01_원자료'!R416*'03_가중치민감도'!$D$7</f>
        <v/>
      </c>
      <c r="H419" s="85">
        <f>'01_원자료'!P416*'03_가중치민감도'!$B$8+'01_원자료'!Q416*'03_가중치민감도'!$C$8+'01_원자료'!R416*'03_가중치민감도'!$D$8</f>
        <v/>
      </c>
      <c r="I419" s="85">
        <f>'01_원자료'!P416*'03_가중치민감도'!$B$9+'01_원자료'!Q416*'03_가중치민감도'!$C$9+'01_원자료'!R416*'03_가중치민감도'!$D$9</f>
        <v/>
      </c>
      <c r="J419" s="85">
        <f>'01_원자료'!P416*'03_가중치민감도'!$B$10+'01_원자료'!Q416*'03_가중치민감도'!$C$10+'01_원자료'!R416*'03_가중치민감도'!$D$10</f>
        <v/>
      </c>
      <c r="K419" s="99">
        <f>COUNTIF($E$5:$E$979,"&lt;"&amp;E419)+(COUNTIF($E$5:$E$979,"="&amp;E419)+1)/2</f>
        <v/>
      </c>
      <c r="L419" s="99">
        <f>COUNTIF($F$5:$F$979,"&lt;"&amp;F419)+(COUNTIF($F$5:$F$979,"="&amp;F419)+1)/2</f>
        <v/>
      </c>
      <c r="M419" s="99">
        <f>COUNTIF($G$5:$G$979,"&lt;"&amp;G419)+(COUNTIF($G$5:$G$979,"="&amp;G419)+1)/2</f>
        <v/>
      </c>
      <c r="N419" s="99">
        <f>COUNTIF($H$5:$H$979,"&lt;"&amp;H419)+(COUNTIF($H$5:$H$979,"="&amp;H419)+1)/2</f>
        <v/>
      </c>
      <c r="O419" s="99">
        <f>COUNTIF($I$5:$I$979,"&lt;"&amp;I419)+(COUNTIF($I$5:$I$979,"="&amp;I419)+1)/2</f>
        <v/>
      </c>
      <c r="P419" s="99">
        <f>COUNTIF($J$5:$J$979,"&lt;"&amp;J419)+(COUNTIF($J$5:$J$979,"="&amp;J419)+1)/2</f>
        <v/>
      </c>
    </row>
    <row r="420" ht="15" customHeight="1" s="68">
      <c r="A420" s="70">
        <f>'01_원자료'!A417</f>
        <v/>
      </c>
      <c r="B420" s="70">
        <f>'01_원자료'!B417</f>
        <v/>
      </c>
      <c r="C420" s="70">
        <f>'01_원자료'!C417</f>
        <v/>
      </c>
      <c r="E420" s="85">
        <f>'01_원자료'!P417*'03_가중치민감도'!$B$5+'01_원자료'!Q417*'03_가중치민감도'!$C$5+'01_원자료'!R417*'03_가중치민감도'!$D$5</f>
        <v/>
      </c>
      <c r="F420" s="85">
        <f>'01_원자료'!P417*'03_가중치민감도'!$B$6+'01_원자료'!Q417*'03_가중치민감도'!$C$6+'01_원자료'!R417*'03_가중치민감도'!$D$6</f>
        <v/>
      </c>
      <c r="G420" s="85">
        <f>'01_원자료'!P417*'03_가중치민감도'!$B$7+'01_원자료'!Q417*'03_가중치민감도'!$C$7+'01_원자료'!R417*'03_가중치민감도'!$D$7</f>
        <v/>
      </c>
      <c r="H420" s="85">
        <f>'01_원자료'!P417*'03_가중치민감도'!$B$8+'01_원자료'!Q417*'03_가중치민감도'!$C$8+'01_원자료'!R417*'03_가중치민감도'!$D$8</f>
        <v/>
      </c>
      <c r="I420" s="85">
        <f>'01_원자료'!P417*'03_가중치민감도'!$B$9+'01_원자료'!Q417*'03_가중치민감도'!$C$9+'01_원자료'!R417*'03_가중치민감도'!$D$9</f>
        <v/>
      </c>
      <c r="J420" s="85">
        <f>'01_원자료'!P417*'03_가중치민감도'!$B$10+'01_원자료'!Q417*'03_가중치민감도'!$C$10+'01_원자료'!R417*'03_가중치민감도'!$D$10</f>
        <v/>
      </c>
      <c r="K420" s="99">
        <f>COUNTIF($E$5:$E$979,"&lt;"&amp;E420)+(COUNTIF($E$5:$E$979,"="&amp;E420)+1)/2</f>
        <v/>
      </c>
      <c r="L420" s="99">
        <f>COUNTIF($F$5:$F$979,"&lt;"&amp;F420)+(COUNTIF($F$5:$F$979,"="&amp;F420)+1)/2</f>
        <v/>
      </c>
      <c r="M420" s="99">
        <f>COUNTIF($G$5:$G$979,"&lt;"&amp;G420)+(COUNTIF($G$5:$G$979,"="&amp;G420)+1)/2</f>
        <v/>
      </c>
      <c r="N420" s="99">
        <f>COUNTIF($H$5:$H$979,"&lt;"&amp;H420)+(COUNTIF($H$5:$H$979,"="&amp;H420)+1)/2</f>
        <v/>
      </c>
      <c r="O420" s="99">
        <f>COUNTIF($I$5:$I$979,"&lt;"&amp;I420)+(COUNTIF($I$5:$I$979,"="&amp;I420)+1)/2</f>
        <v/>
      </c>
      <c r="P420" s="99">
        <f>COUNTIF($J$5:$J$979,"&lt;"&amp;J420)+(COUNTIF($J$5:$J$979,"="&amp;J420)+1)/2</f>
        <v/>
      </c>
    </row>
    <row r="421" ht="15" customHeight="1" s="68">
      <c r="A421" s="70">
        <f>'01_원자료'!A418</f>
        <v/>
      </c>
      <c r="B421" s="70">
        <f>'01_원자료'!B418</f>
        <v/>
      </c>
      <c r="C421" s="70">
        <f>'01_원자료'!C418</f>
        <v/>
      </c>
      <c r="E421" s="85">
        <f>'01_원자료'!P418*'03_가중치민감도'!$B$5+'01_원자료'!Q418*'03_가중치민감도'!$C$5+'01_원자료'!R418*'03_가중치민감도'!$D$5</f>
        <v/>
      </c>
      <c r="F421" s="85">
        <f>'01_원자료'!P418*'03_가중치민감도'!$B$6+'01_원자료'!Q418*'03_가중치민감도'!$C$6+'01_원자료'!R418*'03_가중치민감도'!$D$6</f>
        <v/>
      </c>
      <c r="G421" s="85">
        <f>'01_원자료'!P418*'03_가중치민감도'!$B$7+'01_원자료'!Q418*'03_가중치민감도'!$C$7+'01_원자료'!R418*'03_가중치민감도'!$D$7</f>
        <v/>
      </c>
      <c r="H421" s="85">
        <f>'01_원자료'!P418*'03_가중치민감도'!$B$8+'01_원자료'!Q418*'03_가중치민감도'!$C$8+'01_원자료'!R418*'03_가중치민감도'!$D$8</f>
        <v/>
      </c>
      <c r="I421" s="85">
        <f>'01_원자료'!P418*'03_가중치민감도'!$B$9+'01_원자료'!Q418*'03_가중치민감도'!$C$9+'01_원자료'!R418*'03_가중치민감도'!$D$9</f>
        <v/>
      </c>
      <c r="J421" s="85">
        <f>'01_원자료'!P418*'03_가중치민감도'!$B$10+'01_원자료'!Q418*'03_가중치민감도'!$C$10+'01_원자료'!R418*'03_가중치민감도'!$D$10</f>
        <v/>
      </c>
      <c r="K421" s="99">
        <f>COUNTIF($E$5:$E$979,"&lt;"&amp;E421)+(COUNTIF($E$5:$E$979,"="&amp;E421)+1)/2</f>
        <v/>
      </c>
      <c r="L421" s="99">
        <f>COUNTIF($F$5:$F$979,"&lt;"&amp;F421)+(COUNTIF($F$5:$F$979,"="&amp;F421)+1)/2</f>
        <v/>
      </c>
      <c r="M421" s="99">
        <f>COUNTIF($G$5:$G$979,"&lt;"&amp;G421)+(COUNTIF($G$5:$G$979,"="&amp;G421)+1)/2</f>
        <v/>
      </c>
      <c r="N421" s="99">
        <f>COUNTIF($H$5:$H$979,"&lt;"&amp;H421)+(COUNTIF($H$5:$H$979,"="&amp;H421)+1)/2</f>
        <v/>
      </c>
      <c r="O421" s="99">
        <f>COUNTIF($I$5:$I$979,"&lt;"&amp;I421)+(COUNTIF($I$5:$I$979,"="&amp;I421)+1)/2</f>
        <v/>
      </c>
      <c r="P421" s="99">
        <f>COUNTIF($J$5:$J$979,"&lt;"&amp;J421)+(COUNTIF($J$5:$J$979,"="&amp;J421)+1)/2</f>
        <v/>
      </c>
    </row>
    <row r="422" ht="15" customHeight="1" s="68">
      <c r="A422" s="70">
        <f>'01_원자료'!A419</f>
        <v/>
      </c>
      <c r="B422" s="70">
        <f>'01_원자료'!B419</f>
        <v/>
      </c>
      <c r="C422" s="70">
        <f>'01_원자료'!C419</f>
        <v/>
      </c>
      <c r="E422" s="85">
        <f>'01_원자료'!P419*'03_가중치민감도'!$B$5+'01_원자료'!Q419*'03_가중치민감도'!$C$5+'01_원자료'!R419*'03_가중치민감도'!$D$5</f>
        <v/>
      </c>
      <c r="F422" s="85">
        <f>'01_원자료'!P419*'03_가중치민감도'!$B$6+'01_원자료'!Q419*'03_가중치민감도'!$C$6+'01_원자료'!R419*'03_가중치민감도'!$D$6</f>
        <v/>
      </c>
      <c r="G422" s="85">
        <f>'01_원자료'!P419*'03_가중치민감도'!$B$7+'01_원자료'!Q419*'03_가중치민감도'!$C$7+'01_원자료'!R419*'03_가중치민감도'!$D$7</f>
        <v/>
      </c>
      <c r="H422" s="85">
        <f>'01_원자료'!P419*'03_가중치민감도'!$B$8+'01_원자료'!Q419*'03_가중치민감도'!$C$8+'01_원자료'!R419*'03_가중치민감도'!$D$8</f>
        <v/>
      </c>
      <c r="I422" s="85">
        <f>'01_원자료'!P419*'03_가중치민감도'!$B$9+'01_원자료'!Q419*'03_가중치민감도'!$C$9+'01_원자료'!R419*'03_가중치민감도'!$D$9</f>
        <v/>
      </c>
      <c r="J422" s="85">
        <f>'01_원자료'!P419*'03_가중치민감도'!$B$10+'01_원자료'!Q419*'03_가중치민감도'!$C$10+'01_원자료'!R419*'03_가중치민감도'!$D$10</f>
        <v/>
      </c>
      <c r="K422" s="99">
        <f>COUNTIF($E$5:$E$979,"&lt;"&amp;E422)+(COUNTIF($E$5:$E$979,"="&amp;E422)+1)/2</f>
        <v/>
      </c>
      <c r="L422" s="99">
        <f>COUNTIF($F$5:$F$979,"&lt;"&amp;F422)+(COUNTIF($F$5:$F$979,"="&amp;F422)+1)/2</f>
        <v/>
      </c>
      <c r="M422" s="99">
        <f>COUNTIF($G$5:$G$979,"&lt;"&amp;G422)+(COUNTIF($G$5:$G$979,"="&amp;G422)+1)/2</f>
        <v/>
      </c>
      <c r="N422" s="99">
        <f>COUNTIF($H$5:$H$979,"&lt;"&amp;H422)+(COUNTIF($H$5:$H$979,"="&amp;H422)+1)/2</f>
        <v/>
      </c>
      <c r="O422" s="99">
        <f>COUNTIF($I$5:$I$979,"&lt;"&amp;I422)+(COUNTIF($I$5:$I$979,"="&amp;I422)+1)/2</f>
        <v/>
      </c>
      <c r="P422" s="99">
        <f>COUNTIF($J$5:$J$979,"&lt;"&amp;J422)+(COUNTIF($J$5:$J$979,"="&amp;J422)+1)/2</f>
        <v/>
      </c>
    </row>
    <row r="423" ht="15" customHeight="1" s="68">
      <c r="A423" s="70">
        <f>'01_원자료'!A420</f>
        <v/>
      </c>
      <c r="B423" s="70">
        <f>'01_원자료'!B420</f>
        <v/>
      </c>
      <c r="C423" s="70">
        <f>'01_원자료'!C420</f>
        <v/>
      </c>
      <c r="E423" s="85">
        <f>'01_원자료'!P420*'03_가중치민감도'!$B$5+'01_원자료'!Q420*'03_가중치민감도'!$C$5+'01_원자료'!R420*'03_가중치민감도'!$D$5</f>
        <v/>
      </c>
      <c r="F423" s="85">
        <f>'01_원자료'!P420*'03_가중치민감도'!$B$6+'01_원자료'!Q420*'03_가중치민감도'!$C$6+'01_원자료'!R420*'03_가중치민감도'!$D$6</f>
        <v/>
      </c>
      <c r="G423" s="85">
        <f>'01_원자료'!P420*'03_가중치민감도'!$B$7+'01_원자료'!Q420*'03_가중치민감도'!$C$7+'01_원자료'!R420*'03_가중치민감도'!$D$7</f>
        <v/>
      </c>
      <c r="H423" s="85">
        <f>'01_원자료'!P420*'03_가중치민감도'!$B$8+'01_원자료'!Q420*'03_가중치민감도'!$C$8+'01_원자료'!R420*'03_가중치민감도'!$D$8</f>
        <v/>
      </c>
      <c r="I423" s="85">
        <f>'01_원자료'!P420*'03_가중치민감도'!$B$9+'01_원자료'!Q420*'03_가중치민감도'!$C$9+'01_원자료'!R420*'03_가중치민감도'!$D$9</f>
        <v/>
      </c>
      <c r="J423" s="85">
        <f>'01_원자료'!P420*'03_가중치민감도'!$B$10+'01_원자료'!Q420*'03_가중치민감도'!$C$10+'01_원자료'!R420*'03_가중치민감도'!$D$10</f>
        <v/>
      </c>
      <c r="K423" s="99">
        <f>COUNTIF($E$5:$E$979,"&lt;"&amp;E423)+(COUNTIF($E$5:$E$979,"="&amp;E423)+1)/2</f>
        <v/>
      </c>
      <c r="L423" s="99">
        <f>COUNTIF($F$5:$F$979,"&lt;"&amp;F423)+(COUNTIF($F$5:$F$979,"="&amp;F423)+1)/2</f>
        <v/>
      </c>
      <c r="M423" s="99">
        <f>COUNTIF($G$5:$G$979,"&lt;"&amp;G423)+(COUNTIF($G$5:$G$979,"="&amp;G423)+1)/2</f>
        <v/>
      </c>
      <c r="N423" s="99">
        <f>COUNTIF($H$5:$H$979,"&lt;"&amp;H423)+(COUNTIF($H$5:$H$979,"="&amp;H423)+1)/2</f>
        <v/>
      </c>
      <c r="O423" s="99">
        <f>COUNTIF($I$5:$I$979,"&lt;"&amp;I423)+(COUNTIF($I$5:$I$979,"="&amp;I423)+1)/2</f>
        <v/>
      </c>
      <c r="P423" s="99">
        <f>COUNTIF($J$5:$J$979,"&lt;"&amp;J423)+(COUNTIF($J$5:$J$979,"="&amp;J423)+1)/2</f>
        <v/>
      </c>
    </row>
    <row r="424" ht="15" customHeight="1" s="68">
      <c r="A424" s="70">
        <f>'01_원자료'!A421</f>
        <v/>
      </c>
      <c r="B424" s="70">
        <f>'01_원자료'!B421</f>
        <v/>
      </c>
      <c r="C424" s="70">
        <f>'01_원자료'!C421</f>
        <v/>
      </c>
      <c r="E424" s="85">
        <f>'01_원자료'!P421*'03_가중치민감도'!$B$5+'01_원자료'!Q421*'03_가중치민감도'!$C$5+'01_원자료'!R421*'03_가중치민감도'!$D$5</f>
        <v/>
      </c>
      <c r="F424" s="85">
        <f>'01_원자료'!P421*'03_가중치민감도'!$B$6+'01_원자료'!Q421*'03_가중치민감도'!$C$6+'01_원자료'!R421*'03_가중치민감도'!$D$6</f>
        <v/>
      </c>
      <c r="G424" s="85">
        <f>'01_원자료'!P421*'03_가중치민감도'!$B$7+'01_원자료'!Q421*'03_가중치민감도'!$C$7+'01_원자료'!R421*'03_가중치민감도'!$D$7</f>
        <v/>
      </c>
      <c r="H424" s="85">
        <f>'01_원자료'!P421*'03_가중치민감도'!$B$8+'01_원자료'!Q421*'03_가중치민감도'!$C$8+'01_원자료'!R421*'03_가중치민감도'!$D$8</f>
        <v/>
      </c>
      <c r="I424" s="85">
        <f>'01_원자료'!P421*'03_가중치민감도'!$B$9+'01_원자료'!Q421*'03_가중치민감도'!$C$9+'01_원자료'!R421*'03_가중치민감도'!$D$9</f>
        <v/>
      </c>
      <c r="J424" s="85">
        <f>'01_원자료'!P421*'03_가중치민감도'!$B$10+'01_원자료'!Q421*'03_가중치민감도'!$C$10+'01_원자료'!R421*'03_가중치민감도'!$D$10</f>
        <v/>
      </c>
      <c r="K424" s="99">
        <f>COUNTIF($E$5:$E$979,"&lt;"&amp;E424)+(COUNTIF($E$5:$E$979,"="&amp;E424)+1)/2</f>
        <v/>
      </c>
      <c r="L424" s="99">
        <f>COUNTIF($F$5:$F$979,"&lt;"&amp;F424)+(COUNTIF($F$5:$F$979,"="&amp;F424)+1)/2</f>
        <v/>
      </c>
      <c r="M424" s="99">
        <f>COUNTIF($G$5:$G$979,"&lt;"&amp;G424)+(COUNTIF($G$5:$G$979,"="&amp;G424)+1)/2</f>
        <v/>
      </c>
      <c r="N424" s="99">
        <f>COUNTIF($H$5:$H$979,"&lt;"&amp;H424)+(COUNTIF($H$5:$H$979,"="&amp;H424)+1)/2</f>
        <v/>
      </c>
      <c r="O424" s="99">
        <f>COUNTIF($I$5:$I$979,"&lt;"&amp;I424)+(COUNTIF($I$5:$I$979,"="&amp;I424)+1)/2</f>
        <v/>
      </c>
      <c r="P424" s="99">
        <f>COUNTIF($J$5:$J$979,"&lt;"&amp;J424)+(COUNTIF($J$5:$J$979,"="&amp;J424)+1)/2</f>
        <v/>
      </c>
    </row>
    <row r="425" ht="15" customHeight="1" s="68">
      <c r="A425" s="70">
        <f>'01_원자료'!A422</f>
        <v/>
      </c>
      <c r="B425" s="70">
        <f>'01_원자료'!B422</f>
        <v/>
      </c>
      <c r="C425" s="70">
        <f>'01_원자료'!C422</f>
        <v/>
      </c>
      <c r="E425" s="85">
        <f>'01_원자료'!P422*'03_가중치민감도'!$B$5+'01_원자료'!Q422*'03_가중치민감도'!$C$5+'01_원자료'!R422*'03_가중치민감도'!$D$5</f>
        <v/>
      </c>
      <c r="F425" s="85">
        <f>'01_원자료'!P422*'03_가중치민감도'!$B$6+'01_원자료'!Q422*'03_가중치민감도'!$C$6+'01_원자료'!R422*'03_가중치민감도'!$D$6</f>
        <v/>
      </c>
      <c r="G425" s="85">
        <f>'01_원자료'!P422*'03_가중치민감도'!$B$7+'01_원자료'!Q422*'03_가중치민감도'!$C$7+'01_원자료'!R422*'03_가중치민감도'!$D$7</f>
        <v/>
      </c>
      <c r="H425" s="85">
        <f>'01_원자료'!P422*'03_가중치민감도'!$B$8+'01_원자료'!Q422*'03_가중치민감도'!$C$8+'01_원자료'!R422*'03_가중치민감도'!$D$8</f>
        <v/>
      </c>
      <c r="I425" s="85">
        <f>'01_원자료'!P422*'03_가중치민감도'!$B$9+'01_원자료'!Q422*'03_가중치민감도'!$C$9+'01_원자료'!R422*'03_가중치민감도'!$D$9</f>
        <v/>
      </c>
      <c r="J425" s="85">
        <f>'01_원자료'!P422*'03_가중치민감도'!$B$10+'01_원자료'!Q422*'03_가중치민감도'!$C$10+'01_원자료'!R422*'03_가중치민감도'!$D$10</f>
        <v/>
      </c>
      <c r="K425" s="99">
        <f>COUNTIF($E$5:$E$979,"&lt;"&amp;E425)+(COUNTIF($E$5:$E$979,"="&amp;E425)+1)/2</f>
        <v/>
      </c>
      <c r="L425" s="99">
        <f>COUNTIF($F$5:$F$979,"&lt;"&amp;F425)+(COUNTIF($F$5:$F$979,"="&amp;F425)+1)/2</f>
        <v/>
      </c>
      <c r="M425" s="99">
        <f>COUNTIF($G$5:$G$979,"&lt;"&amp;G425)+(COUNTIF($G$5:$G$979,"="&amp;G425)+1)/2</f>
        <v/>
      </c>
      <c r="N425" s="99">
        <f>COUNTIF($H$5:$H$979,"&lt;"&amp;H425)+(COUNTIF($H$5:$H$979,"="&amp;H425)+1)/2</f>
        <v/>
      </c>
      <c r="O425" s="99">
        <f>COUNTIF($I$5:$I$979,"&lt;"&amp;I425)+(COUNTIF($I$5:$I$979,"="&amp;I425)+1)/2</f>
        <v/>
      </c>
      <c r="P425" s="99">
        <f>COUNTIF($J$5:$J$979,"&lt;"&amp;J425)+(COUNTIF($J$5:$J$979,"="&amp;J425)+1)/2</f>
        <v/>
      </c>
    </row>
    <row r="426" ht="15" customHeight="1" s="68">
      <c r="A426" s="70">
        <f>'01_원자료'!A423</f>
        <v/>
      </c>
      <c r="B426" s="70">
        <f>'01_원자료'!B423</f>
        <v/>
      </c>
      <c r="C426" s="70">
        <f>'01_원자료'!C423</f>
        <v/>
      </c>
      <c r="E426" s="85">
        <f>'01_원자료'!P423*'03_가중치민감도'!$B$5+'01_원자료'!Q423*'03_가중치민감도'!$C$5+'01_원자료'!R423*'03_가중치민감도'!$D$5</f>
        <v/>
      </c>
      <c r="F426" s="85">
        <f>'01_원자료'!P423*'03_가중치민감도'!$B$6+'01_원자료'!Q423*'03_가중치민감도'!$C$6+'01_원자료'!R423*'03_가중치민감도'!$D$6</f>
        <v/>
      </c>
      <c r="G426" s="85">
        <f>'01_원자료'!P423*'03_가중치민감도'!$B$7+'01_원자료'!Q423*'03_가중치민감도'!$C$7+'01_원자료'!R423*'03_가중치민감도'!$D$7</f>
        <v/>
      </c>
      <c r="H426" s="85">
        <f>'01_원자료'!P423*'03_가중치민감도'!$B$8+'01_원자료'!Q423*'03_가중치민감도'!$C$8+'01_원자료'!R423*'03_가중치민감도'!$D$8</f>
        <v/>
      </c>
      <c r="I426" s="85">
        <f>'01_원자료'!P423*'03_가중치민감도'!$B$9+'01_원자료'!Q423*'03_가중치민감도'!$C$9+'01_원자료'!R423*'03_가중치민감도'!$D$9</f>
        <v/>
      </c>
      <c r="J426" s="85">
        <f>'01_원자료'!P423*'03_가중치민감도'!$B$10+'01_원자료'!Q423*'03_가중치민감도'!$C$10+'01_원자료'!R423*'03_가중치민감도'!$D$10</f>
        <v/>
      </c>
      <c r="K426" s="99">
        <f>COUNTIF($E$5:$E$979,"&lt;"&amp;E426)+(COUNTIF($E$5:$E$979,"="&amp;E426)+1)/2</f>
        <v/>
      </c>
      <c r="L426" s="99">
        <f>COUNTIF($F$5:$F$979,"&lt;"&amp;F426)+(COUNTIF($F$5:$F$979,"="&amp;F426)+1)/2</f>
        <v/>
      </c>
      <c r="M426" s="99">
        <f>COUNTIF($G$5:$G$979,"&lt;"&amp;G426)+(COUNTIF($G$5:$G$979,"="&amp;G426)+1)/2</f>
        <v/>
      </c>
      <c r="N426" s="99">
        <f>COUNTIF($H$5:$H$979,"&lt;"&amp;H426)+(COUNTIF($H$5:$H$979,"="&amp;H426)+1)/2</f>
        <v/>
      </c>
      <c r="O426" s="99">
        <f>COUNTIF($I$5:$I$979,"&lt;"&amp;I426)+(COUNTIF($I$5:$I$979,"="&amp;I426)+1)/2</f>
        <v/>
      </c>
      <c r="P426" s="99">
        <f>COUNTIF($J$5:$J$979,"&lt;"&amp;J426)+(COUNTIF($J$5:$J$979,"="&amp;J426)+1)/2</f>
        <v/>
      </c>
    </row>
    <row r="427" ht="15" customHeight="1" s="68">
      <c r="A427" s="70">
        <f>'01_원자료'!A424</f>
        <v/>
      </c>
      <c r="B427" s="70">
        <f>'01_원자료'!B424</f>
        <v/>
      </c>
      <c r="C427" s="70">
        <f>'01_원자료'!C424</f>
        <v/>
      </c>
      <c r="E427" s="85">
        <f>'01_원자료'!P424*'03_가중치민감도'!$B$5+'01_원자료'!Q424*'03_가중치민감도'!$C$5+'01_원자료'!R424*'03_가중치민감도'!$D$5</f>
        <v/>
      </c>
      <c r="F427" s="85">
        <f>'01_원자료'!P424*'03_가중치민감도'!$B$6+'01_원자료'!Q424*'03_가중치민감도'!$C$6+'01_원자료'!R424*'03_가중치민감도'!$D$6</f>
        <v/>
      </c>
      <c r="G427" s="85">
        <f>'01_원자료'!P424*'03_가중치민감도'!$B$7+'01_원자료'!Q424*'03_가중치민감도'!$C$7+'01_원자료'!R424*'03_가중치민감도'!$D$7</f>
        <v/>
      </c>
      <c r="H427" s="85">
        <f>'01_원자료'!P424*'03_가중치민감도'!$B$8+'01_원자료'!Q424*'03_가중치민감도'!$C$8+'01_원자료'!R424*'03_가중치민감도'!$D$8</f>
        <v/>
      </c>
      <c r="I427" s="85">
        <f>'01_원자료'!P424*'03_가중치민감도'!$B$9+'01_원자료'!Q424*'03_가중치민감도'!$C$9+'01_원자료'!R424*'03_가중치민감도'!$D$9</f>
        <v/>
      </c>
      <c r="J427" s="85">
        <f>'01_원자료'!P424*'03_가중치민감도'!$B$10+'01_원자료'!Q424*'03_가중치민감도'!$C$10+'01_원자료'!R424*'03_가중치민감도'!$D$10</f>
        <v/>
      </c>
      <c r="K427" s="99">
        <f>COUNTIF($E$5:$E$979,"&lt;"&amp;E427)+(COUNTIF($E$5:$E$979,"="&amp;E427)+1)/2</f>
        <v/>
      </c>
      <c r="L427" s="99">
        <f>COUNTIF($F$5:$F$979,"&lt;"&amp;F427)+(COUNTIF($F$5:$F$979,"="&amp;F427)+1)/2</f>
        <v/>
      </c>
      <c r="M427" s="99">
        <f>COUNTIF($G$5:$G$979,"&lt;"&amp;G427)+(COUNTIF($G$5:$G$979,"="&amp;G427)+1)/2</f>
        <v/>
      </c>
      <c r="N427" s="99">
        <f>COUNTIF($H$5:$H$979,"&lt;"&amp;H427)+(COUNTIF($H$5:$H$979,"="&amp;H427)+1)/2</f>
        <v/>
      </c>
      <c r="O427" s="99">
        <f>COUNTIF($I$5:$I$979,"&lt;"&amp;I427)+(COUNTIF($I$5:$I$979,"="&amp;I427)+1)/2</f>
        <v/>
      </c>
      <c r="P427" s="99">
        <f>COUNTIF($J$5:$J$979,"&lt;"&amp;J427)+(COUNTIF($J$5:$J$979,"="&amp;J427)+1)/2</f>
        <v/>
      </c>
    </row>
    <row r="428" ht="15" customHeight="1" s="68">
      <c r="A428" s="70">
        <f>'01_원자료'!A425</f>
        <v/>
      </c>
      <c r="B428" s="70">
        <f>'01_원자료'!B425</f>
        <v/>
      </c>
      <c r="C428" s="70">
        <f>'01_원자료'!C425</f>
        <v/>
      </c>
      <c r="E428" s="85">
        <f>'01_원자료'!P425*'03_가중치민감도'!$B$5+'01_원자료'!Q425*'03_가중치민감도'!$C$5+'01_원자료'!R425*'03_가중치민감도'!$D$5</f>
        <v/>
      </c>
      <c r="F428" s="85">
        <f>'01_원자료'!P425*'03_가중치민감도'!$B$6+'01_원자료'!Q425*'03_가중치민감도'!$C$6+'01_원자료'!R425*'03_가중치민감도'!$D$6</f>
        <v/>
      </c>
      <c r="G428" s="85">
        <f>'01_원자료'!P425*'03_가중치민감도'!$B$7+'01_원자료'!Q425*'03_가중치민감도'!$C$7+'01_원자료'!R425*'03_가중치민감도'!$D$7</f>
        <v/>
      </c>
      <c r="H428" s="85">
        <f>'01_원자료'!P425*'03_가중치민감도'!$B$8+'01_원자료'!Q425*'03_가중치민감도'!$C$8+'01_원자료'!R425*'03_가중치민감도'!$D$8</f>
        <v/>
      </c>
      <c r="I428" s="85">
        <f>'01_원자료'!P425*'03_가중치민감도'!$B$9+'01_원자료'!Q425*'03_가중치민감도'!$C$9+'01_원자료'!R425*'03_가중치민감도'!$D$9</f>
        <v/>
      </c>
      <c r="J428" s="85">
        <f>'01_원자료'!P425*'03_가중치민감도'!$B$10+'01_원자료'!Q425*'03_가중치민감도'!$C$10+'01_원자료'!R425*'03_가중치민감도'!$D$10</f>
        <v/>
      </c>
      <c r="K428" s="99">
        <f>COUNTIF($E$5:$E$979,"&lt;"&amp;E428)+(COUNTIF($E$5:$E$979,"="&amp;E428)+1)/2</f>
        <v/>
      </c>
      <c r="L428" s="99">
        <f>COUNTIF($F$5:$F$979,"&lt;"&amp;F428)+(COUNTIF($F$5:$F$979,"="&amp;F428)+1)/2</f>
        <v/>
      </c>
      <c r="M428" s="99">
        <f>COUNTIF($G$5:$G$979,"&lt;"&amp;G428)+(COUNTIF($G$5:$G$979,"="&amp;G428)+1)/2</f>
        <v/>
      </c>
      <c r="N428" s="99">
        <f>COUNTIF($H$5:$H$979,"&lt;"&amp;H428)+(COUNTIF($H$5:$H$979,"="&amp;H428)+1)/2</f>
        <v/>
      </c>
      <c r="O428" s="99">
        <f>COUNTIF($I$5:$I$979,"&lt;"&amp;I428)+(COUNTIF($I$5:$I$979,"="&amp;I428)+1)/2</f>
        <v/>
      </c>
      <c r="P428" s="99">
        <f>COUNTIF($J$5:$J$979,"&lt;"&amp;J428)+(COUNTIF($J$5:$J$979,"="&amp;J428)+1)/2</f>
        <v/>
      </c>
    </row>
    <row r="429" ht="15" customHeight="1" s="68">
      <c r="A429" s="70">
        <f>'01_원자료'!A426</f>
        <v/>
      </c>
      <c r="B429" s="70">
        <f>'01_원자료'!B426</f>
        <v/>
      </c>
      <c r="C429" s="70">
        <f>'01_원자료'!C426</f>
        <v/>
      </c>
      <c r="E429" s="85">
        <f>'01_원자료'!P426*'03_가중치민감도'!$B$5+'01_원자료'!Q426*'03_가중치민감도'!$C$5+'01_원자료'!R426*'03_가중치민감도'!$D$5</f>
        <v/>
      </c>
      <c r="F429" s="85">
        <f>'01_원자료'!P426*'03_가중치민감도'!$B$6+'01_원자료'!Q426*'03_가중치민감도'!$C$6+'01_원자료'!R426*'03_가중치민감도'!$D$6</f>
        <v/>
      </c>
      <c r="G429" s="85">
        <f>'01_원자료'!P426*'03_가중치민감도'!$B$7+'01_원자료'!Q426*'03_가중치민감도'!$C$7+'01_원자료'!R426*'03_가중치민감도'!$D$7</f>
        <v/>
      </c>
      <c r="H429" s="85">
        <f>'01_원자료'!P426*'03_가중치민감도'!$B$8+'01_원자료'!Q426*'03_가중치민감도'!$C$8+'01_원자료'!R426*'03_가중치민감도'!$D$8</f>
        <v/>
      </c>
      <c r="I429" s="85">
        <f>'01_원자료'!P426*'03_가중치민감도'!$B$9+'01_원자료'!Q426*'03_가중치민감도'!$C$9+'01_원자료'!R426*'03_가중치민감도'!$D$9</f>
        <v/>
      </c>
      <c r="J429" s="85">
        <f>'01_원자료'!P426*'03_가중치민감도'!$B$10+'01_원자료'!Q426*'03_가중치민감도'!$C$10+'01_원자료'!R426*'03_가중치민감도'!$D$10</f>
        <v/>
      </c>
      <c r="K429" s="99">
        <f>COUNTIF($E$5:$E$979,"&lt;"&amp;E429)+(COUNTIF($E$5:$E$979,"="&amp;E429)+1)/2</f>
        <v/>
      </c>
      <c r="L429" s="99">
        <f>COUNTIF($F$5:$F$979,"&lt;"&amp;F429)+(COUNTIF($F$5:$F$979,"="&amp;F429)+1)/2</f>
        <v/>
      </c>
      <c r="M429" s="99">
        <f>COUNTIF($G$5:$G$979,"&lt;"&amp;G429)+(COUNTIF($G$5:$G$979,"="&amp;G429)+1)/2</f>
        <v/>
      </c>
      <c r="N429" s="99">
        <f>COUNTIF($H$5:$H$979,"&lt;"&amp;H429)+(COUNTIF($H$5:$H$979,"="&amp;H429)+1)/2</f>
        <v/>
      </c>
      <c r="O429" s="99">
        <f>COUNTIF($I$5:$I$979,"&lt;"&amp;I429)+(COUNTIF($I$5:$I$979,"="&amp;I429)+1)/2</f>
        <v/>
      </c>
      <c r="P429" s="99">
        <f>COUNTIF($J$5:$J$979,"&lt;"&amp;J429)+(COUNTIF($J$5:$J$979,"="&amp;J429)+1)/2</f>
        <v/>
      </c>
    </row>
    <row r="430" ht="15" customHeight="1" s="68">
      <c r="A430" s="70">
        <f>'01_원자료'!A427</f>
        <v/>
      </c>
      <c r="B430" s="70">
        <f>'01_원자료'!B427</f>
        <v/>
      </c>
      <c r="C430" s="70">
        <f>'01_원자료'!C427</f>
        <v/>
      </c>
      <c r="E430" s="85">
        <f>'01_원자료'!P427*'03_가중치민감도'!$B$5+'01_원자료'!Q427*'03_가중치민감도'!$C$5+'01_원자료'!R427*'03_가중치민감도'!$D$5</f>
        <v/>
      </c>
      <c r="F430" s="85">
        <f>'01_원자료'!P427*'03_가중치민감도'!$B$6+'01_원자료'!Q427*'03_가중치민감도'!$C$6+'01_원자료'!R427*'03_가중치민감도'!$D$6</f>
        <v/>
      </c>
      <c r="G430" s="85">
        <f>'01_원자료'!P427*'03_가중치민감도'!$B$7+'01_원자료'!Q427*'03_가중치민감도'!$C$7+'01_원자료'!R427*'03_가중치민감도'!$D$7</f>
        <v/>
      </c>
      <c r="H430" s="85">
        <f>'01_원자료'!P427*'03_가중치민감도'!$B$8+'01_원자료'!Q427*'03_가중치민감도'!$C$8+'01_원자료'!R427*'03_가중치민감도'!$D$8</f>
        <v/>
      </c>
      <c r="I430" s="85">
        <f>'01_원자료'!P427*'03_가중치민감도'!$B$9+'01_원자료'!Q427*'03_가중치민감도'!$C$9+'01_원자료'!R427*'03_가중치민감도'!$D$9</f>
        <v/>
      </c>
      <c r="J430" s="85">
        <f>'01_원자료'!P427*'03_가중치민감도'!$B$10+'01_원자료'!Q427*'03_가중치민감도'!$C$10+'01_원자료'!R427*'03_가중치민감도'!$D$10</f>
        <v/>
      </c>
      <c r="K430" s="99">
        <f>COUNTIF($E$5:$E$979,"&lt;"&amp;E430)+(COUNTIF($E$5:$E$979,"="&amp;E430)+1)/2</f>
        <v/>
      </c>
      <c r="L430" s="99">
        <f>COUNTIF($F$5:$F$979,"&lt;"&amp;F430)+(COUNTIF($F$5:$F$979,"="&amp;F430)+1)/2</f>
        <v/>
      </c>
      <c r="M430" s="99">
        <f>COUNTIF($G$5:$G$979,"&lt;"&amp;G430)+(COUNTIF($G$5:$G$979,"="&amp;G430)+1)/2</f>
        <v/>
      </c>
      <c r="N430" s="99">
        <f>COUNTIF($H$5:$H$979,"&lt;"&amp;H430)+(COUNTIF($H$5:$H$979,"="&amp;H430)+1)/2</f>
        <v/>
      </c>
      <c r="O430" s="99">
        <f>COUNTIF($I$5:$I$979,"&lt;"&amp;I430)+(COUNTIF($I$5:$I$979,"="&amp;I430)+1)/2</f>
        <v/>
      </c>
      <c r="P430" s="99">
        <f>COUNTIF($J$5:$J$979,"&lt;"&amp;J430)+(COUNTIF($J$5:$J$979,"="&amp;J430)+1)/2</f>
        <v/>
      </c>
    </row>
    <row r="431" ht="15" customHeight="1" s="68">
      <c r="A431" s="70">
        <f>'01_원자료'!A428</f>
        <v/>
      </c>
      <c r="B431" s="70">
        <f>'01_원자료'!B428</f>
        <v/>
      </c>
      <c r="C431" s="70">
        <f>'01_원자료'!C428</f>
        <v/>
      </c>
      <c r="E431" s="85">
        <f>'01_원자료'!P428*'03_가중치민감도'!$B$5+'01_원자료'!Q428*'03_가중치민감도'!$C$5+'01_원자료'!R428*'03_가중치민감도'!$D$5</f>
        <v/>
      </c>
      <c r="F431" s="85">
        <f>'01_원자료'!P428*'03_가중치민감도'!$B$6+'01_원자료'!Q428*'03_가중치민감도'!$C$6+'01_원자료'!R428*'03_가중치민감도'!$D$6</f>
        <v/>
      </c>
      <c r="G431" s="85">
        <f>'01_원자료'!P428*'03_가중치민감도'!$B$7+'01_원자료'!Q428*'03_가중치민감도'!$C$7+'01_원자료'!R428*'03_가중치민감도'!$D$7</f>
        <v/>
      </c>
      <c r="H431" s="85">
        <f>'01_원자료'!P428*'03_가중치민감도'!$B$8+'01_원자료'!Q428*'03_가중치민감도'!$C$8+'01_원자료'!R428*'03_가중치민감도'!$D$8</f>
        <v/>
      </c>
      <c r="I431" s="85">
        <f>'01_원자료'!P428*'03_가중치민감도'!$B$9+'01_원자료'!Q428*'03_가중치민감도'!$C$9+'01_원자료'!R428*'03_가중치민감도'!$D$9</f>
        <v/>
      </c>
      <c r="J431" s="85">
        <f>'01_원자료'!P428*'03_가중치민감도'!$B$10+'01_원자료'!Q428*'03_가중치민감도'!$C$10+'01_원자료'!R428*'03_가중치민감도'!$D$10</f>
        <v/>
      </c>
      <c r="K431" s="99">
        <f>COUNTIF($E$5:$E$979,"&lt;"&amp;E431)+(COUNTIF($E$5:$E$979,"="&amp;E431)+1)/2</f>
        <v/>
      </c>
      <c r="L431" s="99">
        <f>COUNTIF($F$5:$F$979,"&lt;"&amp;F431)+(COUNTIF($F$5:$F$979,"="&amp;F431)+1)/2</f>
        <v/>
      </c>
      <c r="M431" s="99">
        <f>COUNTIF($G$5:$G$979,"&lt;"&amp;G431)+(COUNTIF($G$5:$G$979,"="&amp;G431)+1)/2</f>
        <v/>
      </c>
      <c r="N431" s="99">
        <f>COUNTIF($H$5:$H$979,"&lt;"&amp;H431)+(COUNTIF($H$5:$H$979,"="&amp;H431)+1)/2</f>
        <v/>
      </c>
      <c r="O431" s="99">
        <f>COUNTIF($I$5:$I$979,"&lt;"&amp;I431)+(COUNTIF($I$5:$I$979,"="&amp;I431)+1)/2</f>
        <v/>
      </c>
      <c r="P431" s="99">
        <f>COUNTIF($J$5:$J$979,"&lt;"&amp;J431)+(COUNTIF($J$5:$J$979,"="&amp;J431)+1)/2</f>
        <v/>
      </c>
    </row>
    <row r="432" ht="15" customHeight="1" s="68">
      <c r="A432" s="70">
        <f>'01_원자료'!A429</f>
        <v/>
      </c>
      <c r="B432" s="70">
        <f>'01_원자료'!B429</f>
        <v/>
      </c>
      <c r="C432" s="70">
        <f>'01_원자료'!C429</f>
        <v/>
      </c>
      <c r="E432" s="85">
        <f>'01_원자료'!P429*'03_가중치민감도'!$B$5+'01_원자료'!Q429*'03_가중치민감도'!$C$5+'01_원자료'!R429*'03_가중치민감도'!$D$5</f>
        <v/>
      </c>
      <c r="F432" s="85">
        <f>'01_원자료'!P429*'03_가중치민감도'!$B$6+'01_원자료'!Q429*'03_가중치민감도'!$C$6+'01_원자료'!R429*'03_가중치민감도'!$D$6</f>
        <v/>
      </c>
      <c r="G432" s="85">
        <f>'01_원자료'!P429*'03_가중치민감도'!$B$7+'01_원자료'!Q429*'03_가중치민감도'!$C$7+'01_원자료'!R429*'03_가중치민감도'!$D$7</f>
        <v/>
      </c>
      <c r="H432" s="85">
        <f>'01_원자료'!P429*'03_가중치민감도'!$B$8+'01_원자료'!Q429*'03_가중치민감도'!$C$8+'01_원자료'!R429*'03_가중치민감도'!$D$8</f>
        <v/>
      </c>
      <c r="I432" s="85">
        <f>'01_원자료'!P429*'03_가중치민감도'!$B$9+'01_원자료'!Q429*'03_가중치민감도'!$C$9+'01_원자료'!R429*'03_가중치민감도'!$D$9</f>
        <v/>
      </c>
      <c r="J432" s="85">
        <f>'01_원자료'!P429*'03_가중치민감도'!$B$10+'01_원자료'!Q429*'03_가중치민감도'!$C$10+'01_원자료'!R429*'03_가중치민감도'!$D$10</f>
        <v/>
      </c>
      <c r="K432" s="99">
        <f>COUNTIF($E$5:$E$979,"&lt;"&amp;E432)+(COUNTIF($E$5:$E$979,"="&amp;E432)+1)/2</f>
        <v/>
      </c>
      <c r="L432" s="99">
        <f>COUNTIF($F$5:$F$979,"&lt;"&amp;F432)+(COUNTIF($F$5:$F$979,"="&amp;F432)+1)/2</f>
        <v/>
      </c>
      <c r="M432" s="99">
        <f>COUNTIF($G$5:$G$979,"&lt;"&amp;G432)+(COUNTIF($G$5:$G$979,"="&amp;G432)+1)/2</f>
        <v/>
      </c>
      <c r="N432" s="99">
        <f>COUNTIF($H$5:$H$979,"&lt;"&amp;H432)+(COUNTIF($H$5:$H$979,"="&amp;H432)+1)/2</f>
        <v/>
      </c>
      <c r="O432" s="99">
        <f>COUNTIF($I$5:$I$979,"&lt;"&amp;I432)+(COUNTIF($I$5:$I$979,"="&amp;I432)+1)/2</f>
        <v/>
      </c>
      <c r="P432" s="99">
        <f>COUNTIF($J$5:$J$979,"&lt;"&amp;J432)+(COUNTIF($J$5:$J$979,"="&amp;J432)+1)/2</f>
        <v/>
      </c>
    </row>
    <row r="433" ht="15" customHeight="1" s="68">
      <c r="A433" s="70">
        <f>'01_원자료'!A430</f>
        <v/>
      </c>
      <c r="B433" s="70">
        <f>'01_원자료'!B430</f>
        <v/>
      </c>
      <c r="C433" s="70">
        <f>'01_원자료'!C430</f>
        <v/>
      </c>
      <c r="E433" s="85">
        <f>'01_원자료'!P430*'03_가중치민감도'!$B$5+'01_원자료'!Q430*'03_가중치민감도'!$C$5+'01_원자료'!R430*'03_가중치민감도'!$D$5</f>
        <v/>
      </c>
      <c r="F433" s="85">
        <f>'01_원자료'!P430*'03_가중치민감도'!$B$6+'01_원자료'!Q430*'03_가중치민감도'!$C$6+'01_원자료'!R430*'03_가중치민감도'!$D$6</f>
        <v/>
      </c>
      <c r="G433" s="85">
        <f>'01_원자료'!P430*'03_가중치민감도'!$B$7+'01_원자료'!Q430*'03_가중치민감도'!$C$7+'01_원자료'!R430*'03_가중치민감도'!$D$7</f>
        <v/>
      </c>
      <c r="H433" s="85">
        <f>'01_원자료'!P430*'03_가중치민감도'!$B$8+'01_원자료'!Q430*'03_가중치민감도'!$C$8+'01_원자료'!R430*'03_가중치민감도'!$D$8</f>
        <v/>
      </c>
      <c r="I433" s="85">
        <f>'01_원자료'!P430*'03_가중치민감도'!$B$9+'01_원자료'!Q430*'03_가중치민감도'!$C$9+'01_원자료'!R430*'03_가중치민감도'!$D$9</f>
        <v/>
      </c>
      <c r="J433" s="85">
        <f>'01_원자료'!P430*'03_가중치민감도'!$B$10+'01_원자료'!Q430*'03_가중치민감도'!$C$10+'01_원자료'!R430*'03_가중치민감도'!$D$10</f>
        <v/>
      </c>
      <c r="K433" s="99">
        <f>COUNTIF($E$5:$E$979,"&lt;"&amp;E433)+(COUNTIF($E$5:$E$979,"="&amp;E433)+1)/2</f>
        <v/>
      </c>
      <c r="L433" s="99">
        <f>COUNTIF($F$5:$F$979,"&lt;"&amp;F433)+(COUNTIF($F$5:$F$979,"="&amp;F433)+1)/2</f>
        <v/>
      </c>
      <c r="M433" s="99">
        <f>COUNTIF($G$5:$G$979,"&lt;"&amp;G433)+(COUNTIF($G$5:$G$979,"="&amp;G433)+1)/2</f>
        <v/>
      </c>
      <c r="N433" s="99">
        <f>COUNTIF($H$5:$H$979,"&lt;"&amp;H433)+(COUNTIF($H$5:$H$979,"="&amp;H433)+1)/2</f>
        <v/>
      </c>
      <c r="O433" s="99">
        <f>COUNTIF($I$5:$I$979,"&lt;"&amp;I433)+(COUNTIF($I$5:$I$979,"="&amp;I433)+1)/2</f>
        <v/>
      </c>
      <c r="P433" s="99">
        <f>COUNTIF($J$5:$J$979,"&lt;"&amp;J433)+(COUNTIF($J$5:$J$979,"="&amp;J433)+1)/2</f>
        <v/>
      </c>
    </row>
    <row r="434" ht="15" customHeight="1" s="68">
      <c r="A434" s="70">
        <f>'01_원자료'!A431</f>
        <v/>
      </c>
      <c r="B434" s="70">
        <f>'01_원자료'!B431</f>
        <v/>
      </c>
      <c r="C434" s="70">
        <f>'01_원자료'!C431</f>
        <v/>
      </c>
      <c r="E434" s="85">
        <f>'01_원자료'!P431*'03_가중치민감도'!$B$5+'01_원자료'!Q431*'03_가중치민감도'!$C$5+'01_원자료'!R431*'03_가중치민감도'!$D$5</f>
        <v/>
      </c>
      <c r="F434" s="85">
        <f>'01_원자료'!P431*'03_가중치민감도'!$B$6+'01_원자료'!Q431*'03_가중치민감도'!$C$6+'01_원자료'!R431*'03_가중치민감도'!$D$6</f>
        <v/>
      </c>
      <c r="G434" s="85">
        <f>'01_원자료'!P431*'03_가중치민감도'!$B$7+'01_원자료'!Q431*'03_가중치민감도'!$C$7+'01_원자료'!R431*'03_가중치민감도'!$D$7</f>
        <v/>
      </c>
      <c r="H434" s="85">
        <f>'01_원자료'!P431*'03_가중치민감도'!$B$8+'01_원자료'!Q431*'03_가중치민감도'!$C$8+'01_원자료'!R431*'03_가중치민감도'!$D$8</f>
        <v/>
      </c>
      <c r="I434" s="85">
        <f>'01_원자료'!P431*'03_가중치민감도'!$B$9+'01_원자료'!Q431*'03_가중치민감도'!$C$9+'01_원자료'!R431*'03_가중치민감도'!$D$9</f>
        <v/>
      </c>
      <c r="J434" s="85">
        <f>'01_원자료'!P431*'03_가중치민감도'!$B$10+'01_원자료'!Q431*'03_가중치민감도'!$C$10+'01_원자료'!R431*'03_가중치민감도'!$D$10</f>
        <v/>
      </c>
      <c r="K434" s="99">
        <f>COUNTIF($E$5:$E$979,"&lt;"&amp;E434)+(COUNTIF($E$5:$E$979,"="&amp;E434)+1)/2</f>
        <v/>
      </c>
      <c r="L434" s="99">
        <f>COUNTIF($F$5:$F$979,"&lt;"&amp;F434)+(COUNTIF($F$5:$F$979,"="&amp;F434)+1)/2</f>
        <v/>
      </c>
      <c r="M434" s="99">
        <f>COUNTIF($G$5:$G$979,"&lt;"&amp;G434)+(COUNTIF($G$5:$G$979,"="&amp;G434)+1)/2</f>
        <v/>
      </c>
      <c r="N434" s="99">
        <f>COUNTIF($H$5:$H$979,"&lt;"&amp;H434)+(COUNTIF($H$5:$H$979,"="&amp;H434)+1)/2</f>
        <v/>
      </c>
      <c r="O434" s="99">
        <f>COUNTIF($I$5:$I$979,"&lt;"&amp;I434)+(COUNTIF($I$5:$I$979,"="&amp;I434)+1)/2</f>
        <v/>
      </c>
      <c r="P434" s="99">
        <f>COUNTIF($J$5:$J$979,"&lt;"&amp;J434)+(COUNTIF($J$5:$J$979,"="&amp;J434)+1)/2</f>
        <v/>
      </c>
    </row>
    <row r="435" ht="15" customHeight="1" s="68">
      <c r="A435" s="70">
        <f>'01_원자료'!A432</f>
        <v/>
      </c>
      <c r="B435" s="70">
        <f>'01_원자료'!B432</f>
        <v/>
      </c>
      <c r="C435" s="70">
        <f>'01_원자료'!C432</f>
        <v/>
      </c>
      <c r="E435" s="85">
        <f>'01_원자료'!P432*'03_가중치민감도'!$B$5+'01_원자료'!Q432*'03_가중치민감도'!$C$5+'01_원자료'!R432*'03_가중치민감도'!$D$5</f>
        <v/>
      </c>
      <c r="F435" s="85">
        <f>'01_원자료'!P432*'03_가중치민감도'!$B$6+'01_원자료'!Q432*'03_가중치민감도'!$C$6+'01_원자료'!R432*'03_가중치민감도'!$D$6</f>
        <v/>
      </c>
      <c r="G435" s="85">
        <f>'01_원자료'!P432*'03_가중치민감도'!$B$7+'01_원자료'!Q432*'03_가중치민감도'!$C$7+'01_원자료'!R432*'03_가중치민감도'!$D$7</f>
        <v/>
      </c>
      <c r="H435" s="85">
        <f>'01_원자료'!P432*'03_가중치민감도'!$B$8+'01_원자료'!Q432*'03_가중치민감도'!$C$8+'01_원자료'!R432*'03_가중치민감도'!$D$8</f>
        <v/>
      </c>
      <c r="I435" s="85">
        <f>'01_원자료'!P432*'03_가중치민감도'!$B$9+'01_원자료'!Q432*'03_가중치민감도'!$C$9+'01_원자료'!R432*'03_가중치민감도'!$D$9</f>
        <v/>
      </c>
      <c r="J435" s="85">
        <f>'01_원자료'!P432*'03_가중치민감도'!$B$10+'01_원자료'!Q432*'03_가중치민감도'!$C$10+'01_원자료'!R432*'03_가중치민감도'!$D$10</f>
        <v/>
      </c>
      <c r="K435" s="99">
        <f>COUNTIF($E$5:$E$979,"&lt;"&amp;E435)+(COUNTIF($E$5:$E$979,"="&amp;E435)+1)/2</f>
        <v/>
      </c>
      <c r="L435" s="99">
        <f>COUNTIF($F$5:$F$979,"&lt;"&amp;F435)+(COUNTIF($F$5:$F$979,"="&amp;F435)+1)/2</f>
        <v/>
      </c>
      <c r="M435" s="99">
        <f>COUNTIF($G$5:$G$979,"&lt;"&amp;G435)+(COUNTIF($G$5:$G$979,"="&amp;G435)+1)/2</f>
        <v/>
      </c>
      <c r="N435" s="99">
        <f>COUNTIF($H$5:$H$979,"&lt;"&amp;H435)+(COUNTIF($H$5:$H$979,"="&amp;H435)+1)/2</f>
        <v/>
      </c>
      <c r="O435" s="99">
        <f>COUNTIF($I$5:$I$979,"&lt;"&amp;I435)+(COUNTIF($I$5:$I$979,"="&amp;I435)+1)/2</f>
        <v/>
      </c>
      <c r="P435" s="99">
        <f>COUNTIF($J$5:$J$979,"&lt;"&amp;J435)+(COUNTIF($J$5:$J$979,"="&amp;J435)+1)/2</f>
        <v/>
      </c>
    </row>
    <row r="436" ht="15" customHeight="1" s="68">
      <c r="A436" s="70">
        <f>'01_원자료'!A433</f>
        <v/>
      </c>
      <c r="B436" s="70">
        <f>'01_원자료'!B433</f>
        <v/>
      </c>
      <c r="C436" s="70">
        <f>'01_원자료'!C433</f>
        <v/>
      </c>
      <c r="E436" s="85">
        <f>'01_원자료'!P433*'03_가중치민감도'!$B$5+'01_원자료'!Q433*'03_가중치민감도'!$C$5+'01_원자료'!R433*'03_가중치민감도'!$D$5</f>
        <v/>
      </c>
      <c r="F436" s="85">
        <f>'01_원자료'!P433*'03_가중치민감도'!$B$6+'01_원자료'!Q433*'03_가중치민감도'!$C$6+'01_원자료'!R433*'03_가중치민감도'!$D$6</f>
        <v/>
      </c>
      <c r="G436" s="85">
        <f>'01_원자료'!P433*'03_가중치민감도'!$B$7+'01_원자료'!Q433*'03_가중치민감도'!$C$7+'01_원자료'!R433*'03_가중치민감도'!$D$7</f>
        <v/>
      </c>
      <c r="H436" s="85">
        <f>'01_원자료'!P433*'03_가중치민감도'!$B$8+'01_원자료'!Q433*'03_가중치민감도'!$C$8+'01_원자료'!R433*'03_가중치민감도'!$D$8</f>
        <v/>
      </c>
      <c r="I436" s="85">
        <f>'01_원자료'!P433*'03_가중치민감도'!$B$9+'01_원자료'!Q433*'03_가중치민감도'!$C$9+'01_원자료'!R433*'03_가중치민감도'!$D$9</f>
        <v/>
      </c>
      <c r="J436" s="85">
        <f>'01_원자료'!P433*'03_가중치민감도'!$B$10+'01_원자료'!Q433*'03_가중치민감도'!$C$10+'01_원자료'!R433*'03_가중치민감도'!$D$10</f>
        <v/>
      </c>
      <c r="K436" s="99">
        <f>COUNTIF($E$5:$E$979,"&lt;"&amp;E436)+(COUNTIF($E$5:$E$979,"="&amp;E436)+1)/2</f>
        <v/>
      </c>
      <c r="L436" s="99">
        <f>COUNTIF($F$5:$F$979,"&lt;"&amp;F436)+(COUNTIF($F$5:$F$979,"="&amp;F436)+1)/2</f>
        <v/>
      </c>
      <c r="M436" s="99">
        <f>COUNTIF($G$5:$G$979,"&lt;"&amp;G436)+(COUNTIF($G$5:$G$979,"="&amp;G436)+1)/2</f>
        <v/>
      </c>
      <c r="N436" s="99">
        <f>COUNTIF($H$5:$H$979,"&lt;"&amp;H436)+(COUNTIF($H$5:$H$979,"="&amp;H436)+1)/2</f>
        <v/>
      </c>
      <c r="O436" s="99">
        <f>COUNTIF($I$5:$I$979,"&lt;"&amp;I436)+(COUNTIF($I$5:$I$979,"="&amp;I436)+1)/2</f>
        <v/>
      </c>
      <c r="P436" s="99">
        <f>COUNTIF($J$5:$J$979,"&lt;"&amp;J436)+(COUNTIF($J$5:$J$979,"="&amp;J436)+1)/2</f>
        <v/>
      </c>
    </row>
    <row r="437" ht="15" customHeight="1" s="68">
      <c r="A437" s="70">
        <f>'01_원자료'!A434</f>
        <v/>
      </c>
      <c r="B437" s="70">
        <f>'01_원자료'!B434</f>
        <v/>
      </c>
      <c r="C437" s="70">
        <f>'01_원자료'!C434</f>
        <v/>
      </c>
      <c r="E437" s="85">
        <f>'01_원자료'!P434*'03_가중치민감도'!$B$5+'01_원자료'!Q434*'03_가중치민감도'!$C$5+'01_원자료'!R434*'03_가중치민감도'!$D$5</f>
        <v/>
      </c>
      <c r="F437" s="85">
        <f>'01_원자료'!P434*'03_가중치민감도'!$B$6+'01_원자료'!Q434*'03_가중치민감도'!$C$6+'01_원자료'!R434*'03_가중치민감도'!$D$6</f>
        <v/>
      </c>
      <c r="G437" s="85">
        <f>'01_원자료'!P434*'03_가중치민감도'!$B$7+'01_원자료'!Q434*'03_가중치민감도'!$C$7+'01_원자료'!R434*'03_가중치민감도'!$D$7</f>
        <v/>
      </c>
      <c r="H437" s="85">
        <f>'01_원자료'!P434*'03_가중치민감도'!$B$8+'01_원자료'!Q434*'03_가중치민감도'!$C$8+'01_원자료'!R434*'03_가중치민감도'!$D$8</f>
        <v/>
      </c>
      <c r="I437" s="85">
        <f>'01_원자료'!P434*'03_가중치민감도'!$B$9+'01_원자료'!Q434*'03_가중치민감도'!$C$9+'01_원자료'!R434*'03_가중치민감도'!$D$9</f>
        <v/>
      </c>
      <c r="J437" s="85">
        <f>'01_원자료'!P434*'03_가중치민감도'!$B$10+'01_원자료'!Q434*'03_가중치민감도'!$C$10+'01_원자료'!R434*'03_가중치민감도'!$D$10</f>
        <v/>
      </c>
      <c r="K437" s="99">
        <f>COUNTIF($E$5:$E$979,"&lt;"&amp;E437)+(COUNTIF($E$5:$E$979,"="&amp;E437)+1)/2</f>
        <v/>
      </c>
      <c r="L437" s="99">
        <f>COUNTIF($F$5:$F$979,"&lt;"&amp;F437)+(COUNTIF($F$5:$F$979,"="&amp;F437)+1)/2</f>
        <v/>
      </c>
      <c r="M437" s="99">
        <f>COUNTIF($G$5:$G$979,"&lt;"&amp;G437)+(COUNTIF($G$5:$G$979,"="&amp;G437)+1)/2</f>
        <v/>
      </c>
      <c r="N437" s="99">
        <f>COUNTIF($H$5:$H$979,"&lt;"&amp;H437)+(COUNTIF($H$5:$H$979,"="&amp;H437)+1)/2</f>
        <v/>
      </c>
      <c r="O437" s="99">
        <f>COUNTIF($I$5:$I$979,"&lt;"&amp;I437)+(COUNTIF($I$5:$I$979,"="&amp;I437)+1)/2</f>
        <v/>
      </c>
      <c r="P437" s="99">
        <f>COUNTIF($J$5:$J$979,"&lt;"&amp;J437)+(COUNTIF($J$5:$J$979,"="&amp;J437)+1)/2</f>
        <v/>
      </c>
    </row>
    <row r="438" ht="15" customHeight="1" s="68">
      <c r="A438" s="70">
        <f>'01_원자료'!A435</f>
        <v/>
      </c>
      <c r="B438" s="70">
        <f>'01_원자료'!B435</f>
        <v/>
      </c>
      <c r="C438" s="70">
        <f>'01_원자료'!C435</f>
        <v/>
      </c>
      <c r="E438" s="85">
        <f>'01_원자료'!P435*'03_가중치민감도'!$B$5+'01_원자료'!Q435*'03_가중치민감도'!$C$5+'01_원자료'!R435*'03_가중치민감도'!$D$5</f>
        <v/>
      </c>
      <c r="F438" s="85">
        <f>'01_원자료'!P435*'03_가중치민감도'!$B$6+'01_원자료'!Q435*'03_가중치민감도'!$C$6+'01_원자료'!R435*'03_가중치민감도'!$D$6</f>
        <v/>
      </c>
      <c r="G438" s="85">
        <f>'01_원자료'!P435*'03_가중치민감도'!$B$7+'01_원자료'!Q435*'03_가중치민감도'!$C$7+'01_원자료'!R435*'03_가중치민감도'!$D$7</f>
        <v/>
      </c>
      <c r="H438" s="85">
        <f>'01_원자료'!P435*'03_가중치민감도'!$B$8+'01_원자료'!Q435*'03_가중치민감도'!$C$8+'01_원자료'!R435*'03_가중치민감도'!$D$8</f>
        <v/>
      </c>
      <c r="I438" s="85">
        <f>'01_원자료'!P435*'03_가중치민감도'!$B$9+'01_원자료'!Q435*'03_가중치민감도'!$C$9+'01_원자료'!R435*'03_가중치민감도'!$D$9</f>
        <v/>
      </c>
      <c r="J438" s="85">
        <f>'01_원자료'!P435*'03_가중치민감도'!$B$10+'01_원자료'!Q435*'03_가중치민감도'!$C$10+'01_원자료'!R435*'03_가중치민감도'!$D$10</f>
        <v/>
      </c>
      <c r="K438" s="99">
        <f>COUNTIF($E$5:$E$979,"&lt;"&amp;E438)+(COUNTIF($E$5:$E$979,"="&amp;E438)+1)/2</f>
        <v/>
      </c>
      <c r="L438" s="99">
        <f>COUNTIF($F$5:$F$979,"&lt;"&amp;F438)+(COUNTIF($F$5:$F$979,"="&amp;F438)+1)/2</f>
        <v/>
      </c>
      <c r="M438" s="99">
        <f>COUNTIF($G$5:$G$979,"&lt;"&amp;G438)+(COUNTIF($G$5:$G$979,"="&amp;G438)+1)/2</f>
        <v/>
      </c>
      <c r="N438" s="99">
        <f>COUNTIF($H$5:$H$979,"&lt;"&amp;H438)+(COUNTIF($H$5:$H$979,"="&amp;H438)+1)/2</f>
        <v/>
      </c>
      <c r="O438" s="99">
        <f>COUNTIF($I$5:$I$979,"&lt;"&amp;I438)+(COUNTIF($I$5:$I$979,"="&amp;I438)+1)/2</f>
        <v/>
      </c>
      <c r="P438" s="99">
        <f>COUNTIF($J$5:$J$979,"&lt;"&amp;J438)+(COUNTIF($J$5:$J$979,"="&amp;J438)+1)/2</f>
        <v/>
      </c>
    </row>
    <row r="439" ht="15" customHeight="1" s="68">
      <c r="A439" s="70">
        <f>'01_원자료'!A436</f>
        <v/>
      </c>
      <c r="B439" s="70">
        <f>'01_원자료'!B436</f>
        <v/>
      </c>
      <c r="C439" s="70">
        <f>'01_원자료'!C436</f>
        <v/>
      </c>
      <c r="E439" s="85">
        <f>'01_원자료'!P436*'03_가중치민감도'!$B$5+'01_원자료'!Q436*'03_가중치민감도'!$C$5+'01_원자료'!R436*'03_가중치민감도'!$D$5</f>
        <v/>
      </c>
      <c r="F439" s="85">
        <f>'01_원자료'!P436*'03_가중치민감도'!$B$6+'01_원자료'!Q436*'03_가중치민감도'!$C$6+'01_원자료'!R436*'03_가중치민감도'!$D$6</f>
        <v/>
      </c>
      <c r="G439" s="85">
        <f>'01_원자료'!P436*'03_가중치민감도'!$B$7+'01_원자료'!Q436*'03_가중치민감도'!$C$7+'01_원자료'!R436*'03_가중치민감도'!$D$7</f>
        <v/>
      </c>
      <c r="H439" s="85">
        <f>'01_원자료'!P436*'03_가중치민감도'!$B$8+'01_원자료'!Q436*'03_가중치민감도'!$C$8+'01_원자료'!R436*'03_가중치민감도'!$D$8</f>
        <v/>
      </c>
      <c r="I439" s="85">
        <f>'01_원자료'!P436*'03_가중치민감도'!$B$9+'01_원자료'!Q436*'03_가중치민감도'!$C$9+'01_원자료'!R436*'03_가중치민감도'!$D$9</f>
        <v/>
      </c>
      <c r="J439" s="85">
        <f>'01_원자료'!P436*'03_가중치민감도'!$B$10+'01_원자료'!Q436*'03_가중치민감도'!$C$10+'01_원자료'!R436*'03_가중치민감도'!$D$10</f>
        <v/>
      </c>
      <c r="K439" s="99">
        <f>COUNTIF($E$5:$E$979,"&lt;"&amp;E439)+(COUNTIF($E$5:$E$979,"="&amp;E439)+1)/2</f>
        <v/>
      </c>
      <c r="L439" s="99">
        <f>COUNTIF($F$5:$F$979,"&lt;"&amp;F439)+(COUNTIF($F$5:$F$979,"="&amp;F439)+1)/2</f>
        <v/>
      </c>
      <c r="M439" s="99">
        <f>COUNTIF($G$5:$G$979,"&lt;"&amp;G439)+(COUNTIF($G$5:$G$979,"="&amp;G439)+1)/2</f>
        <v/>
      </c>
      <c r="N439" s="99">
        <f>COUNTIF($H$5:$H$979,"&lt;"&amp;H439)+(COUNTIF($H$5:$H$979,"="&amp;H439)+1)/2</f>
        <v/>
      </c>
      <c r="O439" s="99">
        <f>COUNTIF($I$5:$I$979,"&lt;"&amp;I439)+(COUNTIF($I$5:$I$979,"="&amp;I439)+1)/2</f>
        <v/>
      </c>
      <c r="P439" s="99">
        <f>COUNTIF($J$5:$J$979,"&lt;"&amp;J439)+(COUNTIF($J$5:$J$979,"="&amp;J439)+1)/2</f>
        <v/>
      </c>
    </row>
    <row r="440" ht="15" customHeight="1" s="68">
      <c r="A440" s="70">
        <f>'01_원자료'!A437</f>
        <v/>
      </c>
      <c r="B440" s="70">
        <f>'01_원자료'!B437</f>
        <v/>
      </c>
      <c r="C440" s="70">
        <f>'01_원자료'!C437</f>
        <v/>
      </c>
      <c r="E440" s="85">
        <f>'01_원자료'!P437*'03_가중치민감도'!$B$5+'01_원자료'!Q437*'03_가중치민감도'!$C$5+'01_원자료'!R437*'03_가중치민감도'!$D$5</f>
        <v/>
      </c>
      <c r="F440" s="85">
        <f>'01_원자료'!P437*'03_가중치민감도'!$B$6+'01_원자료'!Q437*'03_가중치민감도'!$C$6+'01_원자료'!R437*'03_가중치민감도'!$D$6</f>
        <v/>
      </c>
      <c r="G440" s="85">
        <f>'01_원자료'!P437*'03_가중치민감도'!$B$7+'01_원자료'!Q437*'03_가중치민감도'!$C$7+'01_원자료'!R437*'03_가중치민감도'!$D$7</f>
        <v/>
      </c>
      <c r="H440" s="85">
        <f>'01_원자료'!P437*'03_가중치민감도'!$B$8+'01_원자료'!Q437*'03_가중치민감도'!$C$8+'01_원자료'!R437*'03_가중치민감도'!$D$8</f>
        <v/>
      </c>
      <c r="I440" s="85">
        <f>'01_원자료'!P437*'03_가중치민감도'!$B$9+'01_원자료'!Q437*'03_가중치민감도'!$C$9+'01_원자료'!R437*'03_가중치민감도'!$D$9</f>
        <v/>
      </c>
      <c r="J440" s="85">
        <f>'01_원자료'!P437*'03_가중치민감도'!$B$10+'01_원자료'!Q437*'03_가중치민감도'!$C$10+'01_원자료'!R437*'03_가중치민감도'!$D$10</f>
        <v/>
      </c>
      <c r="K440" s="99">
        <f>COUNTIF($E$5:$E$979,"&lt;"&amp;E440)+(COUNTIF($E$5:$E$979,"="&amp;E440)+1)/2</f>
        <v/>
      </c>
      <c r="L440" s="99">
        <f>COUNTIF($F$5:$F$979,"&lt;"&amp;F440)+(COUNTIF($F$5:$F$979,"="&amp;F440)+1)/2</f>
        <v/>
      </c>
      <c r="M440" s="99">
        <f>COUNTIF($G$5:$G$979,"&lt;"&amp;G440)+(COUNTIF($G$5:$G$979,"="&amp;G440)+1)/2</f>
        <v/>
      </c>
      <c r="N440" s="99">
        <f>COUNTIF($H$5:$H$979,"&lt;"&amp;H440)+(COUNTIF($H$5:$H$979,"="&amp;H440)+1)/2</f>
        <v/>
      </c>
      <c r="O440" s="99">
        <f>COUNTIF($I$5:$I$979,"&lt;"&amp;I440)+(COUNTIF($I$5:$I$979,"="&amp;I440)+1)/2</f>
        <v/>
      </c>
      <c r="P440" s="99">
        <f>COUNTIF($J$5:$J$979,"&lt;"&amp;J440)+(COUNTIF($J$5:$J$979,"="&amp;J440)+1)/2</f>
        <v/>
      </c>
    </row>
    <row r="441" ht="15" customHeight="1" s="68">
      <c r="A441" s="70">
        <f>'01_원자료'!A438</f>
        <v/>
      </c>
      <c r="B441" s="70">
        <f>'01_원자료'!B438</f>
        <v/>
      </c>
      <c r="C441" s="70">
        <f>'01_원자료'!C438</f>
        <v/>
      </c>
      <c r="E441" s="85">
        <f>'01_원자료'!P438*'03_가중치민감도'!$B$5+'01_원자료'!Q438*'03_가중치민감도'!$C$5+'01_원자료'!R438*'03_가중치민감도'!$D$5</f>
        <v/>
      </c>
      <c r="F441" s="85">
        <f>'01_원자료'!P438*'03_가중치민감도'!$B$6+'01_원자료'!Q438*'03_가중치민감도'!$C$6+'01_원자료'!R438*'03_가중치민감도'!$D$6</f>
        <v/>
      </c>
      <c r="G441" s="85">
        <f>'01_원자료'!P438*'03_가중치민감도'!$B$7+'01_원자료'!Q438*'03_가중치민감도'!$C$7+'01_원자료'!R438*'03_가중치민감도'!$D$7</f>
        <v/>
      </c>
      <c r="H441" s="85">
        <f>'01_원자료'!P438*'03_가중치민감도'!$B$8+'01_원자료'!Q438*'03_가중치민감도'!$C$8+'01_원자료'!R438*'03_가중치민감도'!$D$8</f>
        <v/>
      </c>
      <c r="I441" s="85">
        <f>'01_원자료'!P438*'03_가중치민감도'!$B$9+'01_원자료'!Q438*'03_가중치민감도'!$C$9+'01_원자료'!R438*'03_가중치민감도'!$D$9</f>
        <v/>
      </c>
      <c r="J441" s="85">
        <f>'01_원자료'!P438*'03_가중치민감도'!$B$10+'01_원자료'!Q438*'03_가중치민감도'!$C$10+'01_원자료'!R438*'03_가중치민감도'!$D$10</f>
        <v/>
      </c>
      <c r="K441" s="99">
        <f>COUNTIF($E$5:$E$979,"&lt;"&amp;E441)+(COUNTIF($E$5:$E$979,"="&amp;E441)+1)/2</f>
        <v/>
      </c>
      <c r="L441" s="99">
        <f>COUNTIF($F$5:$F$979,"&lt;"&amp;F441)+(COUNTIF($F$5:$F$979,"="&amp;F441)+1)/2</f>
        <v/>
      </c>
      <c r="M441" s="99">
        <f>COUNTIF($G$5:$G$979,"&lt;"&amp;G441)+(COUNTIF($G$5:$G$979,"="&amp;G441)+1)/2</f>
        <v/>
      </c>
      <c r="N441" s="99">
        <f>COUNTIF($H$5:$H$979,"&lt;"&amp;H441)+(COUNTIF($H$5:$H$979,"="&amp;H441)+1)/2</f>
        <v/>
      </c>
      <c r="O441" s="99">
        <f>COUNTIF($I$5:$I$979,"&lt;"&amp;I441)+(COUNTIF($I$5:$I$979,"="&amp;I441)+1)/2</f>
        <v/>
      </c>
      <c r="P441" s="99">
        <f>COUNTIF($J$5:$J$979,"&lt;"&amp;J441)+(COUNTIF($J$5:$J$979,"="&amp;J441)+1)/2</f>
        <v/>
      </c>
    </row>
    <row r="442" ht="15" customHeight="1" s="68">
      <c r="A442" s="70">
        <f>'01_원자료'!A439</f>
        <v/>
      </c>
      <c r="B442" s="70">
        <f>'01_원자료'!B439</f>
        <v/>
      </c>
      <c r="C442" s="70">
        <f>'01_원자료'!C439</f>
        <v/>
      </c>
      <c r="E442" s="85">
        <f>'01_원자료'!P439*'03_가중치민감도'!$B$5+'01_원자료'!Q439*'03_가중치민감도'!$C$5+'01_원자료'!R439*'03_가중치민감도'!$D$5</f>
        <v/>
      </c>
      <c r="F442" s="85">
        <f>'01_원자료'!P439*'03_가중치민감도'!$B$6+'01_원자료'!Q439*'03_가중치민감도'!$C$6+'01_원자료'!R439*'03_가중치민감도'!$D$6</f>
        <v/>
      </c>
      <c r="G442" s="85">
        <f>'01_원자료'!P439*'03_가중치민감도'!$B$7+'01_원자료'!Q439*'03_가중치민감도'!$C$7+'01_원자료'!R439*'03_가중치민감도'!$D$7</f>
        <v/>
      </c>
      <c r="H442" s="85">
        <f>'01_원자료'!P439*'03_가중치민감도'!$B$8+'01_원자료'!Q439*'03_가중치민감도'!$C$8+'01_원자료'!R439*'03_가중치민감도'!$D$8</f>
        <v/>
      </c>
      <c r="I442" s="85">
        <f>'01_원자료'!P439*'03_가중치민감도'!$B$9+'01_원자료'!Q439*'03_가중치민감도'!$C$9+'01_원자료'!R439*'03_가중치민감도'!$D$9</f>
        <v/>
      </c>
      <c r="J442" s="85">
        <f>'01_원자료'!P439*'03_가중치민감도'!$B$10+'01_원자료'!Q439*'03_가중치민감도'!$C$10+'01_원자료'!R439*'03_가중치민감도'!$D$10</f>
        <v/>
      </c>
      <c r="K442" s="99">
        <f>COUNTIF($E$5:$E$979,"&lt;"&amp;E442)+(COUNTIF($E$5:$E$979,"="&amp;E442)+1)/2</f>
        <v/>
      </c>
      <c r="L442" s="99">
        <f>COUNTIF($F$5:$F$979,"&lt;"&amp;F442)+(COUNTIF($F$5:$F$979,"="&amp;F442)+1)/2</f>
        <v/>
      </c>
      <c r="M442" s="99">
        <f>COUNTIF($G$5:$G$979,"&lt;"&amp;G442)+(COUNTIF($G$5:$G$979,"="&amp;G442)+1)/2</f>
        <v/>
      </c>
      <c r="N442" s="99">
        <f>COUNTIF($H$5:$H$979,"&lt;"&amp;H442)+(COUNTIF($H$5:$H$979,"="&amp;H442)+1)/2</f>
        <v/>
      </c>
      <c r="O442" s="99">
        <f>COUNTIF($I$5:$I$979,"&lt;"&amp;I442)+(COUNTIF($I$5:$I$979,"="&amp;I442)+1)/2</f>
        <v/>
      </c>
      <c r="P442" s="99">
        <f>COUNTIF($J$5:$J$979,"&lt;"&amp;J442)+(COUNTIF($J$5:$J$979,"="&amp;J442)+1)/2</f>
        <v/>
      </c>
    </row>
    <row r="443" ht="15" customHeight="1" s="68">
      <c r="A443" s="70">
        <f>'01_원자료'!A440</f>
        <v/>
      </c>
      <c r="B443" s="70">
        <f>'01_원자료'!B440</f>
        <v/>
      </c>
      <c r="C443" s="70">
        <f>'01_원자료'!C440</f>
        <v/>
      </c>
      <c r="E443" s="85">
        <f>'01_원자료'!P440*'03_가중치민감도'!$B$5+'01_원자료'!Q440*'03_가중치민감도'!$C$5+'01_원자료'!R440*'03_가중치민감도'!$D$5</f>
        <v/>
      </c>
      <c r="F443" s="85">
        <f>'01_원자료'!P440*'03_가중치민감도'!$B$6+'01_원자료'!Q440*'03_가중치민감도'!$C$6+'01_원자료'!R440*'03_가중치민감도'!$D$6</f>
        <v/>
      </c>
      <c r="G443" s="85">
        <f>'01_원자료'!P440*'03_가중치민감도'!$B$7+'01_원자료'!Q440*'03_가중치민감도'!$C$7+'01_원자료'!R440*'03_가중치민감도'!$D$7</f>
        <v/>
      </c>
      <c r="H443" s="85">
        <f>'01_원자료'!P440*'03_가중치민감도'!$B$8+'01_원자료'!Q440*'03_가중치민감도'!$C$8+'01_원자료'!R440*'03_가중치민감도'!$D$8</f>
        <v/>
      </c>
      <c r="I443" s="85">
        <f>'01_원자료'!P440*'03_가중치민감도'!$B$9+'01_원자료'!Q440*'03_가중치민감도'!$C$9+'01_원자료'!R440*'03_가중치민감도'!$D$9</f>
        <v/>
      </c>
      <c r="J443" s="85">
        <f>'01_원자료'!P440*'03_가중치민감도'!$B$10+'01_원자료'!Q440*'03_가중치민감도'!$C$10+'01_원자료'!R440*'03_가중치민감도'!$D$10</f>
        <v/>
      </c>
      <c r="K443" s="99">
        <f>COUNTIF($E$5:$E$979,"&lt;"&amp;E443)+(COUNTIF($E$5:$E$979,"="&amp;E443)+1)/2</f>
        <v/>
      </c>
      <c r="L443" s="99">
        <f>COUNTIF($F$5:$F$979,"&lt;"&amp;F443)+(COUNTIF($F$5:$F$979,"="&amp;F443)+1)/2</f>
        <v/>
      </c>
      <c r="M443" s="99">
        <f>COUNTIF($G$5:$G$979,"&lt;"&amp;G443)+(COUNTIF($G$5:$G$979,"="&amp;G443)+1)/2</f>
        <v/>
      </c>
      <c r="N443" s="99">
        <f>COUNTIF($H$5:$H$979,"&lt;"&amp;H443)+(COUNTIF($H$5:$H$979,"="&amp;H443)+1)/2</f>
        <v/>
      </c>
      <c r="O443" s="99">
        <f>COUNTIF($I$5:$I$979,"&lt;"&amp;I443)+(COUNTIF($I$5:$I$979,"="&amp;I443)+1)/2</f>
        <v/>
      </c>
      <c r="P443" s="99">
        <f>COUNTIF($J$5:$J$979,"&lt;"&amp;J443)+(COUNTIF($J$5:$J$979,"="&amp;J443)+1)/2</f>
        <v/>
      </c>
    </row>
    <row r="444" ht="15" customHeight="1" s="68">
      <c r="A444" s="70">
        <f>'01_원자료'!A441</f>
        <v/>
      </c>
      <c r="B444" s="70">
        <f>'01_원자료'!B441</f>
        <v/>
      </c>
      <c r="C444" s="70">
        <f>'01_원자료'!C441</f>
        <v/>
      </c>
      <c r="E444" s="85">
        <f>'01_원자료'!P441*'03_가중치민감도'!$B$5+'01_원자료'!Q441*'03_가중치민감도'!$C$5+'01_원자료'!R441*'03_가중치민감도'!$D$5</f>
        <v/>
      </c>
      <c r="F444" s="85">
        <f>'01_원자료'!P441*'03_가중치민감도'!$B$6+'01_원자료'!Q441*'03_가중치민감도'!$C$6+'01_원자료'!R441*'03_가중치민감도'!$D$6</f>
        <v/>
      </c>
      <c r="G444" s="85">
        <f>'01_원자료'!P441*'03_가중치민감도'!$B$7+'01_원자료'!Q441*'03_가중치민감도'!$C$7+'01_원자료'!R441*'03_가중치민감도'!$D$7</f>
        <v/>
      </c>
      <c r="H444" s="85">
        <f>'01_원자료'!P441*'03_가중치민감도'!$B$8+'01_원자료'!Q441*'03_가중치민감도'!$C$8+'01_원자료'!R441*'03_가중치민감도'!$D$8</f>
        <v/>
      </c>
      <c r="I444" s="85">
        <f>'01_원자료'!P441*'03_가중치민감도'!$B$9+'01_원자료'!Q441*'03_가중치민감도'!$C$9+'01_원자료'!R441*'03_가중치민감도'!$D$9</f>
        <v/>
      </c>
      <c r="J444" s="85">
        <f>'01_원자료'!P441*'03_가중치민감도'!$B$10+'01_원자료'!Q441*'03_가중치민감도'!$C$10+'01_원자료'!R441*'03_가중치민감도'!$D$10</f>
        <v/>
      </c>
      <c r="K444" s="99">
        <f>COUNTIF($E$5:$E$979,"&lt;"&amp;E444)+(COUNTIF($E$5:$E$979,"="&amp;E444)+1)/2</f>
        <v/>
      </c>
      <c r="L444" s="99">
        <f>COUNTIF($F$5:$F$979,"&lt;"&amp;F444)+(COUNTIF($F$5:$F$979,"="&amp;F444)+1)/2</f>
        <v/>
      </c>
      <c r="M444" s="99">
        <f>COUNTIF($G$5:$G$979,"&lt;"&amp;G444)+(COUNTIF($G$5:$G$979,"="&amp;G444)+1)/2</f>
        <v/>
      </c>
      <c r="N444" s="99">
        <f>COUNTIF($H$5:$H$979,"&lt;"&amp;H444)+(COUNTIF($H$5:$H$979,"="&amp;H444)+1)/2</f>
        <v/>
      </c>
      <c r="O444" s="99">
        <f>COUNTIF($I$5:$I$979,"&lt;"&amp;I444)+(COUNTIF($I$5:$I$979,"="&amp;I444)+1)/2</f>
        <v/>
      </c>
      <c r="P444" s="99">
        <f>COUNTIF($J$5:$J$979,"&lt;"&amp;J444)+(COUNTIF($J$5:$J$979,"="&amp;J444)+1)/2</f>
        <v/>
      </c>
    </row>
    <row r="445" ht="15" customHeight="1" s="68">
      <c r="A445" s="70">
        <f>'01_원자료'!A442</f>
        <v/>
      </c>
      <c r="B445" s="70">
        <f>'01_원자료'!B442</f>
        <v/>
      </c>
      <c r="C445" s="70">
        <f>'01_원자료'!C442</f>
        <v/>
      </c>
      <c r="E445" s="85">
        <f>'01_원자료'!P442*'03_가중치민감도'!$B$5+'01_원자료'!Q442*'03_가중치민감도'!$C$5+'01_원자료'!R442*'03_가중치민감도'!$D$5</f>
        <v/>
      </c>
      <c r="F445" s="85">
        <f>'01_원자료'!P442*'03_가중치민감도'!$B$6+'01_원자료'!Q442*'03_가중치민감도'!$C$6+'01_원자료'!R442*'03_가중치민감도'!$D$6</f>
        <v/>
      </c>
      <c r="G445" s="85">
        <f>'01_원자료'!P442*'03_가중치민감도'!$B$7+'01_원자료'!Q442*'03_가중치민감도'!$C$7+'01_원자료'!R442*'03_가중치민감도'!$D$7</f>
        <v/>
      </c>
      <c r="H445" s="85">
        <f>'01_원자료'!P442*'03_가중치민감도'!$B$8+'01_원자료'!Q442*'03_가중치민감도'!$C$8+'01_원자료'!R442*'03_가중치민감도'!$D$8</f>
        <v/>
      </c>
      <c r="I445" s="85">
        <f>'01_원자료'!P442*'03_가중치민감도'!$B$9+'01_원자료'!Q442*'03_가중치민감도'!$C$9+'01_원자료'!R442*'03_가중치민감도'!$D$9</f>
        <v/>
      </c>
      <c r="J445" s="85">
        <f>'01_원자료'!P442*'03_가중치민감도'!$B$10+'01_원자료'!Q442*'03_가중치민감도'!$C$10+'01_원자료'!R442*'03_가중치민감도'!$D$10</f>
        <v/>
      </c>
      <c r="K445" s="99">
        <f>COUNTIF($E$5:$E$979,"&lt;"&amp;E445)+(COUNTIF($E$5:$E$979,"="&amp;E445)+1)/2</f>
        <v/>
      </c>
      <c r="L445" s="99">
        <f>COUNTIF($F$5:$F$979,"&lt;"&amp;F445)+(COUNTIF($F$5:$F$979,"="&amp;F445)+1)/2</f>
        <v/>
      </c>
      <c r="M445" s="99">
        <f>COUNTIF($G$5:$G$979,"&lt;"&amp;G445)+(COUNTIF($G$5:$G$979,"="&amp;G445)+1)/2</f>
        <v/>
      </c>
      <c r="N445" s="99">
        <f>COUNTIF($H$5:$H$979,"&lt;"&amp;H445)+(COUNTIF($H$5:$H$979,"="&amp;H445)+1)/2</f>
        <v/>
      </c>
      <c r="O445" s="99">
        <f>COUNTIF($I$5:$I$979,"&lt;"&amp;I445)+(COUNTIF($I$5:$I$979,"="&amp;I445)+1)/2</f>
        <v/>
      </c>
      <c r="P445" s="99">
        <f>COUNTIF($J$5:$J$979,"&lt;"&amp;J445)+(COUNTIF($J$5:$J$979,"="&amp;J445)+1)/2</f>
        <v/>
      </c>
    </row>
    <row r="446" ht="15" customHeight="1" s="68">
      <c r="A446" s="70">
        <f>'01_원자료'!A443</f>
        <v/>
      </c>
      <c r="B446" s="70">
        <f>'01_원자료'!B443</f>
        <v/>
      </c>
      <c r="C446" s="70">
        <f>'01_원자료'!C443</f>
        <v/>
      </c>
      <c r="E446" s="85">
        <f>'01_원자료'!P443*'03_가중치민감도'!$B$5+'01_원자료'!Q443*'03_가중치민감도'!$C$5+'01_원자료'!R443*'03_가중치민감도'!$D$5</f>
        <v/>
      </c>
      <c r="F446" s="85">
        <f>'01_원자료'!P443*'03_가중치민감도'!$B$6+'01_원자료'!Q443*'03_가중치민감도'!$C$6+'01_원자료'!R443*'03_가중치민감도'!$D$6</f>
        <v/>
      </c>
      <c r="G446" s="85">
        <f>'01_원자료'!P443*'03_가중치민감도'!$B$7+'01_원자료'!Q443*'03_가중치민감도'!$C$7+'01_원자료'!R443*'03_가중치민감도'!$D$7</f>
        <v/>
      </c>
      <c r="H446" s="85">
        <f>'01_원자료'!P443*'03_가중치민감도'!$B$8+'01_원자료'!Q443*'03_가중치민감도'!$C$8+'01_원자료'!R443*'03_가중치민감도'!$D$8</f>
        <v/>
      </c>
      <c r="I446" s="85">
        <f>'01_원자료'!P443*'03_가중치민감도'!$B$9+'01_원자료'!Q443*'03_가중치민감도'!$C$9+'01_원자료'!R443*'03_가중치민감도'!$D$9</f>
        <v/>
      </c>
      <c r="J446" s="85">
        <f>'01_원자료'!P443*'03_가중치민감도'!$B$10+'01_원자료'!Q443*'03_가중치민감도'!$C$10+'01_원자료'!R443*'03_가중치민감도'!$D$10</f>
        <v/>
      </c>
      <c r="K446" s="99">
        <f>COUNTIF($E$5:$E$979,"&lt;"&amp;E446)+(COUNTIF($E$5:$E$979,"="&amp;E446)+1)/2</f>
        <v/>
      </c>
      <c r="L446" s="99">
        <f>COUNTIF($F$5:$F$979,"&lt;"&amp;F446)+(COUNTIF($F$5:$F$979,"="&amp;F446)+1)/2</f>
        <v/>
      </c>
      <c r="M446" s="99">
        <f>COUNTIF($G$5:$G$979,"&lt;"&amp;G446)+(COUNTIF($G$5:$G$979,"="&amp;G446)+1)/2</f>
        <v/>
      </c>
      <c r="N446" s="99">
        <f>COUNTIF($H$5:$H$979,"&lt;"&amp;H446)+(COUNTIF($H$5:$H$979,"="&amp;H446)+1)/2</f>
        <v/>
      </c>
      <c r="O446" s="99">
        <f>COUNTIF($I$5:$I$979,"&lt;"&amp;I446)+(COUNTIF($I$5:$I$979,"="&amp;I446)+1)/2</f>
        <v/>
      </c>
      <c r="P446" s="99">
        <f>COUNTIF($J$5:$J$979,"&lt;"&amp;J446)+(COUNTIF($J$5:$J$979,"="&amp;J446)+1)/2</f>
        <v/>
      </c>
    </row>
    <row r="447" ht="15" customHeight="1" s="68">
      <c r="A447" s="70">
        <f>'01_원자료'!A444</f>
        <v/>
      </c>
      <c r="B447" s="70">
        <f>'01_원자료'!B444</f>
        <v/>
      </c>
      <c r="C447" s="70">
        <f>'01_원자료'!C444</f>
        <v/>
      </c>
      <c r="E447" s="85">
        <f>'01_원자료'!P444*'03_가중치민감도'!$B$5+'01_원자료'!Q444*'03_가중치민감도'!$C$5+'01_원자료'!R444*'03_가중치민감도'!$D$5</f>
        <v/>
      </c>
      <c r="F447" s="85">
        <f>'01_원자료'!P444*'03_가중치민감도'!$B$6+'01_원자료'!Q444*'03_가중치민감도'!$C$6+'01_원자료'!R444*'03_가중치민감도'!$D$6</f>
        <v/>
      </c>
      <c r="G447" s="85">
        <f>'01_원자료'!P444*'03_가중치민감도'!$B$7+'01_원자료'!Q444*'03_가중치민감도'!$C$7+'01_원자료'!R444*'03_가중치민감도'!$D$7</f>
        <v/>
      </c>
      <c r="H447" s="85">
        <f>'01_원자료'!P444*'03_가중치민감도'!$B$8+'01_원자료'!Q444*'03_가중치민감도'!$C$8+'01_원자료'!R444*'03_가중치민감도'!$D$8</f>
        <v/>
      </c>
      <c r="I447" s="85">
        <f>'01_원자료'!P444*'03_가중치민감도'!$B$9+'01_원자료'!Q444*'03_가중치민감도'!$C$9+'01_원자료'!R444*'03_가중치민감도'!$D$9</f>
        <v/>
      </c>
      <c r="J447" s="85">
        <f>'01_원자료'!P444*'03_가중치민감도'!$B$10+'01_원자료'!Q444*'03_가중치민감도'!$C$10+'01_원자료'!R444*'03_가중치민감도'!$D$10</f>
        <v/>
      </c>
      <c r="K447" s="99">
        <f>COUNTIF($E$5:$E$979,"&lt;"&amp;E447)+(COUNTIF($E$5:$E$979,"="&amp;E447)+1)/2</f>
        <v/>
      </c>
      <c r="L447" s="99">
        <f>COUNTIF($F$5:$F$979,"&lt;"&amp;F447)+(COUNTIF($F$5:$F$979,"="&amp;F447)+1)/2</f>
        <v/>
      </c>
      <c r="M447" s="99">
        <f>COUNTIF($G$5:$G$979,"&lt;"&amp;G447)+(COUNTIF($G$5:$G$979,"="&amp;G447)+1)/2</f>
        <v/>
      </c>
      <c r="N447" s="99">
        <f>COUNTIF($H$5:$H$979,"&lt;"&amp;H447)+(COUNTIF($H$5:$H$979,"="&amp;H447)+1)/2</f>
        <v/>
      </c>
      <c r="O447" s="99">
        <f>COUNTIF($I$5:$I$979,"&lt;"&amp;I447)+(COUNTIF($I$5:$I$979,"="&amp;I447)+1)/2</f>
        <v/>
      </c>
      <c r="P447" s="99">
        <f>COUNTIF($J$5:$J$979,"&lt;"&amp;J447)+(COUNTIF($J$5:$J$979,"="&amp;J447)+1)/2</f>
        <v/>
      </c>
    </row>
    <row r="448" ht="15" customHeight="1" s="68">
      <c r="A448" s="70">
        <f>'01_원자료'!A445</f>
        <v/>
      </c>
      <c r="B448" s="70">
        <f>'01_원자료'!B445</f>
        <v/>
      </c>
      <c r="C448" s="70">
        <f>'01_원자료'!C445</f>
        <v/>
      </c>
      <c r="E448" s="85">
        <f>'01_원자료'!P445*'03_가중치민감도'!$B$5+'01_원자료'!Q445*'03_가중치민감도'!$C$5+'01_원자료'!R445*'03_가중치민감도'!$D$5</f>
        <v/>
      </c>
      <c r="F448" s="85">
        <f>'01_원자료'!P445*'03_가중치민감도'!$B$6+'01_원자료'!Q445*'03_가중치민감도'!$C$6+'01_원자료'!R445*'03_가중치민감도'!$D$6</f>
        <v/>
      </c>
      <c r="G448" s="85">
        <f>'01_원자료'!P445*'03_가중치민감도'!$B$7+'01_원자료'!Q445*'03_가중치민감도'!$C$7+'01_원자료'!R445*'03_가중치민감도'!$D$7</f>
        <v/>
      </c>
      <c r="H448" s="85">
        <f>'01_원자료'!P445*'03_가중치민감도'!$B$8+'01_원자료'!Q445*'03_가중치민감도'!$C$8+'01_원자료'!R445*'03_가중치민감도'!$D$8</f>
        <v/>
      </c>
      <c r="I448" s="85">
        <f>'01_원자료'!P445*'03_가중치민감도'!$B$9+'01_원자료'!Q445*'03_가중치민감도'!$C$9+'01_원자료'!R445*'03_가중치민감도'!$D$9</f>
        <v/>
      </c>
      <c r="J448" s="85">
        <f>'01_원자료'!P445*'03_가중치민감도'!$B$10+'01_원자료'!Q445*'03_가중치민감도'!$C$10+'01_원자료'!R445*'03_가중치민감도'!$D$10</f>
        <v/>
      </c>
      <c r="K448" s="99">
        <f>COUNTIF($E$5:$E$979,"&lt;"&amp;E448)+(COUNTIF($E$5:$E$979,"="&amp;E448)+1)/2</f>
        <v/>
      </c>
      <c r="L448" s="99">
        <f>COUNTIF($F$5:$F$979,"&lt;"&amp;F448)+(COUNTIF($F$5:$F$979,"="&amp;F448)+1)/2</f>
        <v/>
      </c>
      <c r="M448" s="99">
        <f>COUNTIF($G$5:$G$979,"&lt;"&amp;G448)+(COUNTIF($G$5:$G$979,"="&amp;G448)+1)/2</f>
        <v/>
      </c>
      <c r="N448" s="99">
        <f>COUNTIF($H$5:$H$979,"&lt;"&amp;H448)+(COUNTIF($H$5:$H$979,"="&amp;H448)+1)/2</f>
        <v/>
      </c>
      <c r="O448" s="99">
        <f>COUNTIF($I$5:$I$979,"&lt;"&amp;I448)+(COUNTIF($I$5:$I$979,"="&amp;I448)+1)/2</f>
        <v/>
      </c>
      <c r="P448" s="99">
        <f>COUNTIF($J$5:$J$979,"&lt;"&amp;J448)+(COUNTIF($J$5:$J$979,"="&amp;J448)+1)/2</f>
        <v/>
      </c>
    </row>
    <row r="449" ht="15" customHeight="1" s="68">
      <c r="A449" s="70">
        <f>'01_원자료'!A446</f>
        <v/>
      </c>
      <c r="B449" s="70">
        <f>'01_원자료'!B446</f>
        <v/>
      </c>
      <c r="C449" s="70">
        <f>'01_원자료'!C446</f>
        <v/>
      </c>
      <c r="E449" s="85">
        <f>'01_원자료'!P446*'03_가중치민감도'!$B$5+'01_원자료'!Q446*'03_가중치민감도'!$C$5+'01_원자료'!R446*'03_가중치민감도'!$D$5</f>
        <v/>
      </c>
      <c r="F449" s="85">
        <f>'01_원자료'!P446*'03_가중치민감도'!$B$6+'01_원자료'!Q446*'03_가중치민감도'!$C$6+'01_원자료'!R446*'03_가중치민감도'!$D$6</f>
        <v/>
      </c>
      <c r="G449" s="85">
        <f>'01_원자료'!P446*'03_가중치민감도'!$B$7+'01_원자료'!Q446*'03_가중치민감도'!$C$7+'01_원자료'!R446*'03_가중치민감도'!$D$7</f>
        <v/>
      </c>
      <c r="H449" s="85">
        <f>'01_원자료'!P446*'03_가중치민감도'!$B$8+'01_원자료'!Q446*'03_가중치민감도'!$C$8+'01_원자료'!R446*'03_가중치민감도'!$D$8</f>
        <v/>
      </c>
      <c r="I449" s="85">
        <f>'01_원자료'!P446*'03_가중치민감도'!$B$9+'01_원자료'!Q446*'03_가중치민감도'!$C$9+'01_원자료'!R446*'03_가중치민감도'!$D$9</f>
        <v/>
      </c>
      <c r="J449" s="85">
        <f>'01_원자료'!P446*'03_가중치민감도'!$B$10+'01_원자료'!Q446*'03_가중치민감도'!$C$10+'01_원자료'!R446*'03_가중치민감도'!$D$10</f>
        <v/>
      </c>
      <c r="K449" s="99">
        <f>COUNTIF($E$5:$E$979,"&lt;"&amp;E449)+(COUNTIF($E$5:$E$979,"="&amp;E449)+1)/2</f>
        <v/>
      </c>
      <c r="L449" s="99">
        <f>COUNTIF($F$5:$F$979,"&lt;"&amp;F449)+(COUNTIF($F$5:$F$979,"="&amp;F449)+1)/2</f>
        <v/>
      </c>
      <c r="M449" s="99">
        <f>COUNTIF($G$5:$G$979,"&lt;"&amp;G449)+(COUNTIF($G$5:$G$979,"="&amp;G449)+1)/2</f>
        <v/>
      </c>
      <c r="N449" s="99">
        <f>COUNTIF($H$5:$H$979,"&lt;"&amp;H449)+(COUNTIF($H$5:$H$979,"="&amp;H449)+1)/2</f>
        <v/>
      </c>
      <c r="O449" s="99">
        <f>COUNTIF($I$5:$I$979,"&lt;"&amp;I449)+(COUNTIF($I$5:$I$979,"="&amp;I449)+1)/2</f>
        <v/>
      </c>
      <c r="P449" s="99">
        <f>COUNTIF($J$5:$J$979,"&lt;"&amp;J449)+(COUNTIF($J$5:$J$979,"="&amp;J449)+1)/2</f>
        <v/>
      </c>
    </row>
    <row r="450" ht="15" customHeight="1" s="68">
      <c r="A450" s="70">
        <f>'01_원자료'!A447</f>
        <v/>
      </c>
      <c r="B450" s="70">
        <f>'01_원자료'!B447</f>
        <v/>
      </c>
      <c r="C450" s="70">
        <f>'01_원자료'!C447</f>
        <v/>
      </c>
      <c r="E450" s="85">
        <f>'01_원자료'!P447*'03_가중치민감도'!$B$5+'01_원자료'!Q447*'03_가중치민감도'!$C$5+'01_원자료'!R447*'03_가중치민감도'!$D$5</f>
        <v/>
      </c>
      <c r="F450" s="85">
        <f>'01_원자료'!P447*'03_가중치민감도'!$B$6+'01_원자료'!Q447*'03_가중치민감도'!$C$6+'01_원자료'!R447*'03_가중치민감도'!$D$6</f>
        <v/>
      </c>
      <c r="G450" s="85">
        <f>'01_원자료'!P447*'03_가중치민감도'!$B$7+'01_원자료'!Q447*'03_가중치민감도'!$C$7+'01_원자료'!R447*'03_가중치민감도'!$D$7</f>
        <v/>
      </c>
      <c r="H450" s="85">
        <f>'01_원자료'!P447*'03_가중치민감도'!$B$8+'01_원자료'!Q447*'03_가중치민감도'!$C$8+'01_원자료'!R447*'03_가중치민감도'!$D$8</f>
        <v/>
      </c>
      <c r="I450" s="85">
        <f>'01_원자료'!P447*'03_가중치민감도'!$B$9+'01_원자료'!Q447*'03_가중치민감도'!$C$9+'01_원자료'!R447*'03_가중치민감도'!$D$9</f>
        <v/>
      </c>
      <c r="J450" s="85">
        <f>'01_원자료'!P447*'03_가중치민감도'!$B$10+'01_원자료'!Q447*'03_가중치민감도'!$C$10+'01_원자료'!R447*'03_가중치민감도'!$D$10</f>
        <v/>
      </c>
      <c r="K450" s="99">
        <f>COUNTIF($E$5:$E$979,"&lt;"&amp;E450)+(COUNTIF($E$5:$E$979,"="&amp;E450)+1)/2</f>
        <v/>
      </c>
      <c r="L450" s="99">
        <f>COUNTIF($F$5:$F$979,"&lt;"&amp;F450)+(COUNTIF($F$5:$F$979,"="&amp;F450)+1)/2</f>
        <v/>
      </c>
      <c r="M450" s="99">
        <f>COUNTIF($G$5:$G$979,"&lt;"&amp;G450)+(COUNTIF($G$5:$G$979,"="&amp;G450)+1)/2</f>
        <v/>
      </c>
      <c r="N450" s="99">
        <f>COUNTIF($H$5:$H$979,"&lt;"&amp;H450)+(COUNTIF($H$5:$H$979,"="&amp;H450)+1)/2</f>
        <v/>
      </c>
      <c r="O450" s="99">
        <f>COUNTIF($I$5:$I$979,"&lt;"&amp;I450)+(COUNTIF($I$5:$I$979,"="&amp;I450)+1)/2</f>
        <v/>
      </c>
      <c r="P450" s="99">
        <f>COUNTIF($J$5:$J$979,"&lt;"&amp;J450)+(COUNTIF($J$5:$J$979,"="&amp;J450)+1)/2</f>
        <v/>
      </c>
    </row>
    <row r="451" ht="15" customHeight="1" s="68">
      <c r="A451" s="70">
        <f>'01_원자료'!A448</f>
        <v/>
      </c>
      <c r="B451" s="70">
        <f>'01_원자료'!B448</f>
        <v/>
      </c>
      <c r="C451" s="70">
        <f>'01_원자료'!C448</f>
        <v/>
      </c>
      <c r="E451" s="85">
        <f>'01_원자료'!P448*'03_가중치민감도'!$B$5+'01_원자료'!Q448*'03_가중치민감도'!$C$5+'01_원자료'!R448*'03_가중치민감도'!$D$5</f>
        <v/>
      </c>
      <c r="F451" s="85">
        <f>'01_원자료'!P448*'03_가중치민감도'!$B$6+'01_원자료'!Q448*'03_가중치민감도'!$C$6+'01_원자료'!R448*'03_가중치민감도'!$D$6</f>
        <v/>
      </c>
      <c r="G451" s="85">
        <f>'01_원자료'!P448*'03_가중치민감도'!$B$7+'01_원자료'!Q448*'03_가중치민감도'!$C$7+'01_원자료'!R448*'03_가중치민감도'!$D$7</f>
        <v/>
      </c>
      <c r="H451" s="85">
        <f>'01_원자료'!P448*'03_가중치민감도'!$B$8+'01_원자료'!Q448*'03_가중치민감도'!$C$8+'01_원자료'!R448*'03_가중치민감도'!$D$8</f>
        <v/>
      </c>
      <c r="I451" s="85">
        <f>'01_원자료'!P448*'03_가중치민감도'!$B$9+'01_원자료'!Q448*'03_가중치민감도'!$C$9+'01_원자료'!R448*'03_가중치민감도'!$D$9</f>
        <v/>
      </c>
      <c r="J451" s="85">
        <f>'01_원자료'!P448*'03_가중치민감도'!$B$10+'01_원자료'!Q448*'03_가중치민감도'!$C$10+'01_원자료'!R448*'03_가중치민감도'!$D$10</f>
        <v/>
      </c>
      <c r="K451" s="99">
        <f>COUNTIF($E$5:$E$979,"&lt;"&amp;E451)+(COUNTIF($E$5:$E$979,"="&amp;E451)+1)/2</f>
        <v/>
      </c>
      <c r="L451" s="99">
        <f>COUNTIF($F$5:$F$979,"&lt;"&amp;F451)+(COUNTIF($F$5:$F$979,"="&amp;F451)+1)/2</f>
        <v/>
      </c>
      <c r="M451" s="99">
        <f>COUNTIF($G$5:$G$979,"&lt;"&amp;G451)+(COUNTIF($G$5:$G$979,"="&amp;G451)+1)/2</f>
        <v/>
      </c>
      <c r="N451" s="99">
        <f>COUNTIF($H$5:$H$979,"&lt;"&amp;H451)+(COUNTIF($H$5:$H$979,"="&amp;H451)+1)/2</f>
        <v/>
      </c>
      <c r="O451" s="99">
        <f>COUNTIF($I$5:$I$979,"&lt;"&amp;I451)+(COUNTIF($I$5:$I$979,"="&amp;I451)+1)/2</f>
        <v/>
      </c>
      <c r="P451" s="99">
        <f>COUNTIF($J$5:$J$979,"&lt;"&amp;J451)+(COUNTIF($J$5:$J$979,"="&amp;J451)+1)/2</f>
        <v/>
      </c>
    </row>
    <row r="452" ht="15" customHeight="1" s="68">
      <c r="A452" s="70">
        <f>'01_원자료'!A449</f>
        <v/>
      </c>
      <c r="B452" s="70">
        <f>'01_원자료'!B449</f>
        <v/>
      </c>
      <c r="C452" s="70">
        <f>'01_원자료'!C449</f>
        <v/>
      </c>
      <c r="E452" s="85">
        <f>'01_원자료'!P449*'03_가중치민감도'!$B$5+'01_원자료'!Q449*'03_가중치민감도'!$C$5+'01_원자료'!R449*'03_가중치민감도'!$D$5</f>
        <v/>
      </c>
      <c r="F452" s="85">
        <f>'01_원자료'!P449*'03_가중치민감도'!$B$6+'01_원자료'!Q449*'03_가중치민감도'!$C$6+'01_원자료'!R449*'03_가중치민감도'!$D$6</f>
        <v/>
      </c>
      <c r="G452" s="85">
        <f>'01_원자료'!P449*'03_가중치민감도'!$B$7+'01_원자료'!Q449*'03_가중치민감도'!$C$7+'01_원자료'!R449*'03_가중치민감도'!$D$7</f>
        <v/>
      </c>
      <c r="H452" s="85">
        <f>'01_원자료'!P449*'03_가중치민감도'!$B$8+'01_원자료'!Q449*'03_가중치민감도'!$C$8+'01_원자료'!R449*'03_가중치민감도'!$D$8</f>
        <v/>
      </c>
      <c r="I452" s="85">
        <f>'01_원자료'!P449*'03_가중치민감도'!$B$9+'01_원자료'!Q449*'03_가중치민감도'!$C$9+'01_원자료'!R449*'03_가중치민감도'!$D$9</f>
        <v/>
      </c>
      <c r="J452" s="85">
        <f>'01_원자료'!P449*'03_가중치민감도'!$B$10+'01_원자료'!Q449*'03_가중치민감도'!$C$10+'01_원자료'!R449*'03_가중치민감도'!$D$10</f>
        <v/>
      </c>
      <c r="K452" s="99">
        <f>COUNTIF($E$5:$E$979,"&lt;"&amp;E452)+(COUNTIF($E$5:$E$979,"="&amp;E452)+1)/2</f>
        <v/>
      </c>
      <c r="L452" s="99">
        <f>COUNTIF($F$5:$F$979,"&lt;"&amp;F452)+(COUNTIF($F$5:$F$979,"="&amp;F452)+1)/2</f>
        <v/>
      </c>
      <c r="M452" s="99">
        <f>COUNTIF($G$5:$G$979,"&lt;"&amp;G452)+(COUNTIF($G$5:$G$979,"="&amp;G452)+1)/2</f>
        <v/>
      </c>
      <c r="N452" s="99">
        <f>COUNTIF($H$5:$H$979,"&lt;"&amp;H452)+(COUNTIF($H$5:$H$979,"="&amp;H452)+1)/2</f>
        <v/>
      </c>
      <c r="O452" s="99">
        <f>COUNTIF($I$5:$I$979,"&lt;"&amp;I452)+(COUNTIF($I$5:$I$979,"="&amp;I452)+1)/2</f>
        <v/>
      </c>
      <c r="P452" s="99">
        <f>COUNTIF($J$5:$J$979,"&lt;"&amp;J452)+(COUNTIF($J$5:$J$979,"="&amp;J452)+1)/2</f>
        <v/>
      </c>
    </row>
    <row r="453" ht="15" customHeight="1" s="68">
      <c r="A453" s="70">
        <f>'01_원자료'!A450</f>
        <v/>
      </c>
      <c r="B453" s="70">
        <f>'01_원자료'!B450</f>
        <v/>
      </c>
      <c r="C453" s="70">
        <f>'01_원자료'!C450</f>
        <v/>
      </c>
      <c r="E453" s="85">
        <f>'01_원자료'!P450*'03_가중치민감도'!$B$5+'01_원자료'!Q450*'03_가중치민감도'!$C$5+'01_원자료'!R450*'03_가중치민감도'!$D$5</f>
        <v/>
      </c>
      <c r="F453" s="85">
        <f>'01_원자료'!P450*'03_가중치민감도'!$B$6+'01_원자료'!Q450*'03_가중치민감도'!$C$6+'01_원자료'!R450*'03_가중치민감도'!$D$6</f>
        <v/>
      </c>
      <c r="G453" s="85">
        <f>'01_원자료'!P450*'03_가중치민감도'!$B$7+'01_원자료'!Q450*'03_가중치민감도'!$C$7+'01_원자료'!R450*'03_가중치민감도'!$D$7</f>
        <v/>
      </c>
      <c r="H453" s="85">
        <f>'01_원자료'!P450*'03_가중치민감도'!$B$8+'01_원자료'!Q450*'03_가중치민감도'!$C$8+'01_원자료'!R450*'03_가중치민감도'!$D$8</f>
        <v/>
      </c>
      <c r="I453" s="85">
        <f>'01_원자료'!P450*'03_가중치민감도'!$B$9+'01_원자료'!Q450*'03_가중치민감도'!$C$9+'01_원자료'!R450*'03_가중치민감도'!$D$9</f>
        <v/>
      </c>
      <c r="J453" s="85">
        <f>'01_원자료'!P450*'03_가중치민감도'!$B$10+'01_원자료'!Q450*'03_가중치민감도'!$C$10+'01_원자료'!R450*'03_가중치민감도'!$D$10</f>
        <v/>
      </c>
      <c r="K453" s="99">
        <f>COUNTIF($E$5:$E$979,"&lt;"&amp;E453)+(COUNTIF($E$5:$E$979,"="&amp;E453)+1)/2</f>
        <v/>
      </c>
      <c r="L453" s="99">
        <f>COUNTIF($F$5:$F$979,"&lt;"&amp;F453)+(COUNTIF($F$5:$F$979,"="&amp;F453)+1)/2</f>
        <v/>
      </c>
      <c r="M453" s="99">
        <f>COUNTIF($G$5:$G$979,"&lt;"&amp;G453)+(COUNTIF($G$5:$G$979,"="&amp;G453)+1)/2</f>
        <v/>
      </c>
      <c r="N453" s="99">
        <f>COUNTIF($H$5:$H$979,"&lt;"&amp;H453)+(COUNTIF($H$5:$H$979,"="&amp;H453)+1)/2</f>
        <v/>
      </c>
      <c r="O453" s="99">
        <f>COUNTIF($I$5:$I$979,"&lt;"&amp;I453)+(COUNTIF($I$5:$I$979,"="&amp;I453)+1)/2</f>
        <v/>
      </c>
      <c r="P453" s="99">
        <f>COUNTIF($J$5:$J$979,"&lt;"&amp;J453)+(COUNTIF($J$5:$J$979,"="&amp;J453)+1)/2</f>
        <v/>
      </c>
    </row>
    <row r="454" ht="15" customHeight="1" s="68">
      <c r="A454" s="70">
        <f>'01_원자료'!A451</f>
        <v/>
      </c>
      <c r="B454" s="70">
        <f>'01_원자료'!B451</f>
        <v/>
      </c>
      <c r="C454" s="70">
        <f>'01_원자료'!C451</f>
        <v/>
      </c>
      <c r="E454" s="85">
        <f>'01_원자료'!P451*'03_가중치민감도'!$B$5+'01_원자료'!Q451*'03_가중치민감도'!$C$5+'01_원자료'!R451*'03_가중치민감도'!$D$5</f>
        <v/>
      </c>
      <c r="F454" s="85">
        <f>'01_원자료'!P451*'03_가중치민감도'!$B$6+'01_원자료'!Q451*'03_가중치민감도'!$C$6+'01_원자료'!R451*'03_가중치민감도'!$D$6</f>
        <v/>
      </c>
      <c r="G454" s="85">
        <f>'01_원자료'!P451*'03_가중치민감도'!$B$7+'01_원자료'!Q451*'03_가중치민감도'!$C$7+'01_원자료'!R451*'03_가중치민감도'!$D$7</f>
        <v/>
      </c>
      <c r="H454" s="85">
        <f>'01_원자료'!P451*'03_가중치민감도'!$B$8+'01_원자료'!Q451*'03_가중치민감도'!$C$8+'01_원자료'!R451*'03_가중치민감도'!$D$8</f>
        <v/>
      </c>
      <c r="I454" s="85">
        <f>'01_원자료'!P451*'03_가중치민감도'!$B$9+'01_원자료'!Q451*'03_가중치민감도'!$C$9+'01_원자료'!R451*'03_가중치민감도'!$D$9</f>
        <v/>
      </c>
      <c r="J454" s="85">
        <f>'01_원자료'!P451*'03_가중치민감도'!$B$10+'01_원자료'!Q451*'03_가중치민감도'!$C$10+'01_원자료'!R451*'03_가중치민감도'!$D$10</f>
        <v/>
      </c>
      <c r="K454" s="99">
        <f>COUNTIF($E$5:$E$979,"&lt;"&amp;E454)+(COUNTIF($E$5:$E$979,"="&amp;E454)+1)/2</f>
        <v/>
      </c>
      <c r="L454" s="99">
        <f>COUNTIF($F$5:$F$979,"&lt;"&amp;F454)+(COUNTIF($F$5:$F$979,"="&amp;F454)+1)/2</f>
        <v/>
      </c>
      <c r="M454" s="99">
        <f>COUNTIF($G$5:$G$979,"&lt;"&amp;G454)+(COUNTIF($G$5:$G$979,"="&amp;G454)+1)/2</f>
        <v/>
      </c>
      <c r="N454" s="99">
        <f>COUNTIF($H$5:$H$979,"&lt;"&amp;H454)+(COUNTIF($H$5:$H$979,"="&amp;H454)+1)/2</f>
        <v/>
      </c>
      <c r="O454" s="99">
        <f>COUNTIF($I$5:$I$979,"&lt;"&amp;I454)+(COUNTIF($I$5:$I$979,"="&amp;I454)+1)/2</f>
        <v/>
      </c>
      <c r="P454" s="99">
        <f>COUNTIF($J$5:$J$979,"&lt;"&amp;J454)+(COUNTIF($J$5:$J$979,"="&amp;J454)+1)/2</f>
        <v/>
      </c>
    </row>
    <row r="455" ht="15" customHeight="1" s="68">
      <c r="A455" s="70">
        <f>'01_원자료'!A452</f>
        <v/>
      </c>
      <c r="B455" s="70">
        <f>'01_원자료'!B452</f>
        <v/>
      </c>
      <c r="C455" s="70">
        <f>'01_원자료'!C452</f>
        <v/>
      </c>
      <c r="E455" s="85">
        <f>'01_원자료'!P452*'03_가중치민감도'!$B$5+'01_원자료'!Q452*'03_가중치민감도'!$C$5+'01_원자료'!R452*'03_가중치민감도'!$D$5</f>
        <v/>
      </c>
      <c r="F455" s="85">
        <f>'01_원자료'!P452*'03_가중치민감도'!$B$6+'01_원자료'!Q452*'03_가중치민감도'!$C$6+'01_원자료'!R452*'03_가중치민감도'!$D$6</f>
        <v/>
      </c>
      <c r="G455" s="85">
        <f>'01_원자료'!P452*'03_가중치민감도'!$B$7+'01_원자료'!Q452*'03_가중치민감도'!$C$7+'01_원자료'!R452*'03_가중치민감도'!$D$7</f>
        <v/>
      </c>
      <c r="H455" s="85">
        <f>'01_원자료'!P452*'03_가중치민감도'!$B$8+'01_원자료'!Q452*'03_가중치민감도'!$C$8+'01_원자료'!R452*'03_가중치민감도'!$D$8</f>
        <v/>
      </c>
      <c r="I455" s="85">
        <f>'01_원자료'!P452*'03_가중치민감도'!$B$9+'01_원자료'!Q452*'03_가중치민감도'!$C$9+'01_원자료'!R452*'03_가중치민감도'!$D$9</f>
        <v/>
      </c>
      <c r="J455" s="85">
        <f>'01_원자료'!P452*'03_가중치민감도'!$B$10+'01_원자료'!Q452*'03_가중치민감도'!$C$10+'01_원자료'!R452*'03_가중치민감도'!$D$10</f>
        <v/>
      </c>
      <c r="K455" s="99">
        <f>COUNTIF($E$5:$E$979,"&lt;"&amp;E455)+(COUNTIF($E$5:$E$979,"="&amp;E455)+1)/2</f>
        <v/>
      </c>
      <c r="L455" s="99">
        <f>COUNTIF($F$5:$F$979,"&lt;"&amp;F455)+(COUNTIF($F$5:$F$979,"="&amp;F455)+1)/2</f>
        <v/>
      </c>
      <c r="M455" s="99">
        <f>COUNTIF($G$5:$G$979,"&lt;"&amp;G455)+(COUNTIF($G$5:$G$979,"="&amp;G455)+1)/2</f>
        <v/>
      </c>
      <c r="N455" s="99">
        <f>COUNTIF($H$5:$H$979,"&lt;"&amp;H455)+(COUNTIF($H$5:$H$979,"="&amp;H455)+1)/2</f>
        <v/>
      </c>
      <c r="O455" s="99">
        <f>COUNTIF($I$5:$I$979,"&lt;"&amp;I455)+(COUNTIF($I$5:$I$979,"="&amp;I455)+1)/2</f>
        <v/>
      </c>
      <c r="P455" s="99">
        <f>COUNTIF($J$5:$J$979,"&lt;"&amp;J455)+(COUNTIF($J$5:$J$979,"="&amp;J455)+1)/2</f>
        <v/>
      </c>
    </row>
    <row r="456" ht="15" customHeight="1" s="68">
      <c r="A456" s="70">
        <f>'01_원자료'!A453</f>
        <v/>
      </c>
      <c r="B456" s="70">
        <f>'01_원자료'!B453</f>
        <v/>
      </c>
      <c r="C456" s="70">
        <f>'01_원자료'!C453</f>
        <v/>
      </c>
      <c r="E456" s="85">
        <f>'01_원자료'!P453*'03_가중치민감도'!$B$5+'01_원자료'!Q453*'03_가중치민감도'!$C$5+'01_원자료'!R453*'03_가중치민감도'!$D$5</f>
        <v/>
      </c>
      <c r="F456" s="85">
        <f>'01_원자료'!P453*'03_가중치민감도'!$B$6+'01_원자료'!Q453*'03_가중치민감도'!$C$6+'01_원자료'!R453*'03_가중치민감도'!$D$6</f>
        <v/>
      </c>
      <c r="G456" s="85">
        <f>'01_원자료'!P453*'03_가중치민감도'!$B$7+'01_원자료'!Q453*'03_가중치민감도'!$C$7+'01_원자료'!R453*'03_가중치민감도'!$D$7</f>
        <v/>
      </c>
      <c r="H456" s="85">
        <f>'01_원자료'!P453*'03_가중치민감도'!$B$8+'01_원자료'!Q453*'03_가중치민감도'!$C$8+'01_원자료'!R453*'03_가중치민감도'!$D$8</f>
        <v/>
      </c>
      <c r="I456" s="85">
        <f>'01_원자료'!P453*'03_가중치민감도'!$B$9+'01_원자료'!Q453*'03_가중치민감도'!$C$9+'01_원자료'!R453*'03_가중치민감도'!$D$9</f>
        <v/>
      </c>
      <c r="J456" s="85">
        <f>'01_원자료'!P453*'03_가중치민감도'!$B$10+'01_원자료'!Q453*'03_가중치민감도'!$C$10+'01_원자료'!R453*'03_가중치민감도'!$D$10</f>
        <v/>
      </c>
      <c r="K456" s="99">
        <f>COUNTIF($E$5:$E$979,"&lt;"&amp;E456)+(COUNTIF($E$5:$E$979,"="&amp;E456)+1)/2</f>
        <v/>
      </c>
      <c r="L456" s="99">
        <f>COUNTIF($F$5:$F$979,"&lt;"&amp;F456)+(COUNTIF($F$5:$F$979,"="&amp;F456)+1)/2</f>
        <v/>
      </c>
      <c r="M456" s="99">
        <f>COUNTIF($G$5:$G$979,"&lt;"&amp;G456)+(COUNTIF($G$5:$G$979,"="&amp;G456)+1)/2</f>
        <v/>
      </c>
      <c r="N456" s="99">
        <f>COUNTIF($H$5:$H$979,"&lt;"&amp;H456)+(COUNTIF($H$5:$H$979,"="&amp;H456)+1)/2</f>
        <v/>
      </c>
      <c r="O456" s="99">
        <f>COUNTIF($I$5:$I$979,"&lt;"&amp;I456)+(COUNTIF($I$5:$I$979,"="&amp;I456)+1)/2</f>
        <v/>
      </c>
      <c r="P456" s="99">
        <f>COUNTIF($J$5:$J$979,"&lt;"&amp;J456)+(COUNTIF($J$5:$J$979,"="&amp;J456)+1)/2</f>
        <v/>
      </c>
    </row>
    <row r="457" ht="15" customHeight="1" s="68">
      <c r="A457" s="70">
        <f>'01_원자료'!A454</f>
        <v/>
      </c>
      <c r="B457" s="70">
        <f>'01_원자료'!B454</f>
        <v/>
      </c>
      <c r="C457" s="70">
        <f>'01_원자료'!C454</f>
        <v/>
      </c>
      <c r="E457" s="85">
        <f>'01_원자료'!P454*'03_가중치민감도'!$B$5+'01_원자료'!Q454*'03_가중치민감도'!$C$5+'01_원자료'!R454*'03_가중치민감도'!$D$5</f>
        <v/>
      </c>
      <c r="F457" s="85">
        <f>'01_원자료'!P454*'03_가중치민감도'!$B$6+'01_원자료'!Q454*'03_가중치민감도'!$C$6+'01_원자료'!R454*'03_가중치민감도'!$D$6</f>
        <v/>
      </c>
      <c r="G457" s="85">
        <f>'01_원자료'!P454*'03_가중치민감도'!$B$7+'01_원자료'!Q454*'03_가중치민감도'!$C$7+'01_원자료'!R454*'03_가중치민감도'!$D$7</f>
        <v/>
      </c>
      <c r="H457" s="85">
        <f>'01_원자료'!P454*'03_가중치민감도'!$B$8+'01_원자료'!Q454*'03_가중치민감도'!$C$8+'01_원자료'!R454*'03_가중치민감도'!$D$8</f>
        <v/>
      </c>
      <c r="I457" s="85">
        <f>'01_원자료'!P454*'03_가중치민감도'!$B$9+'01_원자료'!Q454*'03_가중치민감도'!$C$9+'01_원자료'!R454*'03_가중치민감도'!$D$9</f>
        <v/>
      </c>
      <c r="J457" s="85">
        <f>'01_원자료'!P454*'03_가중치민감도'!$B$10+'01_원자료'!Q454*'03_가중치민감도'!$C$10+'01_원자료'!R454*'03_가중치민감도'!$D$10</f>
        <v/>
      </c>
      <c r="K457" s="99">
        <f>COUNTIF($E$5:$E$979,"&lt;"&amp;E457)+(COUNTIF($E$5:$E$979,"="&amp;E457)+1)/2</f>
        <v/>
      </c>
      <c r="L457" s="99">
        <f>COUNTIF($F$5:$F$979,"&lt;"&amp;F457)+(COUNTIF($F$5:$F$979,"="&amp;F457)+1)/2</f>
        <v/>
      </c>
      <c r="M457" s="99">
        <f>COUNTIF($G$5:$G$979,"&lt;"&amp;G457)+(COUNTIF($G$5:$G$979,"="&amp;G457)+1)/2</f>
        <v/>
      </c>
      <c r="N457" s="99">
        <f>COUNTIF($H$5:$H$979,"&lt;"&amp;H457)+(COUNTIF($H$5:$H$979,"="&amp;H457)+1)/2</f>
        <v/>
      </c>
      <c r="O457" s="99">
        <f>COUNTIF($I$5:$I$979,"&lt;"&amp;I457)+(COUNTIF($I$5:$I$979,"="&amp;I457)+1)/2</f>
        <v/>
      </c>
      <c r="P457" s="99">
        <f>COUNTIF($J$5:$J$979,"&lt;"&amp;J457)+(COUNTIF($J$5:$J$979,"="&amp;J457)+1)/2</f>
        <v/>
      </c>
    </row>
    <row r="458" ht="15" customHeight="1" s="68">
      <c r="A458" s="70">
        <f>'01_원자료'!A455</f>
        <v/>
      </c>
      <c r="B458" s="70">
        <f>'01_원자료'!B455</f>
        <v/>
      </c>
      <c r="C458" s="70">
        <f>'01_원자료'!C455</f>
        <v/>
      </c>
      <c r="E458" s="85">
        <f>'01_원자료'!P455*'03_가중치민감도'!$B$5+'01_원자료'!Q455*'03_가중치민감도'!$C$5+'01_원자료'!R455*'03_가중치민감도'!$D$5</f>
        <v/>
      </c>
      <c r="F458" s="85">
        <f>'01_원자료'!P455*'03_가중치민감도'!$B$6+'01_원자료'!Q455*'03_가중치민감도'!$C$6+'01_원자료'!R455*'03_가중치민감도'!$D$6</f>
        <v/>
      </c>
      <c r="G458" s="85">
        <f>'01_원자료'!P455*'03_가중치민감도'!$B$7+'01_원자료'!Q455*'03_가중치민감도'!$C$7+'01_원자료'!R455*'03_가중치민감도'!$D$7</f>
        <v/>
      </c>
      <c r="H458" s="85">
        <f>'01_원자료'!P455*'03_가중치민감도'!$B$8+'01_원자료'!Q455*'03_가중치민감도'!$C$8+'01_원자료'!R455*'03_가중치민감도'!$D$8</f>
        <v/>
      </c>
      <c r="I458" s="85">
        <f>'01_원자료'!P455*'03_가중치민감도'!$B$9+'01_원자료'!Q455*'03_가중치민감도'!$C$9+'01_원자료'!R455*'03_가중치민감도'!$D$9</f>
        <v/>
      </c>
      <c r="J458" s="85">
        <f>'01_원자료'!P455*'03_가중치민감도'!$B$10+'01_원자료'!Q455*'03_가중치민감도'!$C$10+'01_원자료'!R455*'03_가중치민감도'!$D$10</f>
        <v/>
      </c>
      <c r="K458" s="99">
        <f>COUNTIF($E$5:$E$979,"&lt;"&amp;E458)+(COUNTIF($E$5:$E$979,"="&amp;E458)+1)/2</f>
        <v/>
      </c>
      <c r="L458" s="99">
        <f>COUNTIF($F$5:$F$979,"&lt;"&amp;F458)+(COUNTIF($F$5:$F$979,"="&amp;F458)+1)/2</f>
        <v/>
      </c>
      <c r="M458" s="99">
        <f>COUNTIF($G$5:$G$979,"&lt;"&amp;G458)+(COUNTIF($G$5:$G$979,"="&amp;G458)+1)/2</f>
        <v/>
      </c>
      <c r="N458" s="99">
        <f>COUNTIF($H$5:$H$979,"&lt;"&amp;H458)+(COUNTIF($H$5:$H$979,"="&amp;H458)+1)/2</f>
        <v/>
      </c>
      <c r="O458" s="99">
        <f>COUNTIF($I$5:$I$979,"&lt;"&amp;I458)+(COUNTIF($I$5:$I$979,"="&amp;I458)+1)/2</f>
        <v/>
      </c>
      <c r="P458" s="99">
        <f>COUNTIF($J$5:$J$979,"&lt;"&amp;J458)+(COUNTIF($J$5:$J$979,"="&amp;J458)+1)/2</f>
        <v/>
      </c>
    </row>
    <row r="459" ht="15" customHeight="1" s="68">
      <c r="A459" s="70">
        <f>'01_원자료'!A456</f>
        <v/>
      </c>
      <c r="B459" s="70">
        <f>'01_원자료'!B456</f>
        <v/>
      </c>
      <c r="C459" s="70">
        <f>'01_원자료'!C456</f>
        <v/>
      </c>
      <c r="E459" s="85">
        <f>'01_원자료'!P456*'03_가중치민감도'!$B$5+'01_원자료'!Q456*'03_가중치민감도'!$C$5+'01_원자료'!R456*'03_가중치민감도'!$D$5</f>
        <v/>
      </c>
      <c r="F459" s="85">
        <f>'01_원자료'!P456*'03_가중치민감도'!$B$6+'01_원자료'!Q456*'03_가중치민감도'!$C$6+'01_원자료'!R456*'03_가중치민감도'!$D$6</f>
        <v/>
      </c>
      <c r="G459" s="85">
        <f>'01_원자료'!P456*'03_가중치민감도'!$B$7+'01_원자료'!Q456*'03_가중치민감도'!$C$7+'01_원자료'!R456*'03_가중치민감도'!$D$7</f>
        <v/>
      </c>
      <c r="H459" s="85">
        <f>'01_원자료'!P456*'03_가중치민감도'!$B$8+'01_원자료'!Q456*'03_가중치민감도'!$C$8+'01_원자료'!R456*'03_가중치민감도'!$D$8</f>
        <v/>
      </c>
      <c r="I459" s="85">
        <f>'01_원자료'!P456*'03_가중치민감도'!$B$9+'01_원자료'!Q456*'03_가중치민감도'!$C$9+'01_원자료'!R456*'03_가중치민감도'!$D$9</f>
        <v/>
      </c>
      <c r="J459" s="85">
        <f>'01_원자료'!P456*'03_가중치민감도'!$B$10+'01_원자료'!Q456*'03_가중치민감도'!$C$10+'01_원자료'!R456*'03_가중치민감도'!$D$10</f>
        <v/>
      </c>
      <c r="K459" s="99">
        <f>COUNTIF($E$5:$E$979,"&lt;"&amp;E459)+(COUNTIF($E$5:$E$979,"="&amp;E459)+1)/2</f>
        <v/>
      </c>
      <c r="L459" s="99">
        <f>COUNTIF($F$5:$F$979,"&lt;"&amp;F459)+(COUNTIF($F$5:$F$979,"="&amp;F459)+1)/2</f>
        <v/>
      </c>
      <c r="M459" s="99">
        <f>COUNTIF($G$5:$G$979,"&lt;"&amp;G459)+(COUNTIF($G$5:$G$979,"="&amp;G459)+1)/2</f>
        <v/>
      </c>
      <c r="N459" s="99">
        <f>COUNTIF($H$5:$H$979,"&lt;"&amp;H459)+(COUNTIF($H$5:$H$979,"="&amp;H459)+1)/2</f>
        <v/>
      </c>
      <c r="O459" s="99">
        <f>COUNTIF($I$5:$I$979,"&lt;"&amp;I459)+(COUNTIF($I$5:$I$979,"="&amp;I459)+1)/2</f>
        <v/>
      </c>
      <c r="P459" s="99">
        <f>COUNTIF($J$5:$J$979,"&lt;"&amp;J459)+(COUNTIF($J$5:$J$979,"="&amp;J459)+1)/2</f>
        <v/>
      </c>
    </row>
    <row r="460" ht="15" customHeight="1" s="68">
      <c r="A460" s="70">
        <f>'01_원자료'!A457</f>
        <v/>
      </c>
      <c r="B460" s="70">
        <f>'01_원자료'!B457</f>
        <v/>
      </c>
      <c r="C460" s="70">
        <f>'01_원자료'!C457</f>
        <v/>
      </c>
      <c r="E460" s="85">
        <f>'01_원자료'!P457*'03_가중치민감도'!$B$5+'01_원자료'!Q457*'03_가중치민감도'!$C$5+'01_원자료'!R457*'03_가중치민감도'!$D$5</f>
        <v/>
      </c>
      <c r="F460" s="85">
        <f>'01_원자료'!P457*'03_가중치민감도'!$B$6+'01_원자료'!Q457*'03_가중치민감도'!$C$6+'01_원자료'!R457*'03_가중치민감도'!$D$6</f>
        <v/>
      </c>
      <c r="G460" s="85">
        <f>'01_원자료'!P457*'03_가중치민감도'!$B$7+'01_원자료'!Q457*'03_가중치민감도'!$C$7+'01_원자료'!R457*'03_가중치민감도'!$D$7</f>
        <v/>
      </c>
      <c r="H460" s="85">
        <f>'01_원자료'!P457*'03_가중치민감도'!$B$8+'01_원자료'!Q457*'03_가중치민감도'!$C$8+'01_원자료'!R457*'03_가중치민감도'!$D$8</f>
        <v/>
      </c>
      <c r="I460" s="85">
        <f>'01_원자료'!P457*'03_가중치민감도'!$B$9+'01_원자료'!Q457*'03_가중치민감도'!$C$9+'01_원자료'!R457*'03_가중치민감도'!$D$9</f>
        <v/>
      </c>
      <c r="J460" s="85">
        <f>'01_원자료'!P457*'03_가중치민감도'!$B$10+'01_원자료'!Q457*'03_가중치민감도'!$C$10+'01_원자료'!R457*'03_가중치민감도'!$D$10</f>
        <v/>
      </c>
      <c r="K460" s="99">
        <f>COUNTIF($E$5:$E$979,"&lt;"&amp;E460)+(COUNTIF($E$5:$E$979,"="&amp;E460)+1)/2</f>
        <v/>
      </c>
      <c r="L460" s="99">
        <f>COUNTIF($F$5:$F$979,"&lt;"&amp;F460)+(COUNTIF($F$5:$F$979,"="&amp;F460)+1)/2</f>
        <v/>
      </c>
      <c r="M460" s="99">
        <f>COUNTIF($G$5:$G$979,"&lt;"&amp;G460)+(COUNTIF($G$5:$G$979,"="&amp;G460)+1)/2</f>
        <v/>
      </c>
      <c r="N460" s="99">
        <f>COUNTIF($H$5:$H$979,"&lt;"&amp;H460)+(COUNTIF($H$5:$H$979,"="&amp;H460)+1)/2</f>
        <v/>
      </c>
      <c r="O460" s="99">
        <f>COUNTIF($I$5:$I$979,"&lt;"&amp;I460)+(COUNTIF($I$5:$I$979,"="&amp;I460)+1)/2</f>
        <v/>
      </c>
      <c r="P460" s="99">
        <f>COUNTIF($J$5:$J$979,"&lt;"&amp;J460)+(COUNTIF($J$5:$J$979,"="&amp;J460)+1)/2</f>
        <v/>
      </c>
    </row>
    <row r="461" ht="15" customHeight="1" s="68">
      <c r="A461" s="70">
        <f>'01_원자료'!A458</f>
        <v/>
      </c>
      <c r="B461" s="70">
        <f>'01_원자료'!B458</f>
        <v/>
      </c>
      <c r="C461" s="70">
        <f>'01_원자료'!C458</f>
        <v/>
      </c>
      <c r="E461" s="85">
        <f>'01_원자료'!P458*'03_가중치민감도'!$B$5+'01_원자료'!Q458*'03_가중치민감도'!$C$5+'01_원자료'!R458*'03_가중치민감도'!$D$5</f>
        <v/>
      </c>
      <c r="F461" s="85">
        <f>'01_원자료'!P458*'03_가중치민감도'!$B$6+'01_원자료'!Q458*'03_가중치민감도'!$C$6+'01_원자료'!R458*'03_가중치민감도'!$D$6</f>
        <v/>
      </c>
      <c r="G461" s="85">
        <f>'01_원자료'!P458*'03_가중치민감도'!$B$7+'01_원자료'!Q458*'03_가중치민감도'!$C$7+'01_원자료'!R458*'03_가중치민감도'!$D$7</f>
        <v/>
      </c>
      <c r="H461" s="85">
        <f>'01_원자료'!P458*'03_가중치민감도'!$B$8+'01_원자료'!Q458*'03_가중치민감도'!$C$8+'01_원자료'!R458*'03_가중치민감도'!$D$8</f>
        <v/>
      </c>
      <c r="I461" s="85">
        <f>'01_원자료'!P458*'03_가중치민감도'!$B$9+'01_원자료'!Q458*'03_가중치민감도'!$C$9+'01_원자료'!R458*'03_가중치민감도'!$D$9</f>
        <v/>
      </c>
      <c r="J461" s="85">
        <f>'01_원자료'!P458*'03_가중치민감도'!$B$10+'01_원자료'!Q458*'03_가중치민감도'!$C$10+'01_원자료'!R458*'03_가중치민감도'!$D$10</f>
        <v/>
      </c>
      <c r="K461" s="99">
        <f>COUNTIF($E$5:$E$979,"&lt;"&amp;E461)+(COUNTIF($E$5:$E$979,"="&amp;E461)+1)/2</f>
        <v/>
      </c>
      <c r="L461" s="99">
        <f>COUNTIF($F$5:$F$979,"&lt;"&amp;F461)+(COUNTIF($F$5:$F$979,"="&amp;F461)+1)/2</f>
        <v/>
      </c>
      <c r="M461" s="99">
        <f>COUNTIF($G$5:$G$979,"&lt;"&amp;G461)+(COUNTIF($G$5:$G$979,"="&amp;G461)+1)/2</f>
        <v/>
      </c>
      <c r="N461" s="99">
        <f>COUNTIF($H$5:$H$979,"&lt;"&amp;H461)+(COUNTIF($H$5:$H$979,"="&amp;H461)+1)/2</f>
        <v/>
      </c>
      <c r="O461" s="99">
        <f>COUNTIF($I$5:$I$979,"&lt;"&amp;I461)+(COUNTIF($I$5:$I$979,"="&amp;I461)+1)/2</f>
        <v/>
      </c>
      <c r="P461" s="99">
        <f>COUNTIF($J$5:$J$979,"&lt;"&amp;J461)+(COUNTIF($J$5:$J$979,"="&amp;J461)+1)/2</f>
        <v/>
      </c>
    </row>
    <row r="462" ht="15" customHeight="1" s="68">
      <c r="A462" s="70">
        <f>'01_원자료'!A459</f>
        <v/>
      </c>
      <c r="B462" s="70">
        <f>'01_원자료'!B459</f>
        <v/>
      </c>
      <c r="C462" s="70">
        <f>'01_원자료'!C459</f>
        <v/>
      </c>
      <c r="E462" s="85">
        <f>'01_원자료'!P459*'03_가중치민감도'!$B$5+'01_원자료'!Q459*'03_가중치민감도'!$C$5+'01_원자료'!R459*'03_가중치민감도'!$D$5</f>
        <v/>
      </c>
      <c r="F462" s="85">
        <f>'01_원자료'!P459*'03_가중치민감도'!$B$6+'01_원자료'!Q459*'03_가중치민감도'!$C$6+'01_원자료'!R459*'03_가중치민감도'!$D$6</f>
        <v/>
      </c>
      <c r="G462" s="85">
        <f>'01_원자료'!P459*'03_가중치민감도'!$B$7+'01_원자료'!Q459*'03_가중치민감도'!$C$7+'01_원자료'!R459*'03_가중치민감도'!$D$7</f>
        <v/>
      </c>
      <c r="H462" s="85">
        <f>'01_원자료'!P459*'03_가중치민감도'!$B$8+'01_원자료'!Q459*'03_가중치민감도'!$C$8+'01_원자료'!R459*'03_가중치민감도'!$D$8</f>
        <v/>
      </c>
      <c r="I462" s="85">
        <f>'01_원자료'!P459*'03_가중치민감도'!$B$9+'01_원자료'!Q459*'03_가중치민감도'!$C$9+'01_원자료'!R459*'03_가중치민감도'!$D$9</f>
        <v/>
      </c>
      <c r="J462" s="85">
        <f>'01_원자료'!P459*'03_가중치민감도'!$B$10+'01_원자료'!Q459*'03_가중치민감도'!$C$10+'01_원자료'!R459*'03_가중치민감도'!$D$10</f>
        <v/>
      </c>
      <c r="K462" s="99">
        <f>COUNTIF($E$5:$E$979,"&lt;"&amp;E462)+(COUNTIF($E$5:$E$979,"="&amp;E462)+1)/2</f>
        <v/>
      </c>
      <c r="L462" s="99">
        <f>COUNTIF($F$5:$F$979,"&lt;"&amp;F462)+(COUNTIF($F$5:$F$979,"="&amp;F462)+1)/2</f>
        <v/>
      </c>
      <c r="M462" s="99">
        <f>COUNTIF($G$5:$G$979,"&lt;"&amp;G462)+(COUNTIF($G$5:$G$979,"="&amp;G462)+1)/2</f>
        <v/>
      </c>
      <c r="N462" s="99">
        <f>COUNTIF($H$5:$H$979,"&lt;"&amp;H462)+(COUNTIF($H$5:$H$979,"="&amp;H462)+1)/2</f>
        <v/>
      </c>
      <c r="O462" s="99">
        <f>COUNTIF($I$5:$I$979,"&lt;"&amp;I462)+(COUNTIF($I$5:$I$979,"="&amp;I462)+1)/2</f>
        <v/>
      </c>
      <c r="P462" s="99">
        <f>COUNTIF($J$5:$J$979,"&lt;"&amp;J462)+(COUNTIF($J$5:$J$979,"="&amp;J462)+1)/2</f>
        <v/>
      </c>
    </row>
    <row r="463" ht="15" customHeight="1" s="68">
      <c r="A463" s="70">
        <f>'01_원자료'!A460</f>
        <v/>
      </c>
      <c r="B463" s="70">
        <f>'01_원자료'!B460</f>
        <v/>
      </c>
      <c r="C463" s="70">
        <f>'01_원자료'!C460</f>
        <v/>
      </c>
      <c r="E463" s="85">
        <f>'01_원자료'!P460*'03_가중치민감도'!$B$5+'01_원자료'!Q460*'03_가중치민감도'!$C$5+'01_원자료'!R460*'03_가중치민감도'!$D$5</f>
        <v/>
      </c>
      <c r="F463" s="85">
        <f>'01_원자료'!P460*'03_가중치민감도'!$B$6+'01_원자료'!Q460*'03_가중치민감도'!$C$6+'01_원자료'!R460*'03_가중치민감도'!$D$6</f>
        <v/>
      </c>
      <c r="G463" s="85">
        <f>'01_원자료'!P460*'03_가중치민감도'!$B$7+'01_원자료'!Q460*'03_가중치민감도'!$C$7+'01_원자료'!R460*'03_가중치민감도'!$D$7</f>
        <v/>
      </c>
      <c r="H463" s="85">
        <f>'01_원자료'!P460*'03_가중치민감도'!$B$8+'01_원자료'!Q460*'03_가중치민감도'!$C$8+'01_원자료'!R460*'03_가중치민감도'!$D$8</f>
        <v/>
      </c>
      <c r="I463" s="85">
        <f>'01_원자료'!P460*'03_가중치민감도'!$B$9+'01_원자료'!Q460*'03_가중치민감도'!$C$9+'01_원자료'!R460*'03_가중치민감도'!$D$9</f>
        <v/>
      </c>
      <c r="J463" s="85">
        <f>'01_원자료'!P460*'03_가중치민감도'!$B$10+'01_원자료'!Q460*'03_가중치민감도'!$C$10+'01_원자료'!R460*'03_가중치민감도'!$D$10</f>
        <v/>
      </c>
      <c r="K463" s="99">
        <f>COUNTIF($E$5:$E$979,"&lt;"&amp;E463)+(COUNTIF($E$5:$E$979,"="&amp;E463)+1)/2</f>
        <v/>
      </c>
      <c r="L463" s="99">
        <f>COUNTIF($F$5:$F$979,"&lt;"&amp;F463)+(COUNTIF($F$5:$F$979,"="&amp;F463)+1)/2</f>
        <v/>
      </c>
      <c r="M463" s="99">
        <f>COUNTIF($G$5:$G$979,"&lt;"&amp;G463)+(COUNTIF($G$5:$G$979,"="&amp;G463)+1)/2</f>
        <v/>
      </c>
      <c r="N463" s="99">
        <f>COUNTIF($H$5:$H$979,"&lt;"&amp;H463)+(COUNTIF($H$5:$H$979,"="&amp;H463)+1)/2</f>
        <v/>
      </c>
      <c r="O463" s="99">
        <f>COUNTIF($I$5:$I$979,"&lt;"&amp;I463)+(COUNTIF($I$5:$I$979,"="&amp;I463)+1)/2</f>
        <v/>
      </c>
      <c r="P463" s="99">
        <f>COUNTIF($J$5:$J$979,"&lt;"&amp;J463)+(COUNTIF($J$5:$J$979,"="&amp;J463)+1)/2</f>
        <v/>
      </c>
    </row>
    <row r="464" ht="15" customHeight="1" s="68">
      <c r="A464" s="70">
        <f>'01_원자료'!A461</f>
        <v/>
      </c>
      <c r="B464" s="70">
        <f>'01_원자료'!B461</f>
        <v/>
      </c>
      <c r="C464" s="70">
        <f>'01_원자료'!C461</f>
        <v/>
      </c>
      <c r="E464" s="85">
        <f>'01_원자료'!P461*'03_가중치민감도'!$B$5+'01_원자료'!Q461*'03_가중치민감도'!$C$5+'01_원자료'!R461*'03_가중치민감도'!$D$5</f>
        <v/>
      </c>
      <c r="F464" s="85">
        <f>'01_원자료'!P461*'03_가중치민감도'!$B$6+'01_원자료'!Q461*'03_가중치민감도'!$C$6+'01_원자료'!R461*'03_가중치민감도'!$D$6</f>
        <v/>
      </c>
      <c r="G464" s="85">
        <f>'01_원자료'!P461*'03_가중치민감도'!$B$7+'01_원자료'!Q461*'03_가중치민감도'!$C$7+'01_원자료'!R461*'03_가중치민감도'!$D$7</f>
        <v/>
      </c>
      <c r="H464" s="85">
        <f>'01_원자료'!P461*'03_가중치민감도'!$B$8+'01_원자료'!Q461*'03_가중치민감도'!$C$8+'01_원자료'!R461*'03_가중치민감도'!$D$8</f>
        <v/>
      </c>
      <c r="I464" s="85">
        <f>'01_원자료'!P461*'03_가중치민감도'!$B$9+'01_원자료'!Q461*'03_가중치민감도'!$C$9+'01_원자료'!R461*'03_가중치민감도'!$D$9</f>
        <v/>
      </c>
      <c r="J464" s="85">
        <f>'01_원자료'!P461*'03_가중치민감도'!$B$10+'01_원자료'!Q461*'03_가중치민감도'!$C$10+'01_원자료'!R461*'03_가중치민감도'!$D$10</f>
        <v/>
      </c>
      <c r="K464" s="99">
        <f>COUNTIF($E$5:$E$979,"&lt;"&amp;E464)+(COUNTIF($E$5:$E$979,"="&amp;E464)+1)/2</f>
        <v/>
      </c>
      <c r="L464" s="99">
        <f>COUNTIF($F$5:$F$979,"&lt;"&amp;F464)+(COUNTIF($F$5:$F$979,"="&amp;F464)+1)/2</f>
        <v/>
      </c>
      <c r="M464" s="99">
        <f>COUNTIF($G$5:$G$979,"&lt;"&amp;G464)+(COUNTIF($G$5:$G$979,"="&amp;G464)+1)/2</f>
        <v/>
      </c>
      <c r="N464" s="99">
        <f>COUNTIF($H$5:$H$979,"&lt;"&amp;H464)+(COUNTIF($H$5:$H$979,"="&amp;H464)+1)/2</f>
        <v/>
      </c>
      <c r="O464" s="99">
        <f>COUNTIF($I$5:$I$979,"&lt;"&amp;I464)+(COUNTIF($I$5:$I$979,"="&amp;I464)+1)/2</f>
        <v/>
      </c>
      <c r="P464" s="99">
        <f>COUNTIF($J$5:$J$979,"&lt;"&amp;J464)+(COUNTIF($J$5:$J$979,"="&amp;J464)+1)/2</f>
        <v/>
      </c>
    </row>
    <row r="465" ht="15" customHeight="1" s="68">
      <c r="A465" s="70">
        <f>'01_원자료'!A462</f>
        <v/>
      </c>
      <c r="B465" s="70">
        <f>'01_원자료'!B462</f>
        <v/>
      </c>
      <c r="C465" s="70">
        <f>'01_원자료'!C462</f>
        <v/>
      </c>
      <c r="E465" s="85">
        <f>'01_원자료'!P462*'03_가중치민감도'!$B$5+'01_원자료'!Q462*'03_가중치민감도'!$C$5+'01_원자료'!R462*'03_가중치민감도'!$D$5</f>
        <v/>
      </c>
      <c r="F465" s="85">
        <f>'01_원자료'!P462*'03_가중치민감도'!$B$6+'01_원자료'!Q462*'03_가중치민감도'!$C$6+'01_원자료'!R462*'03_가중치민감도'!$D$6</f>
        <v/>
      </c>
      <c r="G465" s="85">
        <f>'01_원자료'!P462*'03_가중치민감도'!$B$7+'01_원자료'!Q462*'03_가중치민감도'!$C$7+'01_원자료'!R462*'03_가중치민감도'!$D$7</f>
        <v/>
      </c>
      <c r="H465" s="85">
        <f>'01_원자료'!P462*'03_가중치민감도'!$B$8+'01_원자료'!Q462*'03_가중치민감도'!$C$8+'01_원자료'!R462*'03_가중치민감도'!$D$8</f>
        <v/>
      </c>
      <c r="I465" s="85">
        <f>'01_원자료'!P462*'03_가중치민감도'!$B$9+'01_원자료'!Q462*'03_가중치민감도'!$C$9+'01_원자료'!R462*'03_가중치민감도'!$D$9</f>
        <v/>
      </c>
      <c r="J465" s="85">
        <f>'01_원자료'!P462*'03_가중치민감도'!$B$10+'01_원자료'!Q462*'03_가중치민감도'!$C$10+'01_원자료'!R462*'03_가중치민감도'!$D$10</f>
        <v/>
      </c>
      <c r="K465" s="99">
        <f>COUNTIF($E$5:$E$979,"&lt;"&amp;E465)+(COUNTIF($E$5:$E$979,"="&amp;E465)+1)/2</f>
        <v/>
      </c>
      <c r="L465" s="99">
        <f>COUNTIF($F$5:$F$979,"&lt;"&amp;F465)+(COUNTIF($F$5:$F$979,"="&amp;F465)+1)/2</f>
        <v/>
      </c>
      <c r="M465" s="99">
        <f>COUNTIF($G$5:$G$979,"&lt;"&amp;G465)+(COUNTIF($G$5:$G$979,"="&amp;G465)+1)/2</f>
        <v/>
      </c>
      <c r="N465" s="99">
        <f>COUNTIF($H$5:$H$979,"&lt;"&amp;H465)+(COUNTIF($H$5:$H$979,"="&amp;H465)+1)/2</f>
        <v/>
      </c>
      <c r="O465" s="99">
        <f>COUNTIF($I$5:$I$979,"&lt;"&amp;I465)+(COUNTIF($I$5:$I$979,"="&amp;I465)+1)/2</f>
        <v/>
      </c>
      <c r="P465" s="99">
        <f>COUNTIF($J$5:$J$979,"&lt;"&amp;J465)+(COUNTIF($J$5:$J$979,"="&amp;J465)+1)/2</f>
        <v/>
      </c>
    </row>
    <row r="466" ht="15" customHeight="1" s="68">
      <c r="A466" s="70">
        <f>'01_원자료'!A463</f>
        <v/>
      </c>
      <c r="B466" s="70">
        <f>'01_원자료'!B463</f>
        <v/>
      </c>
      <c r="C466" s="70">
        <f>'01_원자료'!C463</f>
        <v/>
      </c>
      <c r="E466" s="85">
        <f>'01_원자료'!P463*'03_가중치민감도'!$B$5+'01_원자료'!Q463*'03_가중치민감도'!$C$5+'01_원자료'!R463*'03_가중치민감도'!$D$5</f>
        <v/>
      </c>
      <c r="F466" s="85">
        <f>'01_원자료'!P463*'03_가중치민감도'!$B$6+'01_원자료'!Q463*'03_가중치민감도'!$C$6+'01_원자료'!R463*'03_가중치민감도'!$D$6</f>
        <v/>
      </c>
      <c r="G466" s="85">
        <f>'01_원자료'!P463*'03_가중치민감도'!$B$7+'01_원자료'!Q463*'03_가중치민감도'!$C$7+'01_원자료'!R463*'03_가중치민감도'!$D$7</f>
        <v/>
      </c>
      <c r="H466" s="85">
        <f>'01_원자료'!P463*'03_가중치민감도'!$B$8+'01_원자료'!Q463*'03_가중치민감도'!$C$8+'01_원자료'!R463*'03_가중치민감도'!$D$8</f>
        <v/>
      </c>
      <c r="I466" s="85">
        <f>'01_원자료'!P463*'03_가중치민감도'!$B$9+'01_원자료'!Q463*'03_가중치민감도'!$C$9+'01_원자료'!R463*'03_가중치민감도'!$D$9</f>
        <v/>
      </c>
      <c r="J466" s="85">
        <f>'01_원자료'!P463*'03_가중치민감도'!$B$10+'01_원자료'!Q463*'03_가중치민감도'!$C$10+'01_원자료'!R463*'03_가중치민감도'!$D$10</f>
        <v/>
      </c>
      <c r="K466" s="99">
        <f>COUNTIF($E$5:$E$979,"&lt;"&amp;E466)+(COUNTIF($E$5:$E$979,"="&amp;E466)+1)/2</f>
        <v/>
      </c>
      <c r="L466" s="99">
        <f>COUNTIF($F$5:$F$979,"&lt;"&amp;F466)+(COUNTIF($F$5:$F$979,"="&amp;F466)+1)/2</f>
        <v/>
      </c>
      <c r="M466" s="99">
        <f>COUNTIF($G$5:$G$979,"&lt;"&amp;G466)+(COUNTIF($G$5:$G$979,"="&amp;G466)+1)/2</f>
        <v/>
      </c>
      <c r="N466" s="99">
        <f>COUNTIF($H$5:$H$979,"&lt;"&amp;H466)+(COUNTIF($H$5:$H$979,"="&amp;H466)+1)/2</f>
        <v/>
      </c>
      <c r="O466" s="99">
        <f>COUNTIF($I$5:$I$979,"&lt;"&amp;I466)+(COUNTIF($I$5:$I$979,"="&amp;I466)+1)/2</f>
        <v/>
      </c>
      <c r="P466" s="99">
        <f>COUNTIF($J$5:$J$979,"&lt;"&amp;J466)+(COUNTIF($J$5:$J$979,"="&amp;J466)+1)/2</f>
        <v/>
      </c>
    </row>
    <row r="467" ht="15" customHeight="1" s="68">
      <c r="A467" s="70">
        <f>'01_원자료'!A464</f>
        <v/>
      </c>
      <c r="B467" s="70">
        <f>'01_원자료'!B464</f>
        <v/>
      </c>
      <c r="C467" s="70">
        <f>'01_원자료'!C464</f>
        <v/>
      </c>
      <c r="E467" s="85">
        <f>'01_원자료'!P464*'03_가중치민감도'!$B$5+'01_원자료'!Q464*'03_가중치민감도'!$C$5+'01_원자료'!R464*'03_가중치민감도'!$D$5</f>
        <v/>
      </c>
      <c r="F467" s="85">
        <f>'01_원자료'!P464*'03_가중치민감도'!$B$6+'01_원자료'!Q464*'03_가중치민감도'!$C$6+'01_원자료'!R464*'03_가중치민감도'!$D$6</f>
        <v/>
      </c>
      <c r="G467" s="85">
        <f>'01_원자료'!P464*'03_가중치민감도'!$B$7+'01_원자료'!Q464*'03_가중치민감도'!$C$7+'01_원자료'!R464*'03_가중치민감도'!$D$7</f>
        <v/>
      </c>
      <c r="H467" s="85">
        <f>'01_원자료'!P464*'03_가중치민감도'!$B$8+'01_원자료'!Q464*'03_가중치민감도'!$C$8+'01_원자료'!R464*'03_가중치민감도'!$D$8</f>
        <v/>
      </c>
      <c r="I467" s="85">
        <f>'01_원자료'!P464*'03_가중치민감도'!$B$9+'01_원자료'!Q464*'03_가중치민감도'!$C$9+'01_원자료'!R464*'03_가중치민감도'!$D$9</f>
        <v/>
      </c>
      <c r="J467" s="85">
        <f>'01_원자료'!P464*'03_가중치민감도'!$B$10+'01_원자료'!Q464*'03_가중치민감도'!$C$10+'01_원자료'!R464*'03_가중치민감도'!$D$10</f>
        <v/>
      </c>
      <c r="K467" s="99">
        <f>COUNTIF($E$5:$E$979,"&lt;"&amp;E467)+(COUNTIF($E$5:$E$979,"="&amp;E467)+1)/2</f>
        <v/>
      </c>
      <c r="L467" s="99">
        <f>COUNTIF($F$5:$F$979,"&lt;"&amp;F467)+(COUNTIF($F$5:$F$979,"="&amp;F467)+1)/2</f>
        <v/>
      </c>
      <c r="M467" s="99">
        <f>COUNTIF($G$5:$G$979,"&lt;"&amp;G467)+(COUNTIF($G$5:$G$979,"="&amp;G467)+1)/2</f>
        <v/>
      </c>
      <c r="N467" s="99">
        <f>COUNTIF($H$5:$H$979,"&lt;"&amp;H467)+(COUNTIF($H$5:$H$979,"="&amp;H467)+1)/2</f>
        <v/>
      </c>
      <c r="O467" s="99">
        <f>COUNTIF($I$5:$I$979,"&lt;"&amp;I467)+(COUNTIF($I$5:$I$979,"="&amp;I467)+1)/2</f>
        <v/>
      </c>
      <c r="P467" s="99">
        <f>COUNTIF($J$5:$J$979,"&lt;"&amp;J467)+(COUNTIF($J$5:$J$979,"="&amp;J467)+1)/2</f>
        <v/>
      </c>
    </row>
    <row r="468" ht="15" customHeight="1" s="68">
      <c r="A468" s="70">
        <f>'01_원자료'!A465</f>
        <v/>
      </c>
      <c r="B468" s="70">
        <f>'01_원자료'!B465</f>
        <v/>
      </c>
      <c r="C468" s="70">
        <f>'01_원자료'!C465</f>
        <v/>
      </c>
      <c r="E468" s="85">
        <f>'01_원자료'!P465*'03_가중치민감도'!$B$5+'01_원자료'!Q465*'03_가중치민감도'!$C$5+'01_원자료'!R465*'03_가중치민감도'!$D$5</f>
        <v/>
      </c>
      <c r="F468" s="85">
        <f>'01_원자료'!P465*'03_가중치민감도'!$B$6+'01_원자료'!Q465*'03_가중치민감도'!$C$6+'01_원자료'!R465*'03_가중치민감도'!$D$6</f>
        <v/>
      </c>
      <c r="G468" s="85">
        <f>'01_원자료'!P465*'03_가중치민감도'!$B$7+'01_원자료'!Q465*'03_가중치민감도'!$C$7+'01_원자료'!R465*'03_가중치민감도'!$D$7</f>
        <v/>
      </c>
      <c r="H468" s="85">
        <f>'01_원자료'!P465*'03_가중치민감도'!$B$8+'01_원자료'!Q465*'03_가중치민감도'!$C$8+'01_원자료'!R465*'03_가중치민감도'!$D$8</f>
        <v/>
      </c>
      <c r="I468" s="85">
        <f>'01_원자료'!P465*'03_가중치민감도'!$B$9+'01_원자료'!Q465*'03_가중치민감도'!$C$9+'01_원자료'!R465*'03_가중치민감도'!$D$9</f>
        <v/>
      </c>
      <c r="J468" s="85">
        <f>'01_원자료'!P465*'03_가중치민감도'!$B$10+'01_원자료'!Q465*'03_가중치민감도'!$C$10+'01_원자료'!R465*'03_가중치민감도'!$D$10</f>
        <v/>
      </c>
      <c r="K468" s="99">
        <f>COUNTIF($E$5:$E$979,"&lt;"&amp;E468)+(COUNTIF($E$5:$E$979,"="&amp;E468)+1)/2</f>
        <v/>
      </c>
      <c r="L468" s="99">
        <f>COUNTIF($F$5:$F$979,"&lt;"&amp;F468)+(COUNTIF($F$5:$F$979,"="&amp;F468)+1)/2</f>
        <v/>
      </c>
      <c r="M468" s="99">
        <f>COUNTIF($G$5:$G$979,"&lt;"&amp;G468)+(COUNTIF($G$5:$G$979,"="&amp;G468)+1)/2</f>
        <v/>
      </c>
      <c r="N468" s="99">
        <f>COUNTIF($H$5:$H$979,"&lt;"&amp;H468)+(COUNTIF($H$5:$H$979,"="&amp;H468)+1)/2</f>
        <v/>
      </c>
      <c r="O468" s="99">
        <f>COUNTIF($I$5:$I$979,"&lt;"&amp;I468)+(COUNTIF($I$5:$I$979,"="&amp;I468)+1)/2</f>
        <v/>
      </c>
      <c r="P468" s="99">
        <f>COUNTIF($J$5:$J$979,"&lt;"&amp;J468)+(COUNTIF($J$5:$J$979,"="&amp;J468)+1)/2</f>
        <v/>
      </c>
    </row>
    <row r="469" ht="15" customHeight="1" s="68">
      <c r="A469" s="70">
        <f>'01_원자료'!A466</f>
        <v/>
      </c>
      <c r="B469" s="70">
        <f>'01_원자료'!B466</f>
        <v/>
      </c>
      <c r="C469" s="70">
        <f>'01_원자료'!C466</f>
        <v/>
      </c>
      <c r="E469" s="85">
        <f>'01_원자료'!P466*'03_가중치민감도'!$B$5+'01_원자료'!Q466*'03_가중치민감도'!$C$5+'01_원자료'!R466*'03_가중치민감도'!$D$5</f>
        <v/>
      </c>
      <c r="F469" s="85">
        <f>'01_원자료'!P466*'03_가중치민감도'!$B$6+'01_원자료'!Q466*'03_가중치민감도'!$C$6+'01_원자료'!R466*'03_가중치민감도'!$D$6</f>
        <v/>
      </c>
      <c r="G469" s="85">
        <f>'01_원자료'!P466*'03_가중치민감도'!$B$7+'01_원자료'!Q466*'03_가중치민감도'!$C$7+'01_원자료'!R466*'03_가중치민감도'!$D$7</f>
        <v/>
      </c>
      <c r="H469" s="85">
        <f>'01_원자료'!P466*'03_가중치민감도'!$B$8+'01_원자료'!Q466*'03_가중치민감도'!$C$8+'01_원자료'!R466*'03_가중치민감도'!$D$8</f>
        <v/>
      </c>
      <c r="I469" s="85">
        <f>'01_원자료'!P466*'03_가중치민감도'!$B$9+'01_원자료'!Q466*'03_가중치민감도'!$C$9+'01_원자료'!R466*'03_가중치민감도'!$D$9</f>
        <v/>
      </c>
      <c r="J469" s="85">
        <f>'01_원자료'!P466*'03_가중치민감도'!$B$10+'01_원자료'!Q466*'03_가중치민감도'!$C$10+'01_원자료'!R466*'03_가중치민감도'!$D$10</f>
        <v/>
      </c>
      <c r="K469" s="99">
        <f>COUNTIF($E$5:$E$979,"&lt;"&amp;E469)+(COUNTIF($E$5:$E$979,"="&amp;E469)+1)/2</f>
        <v/>
      </c>
      <c r="L469" s="99">
        <f>COUNTIF($F$5:$F$979,"&lt;"&amp;F469)+(COUNTIF($F$5:$F$979,"="&amp;F469)+1)/2</f>
        <v/>
      </c>
      <c r="M469" s="99">
        <f>COUNTIF($G$5:$G$979,"&lt;"&amp;G469)+(COUNTIF($G$5:$G$979,"="&amp;G469)+1)/2</f>
        <v/>
      </c>
      <c r="N469" s="99">
        <f>COUNTIF($H$5:$H$979,"&lt;"&amp;H469)+(COUNTIF($H$5:$H$979,"="&amp;H469)+1)/2</f>
        <v/>
      </c>
      <c r="O469" s="99">
        <f>COUNTIF($I$5:$I$979,"&lt;"&amp;I469)+(COUNTIF($I$5:$I$979,"="&amp;I469)+1)/2</f>
        <v/>
      </c>
      <c r="P469" s="99">
        <f>COUNTIF($J$5:$J$979,"&lt;"&amp;J469)+(COUNTIF($J$5:$J$979,"="&amp;J469)+1)/2</f>
        <v/>
      </c>
    </row>
    <row r="470" ht="15" customHeight="1" s="68">
      <c r="A470" s="70">
        <f>'01_원자료'!A467</f>
        <v/>
      </c>
      <c r="B470" s="70">
        <f>'01_원자료'!B467</f>
        <v/>
      </c>
      <c r="C470" s="70">
        <f>'01_원자료'!C467</f>
        <v/>
      </c>
      <c r="E470" s="85">
        <f>'01_원자료'!P467*'03_가중치민감도'!$B$5+'01_원자료'!Q467*'03_가중치민감도'!$C$5+'01_원자료'!R467*'03_가중치민감도'!$D$5</f>
        <v/>
      </c>
      <c r="F470" s="85">
        <f>'01_원자료'!P467*'03_가중치민감도'!$B$6+'01_원자료'!Q467*'03_가중치민감도'!$C$6+'01_원자료'!R467*'03_가중치민감도'!$D$6</f>
        <v/>
      </c>
      <c r="G470" s="85">
        <f>'01_원자료'!P467*'03_가중치민감도'!$B$7+'01_원자료'!Q467*'03_가중치민감도'!$C$7+'01_원자료'!R467*'03_가중치민감도'!$D$7</f>
        <v/>
      </c>
      <c r="H470" s="85">
        <f>'01_원자료'!P467*'03_가중치민감도'!$B$8+'01_원자료'!Q467*'03_가중치민감도'!$C$8+'01_원자료'!R467*'03_가중치민감도'!$D$8</f>
        <v/>
      </c>
      <c r="I470" s="85">
        <f>'01_원자료'!P467*'03_가중치민감도'!$B$9+'01_원자료'!Q467*'03_가중치민감도'!$C$9+'01_원자료'!R467*'03_가중치민감도'!$D$9</f>
        <v/>
      </c>
      <c r="J470" s="85">
        <f>'01_원자료'!P467*'03_가중치민감도'!$B$10+'01_원자료'!Q467*'03_가중치민감도'!$C$10+'01_원자료'!R467*'03_가중치민감도'!$D$10</f>
        <v/>
      </c>
      <c r="K470" s="99">
        <f>COUNTIF($E$5:$E$979,"&lt;"&amp;E470)+(COUNTIF($E$5:$E$979,"="&amp;E470)+1)/2</f>
        <v/>
      </c>
      <c r="L470" s="99">
        <f>COUNTIF($F$5:$F$979,"&lt;"&amp;F470)+(COUNTIF($F$5:$F$979,"="&amp;F470)+1)/2</f>
        <v/>
      </c>
      <c r="M470" s="99">
        <f>COUNTIF($G$5:$G$979,"&lt;"&amp;G470)+(COUNTIF($G$5:$G$979,"="&amp;G470)+1)/2</f>
        <v/>
      </c>
      <c r="N470" s="99">
        <f>COUNTIF($H$5:$H$979,"&lt;"&amp;H470)+(COUNTIF($H$5:$H$979,"="&amp;H470)+1)/2</f>
        <v/>
      </c>
      <c r="O470" s="99">
        <f>COUNTIF($I$5:$I$979,"&lt;"&amp;I470)+(COUNTIF($I$5:$I$979,"="&amp;I470)+1)/2</f>
        <v/>
      </c>
      <c r="P470" s="99">
        <f>COUNTIF($J$5:$J$979,"&lt;"&amp;J470)+(COUNTIF($J$5:$J$979,"="&amp;J470)+1)/2</f>
        <v/>
      </c>
    </row>
    <row r="471" ht="15" customHeight="1" s="68">
      <c r="A471" s="70">
        <f>'01_원자료'!A468</f>
        <v/>
      </c>
      <c r="B471" s="70">
        <f>'01_원자료'!B468</f>
        <v/>
      </c>
      <c r="C471" s="70">
        <f>'01_원자료'!C468</f>
        <v/>
      </c>
      <c r="E471" s="85">
        <f>'01_원자료'!P468*'03_가중치민감도'!$B$5+'01_원자료'!Q468*'03_가중치민감도'!$C$5+'01_원자료'!R468*'03_가중치민감도'!$D$5</f>
        <v/>
      </c>
      <c r="F471" s="85">
        <f>'01_원자료'!P468*'03_가중치민감도'!$B$6+'01_원자료'!Q468*'03_가중치민감도'!$C$6+'01_원자료'!R468*'03_가중치민감도'!$D$6</f>
        <v/>
      </c>
      <c r="G471" s="85">
        <f>'01_원자료'!P468*'03_가중치민감도'!$B$7+'01_원자료'!Q468*'03_가중치민감도'!$C$7+'01_원자료'!R468*'03_가중치민감도'!$D$7</f>
        <v/>
      </c>
      <c r="H471" s="85">
        <f>'01_원자료'!P468*'03_가중치민감도'!$B$8+'01_원자료'!Q468*'03_가중치민감도'!$C$8+'01_원자료'!R468*'03_가중치민감도'!$D$8</f>
        <v/>
      </c>
      <c r="I471" s="85">
        <f>'01_원자료'!P468*'03_가중치민감도'!$B$9+'01_원자료'!Q468*'03_가중치민감도'!$C$9+'01_원자료'!R468*'03_가중치민감도'!$D$9</f>
        <v/>
      </c>
      <c r="J471" s="85">
        <f>'01_원자료'!P468*'03_가중치민감도'!$B$10+'01_원자료'!Q468*'03_가중치민감도'!$C$10+'01_원자료'!R468*'03_가중치민감도'!$D$10</f>
        <v/>
      </c>
      <c r="K471" s="99">
        <f>COUNTIF($E$5:$E$979,"&lt;"&amp;E471)+(COUNTIF($E$5:$E$979,"="&amp;E471)+1)/2</f>
        <v/>
      </c>
      <c r="L471" s="99">
        <f>COUNTIF($F$5:$F$979,"&lt;"&amp;F471)+(COUNTIF($F$5:$F$979,"="&amp;F471)+1)/2</f>
        <v/>
      </c>
      <c r="M471" s="99">
        <f>COUNTIF($G$5:$G$979,"&lt;"&amp;G471)+(COUNTIF($G$5:$G$979,"="&amp;G471)+1)/2</f>
        <v/>
      </c>
      <c r="N471" s="99">
        <f>COUNTIF($H$5:$H$979,"&lt;"&amp;H471)+(COUNTIF($H$5:$H$979,"="&amp;H471)+1)/2</f>
        <v/>
      </c>
      <c r="O471" s="99">
        <f>COUNTIF($I$5:$I$979,"&lt;"&amp;I471)+(COUNTIF($I$5:$I$979,"="&amp;I471)+1)/2</f>
        <v/>
      </c>
      <c r="P471" s="99">
        <f>COUNTIF($J$5:$J$979,"&lt;"&amp;J471)+(COUNTIF($J$5:$J$979,"="&amp;J471)+1)/2</f>
        <v/>
      </c>
    </row>
    <row r="472" ht="15" customHeight="1" s="68">
      <c r="A472" s="70">
        <f>'01_원자료'!A469</f>
        <v/>
      </c>
      <c r="B472" s="70">
        <f>'01_원자료'!B469</f>
        <v/>
      </c>
      <c r="C472" s="70">
        <f>'01_원자료'!C469</f>
        <v/>
      </c>
      <c r="E472" s="85">
        <f>'01_원자료'!P469*'03_가중치민감도'!$B$5+'01_원자료'!Q469*'03_가중치민감도'!$C$5+'01_원자료'!R469*'03_가중치민감도'!$D$5</f>
        <v/>
      </c>
      <c r="F472" s="85">
        <f>'01_원자료'!P469*'03_가중치민감도'!$B$6+'01_원자료'!Q469*'03_가중치민감도'!$C$6+'01_원자료'!R469*'03_가중치민감도'!$D$6</f>
        <v/>
      </c>
      <c r="G472" s="85">
        <f>'01_원자료'!P469*'03_가중치민감도'!$B$7+'01_원자료'!Q469*'03_가중치민감도'!$C$7+'01_원자료'!R469*'03_가중치민감도'!$D$7</f>
        <v/>
      </c>
      <c r="H472" s="85">
        <f>'01_원자료'!P469*'03_가중치민감도'!$B$8+'01_원자료'!Q469*'03_가중치민감도'!$C$8+'01_원자료'!R469*'03_가중치민감도'!$D$8</f>
        <v/>
      </c>
      <c r="I472" s="85">
        <f>'01_원자료'!P469*'03_가중치민감도'!$B$9+'01_원자료'!Q469*'03_가중치민감도'!$C$9+'01_원자료'!R469*'03_가중치민감도'!$D$9</f>
        <v/>
      </c>
      <c r="J472" s="85">
        <f>'01_원자료'!P469*'03_가중치민감도'!$B$10+'01_원자료'!Q469*'03_가중치민감도'!$C$10+'01_원자료'!R469*'03_가중치민감도'!$D$10</f>
        <v/>
      </c>
      <c r="K472" s="99">
        <f>COUNTIF($E$5:$E$979,"&lt;"&amp;E472)+(COUNTIF($E$5:$E$979,"="&amp;E472)+1)/2</f>
        <v/>
      </c>
      <c r="L472" s="99">
        <f>COUNTIF($F$5:$F$979,"&lt;"&amp;F472)+(COUNTIF($F$5:$F$979,"="&amp;F472)+1)/2</f>
        <v/>
      </c>
      <c r="M472" s="99">
        <f>COUNTIF($G$5:$G$979,"&lt;"&amp;G472)+(COUNTIF($G$5:$G$979,"="&amp;G472)+1)/2</f>
        <v/>
      </c>
      <c r="N472" s="99">
        <f>COUNTIF($H$5:$H$979,"&lt;"&amp;H472)+(COUNTIF($H$5:$H$979,"="&amp;H472)+1)/2</f>
        <v/>
      </c>
      <c r="O472" s="99">
        <f>COUNTIF($I$5:$I$979,"&lt;"&amp;I472)+(COUNTIF($I$5:$I$979,"="&amp;I472)+1)/2</f>
        <v/>
      </c>
      <c r="P472" s="99">
        <f>COUNTIF($J$5:$J$979,"&lt;"&amp;J472)+(COUNTIF($J$5:$J$979,"="&amp;J472)+1)/2</f>
        <v/>
      </c>
    </row>
    <row r="473" ht="15" customHeight="1" s="68">
      <c r="A473" s="70">
        <f>'01_원자료'!A470</f>
        <v/>
      </c>
      <c r="B473" s="70">
        <f>'01_원자료'!B470</f>
        <v/>
      </c>
      <c r="C473" s="70">
        <f>'01_원자료'!C470</f>
        <v/>
      </c>
      <c r="E473" s="85">
        <f>'01_원자료'!P470*'03_가중치민감도'!$B$5+'01_원자료'!Q470*'03_가중치민감도'!$C$5+'01_원자료'!R470*'03_가중치민감도'!$D$5</f>
        <v/>
      </c>
      <c r="F473" s="85">
        <f>'01_원자료'!P470*'03_가중치민감도'!$B$6+'01_원자료'!Q470*'03_가중치민감도'!$C$6+'01_원자료'!R470*'03_가중치민감도'!$D$6</f>
        <v/>
      </c>
      <c r="G473" s="85">
        <f>'01_원자료'!P470*'03_가중치민감도'!$B$7+'01_원자료'!Q470*'03_가중치민감도'!$C$7+'01_원자료'!R470*'03_가중치민감도'!$D$7</f>
        <v/>
      </c>
      <c r="H473" s="85">
        <f>'01_원자료'!P470*'03_가중치민감도'!$B$8+'01_원자료'!Q470*'03_가중치민감도'!$C$8+'01_원자료'!R470*'03_가중치민감도'!$D$8</f>
        <v/>
      </c>
      <c r="I473" s="85">
        <f>'01_원자료'!P470*'03_가중치민감도'!$B$9+'01_원자료'!Q470*'03_가중치민감도'!$C$9+'01_원자료'!R470*'03_가중치민감도'!$D$9</f>
        <v/>
      </c>
      <c r="J473" s="85">
        <f>'01_원자료'!P470*'03_가중치민감도'!$B$10+'01_원자료'!Q470*'03_가중치민감도'!$C$10+'01_원자료'!R470*'03_가중치민감도'!$D$10</f>
        <v/>
      </c>
      <c r="K473" s="99">
        <f>COUNTIF($E$5:$E$979,"&lt;"&amp;E473)+(COUNTIF($E$5:$E$979,"="&amp;E473)+1)/2</f>
        <v/>
      </c>
      <c r="L473" s="99">
        <f>COUNTIF($F$5:$F$979,"&lt;"&amp;F473)+(COUNTIF($F$5:$F$979,"="&amp;F473)+1)/2</f>
        <v/>
      </c>
      <c r="M473" s="99">
        <f>COUNTIF($G$5:$G$979,"&lt;"&amp;G473)+(COUNTIF($G$5:$G$979,"="&amp;G473)+1)/2</f>
        <v/>
      </c>
      <c r="N473" s="99">
        <f>COUNTIF($H$5:$H$979,"&lt;"&amp;H473)+(COUNTIF($H$5:$H$979,"="&amp;H473)+1)/2</f>
        <v/>
      </c>
      <c r="O473" s="99">
        <f>COUNTIF($I$5:$I$979,"&lt;"&amp;I473)+(COUNTIF($I$5:$I$979,"="&amp;I473)+1)/2</f>
        <v/>
      </c>
      <c r="P473" s="99">
        <f>COUNTIF($J$5:$J$979,"&lt;"&amp;J473)+(COUNTIF($J$5:$J$979,"="&amp;J473)+1)/2</f>
        <v/>
      </c>
    </row>
    <row r="474" ht="15" customHeight="1" s="68">
      <c r="A474" s="70">
        <f>'01_원자료'!A471</f>
        <v/>
      </c>
      <c r="B474" s="70">
        <f>'01_원자료'!B471</f>
        <v/>
      </c>
      <c r="C474" s="70">
        <f>'01_원자료'!C471</f>
        <v/>
      </c>
      <c r="E474" s="85">
        <f>'01_원자료'!P471*'03_가중치민감도'!$B$5+'01_원자료'!Q471*'03_가중치민감도'!$C$5+'01_원자료'!R471*'03_가중치민감도'!$D$5</f>
        <v/>
      </c>
      <c r="F474" s="85">
        <f>'01_원자료'!P471*'03_가중치민감도'!$B$6+'01_원자료'!Q471*'03_가중치민감도'!$C$6+'01_원자료'!R471*'03_가중치민감도'!$D$6</f>
        <v/>
      </c>
      <c r="G474" s="85">
        <f>'01_원자료'!P471*'03_가중치민감도'!$B$7+'01_원자료'!Q471*'03_가중치민감도'!$C$7+'01_원자료'!R471*'03_가중치민감도'!$D$7</f>
        <v/>
      </c>
      <c r="H474" s="85">
        <f>'01_원자료'!P471*'03_가중치민감도'!$B$8+'01_원자료'!Q471*'03_가중치민감도'!$C$8+'01_원자료'!R471*'03_가중치민감도'!$D$8</f>
        <v/>
      </c>
      <c r="I474" s="85">
        <f>'01_원자료'!P471*'03_가중치민감도'!$B$9+'01_원자료'!Q471*'03_가중치민감도'!$C$9+'01_원자료'!R471*'03_가중치민감도'!$D$9</f>
        <v/>
      </c>
      <c r="J474" s="85">
        <f>'01_원자료'!P471*'03_가중치민감도'!$B$10+'01_원자료'!Q471*'03_가중치민감도'!$C$10+'01_원자료'!R471*'03_가중치민감도'!$D$10</f>
        <v/>
      </c>
      <c r="K474" s="99">
        <f>COUNTIF($E$5:$E$979,"&lt;"&amp;E474)+(COUNTIF($E$5:$E$979,"="&amp;E474)+1)/2</f>
        <v/>
      </c>
      <c r="L474" s="99">
        <f>COUNTIF($F$5:$F$979,"&lt;"&amp;F474)+(COUNTIF($F$5:$F$979,"="&amp;F474)+1)/2</f>
        <v/>
      </c>
      <c r="M474" s="99">
        <f>COUNTIF($G$5:$G$979,"&lt;"&amp;G474)+(COUNTIF($G$5:$G$979,"="&amp;G474)+1)/2</f>
        <v/>
      </c>
      <c r="N474" s="99">
        <f>COUNTIF($H$5:$H$979,"&lt;"&amp;H474)+(COUNTIF($H$5:$H$979,"="&amp;H474)+1)/2</f>
        <v/>
      </c>
      <c r="O474" s="99">
        <f>COUNTIF($I$5:$I$979,"&lt;"&amp;I474)+(COUNTIF($I$5:$I$979,"="&amp;I474)+1)/2</f>
        <v/>
      </c>
      <c r="P474" s="99">
        <f>COUNTIF($J$5:$J$979,"&lt;"&amp;J474)+(COUNTIF($J$5:$J$979,"="&amp;J474)+1)/2</f>
        <v/>
      </c>
    </row>
    <row r="475" ht="15" customHeight="1" s="68">
      <c r="A475" s="70">
        <f>'01_원자료'!A472</f>
        <v/>
      </c>
      <c r="B475" s="70">
        <f>'01_원자료'!B472</f>
        <v/>
      </c>
      <c r="C475" s="70">
        <f>'01_원자료'!C472</f>
        <v/>
      </c>
      <c r="E475" s="85">
        <f>'01_원자료'!P472*'03_가중치민감도'!$B$5+'01_원자료'!Q472*'03_가중치민감도'!$C$5+'01_원자료'!R472*'03_가중치민감도'!$D$5</f>
        <v/>
      </c>
      <c r="F475" s="85">
        <f>'01_원자료'!P472*'03_가중치민감도'!$B$6+'01_원자료'!Q472*'03_가중치민감도'!$C$6+'01_원자료'!R472*'03_가중치민감도'!$D$6</f>
        <v/>
      </c>
      <c r="G475" s="85">
        <f>'01_원자료'!P472*'03_가중치민감도'!$B$7+'01_원자료'!Q472*'03_가중치민감도'!$C$7+'01_원자료'!R472*'03_가중치민감도'!$D$7</f>
        <v/>
      </c>
      <c r="H475" s="85">
        <f>'01_원자료'!P472*'03_가중치민감도'!$B$8+'01_원자료'!Q472*'03_가중치민감도'!$C$8+'01_원자료'!R472*'03_가중치민감도'!$D$8</f>
        <v/>
      </c>
      <c r="I475" s="85">
        <f>'01_원자료'!P472*'03_가중치민감도'!$B$9+'01_원자료'!Q472*'03_가중치민감도'!$C$9+'01_원자료'!R472*'03_가중치민감도'!$D$9</f>
        <v/>
      </c>
      <c r="J475" s="85">
        <f>'01_원자료'!P472*'03_가중치민감도'!$B$10+'01_원자료'!Q472*'03_가중치민감도'!$C$10+'01_원자료'!R472*'03_가중치민감도'!$D$10</f>
        <v/>
      </c>
      <c r="K475" s="99">
        <f>COUNTIF($E$5:$E$979,"&lt;"&amp;E475)+(COUNTIF($E$5:$E$979,"="&amp;E475)+1)/2</f>
        <v/>
      </c>
      <c r="L475" s="99">
        <f>COUNTIF($F$5:$F$979,"&lt;"&amp;F475)+(COUNTIF($F$5:$F$979,"="&amp;F475)+1)/2</f>
        <v/>
      </c>
      <c r="M475" s="99">
        <f>COUNTIF($G$5:$G$979,"&lt;"&amp;G475)+(COUNTIF($G$5:$G$979,"="&amp;G475)+1)/2</f>
        <v/>
      </c>
      <c r="N475" s="99">
        <f>COUNTIF($H$5:$H$979,"&lt;"&amp;H475)+(COUNTIF($H$5:$H$979,"="&amp;H475)+1)/2</f>
        <v/>
      </c>
      <c r="O475" s="99">
        <f>COUNTIF($I$5:$I$979,"&lt;"&amp;I475)+(COUNTIF($I$5:$I$979,"="&amp;I475)+1)/2</f>
        <v/>
      </c>
      <c r="P475" s="99">
        <f>COUNTIF($J$5:$J$979,"&lt;"&amp;J475)+(COUNTIF($J$5:$J$979,"="&amp;J475)+1)/2</f>
        <v/>
      </c>
    </row>
    <row r="476" ht="15" customHeight="1" s="68">
      <c r="A476" s="70">
        <f>'01_원자료'!A473</f>
        <v/>
      </c>
      <c r="B476" s="70">
        <f>'01_원자료'!B473</f>
        <v/>
      </c>
      <c r="C476" s="70">
        <f>'01_원자료'!C473</f>
        <v/>
      </c>
      <c r="E476" s="85">
        <f>'01_원자료'!P473*'03_가중치민감도'!$B$5+'01_원자료'!Q473*'03_가중치민감도'!$C$5+'01_원자료'!R473*'03_가중치민감도'!$D$5</f>
        <v/>
      </c>
      <c r="F476" s="85">
        <f>'01_원자료'!P473*'03_가중치민감도'!$B$6+'01_원자료'!Q473*'03_가중치민감도'!$C$6+'01_원자료'!R473*'03_가중치민감도'!$D$6</f>
        <v/>
      </c>
      <c r="G476" s="85">
        <f>'01_원자료'!P473*'03_가중치민감도'!$B$7+'01_원자료'!Q473*'03_가중치민감도'!$C$7+'01_원자료'!R473*'03_가중치민감도'!$D$7</f>
        <v/>
      </c>
      <c r="H476" s="85">
        <f>'01_원자료'!P473*'03_가중치민감도'!$B$8+'01_원자료'!Q473*'03_가중치민감도'!$C$8+'01_원자료'!R473*'03_가중치민감도'!$D$8</f>
        <v/>
      </c>
      <c r="I476" s="85">
        <f>'01_원자료'!P473*'03_가중치민감도'!$B$9+'01_원자료'!Q473*'03_가중치민감도'!$C$9+'01_원자료'!R473*'03_가중치민감도'!$D$9</f>
        <v/>
      </c>
      <c r="J476" s="85">
        <f>'01_원자료'!P473*'03_가중치민감도'!$B$10+'01_원자료'!Q473*'03_가중치민감도'!$C$10+'01_원자료'!R473*'03_가중치민감도'!$D$10</f>
        <v/>
      </c>
      <c r="K476" s="99">
        <f>COUNTIF($E$5:$E$979,"&lt;"&amp;E476)+(COUNTIF($E$5:$E$979,"="&amp;E476)+1)/2</f>
        <v/>
      </c>
      <c r="L476" s="99">
        <f>COUNTIF($F$5:$F$979,"&lt;"&amp;F476)+(COUNTIF($F$5:$F$979,"="&amp;F476)+1)/2</f>
        <v/>
      </c>
      <c r="M476" s="99">
        <f>COUNTIF($G$5:$G$979,"&lt;"&amp;G476)+(COUNTIF($G$5:$G$979,"="&amp;G476)+1)/2</f>
        <v/>
      </c>
      <c r="N476" s="99">
        <f>COUNTIF($H$5:$H$979,"&lt;"&amp;H476)+(COUNTIF($H$5:$H$979,"="&amp;H476)+1)/2</f>
        <v/>
      </c>
      <c r="O476" s="99">
        <f>COUNTIF($I$5:$I$979,"&lt;"&amp;I476)+(COUNTIF($I$5:$I$979,"="&amp;I476)+1)/2</f>
        <v/>
      </c>
      <c r="P476" s="99">
        <f>COUNTIF($J$5:$J$979,"&lt;"&amp;J476)+(COUNTIF($J$5:$J$979,"="&amp;J476)+1)/2</f>
        <v/>
      </c>
    </row>
    <row r="477" ht="15" customHeight="1" s="68">
      <c r="A477" s="70">
        <f>'01_원자료'!A474</f>
        <v/>
      </c>
      <c r="B477" s="70">
        <f>'01_원자료'!B474</f>
        <v/>
      </c>
      <c r="C477" s="70">
        <f>'01_원자료'!C474</f>
        <v/>
      </c>
      <c r="E477" s="85">
        <f>'01_원자료'!P474*'03_가중치민감도'!$B$5+'01_원자료'!Q474*'03_가중치민감도'!$C$5+'01_원자료'!R474*'03_가중치민감도'!$D$5</f>
        <v/>
      </c>
      <c r="F477" s="85">
        <f>'01_원자료'!P474*'03_가중치민감도'!$B$6+'01_원자료'!Q474*'03_가중치민감도'!$C$6+'01_원자료'!R474*'03_가중치민감도'!$D$6</f>
        <v/>
      </c>
      <c r="G477" s="85">
        <f>'01_원자료'!P474*'03_가중치민감도'!$B$7+'01_원자료'!Q474*'03_가중치민감도'!$C$7+'01_원자료'!R474*'03_가중치민감도'!$D$7</f>
        <v/>
      </c>
      <c r="H477" s="85">
        <f>'01_원자료'!P474*'03_가중치민감도'!$B$8+'01_원자료'!Q474*'03_가중치민감도'!$C$8+'01_원자료'!R474*'03_가중치민감도'!$D$8</f>
        <v/>
      </c>
      <c r="I477" s="85">
        <f>'01_원자료'!P474*'03_가중치민감도'!$B$9+'01_원자료'!Q474*'03_가중치민감도'!$C$9+'01_원자료'!R474*'03_가중치민감도'!$D$9</f>
        <v/>
      </c>
      <c r="J477" s="85">
        <f>'01_원자료'!P474*'03_가중치민감도'!$B$10+'01_원자료'!Q474*'03_가중치민감도'!$C$10+'01_원자료'!R474*'03_가중치민감도'!$D$10</f>
        <v/>
      </c>
      <c r="K477" s="99">
        <f>COUNTIF($E$5:$E$979,"&lt;"&amp;E477)+(COUNTIF($E$5:$E$979,"="&amp;E477)+1)/2</f>
        <v/>
      </c>
      <c r="L477" s="99">
        <f>COUNTIF($F$5:$F$979,"&lt;"&amp;F477)+(COUNTIF($F$5:$F$979,"="&amp;F477)+1)/2</f>
        <v/>
      </c>
      <c r="M477" s="99">
        <f>COUNTIF($G$5:$G$979,"&lt;"&amp;G477)+(COUNTIF($G$5:$G$979,"="&amp;G477)+1)/2</f>
        <v/>
      </c>
      <c r="N477" s="99">
        <f>COUNTIF($H$5:$H$979,"&lt;"&amp;H477)+(COUNTIF($H$5:$H$979,"="&amp;H477)+1)/2</f>
        <v/>
      </c>
      <c r="O477" s="99">
        <f>COUNTIF($I$5:$I$979,"&lt;"&amp;I477)+(COUNTIF($I$5:$I$979,"="&amp;I477)+1)/2</f>
        <v/>
      </c>
      <c r="P477" s="99">
        <f>COUNTIF($J$5:$J$979,"&lt;"&amp;J477)+(COUNTIF($J$5:$J$979,"="&amp;J477)+1)/2</f>
        <v/>
      </c>
    </row>
    <row r="478" ht="15" customHeight="1" s="68">
      <c r="A478" s="70">
        <f>'01_원자료'!A475</f>
        <v/>
      </c>
      <c r="B478" s="70">
        <f>'01_원자료'!B475</f>
        <v/>
      </c>
      <c r="C478" s="70">
        <f>'01_원자료'!C475</f>
        <v/>
      </c>
      <c r="E478" s="85">
        <f>'01_원자료'!P475*'03_가중치민감도'!$B$5+'01_원자료'!Q475*'03_가중치민감도'!$C$5+'01_원자료'!R475*'03_가중치민감도'!$D$5</f>
        <v/>
      </c>
      <c r="F478" s="85">
        <f>'01_원자료'!P475*'03_가중치민감도'!$B$6+'01_원자료'!Q475*'03_가중치민감도'!$C$6+'01_원자료'!R475*'03_가중치민감도'!$D$6</f>
        <v/>
      </c>
      <c r="G478" s="85">
        <f>'01_원자료'!P475*'03_가중치민감도'!$B$7+'01_원자료'!Q475*'03_가중치민감도'!$C$7+'01_원자료'!R475*'03_가중치민감도'!$D$7</f>
        <v/>
      </c>
      <c r="H478" s="85">
        <f>'01_원자료'!P475*'03_가중치민감도'!$B$8+'01_원자료'!Q475*'03_가중치민감도'!$C$8+'01_원자료'!R475*'03_가중치민감도'!$D$8</f>
        <v/>
      </c>
      <c r="I478" s="85">
        <f>'01_원자료'!P475*'03_가중치민감도'!$B$9+'01_원자료'!Q475*'03_가중치민감도'!$C$9+'01_원자료'!R475*'03_가중치민감도'!$D$9</f>
        <v/>
      </c>
      <c r="J478" s="85">
        <f>'01_원자료'!P475*'03_가중치민감도'!$B$10+'01_원자료'!Q475*'03_가중치민감도'!$C$10+'01_원자료'!R475*'03_가중치민감도'!$D$10</f>
        <v/>
      </c>
      <c r="K478" s="99">
        <f>COUNTIF($E$5:$E$979,"&lt;"&amp;E478)+(COUNTIF($E$5:$E$979,"="&amp;E478)+1)/2</f>
        <v/>
      </c>
      <c r="L478" s="99">
        <f>COUNTIF($F$5:$F$979,"&lt;"&amp;F478)+(COUNTIF($F$5:$F$979,"="&amp;F478)+1)/2</f>
        <v/>
      </c>
      <c r="M478" s="99">
        <f>COUNTIF($G$5:$G$979,"&lt;"&amp;G478)+(COUNTIF($G$5:$G$979,"="&amp;G478)+1)/2</f>
        <v/>
      </c>
      <c r="N478" s="99">
        <f>COUNTIF($H$5:$H$979,"&lt;"&amp;H478)+(COUNTIF($H$5:$H$979,"="&amp;H478)+1)/2</f>
        <v/>
      </c>
      <c r="O478" s="99">
        <f>COUNTIF($I$5:$I$979,"&lt;"&amp;I478)+(COUNTIF($I$5:$I$979,"="&amp;I478)+1)/2</f>
        <v/>
      </c>
      <c r="P478" s="99">
        <f>COUNTIF($J$5:$J$979,"&lt;"&amp;J478)+(COUNTIF($J$5:$J$979,"="&amp;J478)+1)/2</f>
        <v/>
      </c>
    </row>
    <row r="479" ht="15" customHeight="1" s="68">
      <c r="A479" s="70">
        <f>'01_원자료'!A476</f>
        <v/>
      </c>
      <c r="B479" s="70">
        <f>'01_원자료'!B476</f>
        <v/>
      </c>
      <c r="C479" s="70">
        <f>'01_원자료'!C476</f>
        <v/>
      </c>
      <c r="E479" s="85">
        <f>'01_원자료'!P476*'03_가중치민감도'!$B$5+'01_원자료'!Q476*'03_가중치민감도'!$C$5+'01_원자료'!R476*'03_가중치민감도'!$D$5</f>
        <v/>
      </c>
      <c r="F479" s="85">
        <f>'01_원자료'!P476*'03_가중치민감도'!$B$6+'01_원자료'!Q476*'03_가중치민감도'!$C$6+'01_원자료'!R476*'03_가중치민감도'!$D$6</f>
        <v/>
      </c>
      <c r="G479" s="85">
        <f>'01_원자료'!P476*'03_가중치민감도'!$B$7+'01_원자료'!Q476*'03_가중치민감도'!$C$7+'01_원자료'!R476*'03_가중치민감도'!$D$7</f>
        <v/>
      </c>
      <c r="H479" s="85">
        <f>'01_원자료'!P476*'03_가중치민감도'!$B$8+'01_원자료'!Q476*'03_가중치민감도'!$C$8+'01_원자료'!R476*'03_가중치민감도'!$D$8</f>
        <v/>
      </c>
      <c r="I479" s="85">
        <f>'01_원자료'!P476*'03_가중치민감도'!$B$9+'01_원자료'!Q476*'03_가중치민감도'!$C$9+'01_원자료'!R476*'03_가중치민감도'!$D$9</f>
        <v/>
      </c>
      <c r="J479" s="85">
        <f>'01_원자료'!P476*'03_가중치민감도'!$B$10+'01_원자료'!Q476*'03_가중치민감도'!$C$10+'01_원자료'!R476*'03_가중치민감도'!$D$10</f>
        <v/>
      </c>
      <c r="K479" s="99">
        <f>COUNTIF($E$5:$E$979,"&lt;"&amp;E479)+(COUNTIF($E$5:$E$979,"="&amp;E479)+1)/2</f>
        <v/>
      </c>
      <c r="L479" s="99">
        <f>COUNTIF($F$5:$F$979,"&lt;"&amp;F479)+(COUNTIF($F$5:$F$979,"="&amp;F479)+1)/2</f>
        <v/>
      </c>
      <c r="M479" s="99">
        <f>COUNTIF($G$5:$G$979,"&lt;"&amp;G479)+(COUNTIF($G$5:$G$979,"="&amp;G479)+1)/2</f>
        <v/>
      </c>
      <c r="N479" s="99">
        <f>COUNTIF($H$5:$H$979,"&lt;"&amp;H479)+(COUNTIF($H$5:$H$979,"="&amp;H479)+1)/2</f>
        <v/>
      </c>
      <c r="O479" s="99">
        <f>COUNTIF($I$5:$I$979,"&lt;"&amp;I479)+(COUNTIF($I$5:$I$979,"="&amp;I479)+1)/2</f>
        <v/>
      </c>
      <c r="P479" s="99">
        <f>COUNTIF($J$5:$J$979,"&lt;"&amp;J479)+(COUNTIF($J$5:$J$979,"="&amp;J479)+1)/2</f>
        <v/>
      </c>
    </row>
    <row r="480" ht="15" customHeight="1" s="68">
      <c r="A480" s="70">
        <f>'01_원자료'!A477</f>
        <v/>
      </c>
      <c r="B480" s="70">
        <f>'01_원자료'!B477</f>
        <v/>
      </c>
      <c r="C480" s="70">
        <f>'01_원자료'!C477</f>
        <v/>
      </c>
      <c r="E480" s="85">
        <f>'01_원자료'!P477*'03_가중치민감도'!$B$5+'01_원자료'!Q477*'03_가중치민감도'!$C$5+'01_원자료'!R477*'03_가중치민감도'!$D$5</f>
        <v/>
      </c>
      <c r="F480" s="85">
        <f>'01_원자료'!P477*'03_가중치민감도'!$B$6+'01_원자료'!Q477*'03_가중치민감도'!$C$6+'01_원자료'!R477*'03_가중치민감도'!$D$6</f>
        <v/>
      </c>
      <c r="G480" s="85">
        <f>'01_원자료'!P477*'03_가중치민감도'!$B$7+'01_원자료'!Q477*'03_가중치민감도'!$C$7+'01_원자료'!R477*'03_가중치민감도'!$D$7</f>
        <v/>
      </c>
      <c r="H480" s="85">
        <f>'01_원자료'!P477*'03_가중치민감도'!$B$8+'01_원자료'!Q477*'03_가중치민감도'!$C$8+'01_원자료'!R477*'03_가중치민감도'!$D$8</f>
        <v/>
      </c>
      <c r="I480" s="85">
        <f>'01_원자료'!P477*'03_가중치민감도'!$B$9+'01_원자료'!Q477*'03_가중치민감도'!$C$9+'01_원자료'!R477*'03_가중치민감도'!$D$9</f>
        <v/>
      </c>
      <c r="J480" s="85">
        <f>'01_원자료'!P477*'03_가중치민감도'!$B$10+'01_원자료'!Q477*'03_가중치민감도'!$C$10+'01_원자료'!R477*'03_가중치민감도'!$D$10</f>
        <v/>
      </c>
      <c r="K480" s="99">
        <f>COUNTIF($E$5:$E$979,"&lt;"&amp;E480)+(COUNTIF($E$5:$E$979,"="&amp;E480)+1)/2</f>
        <v/>
      </c>
      <c r="L480" s="99">
        <f>COUNTIF($F$5:$F$979,"&lt;"&amp;F480)+(COUNTIF($F$5:$F$979,"="&amp;F480)+1)/2</f>
        <v/>
      </c>
      <c r="M480" s="99">
        <f>COUNTIF($G$5:$G$979,"&lt;"&amp;G480)+(COUNTIF($G$5:$G$979,"="&amp;G480)+1)/2</f>
        <v/>
      </c>
      <c r="N480" s="99">
        <f>COUNTIF($H$5:$H$979,"&lt;"&amp;H480)+(COUNTIF($H$5:$H$979,"="&amp;H480)+1)/2</f>
        <v/>
      </c>
      <c r="O480" s="99">
        <f>COUNTIF($I$5:$I$979,"&lt;"&amp;I480)+(COUNTIF($I$5:$I$979,"="&amp;I480)+1)/2</f>
        <v/>
      </c>
      <c r="P480" s="99">
        <f>COUNTIF($J$5:$J$979,"&lt;"&amp;J480)+(COUNTIF($J$5:$J$979,"="&amp;J480)+1)/2</f>
        <v/>
      </c>
    </row>
    <row r="481" ht="15" customHeight="1" s="68">
      <c r="A481" s="70">
        <f>'01_원자료'!A478</f>
        <v/>
      </c>
      <c r="B481" s="70">
        <f>'01_원자료'!B478</f>
        <v/>
      </c>
      <c r="C481" s="70">
        <f>'01_원자료'!C478</f>
        <v/>
      </c>
      <c r="E481" s="85">
        <f>'01_원자료'!P478*'03_가중치민감도'!$B$5+'01_원자료'!Q478*'03_가중치민감도'!$C$5+'01_원자료'!R478*'03_가중치민감도'!$D$5</f>
        <v/>
      </c>
      <c r="F481" s="85">
        <f>'01_원자료'!P478*'03_가중치민감도'!$B$6+'01_원자료'!Q478*'03_가중치민감도'!$C$6+'01_원자료'!R478*'03_가중치민감도'!$D$6</f>
        <v/>
      </c>
      <c r="G481" s="85">
        <f>'01_원자료'!P478*'03_가중치민감도'!$B$7+'01_원자료'!Q478*'03_가중치민감도'!$C$7+'01_원자료'!R478*'03_가중치민감도'!$D$7</f>
        <v/>
      </c>
      <c r="H481" s="85">
        <f>'01_원자료'!P478*'03_가중치민감도'!$B$8+'01_원자료'!Q478*'03_가중치민감도'!$C$8+'01_원자료'!R478*'03_가중치민감도'!$D$8</f>
        <v/>
      </c>
      <c r="I481" s="85">
        <f>'01_원자료'!P478*'03_가중치민감도'!$B$9+'01_원자료'!Q478*'03_가중치민감도'!$C$9+'01_원자료'!R478*'03_가중치민감도'!$D$9</f>
        <v/>
      </c>
      <c r="J481" s="85">
        <f>'01_원자료'!P478*'03_가중치민감도'!$B$10+'01_원자료'!Q478*'03_가중치민감도'!$C$10+'01_원자료'!R478*'03_가중치민감도'!$D$10</f>
        <v/>
      </c>
      <c r="K481" s="99">
        <f>COUNTIF($E$5:$E$979,"&lt;"&amp;E481)+(COUNTIF($E$5:$E$979,"="&amp;E481)+1)/2</f>
        <v/>
      </c>
      <c r="L481" s="99">
        <f>COUNTIF($F$5:$F$979,"&lt;"&amp;F481)+(COUNTIF($F$5:$F$979,"="&amp;F481)+1)/2</f>
        <v/>
      </c>
      <c r="M481" s="99">
        <f>COUNTIF($G$5:$G$979,"&lt;"&amp;G481)+(COUNTIF($G$5:$G$979,"="&amp;G481)+1)/2</f>
        <v/>
      </c>
      <c r="N481" s="99">
        <f>COUNTIF($H$5:$H$979,"&lt;"&amp;H481)+(COUNTIF($H$5:$H$979,"="&amp;H481)+1)/2</f>
        <v/>
      </c>
      <c r="O481" s="99">
        <f>COUNTIF($I$5:$I$979,"&lt;"&amp;I481)+(COUNTIF($I$5:$I$979,"="&amp;I481)+1)/2</f>
        <v/>
      </c>
      <c r="P481" s="99">
        <f>COUNTIF($J$5:$J$979,"&lt;"&amp;J481)+(COUNTIF($J$5:$J$979,"="&amp;J481)+1)/2</f>
        <v/>
      </c>
    </row>
    <row r="482" ht="15" customHeight="1" s="68">
      <c r="A482" s="70">
        <f>'01_원자료'!A479</f>
        <v/>
      </c>
      <c r="B482" s="70">
        <f>'01_원자료'!B479</f>
        <v/>
      </c>
      <c r="C482" s="70">
        <f>'01_원자료'!C479</f>
        <v/>
      </c>
      <c r="E482" s="85">
        <f>'01_원자료'!P479*'03_가중치민감도'!$B$5+'01_원자료'!Q479*'03_가중치민감도'!$C$5+'01_원자료'!R479*'03_가중치민감도'!$D$5</f>
        <v/>
      </c>
      <c r="F482" s="85">
        <f>'01_원자료'!P479*'03_가중치민감도'!$B$6+'01_원자료'!Q479*'03_가중치민감도'!$C$6+'01_원자료'!R479*'03_가중치민감도'!$D$6</f>
        <v/>
      </c>
      <c r="G482" s="85">
        <f>'01_원자료'!P479*'03_가중치민감도'!$B$7+'01_원자료'!Q479*'03_가중치민감도'!$C$7+'01_원자료'!R479*'03_가중치민감도'!$D$7</f>
        <v/>
      </c>
      <c r="H482" s="85">
        <f>'01_원자료'!P479*'03_가중치민감도'!$B$8+'01_원자료'!Q479*'03_가중치민감도'!$C$8+'01_원자료'!R479*'03_가중치민감도'!$D$8</f>
        <v/>
      </c>
      <c r="I482" s="85">
        <f>'01_원자료'!P479*'03_가중치민감도'!$B$9+'01_원자료'!Q479*'03_가중치민감도'!$C$9+'01_원자료'!R479*'03_가중치민감도'!$D$9</f>
        <v/>
      </c>
      <c r="J482" s="85">
        <f>'01_원자료'!P479*'03_가중치민감도'!$B$10+'01_원자료'!Q479*'03_가중치민감도'!$C$10+'01_원자료'!R479*'03_가중치민감도'!$D$10</f>
        <v/>
      </c>
      <c r="K482" s="99">
        <f>COUNTIF($E$5:$E$979,"&lt;"&amp;E482)+(COUNTIF($E$5:$E$979,"="&amp;E482)+1)/2</f>
        <v/>
      </c>
      <c r="L482" s="99">
        <f>COUNTIF($F$5:$F$979,"&lt;"&amp;F482)+(COUNTIF($F$5:$F$979,"="&amp;F482)+1)/2</f>
        <v/>
      </c>
      <c r="M482" s="99">
        <f>COUNTIF($G$5:$G$979,"&lt;"&amp;G482)+(COUNTIF($G$5:$G$979,"="&amp;G482)+1)/2</f>
        <v/>
      </c>
      <c r="N482" s="99">
        <f>COUNTIF($H$5:$H$979,"&lt;"&amp;H482)+(COUNTIF($H$5:$H$979,"="&amp;H482)+1)/2</f>
        <v/>
      </c>
      <c r="O482" s="99">
        <f>COUNTIF($I$5:$I$979,"&lt;"&amp;I482)+(COUNTIF($I$5:$I$979,"="&amp;I482)+1)/2</f>
        <v/>
      </c>
      <c r="P482" s="99">
        <f>COUNTIF($J$5:$J$979,"&lt;"&amp;J482)+(COUNTIF($J$5:$J$979,"="&amp;J482)+1)/2</f>
        <v/>
      </c>
    </row>
    <row r="483" ht="15" customHeight="1" s="68">
      <c r="A483" s="70">
        <f>'01_원자료'!A480</f>
        <v/>
      </c>
      <c r="B483" s="70">
        <f>'01_원자료'!B480</f>
        <v/>
      </c>
      <c r="C483" s="70">
        <f>'01_원자료'!C480</f>
        <v/>
      </c>
      <c r="E483" s="85">
        <f>'01_원자료'!P480*'03_가중치민감도'!$B$5+'01_원자료'!Q480*'03_가중치민감도'!$C$5+'01_원자료'!R480*'03_가중치민감도'!$D$5</f>
        <v/>
      </c>
      <c r="F483" s="85">
        <f>'01_원자료'!P480*'03_가중치민감도'!$B$6+'01_원자료'!Q480*'03_가중치민감도'!$C$6+'01_원자료'!R480*'03_가중치민감도'!$D$6</f>
        <v/>
      </c>
      <c r="G483" s="85">
        <f>'01_원자료'!P480*'03_가중치민감도'!$B$7+'01_원자료'!Q480*'03_가중치민감도'!$C$7+'01_원자료'!R480*'03_가중치민감도'!$D$7</f>
        <v/>
      </c>
      <c r="H483" s="85">
        <f>'01_원자료'!P480*'03_가중치민감도'!$B$8+'01_원자료'!Q480*'03_가중치민감도'!$C$8+'01_원자료'!R480*'03_가중치민감도'!$D$8</f>
        <v/>
      </c>
      <c r="I483" s="85">
        <f>'01_원자료'!P480*'03_가중치민감도'!$B$9+'01_원자료'!Q480*'03_가중치민감도'!$C$9+'01_원자료'!R480*'03_가중치민감도'!$D$9</f>
        <v/>
      </c>
      <c r="J483" s="85">
        <f>'01_원자료'!P480*'03_가중치민감도'!$B$10+'01_원자료'!Q480*'03_가중치민감도'!$C$10+'01_원자료'!R480*'03_가중치민감도'!$D$10</f>
        <v/>
      </c>
      <c r="K483" s="99">
        <f>COUNTIF($E$5:$E$979,"&lt;"&amp;E483)+(COUNTIF($E$5:$E$979,"="&amp;E483)+1)/2</f>
        <v/>
      </c>
      <c r="L483" s="99">
        <f>COUNTIF($F$5:$F$979,"&lt;"&amp;F483)+(COUNTIF($F$5:$F$979,"="&amp;F483)+1)/2</f>
        <v/>
      </c>
      <c r="M483" s="99">
        <f>COUNTIF($G$5:$G$979,"&lt;"&amp;G483)+(COUNTIF($G$5:$G$979,"="&amp;G483)+1)/2</f>
        <v/>
      </c>
      <c r="N483" s="99">
        <f>COUNTIF($H$5:$H$979,"&lt;"&amp;H483)+(COUNTIF($H$5:$H$979,"="&amp;H483)+1)/2</f>
        <v/>
      </c>
      <c r="O483" s="99">
        <f>COUNTIF($I$5:$I$979,"&lt;"&amp;I483)+(COUNTIF($I$5:$I$979,"="&amp;I483)+1)/2</f>
        <v/>
      </c>
      <c r="P483" s="99">
        <f>COUNTIF($J$5:$J$979,"&lt;"&amp;J483)+(COUNTIF($J$5:$J$979,"="&amp;J483)+1)/2</f>
        <v/>
      </c>
    </row>
    <row r="484" ht="15" customHeight="1" s="68">
      <c r="A484" s="70">
        <f>'01_원자료'!A481</f>
        <v/>
      </c>
      <c r="B484" s="70">
        <f>'01_원자료'!B481</f>
        <v/>
      </c>
      <c r="C484" s="70">
        <f>'01_원자료'!C481</f>
        <v/>
      </c>
      <c r="E484" s="85">
        <f>'01_원자료'!P481*'03_가중치민감도'!$B$5+'01_원자료'!Q481*'03_가중치민감도'!$C$5+'01_원자료'!R481*'03_가중치민감도'!$D$5</f>
        <v/>
      </c>
      <c r="F484" s="85">
        <f>'01_원자료'!P481*'03_가중치민감도'!$B$6+'01_원자료'!Q481*'03_가중치민감도'!$C$6+'01_원자료'!R481*'03_가중치민감도'!$D$6</f>
        <v/>
      </c>
      <c r="G484" s="85">
        <f>'01_원자료'!P481*'03_가중치민감도'!$B$7+'01_원자료'!Q481*'03_가중치민감도'!$C$7+'01_원자료'!R481*'03_가중치민감도'!$D$7</f>
        <v/>
      </c>
      <c r="H484" s="85">
        <f>'01_원자료'!P481*'03_가중치민감도'!$B$8+'01_원자료'!Q481*'03_가중치민감도'!$C$8+'01_원자료'!R481*'03_가중치민감도'!$D$8</f>
        <v/>
      </c>
      <c r="I484" s="85">
        <f>'01_원자료'!P481*'03_가중치민감도'!$B$9+'01_원자료'!Q481*'03_가중치민감도'!$C$9+'01_원자료'!R481*'03_가중치민감도'!$D$9</f>
        <v/>
      </c>
      <c r="J484" s="85">
        <f>'01_원자료'!P481*'03_가중치민감도'!$B$10+'01_원자료'!Q481*'03_가중치민감도'!$C$10+'01_원자료'!R481*'03_가중치민감도'!$D$10</f>
        <v/>
      </c>
      <c r="K484" s="99">
        <f>COUNTIF($E$5:$E$979,"&lt;"&amp;E484)+(COUNTIF($E$5:$E$979,"="&amp;E484)+1)/2</f>
        <v/>
      </c>
      <c r="L484" s="99">
        <f>COUNTIF($F$5:$F$979,"&lt;"&amp;F484)+(COUNTIF($F$5:$F$979,"="&amp;F484)+1)/2</f>
        <v/>
      </c>
      <c r="M484" s="99">
        <f>COUNTIF($G$5:$G$979,"&lt;"&amp;G484)+(COUNTIF($G$5:$G$979,"="&amp;G484)+1)/2</f>
        <v/>
      </c>
      <c r="N484" s="99">
        <f>COUNTIF($H$5:$H$979,"&lt;"&amp;H484)+(COUNTIF($H$5:$H$979,"="&amp;H484)+1)/2</f>
        <v/>
      </c>
      <c r="O484" s="99">
        <f>COUNTIF($I$5:$I$979,"&lt;"&amp;I484)+(COUNTIF($I$5:$I$979,"="&amp;I484)+1)/2</f>
        <v/>
      </c>
      <c r="P484" s="99">
        <f>COUNTIF($J$5:$J$979,"&lt;"&amp;J484)+(COUNTIF($J$5:$J$979,"="&amp;J484)+1)/2</f>
        <v/>
      </c>
    </row>
    <row r="485" ht="15" customHeight="1" s="68">
      <c r="A485" s="70">
        <f>'01_원자료'!A482</f>
        <v/>
      </c>
      <c r="B485" s="70">
        <f>'01_원자료'!B482</f>
        <v/>
      </c>
      <c r="C485" s="70">
        <f>'01_원자료'!C482</f>
        <v/>
      </c>
      <c r="E485" s="85">
        <f>'01_원자료'!P482*'03_가중치민감도'!$B$5+'01_원자료'!Q482*'03_가중치민감도'!$C$5+'01_원자료'!R482*'03_가중치민감도'!$D$5</f>
        <v/>
      </c>
      <c r="F485" s="85">
        <f>'01_원자료'!P482*'03_가중치민감도'!$B$6+'01_원자료'!Q482*'03_가중치민감도'!$C$6+'01_원자료'!R482*'03_가중치민감도'!$D$6</f>
        <v/>
      </c>
      <c r="G485" s="85">
        <f>'01_원자료'!P482*'03_가중치민감도'!$B$7+'01_원자료'!Q482*'03_가중치민감도'!$C$7+'01_원자료'!R482*'03_가중치민감도'!$D$7</f>
        <v/>
      </c>
      <c r="H485" s="85">
        <f>'01_원자료'!P482*'03_가중치민감도'!$B$8+'01_원자료'!Q482*'03_가중치민감도'!$C$8+'01_원자료'!R482*'03_가중치민감도'!$D$8</f>
        <v/>
      </c>
      <c r="I485" s="85">
        <f>'01_원자료'!P482*'03_가중치민감도'!$B$9+'01_원자료'!Q482*'03_가중치민감도'!$C$9+'01_원자료'!R482*'03_가중치민감도'!$D$9</f>
        <v/>
      </c>
      <c r="J485" s="85">
        <f>'01_원자료'!P482*'03_가중치민감도'!$B$10+'01_원자료'!Q482*'03_가중치민감도'!$C$10+'01_원자료'!R482*'03_가중치민감도'!$D$10</f>
        <v/>
      </c>
      <c r="K485" s="99">
        <f>COUNTIF($E$5:$E$979,"&lt;"&amp;E485)+(COUNTIF($E$5:$E$979,"="&amp;E485)+1)/2</f>
        <v/>
      </c>
      <c r="L485" s="99">
        <f>COUNTIF($F$5:$F$979,"&lt;"&amp;F485)+(COUNTIF($F$5:$F$979,"="&amp;F485)+1)/2</f>
        <v/>
      </c>
      <c r="M485" s="99">
        <f>COUNTIF($G$5:$G$979,"&lt;"&amp;G485)+(COUNTIF($G$5:$G$979,"="&amp;G485)+1)/2</f>
        <v/>
      </c>
      <c r="N485" s="99">
        <f>COUNTIF($H$5:$H$979,"&lt;"&amp;H485)+(COUNTIF($H$5:$H$979,"="&amp;H485)+1)/2</f>
        <v/>
      </c>
      <c r="O485" s="99">
        <f>COUNTIF($I$5:$I$979,"&lt;"&amp;I485)+(COUNTIF($I$5:$I$979,"="&amp;I485)+1)/2</f>
        <v/>
      </c>
      <c r="P485" s="99">
        <f>COUNTIF($J$5:$J$979,"&lt;"&amp;J485)+(COUNTIF($J$5:$J$979,"="&amp;J485)+1)/2</f>
        <v/>
      </c>
    </row>
    <row r="486" ht="15" customHeight="1" s="68">
      <c r="A486" s="70">
        <f>'01_원자료'!A483</f>
        <v/>
      </c>
      <c r="B486" s="70">
        <f>'01_원자료'!B483</f>
        <v/>
      </c>
      <c r="C486" s="70">
        <f>'01_원자료'!C483</f>
        <v/>
      </c>
      <c r="E486" s="85">
        <f>'01_원자료'!P483*'03_가중치민감도'!$B$5+'01_원자료'!Q483*'03_가중치민감도'!$C$5+'01_원자료'!R483*'03_가중치민감도'!$D$5</f>
        <v/>
      </c>
      <c r="F486" s="85">
        <f>'01_원자료'!P483*'03_가중치민감도'!$B$6+'01_원자료'!Q483*'03_가중치민감도'!$C$6+'01_원자료'!R483*'03_가중치민감도'!$D$6</f>
        <v/>
      </c>
      <c r="G486" s="85">
        <f>'01_원자료'!P483*'03_가중치민감도'!$B$7+'01_원자료'!Q483*'03_가중치민감도'!$C$7+'01_원자료'!R483*'03_가중치민감도'!$D$7</f>
        <v/>
      </c>
      <c r="H486" s="85">
        <f>'01_원자료'!P483*'03_가중치민감도'!$B$8+'01_원자료'!Q483*'03_가중치민감도'!$C$8+'01_원자료'!R483*'03_가중치민감도'!$D$8</f>
        <v/>
      </c>
      <c r="I486" s="85">
        <f>'01_원자료'!P483*'03_가중치민감도'!$B$9+'01_원자료'!Q483*'03_가중치민감도'!$C$9+'01_원자료'!R483*'03_가중치민감도'!$D$9</f>
        <v/>
      </c>
      <c r="J486" s="85">
        <f>'01_원자료'!P483*'03_가중치민감도'!$B$10+'01_원자료'!Q483*'03_가중치민감도'!$C$10+'01_원자료'!R483*'03_가중치민감도'!$D$10</f>
        <v/>
      </c>
      <c r="K486" s="99">
        <f>COUNTIF($E$5:$E$979,"&lt;"&amp;E486)+(COUNTIF($E$5:$E$979,"="&amp;E486)+1)/2</f>
        <v/>
      </c>
      <c r="L486" s="99">
        <f>COUNTIF($F$5:$F$979,"&lt;"&amp;F486)+(COUNTIF($F$5:$F$979,"="&amp;F486)+1)/2</f>
        <v/>
      </c>
      <c r="M486" s="99">
        <f>COUNTIF($G$5:$G$979,"&lt;"&amp;G486)+(COUNTIF($G$5:$G$979,"="&amp;G486)+1)/2</f>
        <v/>
      </c>
      <c r="N486" s="99">
        <f>COUNTIF($H$5:$H$979,"&lt;"&amp;H486)+(COUNTIF($H$5:$H$979,"="&amp;H486)+1)/2</f>
        <v/>
      </c>
      <c r="O486" s="99">
        <f>COUNTIF($I$5:$I$979,"&lt;"&amp;I486)+(COUNTIF($I$5:$I$979,"="&amp;I486)+1)/2</f>
        <v/>
      </c>
      <c r="P486" s="99">
        <f>COUNTIF($J$5:$J$979,"&lt;"&amp;J486)+(COUNTIF($J$5:$J$979,"="&amp;J486)+1)/2</f>
        <v/>
      </c>
    </row>
    <row r="487" ht="15" customHeight="1" s="68">
      <c r="A487" s="70">
        <f>'01_원자료'!A484</f>
        <v/>
      </c>
      <c r="B487" s="70">
        <f>'01_원자료'!B484</f>
        <v/>
      </c>
      <c r="C487" s="70">
        <f>'01_원자료'!C484</f>
        <v/>
      </c>
      <c r="E487" s="85">
        <f>'01_원자료'!P484*'03_가중치민감도'!$B$5+'01_원자료'!Q484*'03_가중치민감도'!$C$5+'01_원자료'!R484*'03_가중치민감도'!$D$5</f>
        <v/>
      </c>
      <c r="F487" s="85">
        <f>'01_원자료'!P484*'03_가중치민감도'!$B$6+'01_원자료'!Q484*'03_가중치민감도'!$C$6+'01_원자료'!R484*'03_가중치민감도'!$D$6</f>
        <v/>
      </c>
      <c r="G487" s="85">
        <f>'01_원자료'!P484*'03_가중치민감도'!$B$7+'01_원자료'!Q484*'03_가중치민감도'!$C$7+'01_원자료'!R484*'03_가중치민감도'!$D$7</f>
        <v/>
      </c>
      <c r="H487" s="85">
        <f>'01_원자료'!P484*'03_가중치민감도'!$B$8+'01_원자료'!Q484*'03_가중치민감도'!$C$8+'01_원자료'!R484*'03_가중치민감도'!$D$8</f>
        <v/>
      </c>
      <c r="I487" s="85">
        <f>'01_원자료'!P484*'03_가중치민감도'!$B$9+'01_원자료'!Q484*'03_가중치민감도'!$C$9+'01_원자료'!R484*'03_가중치민감도'!$D$9</f>
        <v/>
      </c>
      <c r="J487" s="85">
        <f>'01_원자료'!P484*'03_가중치민감도'!$B$10+'01_원자료'!Q484*'03_가중치민감도'!$C$10+'01_원자료'!R484*'03_가중치민감도'!$D$10</f>
        <v/>
      </c>
      <c r="K487" s="99">
        <f>COUNTIF($E$5:$E$979,"&lt;"&amp;E487)+(COUNTIF($E$5:$E$979,"="&amp;E487)+1)/2</f>
        <v/>
      </c>
      <c r="L487" s="99">
        <f>COUNTIF($F$5:$F$979,"&lt;"&amp;F487)+(COUNTIF($F$5:$F$979,"="&amp;F487)+1)/2</f>
        <v/>
      </c>
      <c r="M487" s="99">
        <f>COUNTIF($G$5:$G$979,"&lt;"&amp;G487)+(COUNTIF($G$5:$G$979,"="&amp;G487)+1)/2</f>
        <v/>
      </c>
      <c r="N487" s="99">
        <f>COUNTIF($H$5:$H$979,"&lt;"&amp;H487)+(COUNTIF($H$5:$H$979,"="&amp;H487)+1)/2</f>
        <v/>
      </c>
      <c r="O487" s="99">
        <f>COUNTIF($I$5:$I$979,"&lt;"&amp;I487)+(COUNTIF($I$5:$I$979,"="&amp;I487)+1)/2</f>
        <v/>
      </c>
      <c r="P487" s="99">
        <f>COUNTIF($J$5:$J$979,"&lt;"&amp;J487)+(COUNTIF($J$5:$J$979,"="&amp;J487)+1)/2</f>
        <v/>
      </c>
    </row>
    <row r="488" ht="15" customHeight="1" s="68">
      <c r="A488" s="70">
        <f>'01_원자료'!A485</f>
        <v/>
      </c>
      <c r="B488" s="70">
        <f>'01_원자료'!B485</f>
        <v/>
      </c>
      <c r="C488" s="70">
        <f>'01_원자료'!C485</f>
        <v/>
      </c>
      <c r="E488" s="85">
        <f>'01_원자료'!P485*'03_가중치민감도'!$B$5+'01_원자료'!Q485*'03_가중치민감도'!$C$5+'01_원자료'!R485*'03_가중치민감도'!$D$5</f>
        <v/>
      </c>
      <c r="F488" s="85">
        <f>'01_원자료'!P485*'03_가중치민감도'!$B$6+'01_원자료'!Q485*'03_가중치민감도'!$C$6+'01_원자료'!R485*'03_가중치민감도'!$D$6</f>
        <v/>
      </c>
      <c r="G488" s="85">
        <f>'01_원자료'!P485*'03_가중치민감도'!$B$7+'01_원자료'!Q485*'03_가중치민감도'!$C$7+'01_원자료'!R485*'03_가중치민감도'!$D$7</f>
        <v/>
      </c>
      <c r="H488" s="85">
        <f>'01_원자료'!P485*'03_가중치민감도'!$B$8+'01_원자료'!Q485*'03_가중치민감도'!$C$8+'01_원자료'!R485*'03_가중치민감도'!$D$8</f>
        <v/>
      </c>
      <c r="I488" s="85">
        <f>'01_원자료'!P485*'03_가중치민감도'!$B$9+'01_원자료'!Q485*'03_가중치민감도'!$C$9+'01_원자료'!R485*'03_가중치민감도'!$D$9</f>
        <v/>
      </c>
      <c r="J488" s="85">
        <f>'01_원자료'!P485*'03_가중치민감도'!$B$10+'01_원자료'!Q485*'03_가중치민감도'!$C$10+'01_원자료'!R485*'03_가중치민감도'!$D$10</f>
        <v/>
      </c>
      <c r="K488" s="99">
        <f>COUNTIF($E$5:$E$979,"&lt;"&amp;E488)+(COUNTIF($E$5:$E$979,"="&amp;E488)+1)/2</f>
        <v/>
      </c>
      <c r="L488" s="99">
        <f>COUNTIF($F$5:$F$979,"&lt;"&amp;F488)+(COUNTIF($F$5:$F$979,"="&amp;F488)+1)/2</f>
        <v/>
      </c>
      <c r="M488" s="99">
        <f>COUNTIF($G$5:$G$979,"&lt;"&amp;G488)+(COUNTIF($G$5:$G$979,"="&amp;G488)+1)/2</f>
        <v/>
      </c>
      <c r="N488" s="99">
        <f>COUNTIF($H$5:$H$979,"&lt;"&amp;H488)+(COUNTIF($H$5:$H$979,"="&amp;H488)+1)/2</f>
        <v/>
      </c>
      <c r="O488" s="99">
        <f>COUNTIF($I$5:$I$979,"&lt;"&amp;I488)+(COUNTIF($I$5:$I$979,"="&amp;I488)+1)/2</f>
        <v/>
      </c>
      <c r="P488" s="99">
        <f>COUNTIF($J$5:$J$979,"&lt;"&amp;J488)+(COUNTIF($J$5:$J$979,"="&amp;J488)+1)/2</f>
        <v/>
      </c>
    </row>
    <row r="489" ht="15" customHeight="1" s="68">
      <c r="A489" s="70">
        <f>'01_원자료'!A486</f>
        <v/>
      </c>
      <c r="B489" s="70">
        <f>'01_원자료'!B486</f>
        <v/>
      </c>
      <c r="C489" s="70">
        <f>'01_원자료'!C486</f>
        <v/>
      </c>
      <c r="E489" s="85">
        <f>'01_원자료'!P486*'03_가중치민감도'!$B$5+'01_원자료'!Q486*'03_가중치민감도'!$C$5+'01_원자료'!R486*'03_가중치민감도'!$D$5</f>
        <v/>
      </c>
      <c r="F489" s="85">
        <f>'01_원자료'!P486*'03_가중치민감도'!$B$6+'01_원자료'!Q486*'03_가중치민감도'!$C$6+'01_원자료'!R486*'03_가중치민감도'!$D$6</f>
        <v/>
      </c>
      <c r="G489" s="85">
        <f>'01_원자료'!P486*'03_가중치민감도'!$B$7+'01_원자료'!Q486*'03_가중치민감도'!$C$7+'01_원자료'!R486*'03_가중치민감도'!$D$7</f>
        <v/>
      </c>
      <c r="H489" s="85">
        <f>'01_원자료'!P486*'03_가중치민감도'!$B$8+'01_원자료'!Q486*'03_가중치민감도'!$C$8+'01_원자료'!R486*'03_가중치민감도'!$D$8</f>
        <v/>
      </c>
      <c r="I489" s="85">
        <f>'01_원자료'!P486*'03_가중치민감도'!$B$9+'01_원자료'!Q486*'03_가중치민감도'!$C$9+'01_원자료'!R486*'03_가중치민감도'!$D$9</f>
        <v/>
      </c>
      <c r="J489" s="85">
        <f>'01_원자료'!P486*'03_가중치민감도'!$B$10+'01_원자료'!Q486*'03_가중치민감도'!$C$10+'01_원자료'!R486*'03_가중치민감도'!$D$10</f>
        <v/>
      </c>
      <c r="K489" s="99">
        <f>COUNTIF($E$5:$E$979,"&lt;"&amp;E489)+(COUNTIF($E$5:$E$979,"="&amp;E489)+1)/2</f>
        <v/>
      </c>
      <c r="L489" s="99">
        <f>COUNTIF($F$5:$F$979,"&lt;"&amp;F489)+(COUNTIF($F$5:$F$979,"="&amp;F489)+1)/2</f>
        <v/>
      </c>
      <c r="M489" s="99">
        <f>COUNTIF($G$5:$G$979,"&lt;"&amp;G489)+(COUNTIF($G$5:$G$979,"="&amp;G489)+1)/2</f>
        <v/>
      </c>
      <c r="N489" s="99">
        <f>COUNTIF($H$5:$H$979,"&lt;"&amp;H489)+(COUNTIF($H$5:$H$979,"="&amp;H489)+1)/2</f>
        <v/>
      </c>
      <c r="O489" s="99">
        <f>COUNTIF($I$5:$I$979,"&lt;"&amp;I489)+(COUNTIF($I$5:$I$979,"="&amp;I489)+1)/2</f>
        <v/>
      </c>
      <c r="P489" s="99">
        <f>COUNTIF($J$5:$J$979,"&lt;"&amp;J489)+(COUNTIF($J$5:$J$979,"="&amp;J489)+1)/2</f>
        <v/>
      </c>
    </row>
    <row r="490" ht="15" customHeight="1" s="68">
      <c r="A490" s="70">
        <f>'01_원자료'!A487</f>
        <v/>
      </c>
      <c r="B490" s="70">
        <f>'01_원자료'!B487</f>
        <v/>
      </c>
      <c r="C490" s="70">
        <f>'01_원자료'!C487</f>
        <v/>
      </c>
      <c r="E490" s="85">
        <f>'01_원자료'!P487*'03_가중치민감도'!$B$5+'01_원자료'!Q487*'03_가중치민감도'!$C$5+'01_원자료'!R487*'03_가중치민감도'!$D$5</f>
        <v/>
      </c>
      <c r="F490" s="85">
        <f>'01_원자료'!P487*'03_가중치민감도'!$B$6+'01_원자료'!Q487*'03_가중치민감도'!$C$6+'01_원자료'!R487*'03_가중치민감도'!$D$6</f>
        <v/>
      </c>
      <c r="G490" s="85">
        <f>'01_원자료'!P487*'03_가중치민감도'!$B$7+'01_원자료'!Q487*'03_가중치민감도'!$C$7+'01_원자료'!R487*'03_가중치민감도'!$D$7</f>
        <v/>
      </c>
      <c r="H490" s="85">
        <f>'01_원자료'!P487*'03_가중치민감도'!$B$8+'01_원자료'!Q487*'03_가중치민감도'!$C$8+'01_원자료'!R487*'03_가중치민감도'!$D$8</f>
        <v/>
      </c>
      <c r="I490" s="85">
        <f>'01_원자료'!P487*'03_가중치민감도'!$B$9+'01_원자료'!Q487*'03_가중치민감도'!$C$9+'01_원자료'!R487*'03_가중치민감도'!$D$9</f>
        <v/>
      </c>
      <c r="J490" s="85">
        <f>'01_원자료'!P487*'03_가중치민감도'!$B$10+'01_원자료'!Q487*'03_가중치민감도'!$C$10+'01_원자료'!R487*'03_가중치민감도'!$D$10</f>
        <v/>
      </c>
      <c r="K490" s="99">
        <f>COUNTIF($E$5:$E$979,"&lt;"&amp;E490)+(COUNTIF($E$5:$E$979,"="&amp;E490)+1)/2</f>
        <v/>
      </c>
      <c r="L490" s="99">
        <f>COUNTIF($F$5:$F$979,"&lt;"&amp;F490)+(COUNTIF($F$5:$F$979,"="&amp;F490)+1)/2</f>
        <v/>
      </c>
      <c r="M490" s="99">
        <f>COUNTIF($G$5:$G$979,"&lt;"&amp;G490)+(COUNTIF($G$5:$G$979,"="&amp;G490)+1)/2</f>
        <v/>
      </c>
      <c r="N490" s="99">
        <f>COUNTIF($H$5:$H$979,"&lt;"&amp;H490)+(COUNTIF($H$5:$H$979,"="&amp;H490)+1)/2</f>
        <v/>
      </c>
      <c r="O490" s="99">
        <f>COUNTIF($I$5:$I$979,"&lt;"&amp;I490)+(COUNTIF($I$5:$I$979,"="&amp;I490)+1)/2</f>
        <v/>
      </c>
      <c r="P490" s="99">
        <f>COUNTIF($J$5:$J$979,"&lt;"&amp;J490)+(COUNTIF($J$5:$J$979,"="&amp;J490)+1)/2</f>
        <v/>
      </c>
    </row>
    <row r="491" ht="15" customHeight="1" s="68">
      <c r="A491" s="70">
        <f>'01_원자료'!A488</f>
        <v/>
      </c>
      <c r="B491" s="70">
        <f>'01_원자료'!B488</f>
        <v/>
      </c>
      <c r="C491" s="70">
        <f>'01_원자료'!C488</f>
        <v/>
      </c>
      <c r="E491" s="85">
        <f>'01_원자료'!P488*'03_가중치민감도'!$B$5+'01_원자료'!Q488*'03_가중치민감도'!$C$5+'01_원자료'!R488*'03_가중치민감도'!$D$5</f>
        <v/>
      </c>
      <c r="F491" s="85">
        <f>'01_원자료'!P488*'03_가중치민감도'!$B$6+'01_원자료'!Q488*'03_가중치민감도'!$C$6+'01_원자료'!R488*'03_가중치민감도'!$D$6</f>
        <v/>
      </c>
      <c r="G491" s="85">
        <f>'01_원자료'!P488*'03_가중치민감도'!$B$7+'01_원자료'!Q488*'03_가중치민감도'!$C$7+'01_원자료'!R488*'03_가중치민감도'!$D$7</f>
        <v/>
      </c>
      <c r="H491" s="85">
        <f>'01_원자료'!P488*'03_가중치민감도'!$B$8+'01_원자료'!Q488*'03_가중치민감도'!$C$8+'01_원자료'!R488*'03_가중치민감도'!$D$8</f>
        <v/>
      </c>
      <c r="I491" s="85">
        <f>'01_원자료'!P488*'03_가중치민감도'!$B$9+'01_원자료'!Q488*'03_가중치민감도'!$C$9+'01_원자료'!R488*'03_가중치민감도'!$D$9</f>
        <v/>
      </c>
      <c r="J491" s="85">
        <f>'01_원자료'!P488*'03_가중치민감도'!$B$10+'01_원자료'!Q488*'03_가중치민감도'!$C$10+'01_원자료'!R488*'03_가중치민감도'!$D$10</f>
        <v/>
      </c>
      <c r="K491" s="99">
        <f>COUNTIF($E$5:$E$979,"&lt;"&amp;E491)+(COUNTIF($E$5:$E$979,"="&amp;E491)+1)/2</f>
        <v/>
      </c>
      <c r="L491" s="99">
        <f>COUNTIF($F$5:$F$979,"&lt;"&amp;F491)+(COUNTIF($F$5:$F$979,"="&amp;F491)+1)/2</f>
        <v/>
      </c>
      <c r="M491" s="99">
        <f>COUNTIF($G$5:$G$979,"&lt;"&amp;G491)+(COUNTIF($G$5:$G$979,"="&amp;G491)+1)/2</f>
        <v/>
      </c>
      <c r="N491" s="99">
        <f>COUNTIF($H$5:$H$979,"&lt;"&amp;H491)+(COUNTIF($H$5:$H$979,"="&amp;H491)+1)/2</f>
        <v/>
      </c>
      <c r="O491" s="99">
        <f>COUNTIF($I$5:$I$979,"&lt;"&amp;I491)+(COUNTIF($I$5:$I$979,"="&amp;I491)+1)/2</f>
        <v/>
      </c>
      <c r="P491" s="99">
        <f>COUNTIF($J$5:$J$979,"&lt;"&amp;J491)+(COUNTIF($J$5:$J$979,"="&amp;J491)+1)/2</f>
        <v/>
      </c>
    </row>
    <row r="492" ht="15" customHeight="1" s="68">
      <c r="A492" s="70">
        <f>'01_원자료'!A489</f>
        <v/>
      </c>
      <c r="B492" s="70">
        <f>'01_원자료'!B489</f>
        <v/>
      </c>
      <c r="C492" s="70">
        <f>'01_원자료'!C489</f>
        <v/>
      </c>
      <c r="E492" s="85">
        <f>'01_원자료'!P489*'03_가중치민감도'!$B$5+'01_원자료'!Q489*'03_가중치민감도'!$C$5+'01_원자료'!R489*'03_가중치민감도'!$D$5</f>
        <v/>
      </c>
      <c r="F492" s="85">
        <f>'01_원자료'!P489*'03_가중치민감도'!$B$6+'01_원자료'!Q489*'03_가중치민감도'!$C$6+'01_원자료'!R489*'03_가중치민감도'!$D$6</f>
        <v/>
      </c>
      <c r="G492" s="85">
        <f>'01_원자료'!P489*'03_가중치민감도'!$B$7+'01_원자료'!Q489*'03_가중치민감도'!$C$7+'01_원자료'!R489*'03_가중치민감도'!$D$7</f>
        <v/>
      </c>
      <c r="H492" s="85">
        <f>'01_원자료'!P489*'03_가중치민감도'!$B$8+'01_원자료'!Q489*'03_가중치민감도'!$C$8+'01_원자료'!R489*'03_가중치민감도'!$D$8</f>
        <v/>
      </c>
      <c r="I492" s="85">
        <f>'01_원자료'!P489*'03_가중치민감도'!$B$9+'01_원자료'!Q489*'03_가중치민감도'!$C$9+'01_원자료'!R489*'03_가중치민감도'!$D$9</f>
        <v/>
      </c>
      <c r="J492" s="85">
        <f>'01_원자료'!P489*'03_가중치민감도'!$B$10+'01_원자료'!Q489*'03_가중치민감도'!$C$10+'01_원자료'!R489*'03_가중치민감도'!$D$10</f>
        <v/>
      </c>
      <c r="K492" s="99">
        <f>COUNTIF($E$5:$E$979,"&lt;"&amp;E492)+(COUNTIF($E$5:$E$979,"="&amp;E492)+1)/2</f>
        <v/>
      </c>
      <c r="L492" s="99">
        <f>COUNTIF($F$5:$F$979,"&lt;"&amp;F492)+(COUNTIF($F$5:$F$979,"="&amp;F492)+1)/2</f>
        <v/>
      </c>
      <c r="M492" s="99">
        <f>COUNTIF($G$5:$G$979,"&lt;"&amp;G492)+(COUNTIF($G$5:$G$979,"="&amp;G492)+1)/2</f>
        <v/>
      </c>
      <c r="N492" s="99">
        <f>COUNTIF($H$5:$H$979,"&lt;"&amp;H492)+(COUNTIF($H$5:$H$979,"="&amp;H492)+1)/2</f>
        <v/>
      </c>
      <c r="O492" s="99">
        <f>COUNTIF($I$5:$I$979,"&lt;"&amp;I492)+(COUNTIF($I$5:$I$979,"="&amp;I492)+1)/2</f>
        <v/>
      </c>
      <c r="P492" s="99">
        <f>COUNTIF($J$5:$J$979,"&lt;"&amp;J492)+(COUNTIF($J$5:$J$979,"="&amp;J492)+1)/2</f>
        <v/>
      </c>
    </row>
    <row r="493" ht="15" customHeight="1" s="68">
      <c r="A493" s="70">
        <f>'01_원자료'!A490</f>
        <v/>
      </c>
      <c r="B493" s="70">
        <f>'01_원자료'!B490</f>
        <v/>
      </c>
      <c r="C493" s="70">
        <f>'01_원자료'!C490</f>
        <v/>
      </c>
      <c r="E493" s="85">
        <f>'01_원자료'!P490*'03_가중치민감도'!$B$5+'01_원자료'!Q490*'03_가중치민감도'!$C$5+'01_원자료'!R490*'03_가중치민감도'!$D$5</f>
        <v/>
      </c>
      <c r="F493" s="85">
        <f>'01_원자료'!P490*'03_가중치민감도'!$B$6+'01_원자료'!Q490*'03_가중치민감도'!$C$6+'01_원자료'!R490*'03_가중치민감도'!$D$6</f>
        <v/>
      </c>
      <c r="G493" s="85">
        <f>'01_원자료'!P490*'03_가중치민감도'!$B$7+'01_원자료'!Q490*'03_가중치민감도'!$C$7+'01_원자료'!R490*'03_가중치민감도'!$D$7</f>
        <v/>
      </c>
      <c r="H493" s="85">
        <f>'01_원자료'!P490*'03_가중치민감도'!$B$8+'01_원자료'!Q490*'03_가중치민감도'!$C$8+'01_원자료'!R490*'03_가중치민감도'!$D$8</f>
        <v/>
      </c>
      <c r="I493" s="85">
        <f>'01_원자료'!P490*'03_가중치민감도'!$B$9+'01_원자료'!Q490*'03_가중치민감도'!$C$9+'01_원자료'!R490*'03_가중치민감도'!$D$9</f>
        <v/>
      </c>
      <c r="J493" s="85">
        <f>'01_원자료'!P490*'03_가중치민감도'!$B$10+'01_원자료'!Q490*'03_가중치민감도'!$C$10+'01_원자료'!R490*'03_가중치민감도'!$D$10</f>
        <v/>
      </c>
      <c r="K493" s="99">
        <f>COUNTIF($E$5:$E$979,"&lt;"&amp;E493)+(COUNTIF($E$5:$E$979,"="&amp;E493)+1)/2</f>
        <v/>
      </c>
      <c r="L493" s="99">
        <f>COUNTIF($F$5:$F$979,"&lt;"&amp;F493)+(COUNTIF($F$5:$F$979,"="&amp;F493)+1)/2</f>
        <v/>
      </c>
      <c r="M493" s="99">
        <f>COUNTIF($G$5:$G$979,"&lt;"&amp;G493)+(COUNTIF($G$5:$G$979,"="&amp;G493)+1)/2</f>
        <v/>
      </c>
      <c r="N493" s="99">
        <f>COUNTIF($H$5:$H$979,"&lt;"&amp;H493)+(COUNTIF($H$5:$H$979,"="&amp;H493)+1)/2</f>
        <v/>
      </c>
      <c r="O493" s="99">
        <f>COUNTIF($I$5:$I$979,"&lt;"&amp;I493)+(COUNTIF($I$5:$I$979,"="&amp;I493)+1)/2</f>
        <v/>
      </c>
      <c r="P493" s="99">
        <f>COUNTIF($J$5:$J$979,"&lt;"&amp;J493)+(COUNTIF($J$5:$J$979,"="&amp;J493)+1)/2</f>
        <v/>
      </c>
    </row>
    <row r="494" ht="15" customHeight="1" s="68">
      <c r="A494" s="70">
        <f>'01_원자료'!A491</f>
        <v/>
      </c>
      <c r="B494" s="70">
        <f>'01_원자료'!B491</f>
        <v/>
      </c>
      <c r="C494" s="70">
        <f>'01_원자료'!C491</f>
        <v/>
      </c>
      <c r="E494" s="85">
        <f>'01_원자료'!P491*'03_가중치민감도'!$B$5+'01_원자료'!Q491*'03_가중치민감도'!$C$5+'01_원자료'!R491*'03_가중치민감도'!$D$5</f>
        <v/>
      </c>
      <c r="F494" s="85">
        <f>'01_원자료'!P491*'03_가중치민감도'!$B$6+'01_원자료'!Q491*'03_가중치민감도'!$C$6+'01_원자료'!R491*'03_가중치민감도'!$D$6</f>
        <v/>
      </c>
      <c r="G494" s="85">
        <f>'01_원자료'!P491*'03_가중치민감도'!$B$7+'01_원자료'!Q491*'03_가중치민감도'!$C$7+'01_원자료'!R491*'03_가중치민감도'!$D$7</f>
        <v/>
      </c>
      <c r="H494" s="85">
        <f>'01_원자료'!P491*'03_가중치민감도'!$B$8+'01_원자료'!Q491*'03_가중치민감도'!$C$8+'01_원자료'!R491*'03_가중치민감도'!$D$8</f>
        <v/>
      </c>
      <c r="I494" s="85">
        <f>'01_원자료'!P491*'03_가중치민감도'!$B$9+'01_원자료'!Q491*'03_가중치민감도'!$C$9+'01_원자료'!R491*'03_가중치민감도'!$D$9</f>
        <v/>
      </c>
      <c r="J494" s="85">
        <f>'01_원자료'!P491*'03_가중치민감도'!$B$10+'01_원자료'!Q491*'03_가중치민감도'!$C$10+'01_원자료'!R491*'03_가중치민감도'!$D$10</f>
        <v/>
      </c>
      <c r="K494" s="99">
        <f>COUNTIF($E$5:$E$979,"&lt;"&amp;E494)+(COUNTIF($E$5:$E$979,"="&amp;E494)+1)/2</f>
        <v/>
      </c>
      <c r="L494" s="99">
        <f>COUNTIF($F$5:$F$979,"&lt;"&amp;F494)+(COUNTIF($F$5:$F$979,"="&amp;F494)+1)/2</f>
        <v/>
      </c>
      <c r="M494" s="99">
        <f>COUNTIF($G$5:$G$979,"&lt;"&amp;G494)+(COUNTIF($G$5:$G$979,"="&amp;G494)+1)/2</f>
        <v/>
      </c>
      <c r="N494" s="99">
        <f>COUNTIF($H$5:$H$979,"&lt;"&amp;H494)+(COUNTIF($H$5:$H$979,"="&amp;H494)+1)/2</f>
        <v/>
      </c>
      <c r="O494" s="99">
        <f>COUNTIF($I$5:$I$979,"&lt;"&amp;I494)+(COUNTIF($I$5:$I$979,"="&amp;I494)+1)/2</f>
        <v/>
      </c>
      <c r="P494" s="99">
        <f>COUNTIF($J$5:$J$979,"&lt;"&amp;J494)+(COUNTIF($J$5:$J$979,"="&amp;J494)+1)/2</f>
        <v/>
      </c>
    </row>
    <row r="495" ht="15" customHeight="1" s="68">
      <c r="A495" s="70">
        <f>'01_원자료'!A492</f>
        <v/>
      </c>
      <c r="B495" s="70">
        <f>'01_원자료'!B492</f>
        <v/>
      </c>
      <c r="C495" s="70">
        <f>'01_원자료'!C492</f>
        <v/>
      </c>
      <c r="E495" s="85">
        <f>'01_원자료'!P492*'03_가중치민감도'!$B$5+'01_원자료'!Q492*'03_가중치민감도'!$C$5+'01_원자료'!R492*'03_가중치민감도'!$D$5</f>
        <v/>
      </c>
      <c r="F495" s="85">
        <f>'01_원자료'!P492*'03_가중치민감도'!$B$6+'01_원자료'!Q492*'03_가중치민감도'!$C$6+'01_원자료'!R492*'03_가중치민감도'!$D$6</f>
        <v/>
      </c>
      <c r="G495" s="85">
        <f>'01_원자료'!P492*'03_가중치민감도'!$B$7+'01_원자료'!Q492*'03_가중치민감도'!$C$7+'01_원자료'!R492*'03_가중치민감도'!$D$7</f>
        <v/>
      </c>
      <c r="H495" s="85">
        <f>'01_원자료'!P492*'03_가중치민감도'!$B$8+'01_원자료'!Q492*'03_가중치민감도'!$C$8+'01_원자료'!R492*'03_가중치민감도'!$D$8</f>
        <v/>
      </c>
      <c r="I495" s="85">
        <f>'01_원자료'!P492*'03_가중치민감도'!$B$9+'01_원자료'!Q492*'03_가중치민감도'!$C$9+'01_원자료'!R492*'03_가중치민감도'!$D$9</f>
        <v/>
      </c>
      <c r="J495" s="85">
        <f>'01_원자료'!P492*'03_가중치민감도'!$B$10+'01_원자료'!Q492*'03_가중치민감도'!$C$10+'01_원자료'!R492*'03_가중치민감도'!$D$10</f>
        <v/>
      </c>
      <c r="K495" s="99">
        <f>COUNTIF($E$5:$E$979,"&lt;"&amp;E495)+(COUNTIF($E$5:$E$979,"="&amp;E495)+1)/2</f>
        <v/>
      </c>
      <c r="L495" s="99">
        <f>COUNTIF($F$5:$F$979,"&lt;"&amp;F495)+(COUNTIF($F$5:$F$979,"="&amp;F495)+1)/2</f>
        <v/>
      </c>
      <c r="M495" s="99">
        <f>COUNTIF($G$5:$G$979,"&lt;"&amp;G495)+(COUNTIF($G$5:$G$979,"="&amp;G495)+1)/2</f>
        <v/>
      </c>
      <c r="N495" s="99">
        <f>COUNTIF($H$5:$H$979,"&lt;"&amp;H495)+(COUNTIF($H$5:$H$979,"="&amp;H495)+1)/2</f>
        <v/>
      </c>
      <c r="O495" s="99">
        <f>COUNTIF($I$5:$I$979,"&lt;"&amp;I495)+(COUNTIF($I$5:$I$979,"="&amp;I495)+1)/2</f>
        <v/>
      </c>
      <c r="P495" s="99">
        <f>COUNTIF($J$5:$J$979,"&lt;"&amp;J495)+(COUNTIF($J$5:$J$979,"="&amp;J495)+1)/2</f>
        <v/>
      </c>
    </row>
    <row r="496" ht="15" customHeight="1" s="68">
      <c r="A496" s="70">
        <f>'01_원자료'!A493</f>
        <v/>
      </c>
      <c r="B496" s="70">
        <f>'01_원자료'!B493</f>
        <v/>
      </c>
      <c r="C496" s="70">
        <f>'01_원자료'!C493</f>
        <v/>
      </c>
      <c r="E496" s="85">
        <f>'01_원자료'!P493*'03_가중치민감도'!$B$5+'01_원자료'!Q493*'03_가중치민감도'!$C$5+'01_원자료'!R493*'03_가중치민감도'!$D$5</f>
        <v/>
      </c>
      <c r="F496" s="85">
        <f>'01_원자료'!P493*'03_가중치민감도'!$B$6+'01_원자료'!Q493*'03_가중치민감도'!$C$6+'01_원자료'!R493*'03_가중치민감도'!$D$6</f>
        <v/>
      </c>
      <c r="G496" s="85">
        <f>'01_원자료'!P493*'03_가중치민감도'!$B$7+'01_원자료'!Q493*'03_가중치민감도'!$C$7+'01_원자료'!R493*'03_가중치민감도'!$D$7</f>
        <v/>
      </c>
      <c r="H496" s="85">
        <f>'01_원자료'!P493*'03_가중치민감도'!$B$8+'01_원자료'!Q493*'03_가중치민감도'!$C$8+'01_원자료'!R493*'03_가중치민감도'!$D$8</f>
        <v/>
      </c>
      <c r="I496" s="85">
        <f>'01_원자료'!P493*'03_가중치민감도'!$B$9+'01_원자료'!Q493*'03_가중치민감도'!$C$9+'01_원자료'!R493*'03_가중치민감도'!$D$9</f>
        <v/>
      </c>
      <c r="J496" s="85">
        <f>'01_원자료'!P493*'03_가중치민감도'!$B$10+'01_원자료'!Q493*'03_가중치민감도'!$C$10+'01_원자료'!R493*'03_가중치민감도'!$D$10</f>
        <v/>
      </c>
      <c r="K496" s="99">
        <f>COUNTIF($E$5:$E$979,"&lt;"&amp;E496)+(COUNTIF($E$5:$E$979,"="&amp;E496)+1)/2</f>
        <v/>
      </c>
      <c r="L496" s="99">
        <f>COUNTIF($F$5:$F$979,"&lt;"&amp;F496)+(COUNTIF($F$5:$F$979,"="&amp;F496)+1)/2</f>
        <v/>
      </c>
      <c r="M496" s="99">
        <f>COUNTIF($G$5:$G$979,"&lt;"&amp;G496)+(COUNTIF($G$5:$G$979,"="&amp;G496)+1)/2</f>
        <v/>
      </c>
      <c r="N496" s="99">
        <f>COUNTIF($H$5:$H$979,"&lt;"&amp;H496)+(COUNTIF($H$5:$H$979,"="&amp;H496)+1)/2</f>
        <v/>
      </c>
      <c r="O496" s="99">
        <f>COUNTIF($I$5:$I$979,"&lt;"&amp;I496)+(COUNTIF($I$5:$I$979,"="&amp;I496)+1)/2</f>
        <v/>
      </c>
      <c r="P496" s="99">
        <f>COUNTIF($J$5:$J$979,"&lt;"&amp;J496)+(COUNTIF($J$5:$J$979,"="&amp;J496)+1)/2</f>
        <v/>
      </c>
    </row>
    <row r="497" ht="15" customHeight="1" s="68">
      <c r="A497" s="70">
        <f>'01_원자료'!A494</f>
        <v/>
      </c>
      <c r="B497" s="70">
        <f>'01_원자료'!B494</f>
        <v/>
      </c>
      <c r="C497" s="70">
        <f>'01_원자료'!C494</f>
        <v/>
      </c>
      <c r="E497" s="85">
        <f>'01_원자료'!P494*'03_가중치민감도'!$B$5+'01_원자료'!Q494*'03_가중치민감도'!$C$5+'01_원자료'!R494*'03_가중치민감도'!$D$5</f>
        <v/>
      </c>
      <c r="F497" s="85">
        <f>'01_원자료'!P494*'03_가중치민감도'!$B$6+'01_원자료'!Q494*'03_가중치민감도'!$C$6+'01_원자료'!R494*'03_가중치민감도'!$D$6</f>
        <v/>
      </c>
      <c r="G497" s="85">
        <f>'01_원자료'!P494*'03_가중치민감도'!$B$7+'01_원자료'!Q494*'03_가중치민감도'!$C$7+'01_원자료'!R494*'03_가중치민감도'!$D$7</f>
        <v/>
      </c>
      <c r="H497" s="85">
        <f>'01_원자료'!P494*'03_가중치민감도'!$B$8+'01_원자료'!Q494*'03_가중치민감도'!$C$8+'01_원자료'!R494*'03_가중치민감도'!$D$8</f>
        <v/>
      </c>
      <c r="I497" s="85">
        <f>'01_원자료'!P494*'03_가중치민감도'!$B$9+'01_원자료'!Q494*'03_가중치민감도'!$C$9+'01_원자료'!R494*'03_가중치민감도'!$D$9</f>
        <v/>
      </c>
      <c r="J497" s="85">
        <f>'01_원자료'!P494*'03_가중치민감도'!$B$10+'01_원자료'!Q494*'03_가중치민감도'!$C$10+'01_원자료'!R494*'03_가중치민감도'!$D$10</f>
        <v/>
      </c>
      <c r="K497" s="99">
        <f>COUNTIF($E$5:$E$979,"&lt;"&amp;E497)+(COUNTIF($E$5:$E$979,"="&amp;E497)+1)/2</f>
        <v/>
      </c>
      <c r="L497" s="99">
        <f>COUNTIF($F$5:$F$979,"&lt;"&amp;F497)+(COUNTIF($F$5:$F$979,"="&amp;F497)+1)/2</f>
        <v/>
      </c>
      <c r="M497" s="99">
        <f>COUNTIF($G$5:$G$979,"&lt;"&amp;G497)+(COUNTIF($G$5:$G$979,"="&amp;G497)+1)/2</f>
        <v/>
      </c>
      <c r="N497" s="99">
        <f>COUNTIF($H$5:$H$979,"&lt;"&amp;H497)+(COUNTIF($H$5:$H$979,"="&amp;H497)+1)/2</f>
        <v/>
      </c>
      <c r="O497" s="99">
        <f>COUNTIF($I$5:$I$979,"&lt;"&amp;I497)+(COUNTIF($I$5:$I$979,"="&amp;I497)+1)/2</f>
        <v/>
      </c>
      <c r="P497" s="99">
        <f>COUNTIF($J$5:$J$979,"&lt;"&amp;J497)+(COUNTIF($J$5:$J$979,"="&amp;J497)+1)/2</f>
        <v/>
      </c>
    </row>
    <row r="498" ht="15" customHeight="1" s="68">
      <c r="A498" s="70">
        <f>'01_원자료'!A495</f>
        <v/>
      </c>
      <c r="B498" s="70">
        <f>'01_원자료'!B495</f>
        <v/>
      </c>
      <c r="C498" s="70">
        <f>'01_원자료'!C495</f>
        <v/>
      </c>
      <c r="E498" s="85">
        <f>'01_원자료'!P495*'03_가중치민감도'!$B$5+'01_원자료'!Q495*'03_가중치민감도'!$C$5+'01_원자료'!R495*'03_가중치민감도'!$D$5</f>
        <v/>
      </c>
      <c r="F498" s="85">
        <f>'01_원자료'!P495*'03_가중치민감도'!$B$6+'01_원자료'!Q495*'03_가중치민감도'!$C$6+'01_원자료'!R495*'03_가중치민감도'!$D$6</f>
        <v/>
      </c>
      <c r="G498" s="85">
        <f>'01_원자료'!P495*'03_가중치민감도'!$B$7+'01_원자료'!Q495*'03_가중치민감도'!$C$7+'01_원자료'!R495*'03_가중치민감도'!$D$7</f>
        <v/>
      </c>
      <c r="H498" s="85">
        <f>'01_원자료'!P495*'03_가중치민감도'!$B$8+'01_원자료'!Q495*'03_가중치민감도'!$C$8+'01_원자료'!R495*'03_가중치민감도'!$D$8</f>
        <v/>
      </c>
      <c r="I498" s="85">
        <f>'01_원자료'!P495*'03_가중치민감도'!$B$9+'01_원자료'!Q495*'03_가중치민감도'!$C$9+'01_원자료'!R495*'03_가중치민감도'!$D$9</f>
        <v/>
      </c>
      <c r="J498" s="85">
        <f>'01_원자료'!P495*'03_가중치민감도'!$B$10+'01_원자료'!Q495*'03_가중치민감도'!$C$10+'01_원자료'!R495*'03_가중치민감도'!$D$10</f>
        <v/>
      </c>
      <c r="K498" s="99">
        <f>COUNTIF($E$5:$E$979,"&lt;"&amp;E498)+(COUNTIF($E$5:$E$979,"="&amp;E498)+1)/2</f>
        <v/>
      </c>
      <c r="L498" s="99">
        <f>COUNTIF($F$5:$F$979,"&lt;"&amp;F498)+(COUNTIF($F$5:$F$979,"="&amp;F498)+1)/2</f>
        <v/>
      </c>
      <c r="M498" s="99">
        <f>COUNTIF($G$5:$G$979,"&lt;"&amp;G498)+(COUNTIF($G$5:$G$979,"="&amp;G498)+1)/2</f>
        <v/>
      </c>
      <c r="N498" s="99">
        <f>COUNTIF($H$5:$H$979,"&lt;"&amp;H498)+(COUNTIF($H$5:$H$979,"="&amp;H498)+1)/2</f>
        <v/>
      </c>
      <c r="O498" s="99">
        <f>COUNTIF($I$5:$I$979,"&lt;"&amp;I498)+(COUNTIF($I$5:$I$979,"="&amp;I498)+1)/2</f>
        <v/>
      </c>
      <c r="P498" s="99">
        <f>COUNTIF($J$5:$J$979,"&lt;"&amp;J498)+(COUNTIF($J$5:$J$979,"="&amp;J498)+1)/2</f>
        <v/>
      </c>
    </row>
    <row r="499" ht="15" customHeight="1" s="68">
      <c r="A499" s="70">
        <f>'01_원자료'!A496</f>
        <v/>
      </c>
      <c r="B499" s="70">
        <f>'01_원자료'!B496</f>
        <v/>
      </c>
      <c r="C499" s="70">
        <f>'01_원자료'!C496</f>
        <v/>
      </c>
      <c r="E499" s="85">
        <f>'01_원자료'!P496*'03_가중치민감도'!$B$5+'01_원자료'!Q496*'03_가중치민감도'!$C$5+'01_원자료'!R496*'03_가중치민감도'!$D$5</f>
        <v/>
      </c>
      <c r="F499" s="85">
        <f>'01_원자료'!P496*'03_가중치민감도'!$B$6+'01_원자료'!Q496*'03_가중치민감도'!$C$6+'01_원자료'!R496*'03_가중치민감도'!$D$6</f>
        <v/>
      </c>
      <c r="G499" s="85">
        <f>'01_원자료'!P496*'03_가중치민감도'!$B$7+'01_원자료'!Q496*'03_가중치민감도'!$C$7+'01_원자료'!R496*'03_가중치민감도'!$D$7</f>
        <v/>
      </c>
      <c r="H499" s="85">
        <f>'01_원자료'!P496*'03_가중치민감도'!$B$8+'01_원자료'!Q496*'03_가중치민감도'!$C$8+'01_원자료'!R496*'03_가중치민감도'!$D$8</f>
        <v/>
      </c>
      <c r="I499" s="85">
        <f>'01_원자료'!P496*'03_가중치민감도'!$B$9+'01_원자료'!Q496*'03_가중치민감도'!$C$9+'01_원자료'!R496*'03_가중치민감도'!$D$9</f>
        <v/>
      </c>
      <c r="J499" s="85">
        <f>'01_원자료'!P496*'03_가중치민감도'!$B$10+'01_원자료'!Q496*'03_가중치민감도'!$C$10+'01_원자료'!R496*'03_가중치민감도'!$D$10</f>
        <v/>
      </c>
      <c r="K499" s="99">
        <f>COUNTIF($E$5:$E$979,"&lt;"&amp;E499)+(COUNTIF($E$5:$E$979,"="&amp;E499)+1)/2</f>
        <v/>
      </c>
      <c r="L499" s="99">
        <f>COUNTIF($F$5:$F$979,"&lt;"&amp;F499)+(COUNTIF($F$5:$F$979,"="&amp;F499)+1)/2</f>
        <v/>
      </c>
      <c r="M499" s="99">
        <f>COUNTIF($G$5:$G$979,"&lt;"&amp;G499)+(COUNTIF($G$5:$G$979,"="&amp;G499)+1)/2</f>
        <v/>
      </c>
      <c r="N499" s="99">
        <f>COUNTIF($H$5:$H$979,"&lt;"&amp;H499)+(COUNTIF($H$5:$H$979,"="&amp;H499)+1)/2</f>
        <v/>
      </c>
      <c r="O499" s="99">
        <f>COUNTIF($I$5:$I$979,"&lt;"&amp;I499)+(COUNTIF($I$5:$I$979,"="&amp;I499)+1)/2</f>
        <v/>
      </c>
      <c r="P499" s="99">
        <f>COUNTIF($J$5:$J$979,"&lt;"&amp;J499)+(COUNTIF($J$5:$J$979,"="&amp;J499)+1)/2</f>
        <v/>
      </c>
    </row>
    <row r="500" ht="15" customHeight="1" s="68">
      <c r="A500" s="70">
        <f>'01_원자료'!A497</f>
        <v/>
      </c>
      <c r="B500" s="70">
        <f>'01_원자료'!B497</f>
        <v/>
      </c>
      <c r="C500" s="70">
        <f>'01_원자료'!C497</f>
        <v/>
      </c>
      <c r="E500" s="85">
        <f>'01_원자료'!P497*'03_가중치민감도'!$B$5+'01_원자료'!Q497*'03_가중치민감도'!$C$5+'01_원자료'!R497*'03_가중치민감도'!$D$5</f>
        <v/>
      </c>
      <c r="F500" s="85">
        <f>'01_원자료'!P497*'03_가중치민감도'!$B$6+'01_원자료'!Q497*'03_가중치민감도'!$C$6+'01_원자료'!R497*'03_가중치민감도'!$D$6</f>
        <v/>
      </c>
      <c r="G500" s="85">
        <f>'01_원자료'!P497*'03_가중치민감도'!$B$7+'01_원자료'!Q497*'03_가중치민감도'!$C$7+'01_원자료'!R497*'03_가중치민감도'!$D$7</f>
        <v/>
      </c>
      <c r="H500" s="85">
        <f>'01_원자료'!P497*'03_가중치민감도'!$B$8+'01_원자료'!Q497*'03_가중치민감도'!$C$8+'01_원자료'!R497*'03_가중치민감도'!$D$8</f>
        <v/>
      </c>
      <c r="I500" s="85">
        <f>'01_원자료'!P497*'03_가중치민감도'!$B$9+'01_원자료'!Q497*'03_가중치민감도'!$C$9+'01_원자료'!R497*'03_가중치민감도'!$D$9</f>
        <v/>
      </c>
      <c r="J500" s="85">
        <f>'01_원자료'!P497*'03_가중치민감도'!$B$10+'01_원자료'!Q497*'03_가중치민감도'!$C$10+'01_원자료'!R497*'03_가중치민감도'!$D$10</f>
        <v/>
      </c>
      <c r="K500" s="99">
        <f>COUNTIF($E$5:$E$979,"&lt;"&amp;E500)+(COUNTIF($E$5:$E$979,"="&amp;E500)+1)/2</f>
        <v/>
      </c>
      <c r="L500" s="99">
        <f>COUNTIF($F$5:$F$979,"&lt;"&amp;F500)+(COUNTIF($F$5:$F$979,"="&amp;F500)+1)/2</f>
        <v/>
      </c>
      <c r="M500" s="99">
        <f>COUNTIF($G$5:$G$979,"&lt;"&amp;G500)+(COUNTIF($G$5:$G$979,"="&amp;G500)+1)/2</f>
        <v/>
      </c>
      <c r="N500" s="99">
        <f>COUNTIF($H$5:$H$979,"&lt;"&amp;H500)+(COUNTIF($H$5:$H$979,"="&amp;H500)+1)/2</f>
        <v/>
      </c>
      <c r="O500" s="99">
        <f>COUNTIF($I$5:$I$979,"&lt;"&amp;I500)+(COUNTIF($I$5:$I$979,"="&amp;I500)+1)/2</f>
        <v/>
      </c>
      <c r="P500" s="99">
        <f>COUNTIF($J$5:$J$979,"&lt;"&amp;J500)+(COUNTIF($J$5:$J$979,"="&amp;J500)+1)/2</f>
        <v/>
      </c>
    </row>
    <row r="501" ht="15" customHeight="1" s="68">
      <c r="A501" s="70">
        <f>'01_원자료'!A498</f>
        <v/>
      </c>
      <c r="B501" s="70">
        <f>'01_원자료'!B498</f>
        <v/>
      </c>
      <c r="C501" s="70">
        <f>'01_원자료'!C498</f>
        <v/>
      </c>
      <c r="E501" s="85">
        <f>'01_원자료'!P498*'03_가중치민감도'!$B$5+'01_원자료'!Q498*'03_가중치민감도'!$C$5+'01_원자료'!R498*'03_가중치민감도'!$D$5</f>
        <v/>
      </c>
      <c r="F501" s="85">
        <f>'01_원자료'!P498*'03_가중치민감도'!$B$6+'01_원자료'!Q498*'03_가중치민감도'!$C$6+'01_원자료'!R498*'03_가중치민감도'!$D$6</f>
        <v/>
      </c>
      <c r="G501" s="85">
        <f>'01_원자료'!P498*'03_가중치민감도'!$B$7+'01_원자료'!Q498*'03_가중치민감도'!$C$7+'01_원자료'!R498*'03_가중치민감도'!$D$7</f>
        <v/>
      </c>
      <c r="H501" s="85">
        <f>'01_원자료'!P498*'03_가중치민감도'!$B$8+'01_원자료'!Q498*'03_가중치민감도'!$C$8+'01_원자료'!R498*'03_가중치민감도'!$D$8</f>
        <v/>
      </c>
      <c r="I501" s="85">
        <f>'01_원자료'!P498*'03_가중치민감도'!$B$9+'01_원자료'!Q498*'03_가중치민감도'!$C$9+'01_원자료'!R498*'03_가중치민감도'!$D$9</f>
        <v/>
      </c>
      <c r="J501" s="85">
        <f>'01_원자료'!P498*'03_가중치민감도'!$B$10+'01_원자료'!Q498*'03_가중치민감도'!$C$10+'01_원자료'!R498*'03_가중치민감도'!$D$10</f>
        <v/>
      </c>
      <c r="K501" s="99">
        <f>COUNTIF($E$5:$E$979,"&lt;"&amp;E501)+(COUNTIF($E$5:$E$979,"="&amp;E501)+1)/2</f>
        <v/>
      </c>
      <c r="L501" s="99">
        <f>COUNTIF($F$5:$F$979,"&lt;"&amp;F501)+(COUNTIF($F$5:$F$979,"="&amp;F501)+1)/2</f>
        <v/>
      </c>
      <c r="M501" s="99">
        <f>COUNTIF($G$5:$G$979,"&lt;"&amp;G501)+(COUNTIF($G$5:$G$979,"="&amp;G501)+1)/2</f>
        <v/>
      </c>
      <c r="N501" s="99">
        <f>COUNTIF($H$5:$H$979,"&lt;"&amp;H501)+(COUNTIF($H$5:$H$979,"="&amp;H501)+1)/2</f>
        <v/>
      </c>
      <c r="O501" s="99">
        <f>COUNTIF($I$5:$I$979,"&lt;"&amp;I501)+(COUNTIF($I$5:$I$979,"="&amp;I501)+1)/2</f>
        <v/>
      </c>
      <c r="P501" s="99">
        <f>COUNTIF($J$5:$J$979,"&lt;"&amp;J501)+(COUNTIF($J$5:$J$979,"="&amp;J501)+1)/2</f>
        <v/>
      </c>
    </row>
    <row r="502" ht="15" customHeight="1" s="68">
      <c r="A502" s="70">
        <f>'01_원자료'!A499</f>
        <v/>
      </c>
      <c r="B502" s="70">
        <f>'01_원자료'!B499</f>
        <v/>
      </c>
      <c r="C502" s="70">
        <f>'01_원자료'!C499</f>
        <v/>
      </c>
      <c r="E502" s="85">
        <f>'01_원자료'!P499*'03_가중치민감도'!$B$5+'01_원자료'!Q499*'03_가중치민감도'!$C$5+'01_원자료'!R499*'03_가중치민감도'!$D$5</f>
        <v/>
      </c>
      <c r="F502" s="85">
        <f>'01_원자료'!P499*'03_가중치민감도'!$B$6+'01_원자료'!Q499*'03_가중치민감도'!$C$6+'01_원자료'!R499*'03_가중치민감도'!$D$6</f>
        <v/>
      </c>
      <c r="G502" s="85">
        <f>'01_원자료'!P499*'03_가중치민감도'!$B$7+'01_원자료'!Q499*'03_가중치민감도'!$C$7+'01_원자료'!R499*'03_가중치민감도'!$D$7</f>
        <v/>
      </c>
      <c r="H502" s="85">
        <f>'01_원자료'!P499*'03_가중치민감도'!$B$8+'01_원자료'!Q499*'03_가중치민감도'!$C$8+'01_원자료'!R499*'03_가중치민감도'!$D$8</f>
        <v/>
      </c>
      <c r="I502" s="85">
        <f>'01_원자료'!P499*'03_가중치민감도'!$B$9+'01_원자료'!Q499*'03_가중치민감도'!$C$9+'01_원자료'!R499*'03_가중치민감도'!$D$9</f>
        <v/>
      </c>
      <c r="J502" s="85">
        <f>'01_원자료'!P499*'03_가중치민감도'!$B$10+'01_원자료'!Q499*'03_가중치민감도'!$C$10+'01_원자료'!R499*'03_가중치민감도'!$D$10</f>
        <v/>
      </c>
      <c r="K502" s="99">
        <f>COUNTIF($E$5:$E$979,"&lt;"&amp;E502)+(COUNTIF($E$5:$E$979,"="&amp;E502)+1)/2</f>
        <v/>
      </c>
      <c r="L502" s="99">
        <f>COUNTIF($F$5:$F$979,"&lt;"&amp;F502)+(COUNTIF($F$5:$F$979,"="&amp;F502)+1)/2</f>
        <v/>
      </c>
      <c r="M502" s="99">
        <f>COUNTIF($G$5:$G$979,"&lt;"&amp;G502)+(COUNTIF($G$5:$G$979,"="&amp;G502)+1)/2</f>
        <v/>
      </c>
      <c r="N502" s="99">
        <f>COUNTIF($H$5:$H$979,"&lt;"&amp;H502)+(COUNTIF($H$5:$H$979,"="&amp;H502)+1)/2</f>
        <v/>
      </c>
      <c r="O502" s="99">
        <f>COUNTIF($I$5:$I$979,"&lt;"&amp;I502)+(COUNTIF($I$5:$I$979,"="&amp;I502)+1)/2</f>
        <v/>
      </c>
      <c r="P502" s="99">
        <f>COUNTIF($J$5:$J$979,"&lt;"&amp;J502)+(COUNTIF($J$5:$J$979,"="&amp;J502)+1)/2</f>
        <v/>
      </c>
    </row>
    <row r="503" ht="15" customHeight="1" s="68">
      <c r="A503" s="70">
        <f>'01_원자료'!A500</f>
        <v/>
      </c>
      <c r="B503" s="70">
        <f>'01_원자료'!B500</f>
        <v/>
      </c>
      <c r="C503" s="70">
        <f>'01_원자료'!C500</f>
        <v/>
      </c>
      <c r="E503" s="85">
        <f>'01_원자료'!P500*'03_가중치민감도'!$B$5+'01_원자료'!Q500*'03_가중치민감도'!$C$5+'01_원자료'!R500*'03_가중치민감도'!$D$5</f>
        <v/>
      </c>
      <c r="F503" s="85">
        <f>'01_원자료'!P500*'03_가중치민감도'!$B$6+'01_원자료'!Q500*'03_가중치민감도'!$C$6+'01_원자료'!R500*'03_가중치민감도'!$D$6</f>
        <v/>
      </c>
      <c r="G503" s="85">
        <f>'01_원자료'!P500*'03_가중치민감도'!$B$7+'01_원자료'!Q500*'03_가중치민감도'!$C$7+'01_원자료'!R500*'03_가중치민감도'!$D$7</f>
        <v/>
      </c>
      <c r="H503" s="85">
        <f>'01_원자료'!P500*'03_가중치민감도'!$B$8+'01_원자료'!Q500*'03_가중치민감도'!$C$8+'01_원자료'!R500*'03_가중치민감도'!$D$8</f>
        <v/>
      </c>
      <c r="I503" s="85">
        <f>'01_원자료'!P500*'03_가중치민감도'!$B$9+'01_원자료'!Q500*'03_가중치민감도'!$C$9+'01_원자료'!R500*'03_가중치민감도'!$D$9</f>
        <v/>
      </c>
      <c r="J503" s="85">
        <f>'01_원자료'!P500*'03_가중치민감도'!$B$10+'01_원자료'!Q500*'03_가중치민감도'!$C$10+'01_원자료'!R500*'03_가중치민감도'!$D$10</f>
        <v/>
      </c>
      <c r="K503" s="99">
        <f>COUNTIF($E$5:$E$979,"&lt;"&amp;E503)+(COUNTIF($E$5:$E$979,"="&amp;E503)+1)/2</f>
        <v/>
      </c>
      <c r="L503" s="99">
        <f>COUNTIF($F$5:$F$979,"&lt;"&amp;F503)+(COUNTIF($F$5:$F$979,"="&amp;F503)+1)/2</f>
        <v/>
      </c>
      <c r="M503" s="99">
        <f>COUNTIF($G$5:$G$979,"&lt;"&amp;G503)+(COUNTIF($G$5:$G$979,"="&amp;G503)+1)/2</f>
        <v/>
      </c>
      <c r="N503" s="99">
        <f>COUNTIF($H$5:$H$979,"&lt;"&amp;H503)+(COUNTIF($H$5:$H$979,"="&amp;H503)+1)/2</f>
        <v/>
      </c>
      <c r="O503" s="99">
        <f>COUNTIF($I$5:$I$979,"&lt;"&amp;I503)+(COUNTIF($I$5:$I$979,"="&amp;I503)+1)/2</f>
        <v/>
      </c>
      <c r="P503" s="99">
        <f>COUNTIF($J$5:$J$979,"&lt;"&amp;J503)+(COUNTIF($J$5:$J$979,"="&amp;J503)+1)/2</f>
        <v/>
      </c>
    </row>
    <row r="504" ht="15" customHeight="1" s="68">
      <c r="A504" s="70">
        <f>'01_원자료'!A501</f>
        <v/>
      </c>
      <c r="B504" s="70">
        <f>'01_원자료'!B501</f>
        <v/>
      </c>
      <c r="C504" s="70">
        <f>'01_원자료'!C501</f>
        <v/>
      </c>
      <c r="E504" s="85">
        <f>'01_원자료'!P501*'03_가중치민감도'!$B$5+'01_원자료'!Q501*'03_가중치민감도'!$C$5+'01_원자료'!R501*'03_가중치민감도'!$D$5</f>
        <v/>
      </c>
      <c r="F504" s="85">
        <f>'01_원자료'!P501*'03_가중치민감도'!$B$6+'01_원자료'!Q501*'03_가중치민감도'!$C$6+'01_원자료'!R501*'03_가중치민감도'!$D$6</f>
        <v/>
      </c>
      <c r="G504" s="85">
        <f>'01_원자료'!P501*'03_가중치민감도'!$B$7+'01_원자료'!Q501*'03_가중치민감도'!$C$7+'01_원자료'!R501*'03_가중치민감도'!$D$7</f>
        <v/>
      </c>
      <c r="H504" s="85">
        <f>'01_원자료'!P501*'03_가중치민감도'!$B$8+'01_원자료'!Q501*'03_가중치민감도'!$C$8+'01_원자료'!R501*'03_가중치민감도'!$D$8</f>
        <v/>
      </c>
      <c r="I504" s="85">
        <f>'01_원자료'!P501*'03_가중치민감도'!$B$9+'01_원자료'!Q501*'03_가중치민감도'!$C$9+'01_원자료'!R501*'03_가중치민감도'!$D$9</f>
        <v/>
      </c>
      <c r="J504" s="85">
        <f>'01_원자료'!P501*'03_가중치민감도'!$B$10+'01_원자료'!Q501*'03_가중치민감도'!$C$10+'01_원자료'!R501*'03_가중치민감도'!$D$10</f>
        <v/>
      </c>
      <c r="K504" s="99">
        <f>COUNTIF($E$5:$E$979,"&lt;"&amp;E504)+(COUNTIF($E$5:$E$979,"="&amp;E504)+1)/2</f>
        <v/>
      </c>
      <c r="L504" s="99">
        <f>COUNTIF($F$5:$F$979,"&lt;"&amp;F504)+(COUNTIF($F$5:$F$979,"="&amp;F504)+1)/2</f>
        <v/>
      </c>
      <c r="M504" s="99">
        <f>COUNTIF($G$5:$G$979,"&lt;"&amp;G504)+(COUNTIF($G$5:$G$979,"="&amp;G504)+1)/2</f>
        <v/>
      </c>
      <c r="N504" s="99">
        <f>COUNTIF($H$5:$H$979,"&lt;"&amp;H504)+(COUNTIF($H$5:$H$979,"="&amp;H504)+1)/2</f>
        <v/>
      </c>
      <c r="O504" s="99">
        <f>COUNTIF($I$5:$I$979,"&lt;"&amp;I504)+(COUNTIF($I$5:$I$979,"="&amp;I504)+1)/2</f>
        <v/>
      </c>
      <c r="P504" s="99">
        <f>COUNTIF($J$5:$J$979,"&lt;"&amp;J504)+(COUNTIF($J$5:$J$979,"="&amp;J504)+1)/2</f>
        <v/>
      </c>
    </row>
    <row r="505" ht="15" customHeight="1" s="68">
      <c r="A505" s="70">
        <f>'01_원자료'!A502</f>
        <v/>
      </c>
      <c r="B505" s="70">
        <f>'01_원자료'!B502</f>
        <v/>
      </c>
      <c r="C505" s="70">
        <f>'01_원자료'!C502</f>
        <v/>
      </c>
      <c r="E505" s="85">
        <f>'01_원자료'!P502*'03_가중치민감도'!$B$5+'01_원자료'!Q502*'03_가중치민감도'!$C$5+'01_원자료'!R502*'03_가중치민감도'!$D$5</f>
        <v/>
      </c>
      <c r="F505" s="85">
        <f>'01_원자료'!P502*'03_가중치민감도'!$B$6+'01_원자료'!Q502*'03_가중치민감도'!$C$6+'01_원자료'!R502*'03_가중치민감도'!$D$6</f>
        <v/>
      </c>
      <c r="G505" s="85">
        <f>'01_원자료'!P502*'03_가중치민감도'!$B$7+'01_원자료'!Q502*'03_가중치민감도'!$C$7+'01_원자료'!R502*'03_가중치민감도'!$D$7</f>
        <v/>
      </c>
      <c r="H505" s="85">
        <f>'01_원자료'!P502*'03_가중치민감도'!$B$8+'01_원자료'!Q502*'03_가중치민감도'!$C$8+'01_원자료'!R502*'03_가중치민감도'!$D$8</f>
        <v/>
      </c>
      <c r="I505" s="85">
        <f>'01_원자료'!P502*'03_가중치민감도'!$B$9+'01_원자료'!Q502*'03_가중치민감도'!$C$9+'01_원자료'!R502*'03_가중치민감도'!$D$9</f>
        <v/>
      </c>
      <c r="J505" s="85">
        <f>'01_원자료'!P502*'03_가중치민감도'!$B$10+'01_원자료'!Q502*'03_가중치민감도'!$C$10+'01_원자료'!R502*'03_가중치민감도'!$D$10</f>
        <v/>
      </c>
      <c r="K505" s="99">
        <f>COUNTIF($E$5:$E$979,"&lt;"&amp;E505)+(COUNTIF($E$5:$E$979,"="&amp;E505)+1)/2</f>
        <v/>
      </c>
      <c r="L505" s="99">
        <f>COUNTIF($F$5:$F$979,"&lt;"&amp;F505)+(COUNTIF($F$5:$F$979,"="&amp;F505)+1)/2</f>
        <v/>
      </c>
      <c r="M505" s="99">
        <f>COUNTIF($G$5:$G$979,"&lt;"&amp;G505)+(COUNTIF($G$5:$G$979,"="&amp;G505)+1)/2</f>
        <v/>
      </c>
      <c r="N505" s="99">
        <f>COUNTIF($H$5:$H$979,"&lt;"&amp;H505)+(COUNTIF($H$5:$H$979,"="&amp;H505)+1)/2</f>
        <v/>
      </c>
      <c r="O505" s="99">
        <f>COUNTIF($I$5:$I$979,"&lt;"&amp;I505)+(COUNTIF($I$5:$I$979,"="&amp;I505)+1)/2</f>
        <v/>
      </c>
      <c r="P505" s="99">
        <f>COUNTIF($J$5:$J$979,"&lt;"&amp;J505)+(COUNTIF($J$5:$J$979,"="&amp;J505)+1)/2</f>
        <v/>
      </c>
    </row>
    <row r="506" ht="15" customHeight="1" s="68">
      <c r="A506" s="70">
        <f>'01_원자료'!A503</f>
        <v/>
      </c>
      <c r="B506" s="70">
        <f>'01_원자료'!B503</f>
        <v/>
      </c>
      <c r="C506" s="70">
        <f>'01_원자료'!C503</f>
        <v/>
      </c>
      <c r="E506" s="85">
        <f>'01_원자료'!P503*'03_가중치민감도'!$B$5+'01_원자료'!Q503*'03_가중치민감도'!$C$5+'01_원자료'!R503*'03_가중치민감도'!$D$5</f>
        <v/>
      </c>
      <c r="F506" s="85">
        <f>'01_원자료'!P503*'03_가중치민감도'!$B$6+'01_원자료'!Q503*'03_가중치민감도'!$C$6+'01_원자료'!R503*'03_가중치민감도'!$D$6</f>
        <v/>
      </c>
      <c r="G506" s="85">
        <f>'01_원자료'!P503*'03_가중치민감도'!$B$7+'01_원자료'!Q503*'03_가중치민감도'!$C$7+'01_원자료'!R503*'03_가중치민감도'!$D$7</f>
        <v/>
      </c>
      <c r="H506" s="85">
        <f>'01_원자료'!P503*'03_가중치민감도'!$B$8+'01_원자료'!Q503*'03_가중치민감도'!$C$8+'01_원자료'!R503*'03_가중치민감도'!$D$8</f>
        <v/>
      </c>
      <c r="I506" s="85">
        <f>'01_원자료'!P503*'03_가중치민감도'!$B$9+'01_원자료'!Q503*'03_가중치민감도'!$C$9+'01_원자료'!R503*'03_가중치민감도'!$D$9</f>
        <v/>
      </c>
      <c r="J506" s="85">
        <f>'01_원자료'!P503*'03_가중치민감도'!$B$10+'01_원자료'!Q503*'03_가중치민감도'!$C$10+'01_원자료'!R503*'03_가중치민감도'!$D$10</f>
        <v/>
      </c>
      <c r="K506" s="99">
        <f>COUNTIF($E$5:$E$979,"&lt;"&amp;E506)+(COUNTIF($E$5:$E$979,"="&amp;E506)+1)/2</f>
        <v/>
      </c>
      <c r="L506" s="99">
        <f>COUNTIF($F$5:$F$979,"&lt;"&amp;F506)+(COUNTIF($F$5:$F$979,"="&amp;F506)+1)/2</f>
        <v/>
      </c>
      <c r="M506" s="99">
        <f>COUNTIF($G$5:$G$979,"&lt;"&amp;G506)+(COUNTIF($G$5:$G$979,"="&amp;G506)+1)/2</f>
        <v/>
      </c>
      <c r="N506" s="99">
        <f>COUNTIF($H$5:$H$979,"&lt;"&amp;H506)+(COUNTIF($H$5:$H$979,"="&amp;H506)+1)/2</f>
        <v/>
      </c>
      <c r="O506" s="99">
        <f>COUNTIF($I$5:$I$979,"&lt;"&amp;I506)+(COUNTIF($I$5:$I$979,"="&amp;I506)+1)/2</f>
        <v/>
      </c>
      <c r="P506" s="99">
        <f>COUNTIF($J$5:$J$979,"&lt;"&amp;J506)+(COUNTIF($J$5:$J$979,"="&amp;J506)+1)/2</f>
        <v/>
      </c>
    </row>
    <row r="507" ht="15" customHeight="1" s="68">
      <c r="A507" s="70">
        <f>'01_원자료'!A504</f>
        <v/>
      </c>
      <c r="B507" s="70">
        <f>'01_원자료'!B504</f>
        <v/>
      </c>
      <c r="C507" s="70">
        <f>'01_원자료'!C504</f>
        <v/>
      </c>
      <c r="E507" s="85">
        <f>'01_원자료'!P504*'03_가중치민감도'!$B$5+'01_원자료'!Q504*'03_가중치민감도'!$C$5+'01_원자료'!R504*'03_가중치민감도'!$D$5</f>
        <v/>
      </c>
      <c r="F507" s="85">
        <f>'01_원자료'!P504*'03_가중치민감도'!$B$6+'01_원자료'!Q504*'03_가중치민감도'!$C$6+'01_원자료'!R504*'03_가중치민감도'!$D$6</f>
        <v/>
      </c>
      <c r="G507" s="85">
        <f>'01_원자료'!P504*'03_가중치민감도'!$B$7+'01_원자료'!Q504*'03_가중치민감도'!$C$7+'01_원자료'!R504*'03_가중치민감도'!$D$7</f>
        <v/>
      </c>
      <c r="H507" s="85">
        <f>'01_원자료'!P504*'03_가중치민감도'!$B$8+'01_원자료'!Q504*'03_가중치민감도'!$C$8+'01_원자료'!R504*'03_가중치민감도'!$D$8</f>
        <v/>
      </c>
      <c r="I507" s="85">
        <f>'01_원자료'!P504*'03_가중치민감도'!$B$9+'01_원자료'!Q504*'03_가중치민감도'!$C$9+'01_원자료'!R504*'03_가중치민감도'!$D$9</f>
        <v/>
      </c>
      <c r="J507" s="85">
        <f>'01_원자료'!P504*'03_가중치민감도'!$B$10+'01_원자료'!Q504*'03_가중치민감도'!$C$10+'01_원자료'!R504*'03_가중치민감도'!$D$10</f>
        <v/>
      </c>
      <c r="K507" s="99">
        <f>COUNTIF($E$5:$E$979,"&lt;"&amp;E507)+(COUNTIF($E$5:$E$979,"="&amp;E507)+1)/2</f>
        <v/>
      </c>
      <c r="L507" s="99">
        <f>COUNTIF($F$5:$F$979,"&lt;"&amp;F507)+(COUNTIF($F$5:$F$979,"="&amp;F507)+1)/2</f>
        <v/>
      </c>
      <c r="M507" s="99">
        <f>COUNTIF($G$5:$G$979,"&lt;"&amp;G507)+(COUNTIF($G$5:$G$979,"="&amp;G507)+1)/2</f>
        <v/>
      </c>
      <c r="N507" s="99">
        <f>COUNTIF($H$5:$H$979,"&lt;"&amp;H507)+(COUNTIF($H$5:$H$979,"="&amp;H507)+1)/2</f>
        <v/>
      </c>
      <c r="O507" s="99">
        <f>COUNTIF($I$5:$I$979,"&lt;"&amp;I507)+(COUNTIF($I$5:$I$979,"="&amp;I507)+1)/2</f>
        <v/>
      </c>
      <c r="P507" s="99">
        <f>COUNTIF($J$5:$J$979,"&lt;"&amp;J507)+(COUNTIF($J$5:$J$979,"="&amp;J507)+1)/2</f>
        <v/>
      </c>
    </row>
    <row r="508" ht="15" customHeight="1" s="68">
      <c r="A508" s="70">
        <f>'01_원자료'!A505</f>
        <v/>
      </c>
      <c r="B508" s="70">
        <f>'01_원자료'!B505</f>
        <v/>
      </c>
      <c r="C508" s="70">
        <f>'01_원자료'!C505</f>
        <v/>
      </c>
      <c r="E508" s="85">
        <f>'01_원자료'!P505*'03_가중치민감도'!$B$5+'01_원자료'!Q505*'03_가중치민감도'!$C$5+'01_원자료'!R505*'03_가중치민감도'!$D$5</f>
        <v/>
      </c>
      <c r="F508" s="85">
        <f>'01_원자료'!P505*'03_가중치민감도'!$B$6+'01_원자료'!Q505*'03_가중치민감도'!$C$6+'01_원자료'!R505*'03_가중치민감도'!$D$6</f>
        <v/>
      </c>
      <c r="G508" s="85">
        <f>'01_원자료'!P505*'03_가중치민감도'!$B$7+'01_원자료'!Q505*'03_가중치민감도'!$C$7+'01_원자료'!R505*'03_가중치민감도'!$D$7</f>
        <v/>
      </c>
      <c r="H508" s="85">
        <f>'01_원자료'!P505*'03_가중치민감도'!$B$8+'01_원자료'!Q505*'03_가중치민감도'!$C$8+'01_원자료'!R505*'03_가중치민감도'!$D$8</f>
        <v/>
      </c>
      <c r="I508" s="85">
        <f>'01_원자료'!P505*'03_가중치민감도'!$B$9+'01_원자료'!Q505*'03_가중치민감도'!$C$9+'01_원자료'!R505*'03_가중치민감도'!$D$9</f>
        <v/>
      </c>
      <c r="J508" s="85">
        <f>'01_원자료'!P505*'03_가중치민감도'!$B$10+'01_원자료'!Q505*'03_가중치민감도'!$C$10+'01_원자료'!R505*'03_가중치민감도'!$D$10</f>
        <v/>
      </c>
      <c r="K508" s="99">
        <f>COUNTIF($E$5:$E$979,"&lt;"&amp;E508)+(COUNTIF($E$5:$E$979,"="&amp;E508)+1)/2</f>
        <v/>
      </c>
      <c r="L508" s="99">
        <f>COUNTIF($F$5:$F$979,"&lt;"&amp;F508)+(COUNTIF($F$5:$F$979,"="&amp;F508)+1)/2</f>
        <v/>
      </c>
      <c r="M508" s="99">
        <f>COUNTIF($G$5:$G$979,"&lt;"&amp;G508)+(COUNTIF($G$5:$G$979,"="&amp;G508)+1)/2</f>
        <v/>
      </c>
      <c r="N508" s="99">
        <f>COUNTIF($H$5:$H$979,"&lt;"&amp;H508)+(COUNTIF($H$5:$H$979,"="&amp;H508)+1)/2</f>
        <v/>
      </c>
      <c r="O508" s="99">
        <f>COUNTIF($I$5:$I$979,"&lt;"&amp;I508)+(COUNTIF($I$5:$I$979,"="&amp;I508)+1)/2</f>
        <v/>
      </c>
      <c r="P508" s="99">
        <f>COUNTIF($J$5:$J$979,"&lt;"&amp;J508)+(COUNTIF($J$5:$J$979,"="&amp;J508)+1)/2</f>
        <v/>
      </c>
    </row>
    <row r="509" ht="15" customHeight="1" s="68">
      <c r="A509" s="70">
        <f>'01_원자료'!A506</f>
        <v/>
      </c>
      <c r="B509" s="70">
        <f>'01_원자료'!B506</f>
        <v/>
      </c>
      <c r="C509" s="70">
        <f>'01_원자료'!C506</f>
        <v/>
      </c>
      <c r="E509" s="85">
        <f>'01_원자료'!P506*'03_가중치민감도'!$B$5+'01_원자료'!Q506*'03_가중치민감도'!$C$5+'01_원자료'!R506*'03_가중치민감도'!$D$5</f>
        <v/>
      </c>
      <c r="F509" s="85">
        <f>'01_원자료'!P506*'03_가중치민감도'!$B$6+'01_원자료'!Q506*'03_가중치민감도'!$C$6+'01_원자료'!R506*'03_가중치민감도'!$D$6</f>
        <v/>
      </c>
      <c r="G509" s="85">
        <f>'01_원자료'!P506*'03_가중치민감도'!$B$7+'01_원자료'!Q506*'03_가중치민감도'!$C$7+'01_원자료'!R506*'03_가중치민감도'!$D$7</f>
        <v/>
      </c>
      <c r="H509" s="85">
        <f>'01_원자료'!P506*'03_가중치민감도'!$B$8+'01_원자료'!Q506*'03_가중치민감도'!$C$8+'01_원자료'!R506*'03_가중치민감도'!$D$8</f>
        <v/>
      </c>
      <c r="I509" s="85">
        <f>'01_원자료'!P506*'03_가중치민감도'!$B$9+'01_원자료'!Q506*'03_가중치민감도'!$C$9+'01_원자료'!R506*'03_가중치민감도'!$D$9</f>
        <v/>
      </c>
      <c r="J509" s="85">
        <f>'01_원자료'!P506*'03_가중치민감도'!$B$10+'01_원자료'!Q506*'03_가중치민감도'!$C$10+'01_원자료'!R506*'03_가중치민감도'!$D$10</f>
        <v/>
      </c>
      <c r="K509" s="99">
        <f>COUNTIF($E$5:$E$979,"&lt;"&amp;E509)+(COUNTIF($E$5:$E$979,"="&amp;E509)+1)/2</f>
        <v/>
      </c>
      <c r="L509" s="99">
        <f>COUNTIF($F$5:$F$979,"&lt;"&amp;F509)+(COUNTIF($F$5:$F$979,"="&amp;F509)+1)/2</f>
        <v/>
      </c>
      <c r="M509" s="99">
        <f>COUNTIF($G$5:$G$979,"&lt;"&amp;G509)+(COUNTIF($G$5:$G$979,"="&amp;G509)+1)/2</f>
        <v/>
      </c>
      <c r="N509" s="99">
        <f>COUNTIF($H$5:$H$979,"&lt;"&amp;H509)+(COUNTIF($H$5:$H$979,"="&amp;H509)+1)/2</f>
        <v/>
      </c>
      <c r="O509" s="99">
        <f>COUNTIF($I$5:$I$979,"&lt;"&amp;I509)+(COUNTIF($I$5:$I$979,"="&amp;I509)+1)/2</f>
        <v/>
      </c>
      <c r="P509" s="99">
        <f>COUNTIF($J$5:$J$979,"&lt;"&amp;J509)+(COUNTIF($J$5:$J$979,"="&amp;J509)+1)/2</f>
        <v/>
      </c>
    </row>
    <row r="510" ht="15" customHeight="1" s="68">
      <c r="A510" s="70">
        <f>'01_원자료'!A507</f>
        <v/>
      </c>
      <c r="B510" s="70">
        <f>'01_원자료'!B507</f>
        <v/>
      </c>
      <c r="C510" s="70">
        <f>'01_원자료'!C507</f>
        <v/>
      </c>
      <c r="E510" s="85">
        <f>'01_원자료'!P507*'03_가중치민감도'!$B$5+'01_원자료'!Q507*'03_가중치민감도'!$C$5+'01_원자료'!R507*'03_가중치민감도'!$D$5</f>
        <v/>
      </c>
      <c r="F510" s="85">
        <f>'01_원자료'!P507*'03_가중치민감도'!$B$6+'01_원자료'!Q507*'03_가중치민감도'!$C$6+'01_원자료'!R507*'03_가중치민감도'!$D$6</f>
        <v/>
      </c>
      <c r="G510" s="85">
        <f>'01_원자료'!P507*'03_가중치민감도'!$B$7+'01_원자료'!Q507*'03_가중치민감도'!$C$7+'01_원자료'!R507*'03_가중치민감도'!$D$7</f>
        <v/>
      </c>
      <c r="H510" s="85">
        <f>'01_원자료'!P507*'03_가중치민감도'!$B$8+'01_원자료'!Q507*'03_가중치민감도'!$C$8+'01_원자료'!R507*'03_가중치민감도'!$D$8</f>
        <v/>
      </c>
      <c r="I510" s="85">
        <f>'01_원자료'!P507*'03_가중치민감도'!$B$9+'01_원자료'!Q507*'03_가중치민감도'!$C$9+'01_원자료'!R507*'03_가중치민감도'!$D$9</f>
        <v/>
      </c>
      <c r="J510" s="85">
        <f>'01_원자료'!P507*'03_가중치민감도'!$B$10+'01_원자료'!Q507*'03_가중치민감도'!$C$10+'01_원자료'!R507*'03_가중치민감도'!$D$10</f>
        <v/>
      </c>
      <c r="K510" s="99">
        <f>COUNTIF($E$5:$E$979,"&lt;"&amp;E510)+(COUNTIF($E$5:$E$979,"="&amp;E510)+1)/2</f>
        <v/>
      </c>
      <c r="L510" s="99">
        <f>COUNTIF($F$5:$F$979,"&lt;"&amp;F510)+(COUNTIF($F$5:$F$979,"="&amp;F510)+1)/2</f>
        <v/>
      </c>
      <c r="M510" s="99">
        <f>COUNTIF($G$5:$G$979,"&lt;"&amp;G510)+(COUNTIF($G$5:$G$979,"="&amp;G510)+1)/2</f>
        <v/>
      </c>
      <c r="N510" s="99">
        <f>COUNTIF($H$5:$H$979,"&lt;"&amp;H510)+(COUNTIF($H$5:$H$979,"="&amp;H510)+1)/2</f>
        <v/>
      </c>
      <c r="O510" s="99">
        <f>COUNTIF($I$5:$I$979,"&lt;"&amp;I510)+(COUNTIF($I$5:$I$979,"="&amp;I510)+1)/2</f>
        <v/>
      </c>
      <c r="P510" s="99">
        <f>COUNTIF($J$5:$J$979,"&lt;"&amp;J510)+(COUNTIF($J$5:$J$979,"="&amp;J510)+1)/2</f>
        <v/>
      </c>
    </row>
    <row r="511" ht="15" customHeight="1" s="68">
      <c r="A511" s="70">
        <f>'01_원자료'!A508</f>
        <v/>
      </c>
      <c r="B511" s="70">
        <f>'01_원자료'!B508</f>
        <v/>
      </c>
      <c r="C511" s="70">
        <f>'01_원자료'!C508</f>
        <v/>
      </c>
      <c r="E511" s="85">
        <f>'01_원자료'!P508*'03_가중치민감도'!$B$5+'01_원자료'!Q508*'03_가중치민감도'!$C$5+'01_원자료'!R508*'03_가중치민감도'!$D$5</f>
        <v/>
      </c>
      <c r="F511" s="85">
        <f>'01_원자료'!P508*'03_가중치민감도'!$B$6+'01_원자료'!Q508*'03_가중치민감도'!$C$6+'01_원자료'!R508*'03_가중치민감도'!$D$6</f>
        <v/>
      </c>
      <c r="G511" s="85">
        <f>'01_원자료'!P508*'03_가중치민감도'!$B$7+'01_원자료'!Q508*'03_가중치민감도'!$C$7+'01_원자료'!R508*'03_가중치민감도'!$D$7</f>
        <v/>
      </c>
      <c r="H511" s="85">
        <f>'01_원자료'!P508*'03_가중치민감도'!$B$8+'01_원자료'!Q508*'03_가중치민감도'!$C$8+'01_원자료'!R508*'03_가중치민감도'!$D$8</f>
        <v/>
      </c>
      <c r="I511" s="85">
        <f>'01_원자료'!P508*'03_가중치민감도'!$B$9+'01_원자료'!Q508*'03_가중치민감도'!$C$9+'01_원자료'!R508*'03_가중치민감도'!$D$9</f>
        <v/>
      </c>
      <c r="J511" s="85">
        <f>'01_원자료'!P508*'03_가중치민감도'!$B$10+'01_원자료'!Q508*'03_가중치민감도'!$C$10+'01_원자료'!R508*'03_가중치민감도'!$D$10</f>
        <v/>
      </c>
      <c r="K511" s="99">
        <f>COUNTIF($E$5:$E$979,"&lt;"&amp;E511)+(COUNTIF($E$5:$E$979,"="&amp;E511)+1)/2</f>
        <v/>
      </c>
      <c r="L511" s="99">
        <f>COUNTIF($F$5:$F$979,"&lt;"&amp;F511)+(COUNTIF($F$5:$F$979,"="&amp;F511)+1)/2</f>
        <v/>
      </c>
      <c r="M511" s="99">
        <f>COUNTIF($G$5:$G$979,"&lt;"&amp;G511)+(COUNTIF($G$5:$G$979,"="&amp;G511)+1)/2</f>
        <v/>
      </c>
      <c r="N511" s="99">
        <f>COUNTIF($H$5:$H$979,"&lt;"&amp;H511)+(COUNTIF($H$5:$H$979,"="&amp;H511)+1)/2</f>
        <v/>
      </c>
      <c r="O511" s="99">
        <f>COUNTIF($I$5:$I$979,"&lt;"&amp;I511)+(COUNTIF($I$5:$I$979,"="&amp;I511)+1)/2</f>
        <v/>
      </c>
      <c r="P511" s="99">
        <f>COUNTIF($J$5:$J$979,"&lt;"&amp;J511)+(COUNTIF($J$5:$J$979,"="&amp;J511)+1)/2</f>
        <v/>
      </c>
    </row>
    <row r="512" ht="15" customHeight="1" s="68">
      <c r="A512" s="70">
        <f>'01_원자료'!A509</f>
        <v/>
      </c>
      <c r="B512" s="70">
        <f>'01_원자료'!B509</f>
        <v/>
      </c>
      <c r="C512" s="70">
        <f>'01_원자료'!C509</f>
        <v/>
      </c>
      <c r="E512" s="85">
        <f>'01_원자료'!P509*'03_가중치민감도'!$B$5+'01_원자료'!Q509*'03_가중치민감도'!$C$5+'01_원자료'!R509*'03_가중치민감도'!$D$5</f>
        <v/>
      </c>
      <c r="F512" s="85">
        <f>'01_원자료'!P509*'03_가중치민감도'!$B$6+'01_원자료'!Q509*'03_가중치민감도'!$C$6+'01_원자료'!R509*'03_가중치민감도'!$D$6</f>
        <v/>
      </c>
      <c r="G512" s="85">
        <f>'01_원자료'!P509*'03_가중치민감도'!$B$7+'01_원자료'!Q509*'03_가중치민감도'!$C$7+'01_원자료'!R509*'03_가중치민감도'!$D$7</f>
        <v/>
      </c>
      <c r="H512" s="85">
        <f>'01_원자료'!P509*'03_가중치민감도'!$B$8+'01_원자료'!Q509*'03_가중치민감도'!$C$8+'01_원자료'!R509*'03_가중치민감도'!$D$8</f>
        <v/>
      </c>
      <c r="I512" s="85">
        <f>'01_원자료'!P509*'03_가중치민감도'!$B$9+'01_원자료'!Q509*'03_가중치민감도'!$C$9+'01_원자료'!R509*'03_가중치민감도'!$D$9</f>
        <v/>
      </c>
      <c r="J512" s="85">
        <f>'01_원자료'!P509*'03_가중치민감도'!$B$10+'01_원자료'!Q509*'03_가중치민감도'!$C$10+'01_원자료'!R509*'03_가중치민감도'!$D$10</f>
        <v/>
      </c>
      <c r="K512" s="99">
        <f>COUNTIF($E$5:$E$979,"&lt;"&amp;E512)+(COUNTIF($E$5:$E$979,"="&amp;E512)+1)/2</f>
        <v/>
      </c>
      <c r="L512" s="99">
        <f>COUNTIF($F$5:$F$979,"&lt;"&amp;F512)+(COUNTIF($F$5:$F$979,"="&amp;F512)+1)/2</f>
        <v/>
      </c>
      <c r="M512" s="99">
        <f>COUNTIF($G$5:$G$979,"&lt;"&amp;G512)+(COUNTIF($G$5:$G$979,"="&amp;G512)+1)/2</f>
        <v/>
      </c>
      <c r="N512" s="99">
        <f>COUNTIF($H$5:$H$979,"&lt;"&amp;H512)+(COUNTIF($H$5:$H$979,"="&amp;H512)+1)/2</f>
        <v/>
      </c>
      <c r="O512" s="99">
        <f>COUNTIF($I$5:$I$979,"&lt;"&amp;I512)+(COUNTIF($I$5:$I$979,"="&amp;I512)+1)/2</f>
        <v/>
      </c>
      <c r="P512" s="99">
        <f>COUNTIF($J$5:$J$979,"&lt;"&amp;J512)+(COUNTIF($J$5:$J$979,"="&amp;J512)+1)/2</f>
        <v/>
      </c>
    </row>
    <row r="513" ht="15" customHeight="1" s="68">
      <c r="A513" s="70">
        <f>'01_원자료'!A510</f>
        <v/>
      </c>
      <c r="B513" s="70">
        <f>'01_원자료'!B510</f>
        <v/>
      </c>
      <c r="C513" s="70">
        <f>'01_원자료'!C510</f>
        <v/>
      </c>
      <c r="E513" s="85">
        <f>'01_원자료'!P510*'03_가중치민감도'!$B$5+'01_원자료'!Q510*'03_가중치민감도'!$C$5+'01_원자료'!R510*'03_가중치민감도'!$D$5</f>
        <v/>
      </c>
      <c r="F513" s="85">
        <f>'01_원자료'!P510*'03_가중치민감도'!$B$6+'01_원자료'!Q510*'03_가중치민감도'!$C$6+'01_원자료'!R510*'03_가중치민감도'!$D$6</f>
        <v/>
      </c>
      <c r="G513" s="85">
        <f>'01_원자료'!P510*'03_가중치민감도'!$B$7+'01_원자료'!Q510*'03_가중치민감도'!$C$7+'01_원자료'!R510*'03_가중치민감도'!$D$7</f>
        <v/>
      </c>
      <c r="H513" s="85">
        <f>'01_원자료'!P510*'03_가중치민감도'!$B$8+'01_원자료'!Q510*'03_가중치민감도'!$C$8+'01_원자료'!R510*'03_가중치민감도'!$D$8</f>
        <v/>
      </c>
      <c r="I513" s="85">
        <f>'01_원자료'!P510*'03_가중치민감도'!$B$9+'01_원자료'!Q510*'03_가중치민감도'!$C$9+'01_원자료'!R510*'03_가중치민감도'!$D$9</f>
        <v/>
      </c>
      <c r="J513" s="85">
        <f>'01_원자료'!P510*'03_가중치민감도'!$B$10+'01_원자료'!Q510*'03_가중치민감도'!$C$10+'01_원자료'!R510*'03_가중치민감도'!$D$10</f>
        <v/>
      </c>
      <c r="K513" s="99">
        <f>COUNTIF($E$5:$E$979,"&lt;"&amp;E513)+(COUNTIF($E$5:$E$979,"="&amp;E513)+1)/2</f>
        <v/>
      </c>
      <c r="L513" s="99">
        <f>COUNTIF($F$5:$F$979,"&lt;"&amp;F513)+(COUNTIF($F$5:$F$979,"="&amp;F513)+1)/2</f>
        <v/>
      </c>
      <c r="M513" s="99">
        <f>COUNTIF($G$5:$G$979,"&lt;"&amp;G513)+(COUNTIF($G$5:$G$979,"="&amp;G513)+1)/2</f>
        <v/>
      </c>
      <c r="N513" s="99">
        <f>COUNTIF($H$5:$H$979,"&lt;"&amp;H513)+(COUNTIF($H$5:$H$979,"="&amp;H513)+1)/2</f>
        <v/>
      </c>
      <c r="O513" s="99">
        <f>COUNTIF($I$5:$I$979,"&lt;"&amp;I513)+(COUNTIF($I$5:$I$979,"="&amp;I513)+1)/2</f>
        <v/>
      </c>
      <c r="P513" s="99">
        <f>COUNTIF($J$5:$J$979,"&lt;"&amp;J513)+(COUNTIF($J$5:$J$979,"="&amp;J513)+1)/2</f>
        <v/>
      </c>
    </row>
    <row r="514" ht="15" customHeight="1" s="68">
      <c r="A514" s="70">
        <f>'01_원자료'!A511</f>
        <v/>
      </c>
      <c r="B514" s="70">
        <f>'01_원자료'!B511</f>
        <v/>
      </c>
      <c r="C514" s="70">
        <f>'01_원자료'!C511</f>
        <v/>
      </c>
      <c r="E514" s="85">
        <f>'01_원자료'!P511*'03_가중치민감도'!$B$5+'01_원자료'!Q511*'03_가중치민감도'!$C$5+'01_원자료'!R511*'03_가중치민감도'!$D$5</f>
        <v/>
      </c>
      <c r="F514" s="85">
        <f>'01_원자료'!P511*'03_가중치민감도'!$B$6+'01_원자료'!Q511*'03_가중치민감도'!$C$6+'01_원자료'!R511*'03_가중치민감도'!$D$6</f>
        <v/>
      </c>
      <c r="G514" s="85">
        <f>'01_원자료'!P511*'03_가중치민감도'!$B$7+'01_원자료'!Q511*'03_가중치민감도'!$C$7+'01_원자료'!R511*'03_가중치민감도'!$D$7</f>
        <v/>
      </c>
      <c r="H514" s="85">
        <f>'01_원자료'!P511*'03_가중치민감도'!$B$8+'01_원자료'!Q511*'03_가중치민감도'!$C$8+'01_원자료'!R511*'03_가중치민감도'!$D$8</f>
        <v/>
      </c>
      <c r="I514" s="85">
        <f>'01_원자료'!P511*'03_가중치민감도'!$B$9+'01_원자료'!Q511*'03_가중치민감도'!$C$9+'01_원자료'!R511*'03_가중치민감도'!$D$9</f>
        <v/>
      </c>
      <c r="J514" s="85">
        <f>'01_원자료'!P511*'03_가중치민감도'!$B$10+'01_원자료'!Q511*'03_가중치민감도'!$C$10+'01_원자료'!R511*'03_가중치민감도'!$D$10</f>
        <v/>
      </c>
      <c r="K514" s="99">
        <f>COUNTIF($E$5:$E$979,"&lt;"&amp;E514)+(COUNTIF($E$5:$E$979,"="&amp;E514)+1)/2</f>
        <v/>
      </c>
      <c r="L514" s="99">
        <f>COUNTIF($F$5:$F$979,"&lt;"&amp;F514)+(COUNTIF($F$5:$F$979,"="&amp;F514)+1)/2</f>
        <v/>
      </c>
      <c r="M514" s="99">
        <f>COUNTIF($G$5:$G$979,"&lt;"&amp;G514)+(COUNTIF($G$5:$G$979,"="&amp;G514)+1)/2</f>
        <v/>
      </c>
      <c r="N514" s="99">
        <f>COUNTIF($H$5:$H$979,"&lt;"&amp;H514)+(COUNTIF($H$5:$H$979,"="&amp;H514)+1)/2</f>
        <v/>
      </c>
      <c r="O514" s="99">
        <f>COUNTIF($I$5:$I$979,"&lt;"&amp;I514)+(COUNTIF($I$5:$I$979,"="&amp;I514)+1)/2</f>
        <v/>
      </c>
      <c r="P514" s="99">
        <f>COUNTIF($J$5:$J$979,"&lt;"&amp;J514)+(COUNTIF($J$5:$J$979,"="&amp;J514)+1)/2</f>
        <v/>
      </c>
    </row>
    <row r="515" ht="15" customHeight="1" s="68">
      <c r="A515" s="70">
        <f>'01_원자료'!A512</f>
        <v/>
      </c>
      <c r="B515" s="70">
        <f>'01_원자료'!B512</f>
        <v/>
      </c>
      <c r="C515" s="70">
        <f>'01_원자료'!C512</f>
        <v/>
      </c>
      <c r="E515" s="85">
        <f>'01_원자료'!P512*'03_가중치민감도'!$B$5+'01_원자료'!Q512*'03_가중치민감도'!$C$5+'01_원자료'!R512*'03_가중치민감도'!$D$5</f>
        <v/>
      </c>
      <c r="F515" s="85">
        <f>'01_원자료'!P512*'03_가중치민감도'!$B$6+'01_원자료'!Q512*'03_가중치민감도'!$C$6+'01_원자료'!R512*'03_가중치민감도'!$D$6</f>
        <v/>
      </c>
      <c r="G515" s="85">
        <f>'01_원자료'!P512*'03_가중치민감도'!$B$7+'01_원자료'!Q512*'03_가중치민감도'!$C$7+'01_원자료'!R512*'03_가중치민감도'!$D$7</f>
        <v/>
      </c>
      <c r="H515" s="85">
        <f>'01_원자료'!P512*'03_가중치민감도'!$B$8+'01_원자료'!Q512*'03_가중치민감도'!$C$8+'01_원자료'!R512*'03_가중치민감도'!$D$8</f>
        <v/>
      </c>
      <c r="I515" s="85">
        <f>'01_원자료'!P512*'03_가중치민감도'!$B$9+'01_원자료'!Q512*'03_가중치민감도'!$C$9+'01_원자료'!R512*'03_가중치민감도'!$D$9</f>
        <v/>
      </c>
      <c r="J515" s="85">
        <f>'01_원자료'!P512*'03_가중치민감도'!$B$10+'01_원자료'!Q512*'03_가중치민감도'!$C$10+'01_원자료'!R512*'03_가중치민감도'!$D$10</f>
        <v/>
      </c>
      <c r="K515" s="99">
        <f>COUNTIF($E$5:$E$979,"&lt;"&amp;E515)+(COUNTIF($E$5:$E$979,"="&amp;E515)+1)/2</f>
        <v/>
      </c>
      <c r="L515" s="99">
        <f>COUNTIF($F$5:$F$979,"&lt;"&amp;F515)+(COUNTIF($F$5:$F$979,"="&amp;F515)+1)/2</f>
        <v/>
      </c>
      <c r="M515" s="99">
        <f>COUNTIF($G$5:$G$979,"&lt;"&amp;G515)+(COUNTIF($G$5:$G$979,"="&amp;G515)+1)/2</f>
        <v/>
      </c>
      <c r="N515" s="99">
        <f>COUNTIF($H$5:$H$979,"&lt;"&amp;H515)+(COUNTIF($H$5:$H$979,"="&amp;H515)+1)/2</f>
        <v/>
      </c>
      <c r="O515" s="99">
        <f>COUNTIF($I$5:$I$979,"&lt;"&amp;I515)+(COUNTIF($I$5:$I$979,"="&amp;I515)+1)/2</f>
        <v/>
      </c>
      <c r="P515" s="99">
        <f>COUNTIF($J$5:$J$979,"&lt;"&amp;J515)+(COUNTIF($J$5:$J$979,"="&amp;J515)+1)/2</f>
        <v/>
      </c>
    </row>
    <row r="516" ht="15" customHeight="1" s="68">
      <c r="A516" s="70">
        <f>'01_원자료'!A513</f>
        <v/>
      </c>
      <c r="B516" s="70">
        <f>'01_원자료'!B513</f>
        <v/>
      </c>
      <c r="C516" s="70">
        <f>'01_원자료'!C513</f>
        <v/>
      </c>
      <c r="E516" s="85">
        <f>'01_원자료'!P513*'03_가중치민감도'!$B$5+'01_원자료'!Q513*'03_가중치민감도'!$C$5+'01_원자료'!R513*'03_가중치민감도'!$D$5</f>
        <v/>
      </c>
      <c r="F516" s="85">
        <f>'01_원자료'!P513*'03_가중치민감도'!$B$6+'01_원자료'!Q513*'03_가중치민감도'!$C$6+'01_원자료'!R513*'03_가중치민감도'!$D$6</f>
        <v/>
      </c>
      <c r="G516" s="85">
        <f>'01_원자료'!P513*'03_가중치민감도'!$B$7+'01_원자료'!Q513*'03_가중치민감도'!$C$7+'01_원자료'!R513*'03_가중치민감도'!$D$7</f>
        <v/>
      </c>
      <c r="H516" s="85">
        <f>'01_원자료'!P513*'03_가중치민감도'!$B$8+'01_원자료'!Q513*'03_가중치민감도'!$C$8+'01_원자료'!R513*'03_가중치민감도'!$D$8</f>
        <v/>
      </c>
      <c r="I516" s="85">
        <f>'01_원자료'!P513*'03_가중치민감도'!$B$9+'01_원자료'!Q513*'03_가중치민감도'!$C$9+'01_원자료'!R513*'03_가중치민감도'!$D$9</f>
        <v/>
      </c>
      <c r="J516" s="85">
        <f>'01_원자료'!P513*'03_가중치민감도'!$B$10+'01_원자료'!Q513*'03_가중치민감도'!$C$10+'01_원자료'!R513*'03_가중치민감도'!$D$10</f>
        <v/>
      </c>
      <c r="K516" s="99">
        <f>COUNTIF($E$5:$E$979,"&lt;"&amp;E516)+(COUNTIF($E$5:$E$979,"="&amp;E516)+1)/2</f>
        <v/>
      </c>
      <c r="L516" s="99">
        <f>COUNTIF($F$5:$F$979,"&lt;"&amp;F516)+(COUNTIF($F$5:$F$979,"="&amp;F516)+1)/2</f>
        <v/>
      </c>
      <c r="M516" s="99">
        <f>COUNTIF($G$5:$G$979,"&lt;"&amp;G516)+(COUNTIF($G$5:$G$979,"="&amp;G516)+1)/2</f>
        <v/>
      </c>
      <c r="N516" s="99">
        <f>COUNTIF($H$5:$H$979,"&lt;"&amp;H516)+(COUNTIF($H$5:$H$979,"="&amp;H516)+1)/2</f>
        <v/>
      </c>
      <c r="O516" s="99">
        <f>COUNTIF($I$5:$I$979,"&lt;"&amp;I516)+(COUNTIF($I$5:$I$979,"="&amp;I516)+1)/2</f>
        <v/>
      </c>
      <c r="P516" s="99">
        <f>COUNTIF($J$5:$J$979,"&lt;"&amp;J516)+(COUNTIF($J$5:$J$979,"="&amp;J516)+1)/2</f>
        <v/>
      </c>
    </row>
    <row r="517" ht="15" customHeight="1" s="68">
      <c r="A517" s="70">
        <f>'01_원자료'!A514</f>
        <v/>
      </c>
      <c r="B517" s="70">
        <f>'01_원자료'!B514</f>
        <v/>
      </c>
      <c r="C517" s="70">
        <f>'01_원자료'!C514</f>
        <v/>
      </c>
      <c r="E517" s="85">
        <f>'01_원자료'!P514*'03_가중치민감도'!$B$5+'01_원자료'!Q514*'03_가중치민감도'!$C$5+'01_원자료'!R514*'03_가중치민감도'!$D$5</f>
        <v/>
      </c>
      <c r="F517" s="85">
        <f>'01_원자료'!P514*'03_가중치민감도'!$B$6+'01_원자료'!Q514*'03_가중치민감도'!$C$6+'01_원자료'!R514*'03_가중치민감도'!$D$6</f>
        <v/>
      </c>
      <c r="G517" s="85">
        <f>'01_원자료'!P514*'03_가중치민감도'!$B$7+'01_원자료'!Q514*'03_가중치민감도'!$C$7+'01_원자료'!R514*'03_가중치민감도'!$D$7</f>
        <v/>
      </c>
      <c r="H517" s="85">
        <f>'01_원자료'!P514*'03_가중치민감도'!$B$8+'01_원자료'!Q514*'03_가중치민감도'!$C$8+'01_원자료'!R514*'03_가중치민감도'!$D$8</f>
        <v/>
      </c>
      <c r="I517" s="85">
        <f>'01_원자료'!P514*'03_가중치민감도'!$B$9+'01_원자료'!Q514*'03_가중치민감도'!$C$9+'01_원자료'!R514*'03_가중치민감도'!$D$9</f>
        <v/>
      </c>
      <c r="J517" s="85">
        <f>'01_원자료'!P514*'03_가중치민감도'!$B$10+'01_원자료'!Q514*'03_가중치민감도'!$C$10+'01_원자료'!R514*'03_가중치민감도'!$D$10</f>
        <v/>
      </c>
      <c r="K517" s="99">
        <f>COUNTIF($E$5:$E$979,"&lt;"&amp;E517)+(COUNTIF($E$5:$E$979,"="&amp;E517)+1)/2</f>
        <v/>
      </c>
      <c r="L517" s="99">
        <f>COUNTIF($F$5:$F$979,"&lt;"&amp;F517)+(COUNTIF($F$5:$F$979,"="&amp;F517)+1)/2</f>
        <v/>
      </c>
      <c r="M517" s="99">
        <f>COUNTIF($G$5:$G$979,"&lt;"&amp;G517)+(COUNTIF($G$5:$G$979,"="&amp;G517)+1)/2</f>
        <v/>
      </c>
      <c r="N517" s="99">
        <f>COUNTIF($H$5:$H$979,"&lt;"&amp;H517)+(COUNTIF($H$5:$H$979,"="&amp;H517)+1)/2</f>
        <v/>
      </c>
      <c r="O517" s="99">
        <f>COUNTIF($I$5:$I$979,"&lt;"&amp;I517)+(COUNTIF($I$5:$I$979,"="&amp;I517)+1)/2</f>
        <v/>
      </c>
      <c r="P517" s="99">
        <f>COUNTIF($J$5:$J$979,"&lt;"&amp;J517)+(COUNTIF($J$5:$J$979,"="&amp;J517)+1)/2</f>
        <v/>
      </c>
    </row>
    <row r="518" ht="15" customHeight="1" s="68">
      <c r="A518" s="70">
        <f>'01_원자료'!A515</f>
        <v/>
      </c>
      <c r="B518" s="70">
        <f>'01_원자료'!B515</f>
        <v/>
      </c>
      <c r="C518" s="70">
        <f>'01_원자료'!C515</f>
        <v/>
      </c>
      <c r="E518" s="85">
        <f>'01_원자료'!P515*'03_가중치민감도'!$B$5+'01_원자료'!Q515*'03_가중치민감도'!$C$5+'01_원자료'!R515*'03_가중치민감도'!$D$5</f>
        <v/>
      </c>
      <c r="F518" s="85">
        <f>'01_원자료'!P515*'03_가중치민감도'!$B$6+'01_원자료'!Q515*'03_가중치민감도'!$C$6+'01_원자료'!R515*'03_가중치민감도'!$D$6</f>
        <v/>
      </c>
      <c r="G518" s="85">
        <f>'01_원자료'!P515*'03_가중치민감도'!$B$7+'01_원자료'!Q515*'03_가중치민감도'!$C$7+'01_원자료'!R515*'03_가중치민감도'!$D$7</f>
        <v/>
      </c>
      <c r="H518" s="85">
        <f>'01_원자료'!P515*'03_가중치민감도'!$B$8+'01_원자료'!Q515*'03_가중치민감도'!$C$8+'01_원자료'!R515*'03_가중치민감도'!$D$8</f>
        <v/>
      </c>
      <c r="I518" s="85">
        <f>'01_원자료'!P515*'03_가중치민감도'!$B$9+'01_원자료'!Q515*'03_가중치민감도'!$C$9+'01_원자료'!R515*'03_가중치민감도'!$D$9</f>
        <v/>
      </c>
      <c r="J518" s="85">
        <f>'01_원자료'!P515*'03_가중치민감도'!$B$10+'01_원자료'!Q515*'03_가중치민감도'!$C$10+'01_원자료'!R515*'03_가중치민감도'!$D$10</f>
        <v/>
      </c>
      <c r="K518" s="99">
        <f>COUNTIF($E$5:$E$979,"&lt;"&amp;E518)+(COUNTIF($E$5:$E$979,"="&amp;E518)+1)/2</f>
        <v/>
      </c>
      <c r="L518" s="99">
        <f>COUNTIF($F$5:$F$979,"&lt;"&amp;F518)+(COUNTIF($F$5:$F$979,"="&amp;F518)+1)/2</f>
        <v/>
      </c>
      <c r="M518" s="99">
        <f>COUNTIF($G$5:$G$979,"&lt;"&amp;G518)+(COUNTIF($G$5:$G$979,"="&amp;G518)+1)/2</f>
        <v/>
      </c>
      <c r="N518" s="99">
        <f>COUNTIF($H$5:$H$979,"&lt;"&amp;H518)+(COUNTIF($H$5:$H$979,"="&amp;H518)+1)/2</f>
        <v/>
      </c>
      <c r="O518" s="99">
        <f>COUNTIF($I$5:$I$979,"&lt;"&amp;I518)+(COUNTIF($I$5:$I$979,"="&amp;I518)+1)/2</f>
        <v/>
      </c>
      <c r="P518" s="99">
        <f>COUNTIF($J$5:$J$979,"&lt;"&amp;J518)+(COUNTIF($J$5:$J$979,"="&amp;J518)+1)/2</f>
        <v/>
      </c>
    </row>
    <row r="519" ht="15" customHeight="1" s="68">
      <c r="A519" s="70">
        <f>'01_원자료'!A516</f>
        <v/>
      </c>
      <c r="B519" s="70">
        <f>'01_원자료'!B516</f>
        <v/>
      </c>
      <c r="C519" s="70">
        <f>'01_원자료'!C516</f>
        <v/>
      </c>
      <c r="E519" s="85">
        <f>'01_원자료'!P516*'03_가중치민감도'!$B$5+'01_원자료'!Q516*'03_가중치민감도'!$C$5+'01_원자료'!R516*'03_가중치민감도'!$D$5</f>
        <v/>
      </c>
      <c r="F519" s="85">
        <f>'01_원자료'!P516*'03_가중치민감도'!$B$6+'01_원자료'!Q516*'03_가중치민감도'!$C$6+'01_원자료'!R516*'03_가중치민감도'!$D$6</f>
        <v/>
      </c>
      <c r="G519" s="85">
        <f>'01_원자료'!P516*'03_가중치민감도'!$B$7+'01_원자료'!Q516*'03_가중치민감도'!$C$7+'01_원자료'!R516*'03_가중치민감도'!$D$7</f>
        <v/>
      </c>
      <c r="H519" s="85">
        <f>'01_원자료'!P516*'03_가중치민감도'!$B$8+'01_원자료'!Q516*'03_가중치민감도'!$C$8+'01_원자료'!R516*'03_가중치민감도'!$D$8</f>
        <v/>
      </c>
      <c r="I519" s="85">
        <f>'01_원자료'!P516*'03_가중치민감도'!$B$9+'01_원자료'!Q516*'03_가중치민감도'!$C$9+'01_원자료'!R516*'03_가중치민감도'!$D$9</f>
        <v/>
      </c>
      <c r="J519" s="85">
        <f>'01_원자료'!P516*'03_가중치민감도'!$B$10+'01_원자료'!Q516*'03_가중치민감도'!$C$10+'01_원자료'!R516*'03_가중치민감도'!$D$10</f>
        <v/>
      </c>
      <c r="K519" s="99">
        <f>COUNTIF($E$5:$E$979,"&lt;"&amp;E519)+(COUNTIF($E$5:$E$979,"="&amp;E519)+1)/2</f>
        <v/>
      </c>
      <c r="L519" s="99">
        <f>COUNTIF($F$5:$F$979,"&lt;"&amp;F519)+(COUNTIF($F$5:$F$979,"="&amp;F519)+1)/2</f>
        <v/>
      </c>
      <c r="M519" s="99">
        <f>COUNTIF($G$5:$G$979,"&lt;"&amp;G519)+(COUNTIF($G$5:$G$979,"="&amp;G519)+1)/2</f>
        <v/>
      </c>
      <c r="N519" s="99">
        <f>COUNTIF($H$5:$H$979,"&lt;"&amp;H519)+(COUNTIF($H$5:$H$979,"="&amp;H519)+1)/2</f>
        <v/>
      </c>
      <c r="O519" s="99">
        <f>COUNTIF($I$5:$I$979,"&lt;"&amp;I519)+(COUNTIF($I$5:$I$979,"="&amp;I519)+1)/2</f>
        <v/>
      </c>
      <c r="P519" s="99">
        <f>COUNTIF($J$5:$J$979,"&lt;"&amp;J519)+(COUNTIF($J$5:$J$979,"="&amp;J519)+1)/2</f>
        <v/>
      </c>
    </row>
    <row r="520" ht="15" customHeight="1" s="68">
      <c r="A520" s="70">
        <f>'01_원자료'!A517</f>
        <v/>
      </c>
      <c r="B520" s="70">
        <f>'01_원자료'!B517</f>
        <v/>
      </c>
      <c r="C520" s="70">
        <f>'01_원자료'!C517</f>
        <v/>
      </c>
      <c r="E520" s="85">
        <f>'01_원자료'!P517*'03_가중치민감도'!$B$5+'01_원자료'!Q517*'03_가중치민감도'!$C$5+'01_원자료'!R517*'03_가중치민감도'!$D$5</f>
        <v/>
      </c>
      <c r="F520" s="85">
        <f>'01_원자료'!P517*'03_가중치민감도'!$B$6+'01_원자료'!Q517*'03_가중치민감도'!$C$6+'01_원자료'!R517*'03_가중치민감도'!$D$6</f>
        <v/>
      </c>
      <c r="G520" s="85">
        <f>'01_원자료'!P517*'03_가중치민감도'!$B$7+'01_원자료'!Q517*'03_가중치민감도'!$C$7+'01_원자료'!R517*'03_가중치민감도'!$D$7</f>
        <v/>
      </c>
      <c r="H520" s="85">
        <f>'01_원자료'!P517*'03_가중치민감도'!$B$8+'01_원자료'!Q517*'03_가중치민감도'!$C$8+'01_원자료'!R517*'03_가중치민감도'!$D$8</f>
        <v/>
      </c>
      <c r="I520" s="85">
        <f>'01_원자료'!P517*'03_가중치민감도'!$B$9+'01_원자료'!Q517*'03_가중치민감도'!$C$9+'01_원자료'!R517*'03_가중치민감도'!$D$9</f>
        <v/>
      </c>
      <c r="J520" s="85">
        <f>'01_원자료'!P517*'03_가중치민감도'!$B$10+'01_원자료'!Q517*'03_가중치민감도'!$C$10+'01_원자료'!R517*'03_가중치민감도'!$D$10</f>
        <v/>
      </c>
      <c r="K520" s="99">
        <f>COUNTIF($E$5:$E$979,"&lt;"&amp;E520)+(COUNTIF($E$5:$E$979,"="&amp;E520)+1)/2</f>
        <v/>
      </c>
      <c r="L520" s="99">
        <f>COUNTIF($F$5:$F$979,"&lt;"&amp;F520)+(COUNTIF($F$5:$F$979,"="&amp;F520)+1)/2</f>
        <v/>
      </c>
      <c r="M520" s="99">
        <f>COUNTIF($G$5:$G$979,"&lt;"&amp;G520)+(COUNTIF($G$5:$G$979,"="&amp;G520)+1)/2</f>
        <v/>
      </c>
      <c r="N520" s="99">
        <f>COUNTIF($H$5:$H$979,"&lt;"&amp;H520)+(COUNTIF($H$5:$H$979,"="&amp;H520)+1)/2</f>
        <v/>
      </c>
      <c r="O520" s="99">
        <f>COUNTIF($I$5:$I$979,"&lt;"&amp;I520)+(COUNTIF($I$5:$I$979,"="&amp;I520)+1)/2</f>
        <v/>
      </c>
      <c r="P520" s="99">
        <f>COUNTIF($J$5:$J$979,"&lt;"&amp;J520)+(COUNTIF($J$5:$J$979,"="&amp;J520)+1)/2</f>
        <v/>
      </c>
    </row>
    <row r="521" ht="15" customHeight="1" s="68">
      <c r="A521" s="70">
        <f>'01_원자료'!A518</f>
        <v/>
      </c>
      <c r="B521" s="70">
        <f>'01_원자료'!B518</f>
        <v/>
      </c>
      <c r="C521" s="70">
        <f>'01_원자료'!C518</f>
        <v/>
      </c>
      <c r="E521" s="85">
        <f>'01_원자료'!P518*'03_가중치민감도'!$B$5+'01_원자료'!Q518*'03_가중치민감도'!$C$5+'01_원자료'!R518*'03_가중치민감도'!$D$5</f>
        <v/>
      </c>
      <c r="F521" s="85">
        <f>'01_원자료'!P518*'03_가중치민감도'!$B$6+'01_원자료'!Q518*'03_가중치민감도'!$C$6+'01_원자료'!R518*'03_가중치민감도'!$D$6</f>
        <v/>
      </c>
      <c r="G521" s="85">
        <f>'01_원자료'!P518*'03_가중치민감도'!$B$7+'01_원자료'!Q518*'03_가중치민감도'!$C$7+'01_원자료'!R518*'03_가중치민감도'!$D$7</f>
        <v/>
      </c>
      <c r="H521" s="85">
        <f>'01_원자료'!P518*'03_가중치민감도'!$B$8+'01_원자료'!Q518*'03_가중치민감도'!$C$8+'01_원자료'!R518*'03_가중치민감도'!$D$8</f>
        <v/>
      </c>
      <c r="I521" s="85">
        <f>'01_원자료'!P518*'03_가중치민감도'!$B$9+'01_원자료'!Q518*'03_가중치민감도'!$C$9+'01_원자료'!R518*'03_가중치민감도'!$D$9</f>
        <v/>
      </c>
      <c r="J521" s="85">
        <f>'01_원자료'!P518*'03_가중치민감도'!$B$10+'01_원자료'!Q518*'03_가중치민감도'!$C$10+'01_원자료'!R518*'03_가중치민감도'!$D$10</f>
        <v/>
      </c>
      <c r="K521" s="99">
        <f>COUNTIF($E$5:$E$979,"&lt;"&amp;E521)+(COUNTIF($E$5:$E$979,"="&amp;E521)+1)/2</f>
        <v/>
      </c>
      <c r="L521" s="99">
        <f>COUNTIF($F$5:$F$979,"&lt;"&amp;F521)+(COUNTIF($F$5:$F$979,"="&amp;F521)+1)/2</f>
        <v/>
      </c>
      <c r="M521" s="99">
        <f>COUNTIF($G$5:$G$979,"&lt;"&amp;G521)+(COUNTIF($G$5:$G$979,"="&amp;G521)+1)/2</f>
        <v/>
      </c>
      <c r="N521" s="99">
        <f>COUNTIF($H$5:$H$979,"&lt;"&amp;H521)+(COUNTIF($H$5:$H$979,"="&amp;H521)+1)/2</f>
        <v/>
      </c>
      <c r="O521" s="99">
        <f>COUNTIF($I$5:$I$979,"&lt;"&amp;I521)+(COUNTIF($I$5:$I$979,"="&amp;I521)+1)/2</f>
        <v/>
      </c>
      <c r="P521" s="99">
        <f>COUNTIF($J$5:$J$979,"&lt;"&amp;J521)+(COUNTIF($J$5:$J$979,"="&amp;J521)+1)/2</f>
        <v/>
      </c>
    </row>
    <row r="522" ht="15" customHeight="1" s="68">
      <c r="A522" s="70">
        <f>'01_원자료'!A519</f>
        <v/>
      </c>
      <c r="B522" s="70">
        <f>'01_원자료'!B519</f>
        <v/>
      </c>
      <c r="C522" s="70">
        <f>'01_원자료'!C519</f>
        <v/>
      </c>
      <c r="E522" s="85">
        <f>'01_원자료'!P519*'03_가중치민감도'!$B$5+'01_원자료'!Q519*'03_가중치민감도'!$C$5+'01_원자료'!R519*'03_가중치민감도'!$D$5</f>
        <v/>
      </c>
      <c r="F522" s="85">
        <f>'01_원자료'!P519*'03_가중치민감도'!$B$6+'01_원자료'!Q519*'03_가중치민감도'!$C$6+'01_원자료'!R519*'03_가중치민감도'!$D$6</f>
        <v/>
      </c>
      <c r="G522" s="85">
        <f>'01_원자료'!P519*'03_가중치민감도'!$B$7+'01_원자료'!Q519*'03_가중치민감도'!$C$7+'01_원자료'!R519*'03_가중치민감도'!$D$7</f>
        <v/>
      </c>
      <c r="H522" s="85">
        <f>'01_원자료'!P519*'03_가중치민감도'!$B$8+'01_원자료'!Q519*'03_가중치민감도'!$C$8+'01_원자료'!R519*'03_가중치민감도'!$D$8</f>
        <v/>
      </c>
      <c r="I522" s="85">
        <f>'01_원자료'!P519*'03_가중치민감도'!$B$9+'01_원자료'!Q519*'03_가중치민감도'!$C$9+'01_원자료'!R519*'03_가중치민감도'!$D$9</f>
        <v/>
      </c>
      <c r="J522" s="85">
        <f>'01_원자료'!P519*'03_가중치민감도'!$B$10+'01_원자료'!Q519*'03_가중치민감도'!$C$10+'01_원자료'!R519*'03_가중치민감도'!$D$10</f>
        <v/>
      </c>
      <c r="K522" s="99">
        <f>COUNTIF($E$5:$E$979,"&lt;"&amp;E522)+(COUNTIF($E$5:$E$979,"="&amp;E522)+1)/2</f>
        <v/>
      </c>
      <c r="L522" s="99">
        <f>COUNTIF($F$5:$F$979,"&lt;"&amp;F522)+(COUNTIF($F$5:$F$979,"="&amp;F522)+1)/2</f>
        <v/>
      </c>
      <c r="M522" s="99">
        <f>COUNTIF($G$5:$G$979,"&lt;"&amp;G522)+(COUNTIF($G$5:$G$979,"="&amp;G522)+1)/2</f>
        <v/>
      </c>
      <c r="N522" s="99">
        <f>COUNTIF($H$5:$H$979,"&lt;"&amp;H522)+(COUNTIF($H$5:$H$979,"="&amp;H522)+1)/2</f>
        <v/>
      </c>
      <c r="O522" s="99">
        <f>COUNTIF($I$5:$I$979,"&lt;"&amp;I522)+(COUNTIF($I$5:$I$979,"="&amp;I522)+1)/2</f>
        <v/>
      </c>
      <c r="P522" s="99">
        <f>COUNTIF($J$5:$J$979,"&lt;"&amp;J522)+(COUNTIF($J$5:$J$979,"="&amp;J522)+1)/2</f>
        <v/>
      </c>
    </row>
    <row r="523" ht="15" customHeight="1" s="68">
      <c r="A523" s="70">
        <f>'01_원자료'!A520</f>
        <v/>
      </c>
      <c r="B523" s="70">
        <f>'01_원자료'!B520</f>
        <v/>
      </c>
      <c r="C523" s="70">
        <f>'01_원자료'!C520</f>
        <v/>
      </c>
      <c r="E523" s="85">
        <f>'01_원자료'!P520*'03_가중치민감도'!$B$5+'01_원자료'!Q520*'03_가중치민감도'!$C$5+'01_원자료'!R520*'03_가중치민감도'!$D$5</f>
        <v/>
      </c>
      <c r="F523" s="85">
        <f>'01_원자료'!P520*'03_가중치민감도'!$B$6+'01_원자료'!Q520*'03_가중치민감도'!$C$6+'01_원자료'!R520*'03_가중치민감도'!$D$6</f>
        <v/>
      </c>
      <c r="G523" s="85">
        <f>'01_원자료'!P520*'03_가중치민감도'!$B$7+'01_원자료'!Q520*'03_가중치민감도'!$C$7+'01_원자료'!R520*'03_가중치민감도'!$D$7</f>
        <v/>
      </c>
      <c r="H523" s="85">
        <f>'01_원자료'!P520*'03_가중치민감도'!$B$8+'01_원자료'!Q520*'03_가중치민감도'!$C$8+'01_원자료'!R520*'03_가중치민감도'!$D$8</f>
        <v/>
      </c>
      <c r="I523" s="85">
        <f>'01_원자료'!P520*'03_가중치민감도'!$B$9+'01_원자료'!Q520*'03_가중치민감도'!$C$9+'01_원자료'!R520*'03_가중치민감도'!$D$9</f>
        <v/>
      </c>
      <c r="J523" s="85">
        <f>'01_원자료'!P520*'03_가중치민감도'!$B$10+'01_원자료'!Q520*'03_가중치민감도'!$C$10+'01_원자료'!R520*'03_가중치민감도'!$D$10</f>
        <v/>
      </c>
      <c r="K523" s="99">
        <f>COUNTIF($E$5:$E$979,"&lt;"&amp;E523)+(COUNTIF($E$5:$E$979,"="&amp;E523)+1)/2</f>
        <v/>
      </c>
      <c r="L523" s="99">
        <f>COUNTIF($F$5:$F$979,"&lt;"&amp;F523)+(COUNTIF($F$5:$F$979,"="&amp;F523)+1)/2</f>
        <v/>
      </c>
      <c r="M523" s="99">
        <f>COUNTIF($G$5:$G$979,"&lt;"&amp;G523)+(COUNTIF($G$5:$G$979,"="&amp;G523)+1)/2</f>
        <v/>
      </c>
      <c r="N523" s="99">
        <f>COUNTIF($H$5:$H$979,"&lt;"&amp;H523)+(COUNTIF($H$5:$H$979,"="&amp;H523)+1)/2</f>
        <v/>
      </c>
      <c r="O523" s="99">
        <f>COUNTIF($I$5:$I$979,"&lt;"&amp;I523)+(COUNTIF($I$5:$I$979,"="&amp;I523)+1)/2</f>
        <v/>
      </c>
      <c r="P523" s="99">
        <f>COUNTIF($J$5:$J$979,"&lt;"&amp;J523)+(COUNTIF($J$5:$J$979,"="&amp;J523)+1)/2</f>
        <v/>
      </c>
    </row>
    <row r="524" ht="15" customHeight="1" s="68">
      <c r="A524" s="70">
        <f>'01_원자료'!A521</f>
        <v/>
      </c>
      <c r="B524" s="70">
        <f>'01_원자료'!B521</f>
        <v/>
      </c>
      <c r="C524" s="70">
        <f>'01_원자료'!C521</f>
        <v/>
      </c>
      <c r="E524" s="85">
        <f>'01_원자료'!P521*'03_가중치민감도'!$B$5+'01_원자료'!Q521*'03_가중치민감도'!$C$5+'01_원자료'!R521*'03_가중치민감도'!$D$5</f>
        <v/>
      </c>
      <c r="F524" s="85">
        <f>'01_원자료'!P521*'03_가중치민감도'!$B$6+'01_원자료'!Q521*'03_가중치민감도'!$C$6+'01_원자료'!R521*'03_가중치민감도'!$D$6</f>
        <v/>
      </c>
      <c r="G524" s="85">
        <f>'01_원자료'!P521*'03_가중치민감도'!$B$7+'01_원자료'!Q521*'03_가중치민감도'!$C$7+'01_원자료'!R521*'03_가중치민감도'!$D$7</f>
        <v/>
      </c>
      <c r="H524" s="85">
        <f>'01_원자료'!P521*'03_가중치민감도'!$B$8+'01_원자료'!Q521*'03_가중치민감도'!$C$8+'01_원자료'!R521*'03_가중치민감도'!$D$8</f>
        <v/>
      </c>
      <c r="I524" s="85">
        <f>'01_원자료'!P521*'03_가중치민감도'!$B$9+'01_원자료'!Q521*'03_가중치민감도'!$C$9+'01_원자료'!R521*'03_가중치민감도'!$D$9</f>
        <v/>
      </c>
      <c r="J524" s="85">
        <f>'01_원자료'!P521*'03_가중치민감도'!$B$10+'01_원자료'!Q521*'03_가중치민감도'!$C$10+'01_원자료'!R521*'03_가중치민감도'!$D$10</f>
        <v/>
      </c>
      <c r="K524" s="99">
        <f>COUNTIF($E$5:$E$979,"&lt;"&amp;E524)+(COUNTIF($E$5:$E$979,"="&amp;E524)+1)/2</f>
        <v/>
      </c>
      <c r="L524" s="99">
        <f>COUNTIF($F$5:$F$979,"&lt;"&amp;F524)+(COUNTIF($F$5:$F$979,"="&amp;F524)+1)/2</f>
        <v/>
      </c>
      <c r="M524" s="99">
        <f>COUNTIF($G$5:$G$979,"&lt;"&amp;G524)+(COUNTIF($G$5:$G$979,"="&amp;G524)+1)/2</f>
        <v/>
      </c>
      <c r="N524" s="99">
        <f>COUNTIF($H$5:$H$979,"&lt;"&amp;H524)+(COUNTIF($H$5:$H$979,"="&amp;H524)+1)/2</f>
        <v/>
      </c>
      <c r="O524" s="99">
        <f>COUNTIF($I$5:$I$979,"&lt;"&amp;I524)+(COUNTIF($I$5:$I$979,"="&amp;I524)+1)/2</f>
        <v/>
      </c>
      <c r="P524" s="99">
        <f>COUNTIF($J$5:$J$979,"&lt;"&amp;J524)+(COUNTIF($J$5:$J$979,"="&amp;J524)+1)/2</f>
        <v/>
      </c>
    </row>
    <row r="525" ht="15" customHeight="1" s="68">
      <c r="A525" s="70">
        <f>'01_원자료'!A522</f>
        <v/>
      </c>
      <c r="B525" s="70">
        <f>'01_원자료'!B522</f>
        <v/>
      </c>
      <c r="C525" s="70">
        <f>'01_원자료'!C522</f>
        <v/>
      </c>
      <c r="E525" s="85">
        <f>'01_원자료'!P522*'03_가중치민감도'!$B$5+'01_원자료'!Q522*'03_가중치민감도'!$C$5+'01_원자료'!R522*'03_가중치민감도'!$D$5</f>
        <v/>
      </c>
      <c r="F525" s="85">
        <f>'01_원자료'!P522*'03_가중치민감도'!$B$6+'01_원자료'!Q522*'03_가중치민감도'!$C$6+'01_원자료'!R522*'03_가중치민감도'!$D$6</f>
        <v/>
      </c>
      <c r="G525" s="85">
        <f>'01_원자료'!P522*'03_가중치민감도'!$B$7+'01_원자료'!Q522*'03_가중치민감도'!$C$7+'01_원자료'!R522*'03_가중치민감도'!$D$7</f>
        <v/>
      </c>
      <c r="H525" s="85">
        <f>'01_원자료'!P522*'03_가중치민감도'!$B$8+'01_원자료'!Q522*'03_가중치민감도'!$C$8+'01_원자료'!R522*'03_가중치민감도'!$D$8</f>
        <v/>
      </c>
      <c r="I525" s="85">
        <f>'01_원자료'!P522*'03_가중치민감도'!$B$9+'01_원자료'!Q522*'03_가중치민감도'!$C$9+'01_원자료'!R522*'03_가중치민감도'!$D$9</f>
        <v/>
      </c>
      <c r="J525" s="85">
        <f>'01_원자료'!P522*'03_가중치민감도'!$B$10+'01_원자료'!Q522*'03_가중치민감도'!$C$10+'01_원자료'!R522*'03_가중치민감도'!$D$10</f>
        <v/>
      </c>
      <c r="K525" s="99">
        <f>COUNTIF($E$5:$E$979,"&lt;"&amp;E525)+(COUNTIF($E$5:$E$979,"="&amp;E525)+1)/2</f>
        <v/>
      </c>
      <c r="L525" s="99">
        <f>COUNTIF($F$5:$F$979,"&lt;"&amp;F525)+(COUNTIF($F$5:$F$979,"="&amp;F525)+1)/2</f>
        <v/>
      </c>
      <c r="M525" s="99">
        <f>COUNTIF($G$5:$G$979,"&lt;"&amp;G525)+(COUNTIF($G$5:$G$979,"="&amp;G525)+1)/2</f>
        <v/>
      </c>
      <c r="N525" s="99">
        <f>COUNTIF($H$5:$H$979,"&lt;"&amp;H525)+(COUNTIF($H$5:$H$979,"="&amp;H525)+1)/2</f>
        <v/>
      </c>
      <c r="O525" s="99">
        <f>COUNTIF($I$5:$I$979,"&lt;"&amp;I525)+(COUNTIF($I$5:$I$979,"="&amp;I525)+1)/2</f>
        <v/>
      </c>
      <c r="P525" s="99">
        <f>COUNTIF($J$5:$J$979,"&lt;"&amp;J525)+(COUNTIF($J$5:$J$979,"="&amp;J525)+1)/2</f>
        <v/>
      </c>
    </row>
    <row r="526" ht="15" customHeight="1" s="68">
      <c r="A526" s="70">
        <f>'01_원자료'!A523</f>
        <v/>
      </c>
      <c r="B526" s="70">
        <f>'01_원자료'!B523</f>
        <v/>
      </c>
      <c r="C526" s="70">
        <f>'01_원자료'!C523</f>
        <v/>
      </c>
      <c r="E526" s="85">
        <f>'01_원자료'!P523*'03_가중치민감도'!$B$5+'01_원자료'!Q523*'03_가중치민감도'!$C$5+'01_원자료'!R523*'03_가중치민감도'!$D$5</f>
        <v/>
      </c>
      <c r="F526" s="85">
        <f>'01_원자료'!P523*'03_가중치민감도'!$B$6+'01_원자료'!Q523*'03_가중치민감도'!$C$6+'01_원자료'!R523*'03_가중치민감도'!$D$6</f>
        <v/>
      </c>
      <c r="G526" s="85">
        <f>'01_원자료'!P523*'03_가중치민감도'!$B$7+'01_원자료'!Q523*'03_가중치민감도'!$C$7+'01_원자료'!R523*'03_가중치민감도'!$D$7</f>
        <v/>
      </c>
      <c r="H526" s="85">
        <f>'01_원자료'!P523*'03_가중치민감도'!$B$8+'01_원자료'!Q523*'03_가중치민감도'!$C$8+'01_원자료'!R523*'03_가중치민감도'!$D$8</f>
        <v/>
      </c>
      <c r="I526" s="85">
        <f>'01_원자료'!P523*'03_가중치민감도'!$B$9+'01_원자료'!Q523*'03_가중치민감도'!$C$9+'01_원자료'!R523*'03_가중치민감도'!$D$9</f>
        <v/>
      </c>
      <c r="J526" s="85">
        <f>'01_원자료'!P523*'03_가중치민감도'!$B$10+'01_원자료'!Q523*'03_가중치민감도'!$C$10+'01_원자료'!R523*'03_가중치민감도'!$D$10</f>
        <v/>
      </c>
      <c r="K526" s="99">
        <f>COUNTIF($E$5:$E$979,"&lt;"&amp;E526)+(COUNTIF($E$5:$E$979,"="&amp;E526)+1)/2</f>
        <v/>
      </c>
      <c r="L526" s="99">
        <f>COUNTIF($F$5:$F$979,"&lt;"&amp;F526)+(COUNTIF($F$5:$F$979,"="&amp;F526)+1)/2</f>
        <v/>
      </c>
      <c r="M526" s="99">
        <f>COUNTIF($G$5:$G$979,"&lt;"&amp;G526)+(COUNTIF($G$5:$G$979,"="&amp;G526)+1)/2</f>
        <v/>
      </c>
      <c r="N526" s="99">
        <f>COUNTIF($H$5:$H$979,"&lt;"&amp;H526)+(COUNTIF($H$5:$H$979,"="&amp;H526)+1)/2</f>
        <v/>
      </c>
      <c r="O526" s="99">
        <f>COUNTIF($I$5:$I$979,"&lt;"&amp;I526)+(COUNTIF($I$5:$I$979,"="&amp;I526)+1)/2</f>
        <v/>
      </c>
      <c r="P526" s="99">
        <f>COUNTIF($J$5:$J$979,"&lt;"&amp;J526)+(COUNTIF($J$5:$J$979,"="&amp;J526)+1)/2</f>
        <v/>
      </c>
    </row>
    <row r="527" ht="15" customHeight="1" s="68">
      <c r="A527" s="70">
        <f>'01_원자료'!A524</f>
        <v/>
      </c>
      <c r="B527" s="70">
        <f>'01_원자료'!B524</f>
        <v/>
      </c>
      <c r="C527" s="70">
        <f>'01_원자료'!C524</f>
        <v/>
      </c>
      <c r="E527" s="85">
        <f>'01_원자료'!P524*'03_가중치민감도'!$B$5+'01_원자료'!Q524*'03_가중치민감도'!$C$5+'01_원자료'!R524*'03_가중치민감도'!$D$5</f>
        <v/>
      </c>
      <c r="F527" s="85">
        <f>'01_원자료'!P524*'03_가중치민감도'!$B$6+'01_원자료'!Q524*'03_가중치민감도'!$C$6+'01_원자료'!R524*'03_가중치민감도'!$D$6</f>
        <v/>
      </c>
      <c r="G527" s="85">
        <f>'01_원자료'!P524*'03_가중치민감도'!$B$7+'01_원자료'!Q524*'03_가중치민감도'!$C$7+'01_원자료'!R524*'03_가중치민감도'!$D$7</f>
        <v/>
      </c>
      <c r="H527" s="85">
        <f>'01_원자료'!P524*'03_가중치민감도'!$B$8+'01_원자료'!Q524*'03_가중치민감도'!$C$8+'01_원자료'!R524*'03_가중치민감도'!$D$8</f>
        <v/>
      </c>
      <c r="I527" s="85">
        <f>'01_원자료'!P524*'03_가중치민감도'!$B$9+'01_원자료'!Q524*'03_가중치민감도'!$C$9+'01_원자료'!R524*'03_가중치민감도'!$D$9</f>
        <v/>
      </c>
      <c r="J527" s="85">
        <f>'01_원자료'!P524*'03_가중치민감도'!$B$10+'01_원자료'!Q524*'03_가중치민감도'!$C$10+'01_원자료'!R524*'03_가중치민감도'!$D$10</f>
        <v/>
      </c>
      <c r="K527" s="99">
        <f>COUNTIF($E$5:$E$979,"&lt;"&amp;E527)+(COUNTIF($E$5:$E$979,"="&amp;E527)+1)/2</f>
        <v/>
      </c>
      <c r="L527" s="99">
        <f>COUNTIF($F$5:$F$979,"&lt;"&amp;F527)+(COUNTIF($F$5:$F$979,"="&amp;F527)+1)/2</f>
        <v/>
      </c>
      <c r="M527" s="99">
        <f>COUNTIF($G$5:$G$979,"&lt;"&amp;G527)+(COUNTIF($G$5:$G$979,"="&amp;G527)+1)/2</f>
        <v/>
      </c>
      <c r="N527" s="99">
        <f>COUNTIF($H$5:$H$979,"&lt;"&amp;H527)+(COUNTIF($H$5:$H$979,"="&amp;H527)+1)/2</f>
        <v/>
      </c>
      <c r="O527" s="99">
        <f>COUNTIF($I$5:$I$979,"&lt;"&amp;I527)+(COUNTIF($I$5:$I$979,"="&amp;I527)+1)/2</f>
        <v/>
      </c>
      <c r="P527" s="99">
        <f>COUNTIF($J$5:$J$979,"&lt;"&amp;J527)+(COUNTIF($J$5:$J$979,"="&amp;J527)+1)/2</f>
        <v/>
      </c>
    </row>
    <row r="528" ht="15" customHeight="1" s="68">
      <c r="A528" s="70">
        <f>'01_원자료'!A525</f>
        <v/>
      </c>
      <c r="B528" s="70">
        <f>'01_원자료'!B525</f>
        <v/>
      </c>
      <c r="C528" s="70">
        <f>'01_원자료'!C525</f>
        <v/>
      </c>
      <c r="E528" s="85">
        <f>'01_원자료'!P525*'03_가중치민감도'!$B$5+'01_원자료'!Q525*'03_가중치민감도'!$C$5+'01_원자료'!R525*'03_가중치민감도'!$D$5</f>
        <v/>
      </c>
      <c r="F528" s="85">
        <f>'01_원자료'!P525*'03_가중치민감도'!$B$6+'01_원자료'!Q525*'03_가중치민감도'!$C$6+'01_원자료'!R525*'03_가중치민감도'!$D$6</f>
        <v/>
      </c>
      <c r="G528" s="85">
        <f>'01_원자료'!P525*'03_가중치민감도'!$B$7+'01_원자료'!Q525*'03_가중치민감도'!$C$7+'01_원자료'!R525*'03_가중치민감도'!$D$7</f>
        <v/>
      </c>
      <c r="H528" s="85">
        <f>'01_원자료'!P525*'03_가중치민감도'!$B$8+'01_원자료'!Q525*'03_가중치민감도'!$C$8+'01_원자료'!R525*'03_가중치민감도'!$D$8</f>
        <v/>
      </c>
      <c r="I528" s="85">
        <f>'01_원자료'!P525*'03_가중치민감도'!$B$9+'01_원자료'!Q525*'03_가중치민감도'!$C$9+'01_원자료'!R525*'03_가중치민감도'!$D$9</f>
        <v/>
      </c>
      <c r="J528" s="85">
        <f>'01_원자료'!P525*'03_가중치민감도'!$B$10+'01_원자료'!Q525*'03_가중치민감도'!$C$10+'01_원자료'!R525*'03_가중치민감도'!$D$10</f>
        <v/>
      </c>
      <c r="K528" s="99">
        <f>COUNTIF($E$5:$E$979,"&lt;"&amp;E528)+(COUNTIF($E$5:$E$979,"="&amp;E528)+1)/2</f>
        <v/>
      </c>
      <c r="L528" s="99">
        <f>COUNTIF($F$5:$F$979,"&lt;"&amp;F528)+(COUNTIF($F$5:$F$979,"="&amp;F528)+1)/2</f>
        <v/>
      </c>
      <c r="M528" s="99">
        <f>COUNTIF($G$5:$G$979,"&lt;"&amp;G528)+(COUNTIF($G$5:$G$979,"="&amp;G528)+1)/2</f>
        <v/>
      </c>
      <c r="N528" s="99">
        <f>COUNTIF($H$5:$H$979,"&lt;"&amp;H528)+(COUNTIF($H$5:$H$979,"="&amp;H528)+1)/2</f>
        <v/>
      </c>
      <c r="O528" s="99">
        <f>COUNTIF($I$5:$I$979,"&lt;"&amp;I528)+(COUNTIF($I$5:$I$979,"="&amp;I528)+1)/2</f>
        <v/>
      </c>
      <c r="P528" s="99">
        <f>COUNTIF($J$5:$J$979,"&lt;"&amp;J528)+(COUNTIF($J$5:$J$979,"="&amp;J528)+1)/2</f>
        <v/>
      </c>
    </row>
    <row r="529" ht="15" customHeight="1" s="68">
      <c r="A529" s="70">
        <f>'01_원자료'!A526</f>
        <v/>
      </c>
      <c r="B529" s="70">
        <f>'01_원자료'!B526</f>
        <v/>
      </c>
      <c r="C529" s="70">
        <f>'01_원자료'!C526</f>
        <v/>
      </c>
      <c r="E529" s="85">
        <f>'01_원자료'!P526*'03_가중치민감도'!$B$5+'01_원자료'!Q526*'03_가중치민감도'!$C$5+'01_원자료'!R526*'03_가중치민감도'!$D$5</f>
        <v/>
      </c>
      <c r="F529" s="85">
        <f>'01_원자료'!P526*'03_가중치민감도'!$B$6+'01_원자료'!Q526*'03_가중치민감도'!$C$6+'01_원자료'!R526*'03_가중치민감도'!$D$6</f>
        <v/>
      </c>
      <c r="G529" s="85">
        <f>'01_원자료'!P526*'03_가중치민감도'!$B$7+'01_원자료'!Q526*'03_가중치민감도'!$C$7+'01_원자료'!R526*'03_가중치민감도'!$D$7</f>
        <v/>
      </c>
      <c r="H529" s="85">
        <f>'01_원자료'!P526*'03_가중치민감도'!$B$8+'01_원자료'!Q526*'03_가중치민감도'!$C$8+'01_원자료'!R526*'03_가중치민감도'!$D$8</f>
        <v/>
      </c>
      <c r="I529" s="85">
        <f>'01_원자료'!P526*'03_가중치민감도'!$B$9+'01_원자료'!Q526*'03_가중치민감도'!$C$9+'01_원자료'!R526*'03_가중치민감도'!$D$9</f>
        <v/>
      </c>
      <c r="J529" s="85">
        <f>'01_원자료'!P526*'03_가중치민감도'!$B$10+'01_원자료'!Q526*'03_가중치민감도'!$C$10+'01_원자료'!R526*'03_가중치민감도'!$D$10</f>
        <v/>
      </c>
      <c r="K529" s="99">
        <f>COUNTIF($E$5:$E$979,"&lt;"&amp;E529)+(COUNTIF($E$5:$E$979,"="&amp;E529)+1)/2</f>
        <v/>
      </c>
      <c r="L529" s="99">
        <f>COUNTIF($F$5:$F$979,"&lt;"&amp;F529)+(COUNTIF($F$5:$F$979,"="&amp;F529)+1)/2</f>
        <v/>
      </c>
      <c r="M529" s="99">
        <f>COUNTIF($G$5:$G$979,"&lt;"&amp;G529)+(COUNTIF($G$5:$G$979,"="&amp;G529)+1)/2</f>
        <v/>
      </c>
      <c r="N529" s="99">
        <f>COUNTIF($H$5:$H$979,"&lt;"&amp;H529)+(COUNTIF($H$5:$H$979,"="&amp;H529)+1)/2</f>
        <v/>
      </c>
      <c r="O529" s="99">
        <f>COUNTIF($I$5:$I$979,"&lt;"&amp;I529)+(COUNTIF($I$5:$I$979,"="&amp;I529)+1)/2</f>
        <v/>
      </c>
      <c r="P529" s="99">
        <f>COUNTIF($J$5:$J$979,"&lt;"&amp;J529)+(COUNTIF($J$5:$J$979,"="&amp;J529)+1)/2</f>
        <v/>
      </c>
    </row>
    <row r="530" ht="15" customHeight="1" s="68">
      <c r="A530" s="70">
        <f>'01_원자료'!A527</f>
        <v/>
      </c>
      <c r="B530" s="70">
        <f>'01_원자료'!B527</f>
        <v/>
      </c>
      <c r="C530" s="70">
        <f>'01_원자료'!C527</f>
        <v/>
      </c>
      <c r="E530" s="85">
        <f>'01_원자료'!P527*'03_가중치민감도'!$B$5+'01_원자료'!Q527*'03_가중치민감도'!$C$5+'01_원자료'!R527*'03_가중치민감도'!$D$5</f>
        <v/>
      </c>
      <c r="F530" s="85">
        <f>'01_원자료'!P527*'03_가중치민감도'!$B$6+'01_원자료'!Q527*'03_가중치민감도'!$C$6+'01_원자료'!R527*'03_가중치민감도'!$D$6</f>
        <v/>
      </c>
      <c r="G530" s="85">
        <f>'01_원자료'!P527*'03_가중치민감도'!$B$7+'01_원자료'!Q527*'03_가중치민감도'!$C$7+'01_원자료'!R527*'03_가중치민감도'!$D$7</f>
        <v/>
      </c>
      <c r="H530" s="85">
        <f>'01_원자료'!P527*'03_가중치민감도'!$B$8+'01_원자료'!Q527*'03_가중치민감도'!$C$8+'01_원자료'!R527*'03_가중치민감도'!$D$8</f>
        <v/>
      </c>
      <c r="I530" s="85">
        <f>'01_원자료'!P527*'03_가중치민감도'!$B$9+'01_원자료'!Q527*'03_가중치민감도'!$C$9+'01_원자료'!R527*'03_가중치민감도'!$D$9</f>
        <v/>
      </c>
      <c r="J530" s="85">
        <f>'01_원자료'!P527*'03_가중치민감도'!$B$10+'01_원자료'!Q527*'03_가중치민감도'!$C$10+'01_원자료'!R527*'03_가중치민감도'!$D$10</f>
        <v/>
      </c>
      <c r="K530" s="99">
        <f>COUNTIF($E$5:$E$979,"&lt;"&amp;E530)+(COUNTIF($E$5:$E$979,"="&amp;E530)+1)/2</f>
        <v/>
      </c>
      <c r="L530" s="99">
        <f>COUNTIF($F$5:$F$979,"&lt;"&amp;F530)+(COUNTIF($F$5:$F$979,"="&amp;F530)+1)/2</f>
        <v/>
      </c>
      <c r="M530" s="99">
        <f>COUNTIF($G$5:$G$979,"&lt;"&amp;G530)+(COUNTIF($G$5:$G$979,"="&amp;G530)+1)/2</f>
        <v/>
      </c>
      <c r="N530" s="99">
        <f>COUNTIF($H$5:$H$979,"&lt;"&amp;H530)+(COUNTIF($H$5:$H$979,"="&amp;H530)+1)/2</f>
        <v/>
      </c>
      <c r="O530" s="99">
        <f>COUNTIF($I$5:$I$979,"&lt;"&amp;I530)+(COUNTIF($I$5:$I$979,"="&amp;I530)+1)/2</f>
        <v/>
      </c>
      <c r="P530" s="99">
        <f>COUNTIF($J$5:$J$979,"&lt;"&amp;J530)+(COUNTIF($J$5:$J$979,"="&amp;J530)+1)/2</f>
        <v/>
      </c>
    </row>
    <row r="531" ht="15" customHeight="1" s="68">
      <c r="A531" s="70">
        <f>'01_원자료'!A528</f>
        <v/>
      </c>
      <c r="B531" s="70">
        <f>'01_원자료'!B528</f>
        <v/>
      </c>
      <c r="C531" s="70">
        <f>'01_원자료'!C528</f>
        <v/>
      </c>
      <c r="E531" s="85">
        <f>'01_원자료'!P528*'03_가중치민감도'!$B$5+'01_원자료'!Q528*'03_가중치민감도'!$C$5+'01_원자료'!R528*'03_가중치민감도'!$D$5</f>
        <v/>
      </c>
      <c r="F531" s="85">
        <f>'01_원자료'!P528*'03_가중치민감도'!$B$6+'01_원자료'!Q528*'03_가중치민감도'!$C$6+'01_원자료'!R528*'03_가중치민감도'!$D$6</f>
        <v/>
      </c>
      <c r="G531" s="85">
        <f>'01_원자료'!P528*'03_가중치민감도'!$B$7+'01_원자료'!Q528*'03_가중치민감도'!$C$7+'01_원자료'!R528*'03_가중치민감도'!$D$7</f>
        <v/>
      </c>
      <c r="H531" s="85">
        <f>'01_원자료'!P528*'03_가중치민감도'!$B$8+'01_원자료'!Q528*'03_가중치민감도'!$C$8+'01_원자료'!R528*'03_가중치민감도'!$D$8</f>
        <v/>
      </c>
      <c r="I531" s="85">
        <f>'01_원자료'!P528*'03_가중치민감도'!$B$9+'01_원자료'!Q528*'03_가중치민감도'!$C$9+'01_원자료'!R528*'03_가중치민감도'!$D$9</f>
        <v/>
      </c>
      <c r="J531" s="85">
        <f>'01_원자료'!P528*'03_가중치민감도'!$B$10+'01_원자료'!Q528*'03_가중치민감도'!$C$10+'01_원자료'!R528*'03_가중치민감도'!$D$10</f>
        <v/>
      </c>
      <c r="K531" s="99">
        <f>COUNTIF($E$5:$E$979,"&lt;"&amp;E531)+(COUNTIF($E$5:$E$979,"="&amp;E531)+1)/2</f>
        <v/>
      </c>
      <c r="L531" s="99">
        <f>COUNTIF($F$5:$F$979,"&lt;"&amp;F531)+(COUNTIF($F$5:$F$979,"="&amp;F531)+1)/2</f>
        <v/>
      </c>
      <c r="M531" s="99">
        <f>COUNTIF($G$5:$G$979,"&lt;"&amp;G531)+(COUNTIF($G$5:$G$979,"="&amp;G531)+1)/2</f>
        <v/>
      </c>
      <c r="N531" s="99">
        <f>COUNTIF($H$5:$H$979,"&lt;"&amp;H531)+(COUNTIF($H$5:$H$979,"="&amp;H531)+1)/2</f>
        <v/>
      </c>
      <c r="O531" s="99">
        <f>COUNTIF($I$5:$I$979,"&lt;"&amp;I531)+(COUNTIF($I$5:$I$979,"="&amp;I531)+1)/2</f>
        <v/>
      </c>
      <c r="P531" s="99">
        <f>COUNTIF($J$5:$J$979,"&lt;"&amp;J531)+(COUNTIF($J$5:$J$979,"="&amp;J531)+1)/2</f>
        <v/>
      </c>
    </row>
    <row r="532" ht="15" customHeight="1" s="68">
      <c r="A532" s="70">
        <f>'01_원자료'!A529</f>
        <v/>
      </c>
      <c r="B532" s="70">
        <f>'01_원자료'!B529</f>
        <v/>
      </c>
      <c r="C532" s="70">
        <f>'01_원자료'!C529</f>
        <v/>
      </c>
      <c r="E532" s="85">
        <f>'01_원자료'!P529*'03_가중치민감도'!$B$5+'01_원자료'!Q529*'03_가중치민감도'!$C$5+'01_원자료'!R529*'03_가중치민감도'!$D$5</f>
        <v/>
      </c>
      <c r="F532" s="85">
        <f>'01_원자료'!P529*'03_가중치민감도'!$B$6+'01_원자료'!Q529*'03_가중치민감도'!$C$6+'01_원자료'!R529*'03_가중치민감도'!$D$6</f>
        <v/>
      </c>
      <c r="G532" s="85">
        <f>'01_원자료'!P529*'03_가중치민감도'!$B$7+'01_원자료'!Q529*'03_가중치민감도'!$C$7+'01_원자료'!R529*'03_가중치민감도'!$D$7</f>
        <v/>
      </c>
      <c r="H532" s="85">
        <f>'01_원자료'!P529*'03_가중치민감도'!$B$8+'01_원자료'!Q529*'03_가중치민감도'!$C$8+'01_원자료'!R529*'03_가중치민감도'!$D$8</f>
        <v/>
      </c>
      <c r="I532" s="85">
        <f>'01_원자료'!P529*'03_가중치민감도'!$B$9+'01_원자료'!Q529*'03_가중치민감도'!$C$9+'01_원자료'!R529*'03_가중치민감도'!$D$9</f>
        <v/>
      </c>
      <c r="J532" s="85">
        <f>'01_원자료'!P529*'03_가중치민감도'!$B$10+'01_원자료'!Q529*'03_가중치민감도'!$C$10+'01_원자료'!R529*'03_가중치민감도'!$D$10</f>
        <v/>
      </c>
      <c r="K532" s="99">
        <f>COUNTIF($E$5:$E$979,"&lt;"&amp;E532)+(COUNTIF($E$5:$E$979,"="&amp;E532)+1)/2</f>
        <v/>
      </c>
      <c r="L532" s="99">
        <f>COUNTIF($F$5:$F$979,"&lt;"&amp;F532)+(COUNTIF($F$5:$F$979,"="&amp;F532)+1)/2</f>
        <v/>
      </c>
      <c r="M532" s="99">
        <f>COUNTIF($G$5:$G$979,"&lt;"&amp;G532)+(COUNTIF($G$5:$G$979,"="&amp;G532)+1)/2</f>
        <v/>
      </c>
      <c r="N532" s="99">
        <f>COUNTIF($H$5:$H$979,"&lt;"&amp;H532)+(COUNTIF($H$5:$H$979,"="&amp;H532)+1)/2</f>
        <v/>
      </c>
      <c r="O532" s="99">
        <f>COUNTIF($I$5:$I$979,"&lt;"&amp;I532)+(COUNTIF($I$5:$I$979,"="&amp;I532)+1)/2</f>
        <v/>
      </c>
      <c r="P532" s="99">
        <f>COUNTIF($J$5:$J$979,"&lt;"&amp;J532)+(COUNTIF($J$5:$J$979,"="&amp;J532)+1)/2</f>
        <v/>
      </c>
    </row>
    <row r="533" ht="15" customHeight="1" s="68">
      <c r="A533" s="70">
        <f>'01_원자료'!A530</f>
        <v/>
      </c>
      <c r="B533" s="70">
        <f>'01_원자료'!B530</f>
        <v/>
      </c>
      <c r="C533" s="70">
        <f>'01_원자료'!C530</f>
        <v/>
      </c>
      <c r="E533" s="85">
        <f>'01_원자료'!P530*'03_가중치민감도'!$B$5+'01_원자료'!Q530*'03_가중치민감도'!$C$5+'01_원자료'!R530*'03_가중치민감도'!$D$5</f>
        <v/>
      </c>
      <c r="F533" s="85">
        <f>'01_원자료'!P530*'03_가중치민감도'!$B$6+'01_원자료'!Q530*'03_가중치민감도'!$C$6+'01_원자료'!R530*'03_가중치민감도'!$D$6</f>
        <v/>
      </c>
      <c r="G533" s="85">
        <f>'01_원자료'!P530*'03_가중치민감도'!$B$7+'01_원자료'!Q530*'03_가중치민감도'!$C$7+'01_원자료'!R530*'03_가중치민감도'!$D$7</f>
        <v/>
      </c>
      <c r="H533" s="85">
        <f>'01_원자료'!P530*'03_가중치민감도'!$B$8+'01_원자료'!Q530*'03_가중치민감도'!$C$8+'01_원자료'!R530*'03_가중치민감도'!$D$8</f>
        <v/>
      </c>
      <c r="I533" s="85">
        <f>'01_원자료'!P530*'03_가중치민감도'!$B$9+'01_원자료'!Q530*'03_가중치민감도'!$C$9+'01_원자료'!R530*'03_가중치민감도'!$D$9</f>
        <v/>
      </c>
      <c r="J533" s="85">
        <f>'01_원자료'!P530*'03_가중치민감도'!$B$10+'01_원자료'!Q530*'03_가중치민감도'!$C$10+'01_원자료'!R530*'03_가중치민감도'!$D$10</f>
        <v/>
      </c>
      <c r="K533" s="99">
        <f>COUNTIF($E$5:$E$979,"&lt;"&amp;E533)+(COUNTIF($E$5:$E$979,"="&amp;E533)+1)/2</f>
        <v/>
      </c>
      <c r="L533" s="99">
        <f>COUNTIF($F$5:$F$979,"&lt;"&amp;F533)+(COUNTIF($F$5:$F$979,"="&amp;F533)+1)/2</f>
        <v/>
      </c>
      <c r="M533" s="99">
        <f>COUNTIF($G$5:$G$979,"&lt;"&amp;G533)+(COUNTIF($G$5:$G$979,"="&amp;G533)+1)/2</f>
        <v/>
      </c>
      <c r="N533" s="99">
        <f>COUNTIF($H$5:$H$979,"&lt;"&amp;H533)+(COUNTIF($H$5:$H$979,"="&amp;H533)+1)/2</f>
        <v/>
      </c>
      <c r="O533" s="99">
        <f>COUNTIF($I$5:$I$979,"&lt;"&amp;I533)+(COUNTIF($I$5:$I$979,"="&amp;I533)+1)/2</f>
        <v/>
      </c>
      <c r="P533" s="99">
        <f>COUNTIF($J$5:$J$979,"&lt;"&amp;J533)+(COUNTIF($J$5:$J$979,"="&amp;J533)+1)/2</f>
        <v/>
      </c>
    </row>
    <row r="534" ht="15" customHeight="1" s="68">
      <c r="A534" s="70">
        <f>'01_원자료'!A531</f>
        <v/>
      </c>
      <c r="B534" s="70">
        <f>'01_원자료'!B531</f>
        <v/>
      </c>
      <c r="C534" s="70">
        <f>'01_원자료'!C531</f>
        <v/>
      </c>
      <c r="E534" s="85">
        <f>'01_원자료'!P531*'03_가중치민감도'!$B$5+'01_원자료'!Q531*'03_가중치민감도'!$C$5+'01_원자료'!R531*'03_가중치민감도'!$D$5</f>
        <v/>
      </c>
      <c r="F534" s="85">
        <f>'01_원자료'!P531*'03_가중치민감도'!$B$6+'01_원자료'!Q531*'03_가중치민감도'!$C$6+'01_원자료'!R531*'03_가중치민감도'!$D$6</f>
        <v/>
      </c>
      <c r="G534" s="85">
        <f>'01_원자료'!P531*'03_가중치민감도'!$B$7+'01_원자료'!Q531*'03_가중치민감도'!$C$7+'01_원자료'!R531*'03_가중치민감도'!$D$7</f>
        <v/>
      </c>
      <c r="H534" s="85">
        <f>'01_원자료'!P531*'03_가중치민감도'!$B$8+'01_원자료'!Q531*'03_가중치민감도'!$C$8+'01_원자료'!R531*'03_가중치민감도'!$D$8</f>
        <v/>
      </c>
      <c r="I534" s="85">
        <f>'01_원자료'!P531*'03_가중치민감도'!$B$9+'01_원자료'!Q531*'03_가중치민감도'!$C$9+'01_원자료'!R531*'03_가중치민감도'!$D$9</f>
        <v/>
      </c>
      <c r="J534" s="85">
        <f>'01_원자료'!P531*'03_가중치민감도'!$B$10+'01_원자료'!Q531*'03_가중치민감도'!$C$10+'01_원자료'!R531*'03_가중치민감도'!$D$10</f>
        <v/>
      </c>
      <c r="K534" s="99">
        <f>COUNTIF($E$5:$E$979,"&lt;"&amp;E534)+(COUNTIF($E$5:$E$979,"="&amp;E534)+1)/2</f>
        <v/>
      </c>
      <c r="L534" s="99">
        <f>COUNTIF($F$5:$F$979,"&lt;"&amp;F534)+(COUNTIF($F$5:$F$979,"="&amp;F534)+1)/2</f>
        <v/>
      </c>
      <c r="M534" s="99">
        <f>COUNTIF($G$5:$G$979,"&lt;"&amp;G534)+(COUNTIF($G$5:$G$979,"="&amp;G534)+1)/2</f>
        <v/>
      </c>
      <c r="N534" s="99">
        <f>COUNTIF($H$5:$H$979,"&lt;"&amp;H534)+(COUNTIF($H$5:$H$979,"="&amp;H534)+1)/2</f>
        <v/>
      </c>
      <c r="O534" s="99">
        <f>COUNTIF($I$5:$I$979,"&lt;"&amp;I534)+(COUNTIF($I$5:$I$979,"="&amp;I534)+1)/2</f>
        <v/>
      </c>
      <c r="P534" s="99">
        <f>COUNTIF($J$5:$J$979,"&lt;"&amp;J534)+(COUNTIF($J$5:$J$979,"="&amp;J534)+1)/2</f>
        <v/>
      </c>
    </row>
    <row r="535" ht="15" customHeight="1" s="68">
      <c r="A535" s="70">
        <f>'01_원자료'!A532</f>
        <v/>
      </c>
      <c r="B535" s="70">
        <f>'01_원자료'!B532</f>
        <v/>
      </c>
      <c r="C535" s="70">
        <f>'01_원자료'!C532</f>
        <v/>
      </c>
      <c r="E535" s="85">
        <f>'01_원자료'!P532*'03_가중치민감도'!$B$5+'01_원자료'!Q532*'03_가중치민감도'!$C$5+'01_원자료'!R532*'03_가중치민감도'!$D$5</f>
        <v/>
      </c>
      <c r="F535" s="85">
        <f>'01_원자료'!P532*'03_가중치민감도'!$B$6+'01_원자료'!Q532*'03_가중치민감도'!$C$6+'01_원자료'!R532*'03_가중치민감도'!$D$6</f>
        <v/>
      </c>
      <c r="G535" s="85">
        <f>'01_원자료'!P532*'03_가중치민감도'!$B$7+'01_원자료'!Q532*'03_가중치민감도'!$C$7+'01_원자료'!R532*'03_가중치민감도'!$D$7</f>
        <v/>
      </c>
      <c r="H535" s="85">
        <f>'01_원자료'!P532*'03_가중치민감도'!$B$8+'01_원자료'!Q532*'03_가중치민감도'!$C$8+'01_원자료'!R532*'03_가중치민감도'!$D$8</f>
        <v/>
      </c>
      <c r="I535" s="85">
        <f>'01_원자료'!P532*'03_가중치민감도'!$B$9+'01_원자료'!Q532*'03_가중치민감도'!$C$9+'01_원자료'!R532*'03_가중치민감도'!$D$9</f>
        <v/>
      </c>
      <c r="J535" s="85">
        <f>'01_원자료'!P532*'03_가중치민감도'!$B$10+'01_원자료'!Q532*'03_가중치민감도'!$C$10+'01_원자료'!R532*'03_가중치민감도'!$D$10</f>
        <v/>
      </c>
      <c r="K535" s="99">
        <f>COUNTIF($E$5:$E$979,"&lt;"&amp;E535)+(COUNTIF($E$5:$E$979,"="&amp;E535)+1)/2</f>
        <v/>
      </c>
      <c r="L535" s="99">
        <f>COUNTIF($F$5:$F$979,"&lt;"&amp;F535)+(COUNTIF($F$5:$F$979,"="&amp;F535)+1)/2</f>
        <v/>
      </c>
      <c r="M535" s="99">
        <f>COUNTIF($G$5:$G$979,"&lt;"&amp;G535)+(COUNTIF($G$5:$G$979,"="&amp;G535)+1)/2</f>
        <v/>
      </c>
      <c r="N535" s="99">
        <f>COUNTIF($H$5:$H$979,"&lt;"&amp;H535)+(COUNTIF($H$5:$H$979,"="&amp;H535)+1)/2</f>
        <v/>
      </c>
      <c r="O535" s="99">
        <f>COUNTIF($I$5:$I$979,"&lt;"&amp;I535)+(COUNTIF($I$5:$I$979,"="&amp;I535)+1)/2</f>
        <v/>
      </c>
      <c r="P535" s="99">
        <f>COUNTIF($J$5:$J$979,"&lt;"&amp;J535)+(COUNTIF($J$5:$J$979,"="&amp;J535)+1)/2</f>
        <v/>
      </c>
    </row>
    <row r="536" ht="15" customHeight="1" s="68">
      <c r="A536" s="70">
        <f>'01_원자료'!A533</f>
        <v/>
      </c>
      <c r="B536" s="70">
        <f>'01_원자료'!B533</f>
        <v/>
      </c>
      <c r="C536" s="70">
        <f>'01_원자료'!C533</f>
        <v/>
      </c>
      <c r="E536" s="85">
        <f>'01_원자료'!P533*'03_가중치민감도'!$B$5+'01_원자료'!Q533*'03_가중치민감도'!$C$5+'01_원자료'!R533*'03_가중치민감도'!$D$5</f>
        <v/>
      </c>
      <c r="F536" s="85">
        <f>'01_원자료'!P533*'03_가중치민감도'!$B$6+'01_원자료'!Q533*'03_가중치민감도'!$C$6+'01_원자료'!R533*'03_가중치민감도'!$D$6</f>
        <v/>
      </c>
      <c r="G536" s="85">
        <f>'01_원자료'!P533*'03_가중치민감도'!$B$7+'01_원자료'!Q533*'03_가중치민감도'!$C$7+'01_원자료'!R533*'03_가중치민감도'!$D$7</f>
        <v/>
      </c>
      <c r="H536" s="85">
        <f>'01_원자료'!P533*'03_가중치민감도'!$B$8+'01_원자료'!Q533*'03_가중치민감도'!$C$8+'01_원자료'!R533*'03_가중치민감도'!$D$8</f>
        <v/>
      </c>
      <c r="I536" s="85">
        <f>'01_원자료'!P533*'03_가중치민감도'!$B$9+'01_원자료'!Q533*'03_가중치민감도'!$C$9+'01_원자료'!R533*'03_가중치민감도'!$D$9</f>
        <v/>
      </c>
      <c r="J536" s="85">
        <f>'01_원자료'!P533*'03_가중치민감도'!$B$10+'01_원자료'!Q533*'03_가중치민감도'!$C$10+'01_원자료'!R533*'03_가중치민감도'!$D$10</f>
        <v/>
      </c>
      <c r="K536" s="99">
        <f>COUNTIF($E$5:$E$979,"&lt;"&amp;E536)+(COUNTIF($E$5:$E$979,"="&amp;E536)+1)/2</f>
        <v/>
      </c>
      <c r="L536" s="99">
        <f>COUNTIF($F$5:$F$979,"&lt;"&amp;F536)+(COUNTIF($F$5:$F$979,"="&amp;F536)+1)/2</f>
        <v/>
      </c>
      <c r="M536" s="99">
        <f>COUNTIF($G$5:$G$979,"&lt;"&amp;G536)+(COUNTIF($G$5:$G$979,"="&amp;G536)+1)/2</f>
        <v/>
      </c>
      <c r="N536" s="99">
        <f>COUNTIF($H$5:$H$979,"&lt;"&amp;H536)+(COUNTIF($H$5:$H$979,"="&amp;H536)+1)/2</f>
        <v/>
      </c>
      <c r="O536" s="99">
        <f>COUNTIF($I$5:$I$979,"&lt;"&amp;I536)+(COUNTIF($I$5:$I$979,"="&amp;I536)+1)/2</f>
        <v/>
      </c>
      <c r="P536" s="99">
        <f>COUNTIF($J$5:$J$979,"&lt;"&amp;J536)+(COUNTIF($J$5:$J$979,"="&amp;J536)+1)/2</f>
        <v/>
      </c>
    </row>
    <row r="537" ht="15" customHeight="1" s="68">
      <c r="A537" s="70">
        <f>'01_원자료'!A534</f>
        <v/>
      </c>
      <c r="B537" s="70">
        <f>'01_원자료'!B534</f>
        <v/>
      </c>
      <c r="C537" s="70">
        <f>'01_원자료'!C534</f>
        <v/>
      </c>
      <c r="E537" s="85">
        <f>'01_원자료'!P534*'03_가중치민감도'!$B$5+'01_원자료'!Q534*'03_가중치민감도'!$C$5+'01_원자료'!R534*'03_가중치민감도'!$D$5</f>
        <v/>
      </c>
      <c r="F537" s="85">
        <f>'01_원자료'!P534*'03_가중치민감도'!$B$6+'01_원자료'!Q534*'03_가중치민감도'!$C$6+'01_원자료'!R534*'03_가중치민감도'!$D$6</f>
        <v/>
      </c>
      <c r="G537" s="85">
        <f>'01_원자료'!P534*'03_가중치민감도'!$B$7+'01_원자료'!Q534*'03_가중치민감도'!$C$7+'01_원자료'!R534*'03_가중치민감도'!$D$7</f>
        <v/>
      </c>
      <c r="H537" s="85">
        <f>'01_원자료'!P534*'03_가중치민감도'!$B$8+'01_원자료'!Q534*'03_가중치민감도'!$C$8+'01_원자료'!R534*'03_가중치민감도'!$D$8</f>
        <v/>
      </c>
      <c r="I537" s="85">
        <f>'01_원자료'!P534*'03_가중치민감도'!$B$9+'01_원자료'!Q534*'03_가중치민감도'!$C$9+'01_원자료'!R534*'03_가중치민감도'!$D$9</f>
        <v/>
      </c>
      <c r="J537" s="85">
        <f>'01_원자료'!P534*'03_가중치민감도'!$B$10+'01_원자료'!Q534*'03_가중치민감도'!$C$10+'01_원자료'!R534*'03_가중치민감도'!$D$10</f>
        <v/>
      </c>
      <c r="K537" s="99">
        <f>COUNTIF($E$5:$E$979,"&lt;"&amp;E537)+(COUNTIF($E$5:$E$979,"="&amp;E537)+1)/2</f>
        <v/>
      </c>
      <c r="L537" s="99">
        <f>COUNTIF($F$5:$F$979,"&lt;"&amp;F537)+(COUNTIF($F$5:$F$979,"="&amp;F537)+1)/2</f>
        <v/>
      </c>
      <c r="M537" s="99">
        <f>COUNTIF($G$5:$G$979,"&lt;"&amp;G537)+(COUNTIF($G$5:$G$979,"="&amp;G537)+1)/2</f>
        <v/>
      </c>
      <c r="N537" s="99">
        <f>COUNTIF($H$5:$H$979,"&lt;"&amp;H537)+(COUNTIF($H$5:$H$979,"="&amp;H537)+1)/2</f>
        <v/>
      </c>
      <c r="O537" s="99">
        <f>COUNTIF($I$5:$I$979,"&lt;"&amp;I537)+(COUNTIF($I$5:$I$979,"="&amp;I537)+1)/2</f>
        <v/>
      </c>
      <c r="P537" s="99">
        <f>COUNTIF($J$5:$J$979,"&lt;"&amp;J537)+(COUNTIF($J$5:$J$979,"="&amp;J537)+1)/2</f>
        <v/>
      </c>
    </row>
    <row r="538" ht="15" customHeight="1" s="68">
      <c r="A538" s="70">
        <f>'01_원자료'!A535</f>
        <v/>
      </c>
      <c r="B538" s="70">
        <f>'01_원자료'!B535</f>
        <v/>
      </c>
      <c r="C538" s="70">
        <f>'01_원자료'!C535</f>
        <v/>
      </c>
      <c r="E538" s="85">
        <f>'01_원자료'!P535*'03_가중치민감도'!$B$5+'01_원자료'!Q535*'03_가중치민감도'!$C$5+'01_원자료'!R535*'03_가중치민감도'!$D$5</f>
        <v/>
      </c>
      <c r="F538" s="85">
        <f>'01_원자료'!P535*'03_가중치민감도'!$B$6+'01_원자료'!Q535*'03_가중치민감도'!$C$6+'01_원자료'!R535*'03_가중치민감도'!$D$6</f>
        <v/>
      </c>
      <c r="G538" s="85">
        <f>'01_원자료'!P535*'03_가중치민감도'!$B$7+'01_원자료'!Q535*'03_가중치민감도'!$C$7+'01_원자료'!R535*'03_가중치민감도'!$D$7</f>
        <v/>
      </c>
      <c r="H538" s="85">
        <f>'01_원자료'!P535*'03_가중치민감도'!$B$8+'01_원자료'!Q535*'03_가중치민감도'!$C$8+'01_원자료'!R535*'03_가중치민감도'!$D$8</f>
        <v/>
      </c>
      <c r="I538" s="85">
        <f>'01_원자료'!P535*'03_가중치민감도'!$B$9+'01_원자료'!Q535*'03_가중치민감도'!$C$9+'01_원자료'!R535*'03_가중치민감도'!$D$9</f>
        <v/>
      </c>
      <c r="J538" s="85">
        <f>'01_원자료'!P535*'03_가중치민감도'!$B$10+'01_원자료'!Q535*'03_가중치민감도'!$C$10+'01_원자료'!R535*'03_가중치민감도'!$D$10</f>
        <v/>
      </c>
      <c r="K538" s="99">
        <f>COUNTIF($E$5:$E$979,"&lt;"&amp;E538)+(COUNTIF($E$5:$E$979,"="&amp;E538)+1)/2</f>
        <v/>
      </c>
      <c r="L538" s="99">
        <f>COUNTIF($F$5:$F$979,"&lt;"&amp;F538)+(COUNTIF($F$5:$F$979,"="&amp;F538)+1)/2</f>
        <v/>
      </c>
      <c r="M538" s="99">
        <f>COUNTIF($G$5:$G$979,"&lt;"&amp;G538)+(COUNTIF($G$5:$G$979,"="&amp;G538)+1)/2</f>
        <v/>
      </c>
      <c r="N538" s="99">
        <f>COUNTIF($H$5:$H$979,"&lt;"&amp;H538)+(COUNTIF($H$5:$H$979,"="&amp;H538)+1)/2</f>
        <v/>
      </c>
      <c r="O538" s="99">
        <f>COUNTIF($I$5:$I$979,"&lt;"&amp;I538)+(COUNTIF($I$5:$I$979,"="&amp;I538)+1)/2</f>
        <v/>
      </c>
      <c r="P538" s="99">
        <f>COUNTIF($J$5:$J$979,"&lt;"&amp;J538)+(COUNTIF($J$5:$J$979,"="&amp;J538)+1)/2</f>
        <v/>
      </c>
    </row>
    <row r="539" ht="15" customHeight="1" s="68">
      <c r="A539" s="70">
        <f>'01_원자료'!A536</f>
        <v/>
      </c>
      <c r="B539" s="70">
        <f>'01_원자료'!B536</f>
        <v/>
      </c>
      <c r="C539" s="70">
        <f>'01_원자료'!C536</f>
        <v/>
      </c>
      <c r="E539" s="85">
        <f>'01_원자료'!P536*'03_가중치민감도'!$B$5+'01_원자료'!Q536*'03_가중치민감도'!$C$5+'01_원자료'!R536*'03_가중치민감도'!$D$5</f>
        <v/>
      </c>
      <c r="F539" s="85">
        <f>'01_원자료'!P536*'03_가중치민감도'!$B$6+'01_원자료'!Q536*'03_가중치민감도'!$C$6+'01_원자료'!R536*'03_가중치민감도'!$D$6</f>
        <v/>
      </c>
      <c r="G539" s="85">
        <f>'01_원자료'!P536*'03_가중치민감도'!$B$7+'01_원자료'!Q536*'03_가중치민감도'!$C$7+'01_원자료'!R536*'03_가중치민감도'!$D$7</f>
        <v/>
      </c>
      <c r="H539" s="85">
        <f>'01_원자료'!P536*'03_가중치민감도'!$B$8+'01_원자료'!Q536*'03_가중치민감도'!$C$8+'01_원자료'!R536*'03_가중치민감도'!$D$8</f>
        <v/>
      </c>
      <c r="I539" s="85">
        <f>'01_원자료'!P536*'03_가중치민감도'!$B$9+'01_원자료'!Q536*'03_가중치민감도'!$C$9+'01_원자료'!R536*'03_가중치민감도'!$D$9</f>
        <v/>
      </c>
      <c r="J539" s="85">
        <f>'01_원자료'!P536*'03_가중치민감도'!$B$10+'01_원자료'!Q536*'03_가중치민감도'!$C$10+'01_원자료'!R536*'03_가중치민감도'!$D$10</f>
        <v/>
      </c>
      <c r="K539" s="99">
        <f>COUNTIF($E$5:$E$979,"&lt;"&amp;E539)+(COUNTIF($E$5:$E$979,"="&amp;E539)+1)/2</f>
        <v/>
      </c>
      <c r="L539" s="99">
        <f>COUNTIF($F$5:$F$979,"&lt;"&amp;F539)+(COUNTIF($F$5:$F$979,"="&amp;F539)+1)/2</f>
        <v/>
      </c>
      <c r="M539" s="99">
        <f>COUNTIF($G$5:$G$979,"&lt;"&amp;G539)+(COUNTIF($G$5:$G$979,"="&amp;G539)+1)/2</f>
        <v/>
      </c>
      <c r="N539" s="99">
        <f>COUNTIF($H$5:$H$979,"&lt;"&amp;H539)+(COUNTIF($H$5:$H$979,"="&amp;H539)+1)/2</f>
        <v/>
      </c>
      <c r="O539" s="99">
        <f>COUNTIF($I$5:$I$979,"&lt;"&amp;I539)+(COUNTIF($I$5:$I$979,"="&amp;I539)+1)/2</f>
        <v/>
      </c>
      <c r="P539" s="99">
        <f>COUNTIF($J$5:$J$979,"&lt;"&amp;J539)+(COUNTIF($J$5:$J$979,"="&amp;J539)+1)/2</f>
        <v/>
      </c>
    </row>
    <row r="540" ht="15" customHeight="1" s="68">
      <c r="A540" s="70">
        <f>'01_원자료'!A537</f>
        <v/>
      </c>
      <c r="B540" s="70">
        <f>'01_원자료'!B537</f>
        <v/>
      </c>
      <c r="C540" s="70">
        <f>'01_원자료'!C537</f>
        <v/>
      </c>
      <c r="E540" s="85">
        <f>'01_원자료'!P537*'03_가중치민감도'!$B$5+'01_원자료'!Q537*'03_가중치민감도'!$C$5+'01_원자료'!R537*'03_가중치민감도'!$D$5</f>
        <v/>
      </c>
      <c r="F540" s="85">
        <f>'01_원자료'!P537*'03_가중치민감도'!$B$6+'01_원자료'!Q537*'03_가중치민감도'!$C$6+'01_원자료'!R537*'03_가중치민감도'!$D$6</f>
        <v/>
      </c>
      <c r="G540" s="85">
        <f>'01_원자료'!P537*'03_가중치민감도'!$B$7+'01_원자료'!Q537*'03_가중치민감도'!$C$7+'01_원자료'!R537*'03_가중치민감도'!$D$7</f>
        <v/>
      </c>
      <c r="H540" s="85">
        <f>'01_원자료'!P537*'03_가중치민감도'!$B$8+'01_원자료'!Q537*'03_가중치민감도'!$C$8+'01_원자료'!R537*'03_가중치민감도'!$D$8</f>
        <v/>
      </c>
      <c r="I540" s="85">
        <f>'01_원자료'!P537*'03_가중치민감도'!$B$9+'01_원자료'!Q537*'03_가중치민감도'!$C$9+'01_원자료'!R537*'03_가중치민감도'!$D$9</f>
        <v/>
      </c>
      <c r="J540" s="85">
        <f>'01_원자료'!P537*'03_가중치민감도'!$B$10+'01_원자료'!Q537*'03_가중치민감도'!$C$10+'01_원자료'!R537*'03_가중치민감도'!$D$10</f>
        <v/>
      </c>
      <c r="K540" s="99">
        <f>COUNTIF($E$5:$E$979,"&lt;"&amp;E540)+(COUNTIF($E$5:$E$979,"="&amp;E540)+1)/2</f>
        <v/>
      </c>
      <c r="L540" s="99">
        <f>COUNTIF($F$5:$F$979,"&lt;"&amp;F540)+(COUNTIF($F$5:$F$979,"="&amp;F540)+1)/2</f>
        <v/>
      </c>
      <c r="M540" s="99">
        <f>COUNTIF($G$5:$G$979,"&lt;"&amp;G540)+(COUNTIF($G$5:$G$979,"="&amp;G540)+1)/2</f>
        <v/>
      </c>
      <c r="N540" s="99">
        <f>COUNTIF($H$5:$H$979,"&lt;"&amp;H540)+(COUNTIF($H$5:$H$979,"="&amp;H540)+1)/2</f>
        <v/>
      </c>
      <c r="O540" s="99">
        <f>COUNTIF($I$5:$I$979,"&lt;"&amp;I540)+(COUNTIF($I$5:$I$979,"="&amp;I540)+1)/2</f>
        <v/>
      </c>
      <c r="P540" s="99">
        <f>COUNTIF($J$5:$J$979,"&lt;"&amp;J540)+(COUNTIF($J$5:$J$979,"="&amp;J540)+1)/2</f>
        <v/>
      </c>
    </row>
    <row r="541" ht="15" customHeight="1" s="68">
      <c r="A541" s="70">
        <f>'01_원자료'!A538</f>
        <v/>
      </c>
      <c r="B541" s="70">
        <f>'01_원자료'!B538</f>
        <v/>
      </c>
      <c r="C541" s="70">
        <f>'01_원자료'!C538</f>
        <v/>
      </c>
      <c r="E541" s="85">
        <f>'01_원자료'!P538*'03_가중치민감도'!$B$5+'01_원자료'!Q538*'03_가중치민감도'!$C$5+'01_원자료'!R538*'03_가중치민감도'!$D$5</f>
        <v/>
      </c>
      <c r="F541" s="85">
        <f>'01_원자료'!P538*'03_가중치민감도'!$B$6+'01_원자료'!Q538*'03_가중치민감도'!$C$6+'01_원자료'!R538*'03_가중치민감도'!$D$6</f>
        <v/>
      </c>
      <c r="G541" s="85">
        <f>'01_원자료'!P538*'03_가중치민감도'!$B$7+'01_원자료'!Q538*'03_가중치민감도'!$C$7+'01_원자료'!R538*'03_가중치민감도'!$D$7</f>
        <v/>
      </c>
      <c r="H541" s="85">
        <f>'01_원자료'!P538*'03_가중치민감도'!$B$8+'01_원자료'!Q538*'03_가중치민감도'!$C$8+'01_원자료'!R538*'03_가중치민감도'!$D$8</f>
        <v/>
      </c>
      <c r="I541" s="85">
        <f>'01_원자료'!P538*'03_가중치민감도'!$B$9+'01_원자료'!Q538*'03_가중치민감도'!$C$9+'01_원자료'!R538*'03_가중치민감도'!$D$9</f>
        <v/>
      </c>
      <c r="J541" s="85">
        <f>'01_원자료'!P538*'03_가중치민감도'!$B$10+'01_원자료'!Q538*'03_가중치민감도'!$C$10+'01_원자료'!R538*'03_가중치민감도'!$D$10</f>
        <v/>
      </c>
      <c r="K541" s="99">
        <f>COUNTIF($E$5:$E$979,"&lt;"&amp;E541)+(COUNTIF($E$5:$E$979,"="&amp;E541)+1)/2</f>
        <v/>
      </c>
      <c r="L541" s="99">
        <f>COUNTIF($F$5:$F$979,"&lt;"&amp;F541)+(COUNTIF($F$5:$F$979,"="&amp;F541)+1)/2</f>
        <v/>
      </c>
      <c r="M541" s="99">
        <f>COUNTIF($G$5:$G$979,"&lt;"&amp;G541)+(COUNTIF($G$5:$G$979,"="&amp;G541)+1)/2</f>
        <v/>
      </c>
      <c r="N541" s="99">
        <f>COUNTIF($H$5:$H$979,"&lt;"&amp;H541)+(COUNTIF($H$5:$H$979,"="&amp;H541)+1)/2</f>
        <v/>
      </c>
      <c r="O541" s="99">
        <f>COUNTIF($I$5:$I$979,"&lt;"&amp;I541)+(COUNTIF($I$5:$I$979,"="&amp;I541)+1)/2</f>
        <v/>
      </c>
      <c r="P541" s="99">
        <f>COUNTIF($J$5:$J$979,"&lt;"&amp;J541)+(COUNTIF($J$5:$J$979,"="&amp;J541)+1)/2</f>
        <v/>
      </c>
    </row>
    <row r="542" ht="15" customHeight="1" s="68">
      <c r="A542" s="70">
        <f>'01_원자료'!A539</f>
        <v/>
      </c>
      <c r="B542" s="70">
        <f>'01_원자료'!B539</f>
        <v/>
      </c>
      <c r="C542" s="70">
        <f>'01_원자료'!C539</f>
        <v/>
      </c>
      <c r="E542" s="85">
        <f>'01_원자료'!P539*'03_가중치민감도'!$B$5+'01_원자료'!Q539*'03_가중치민감도'!$C$5+'01_원자료'!R539*'03_가중치민감도'!$D$5</f>
        <v/>
      </c>
      <c r="F542" s="85">
        <f>'01_원자료'!P539*'03_가중치민감도'!$B$6+'01_원자료'!Q539*'03_가중치민감도'!$C$6+'01_원자료'!R539*'03_가중치민감도'!$D$6</f>
        <v/>
      </c>
      <c r="G542" s="85">
        <f>'01_원자료'!P539*'03_가중치민감도'!$B$7+'01_원자료'!Q539*'03_가중치민감도'!$C$7+'01_원자료'!R539*'03_가중치민감도'!$D$7</f>
        <v/>
      </c>
      <c r="H542" s="85">
        <f>'01_원자료'!P539*'03_가중치민감도'!$B$8+'01_원자료'!Q539*'03_가중치민감도'!$C$8+'01_원자료'!R539*'03_가중치민감도'!$D$8</f>
        <v/>
      </c>
      <c r="I542" s="85">
        <f>'01_원자료'!P539*'03_가중치민감도'!$B$9+'01_원자료'!Q539*'03_가중치민감도'!$C$9+'01_원자료'!R539*'03_가중치민감도'!$D$9</f>
        <v/>
      </c>
      <c r="J542" s="85">
        <f>'01_원자료'!P539*'03_가중치민감도'!$B$10+'01_원자료'!Q539*'03_가중치민감도'!$C$10+'01_원자료'!R539*'03_가중치민감도'!$D$10</f>
        <v/>
      </c>
      <c r="K542" s="99">
        <f>COUNTIF($E$5:$E$979,"&lt;"&amp;E542)+(COUNTIF($E$5:$E$979,"="&amp;E542)+1)/2</f>
        <v/>
      </c>
      <c r="L542" s="99">
        <f>COUNTIF($F$5:$F$979,"&lt;"&amp;F542)+(COUNTIF($F$5:$F$979,"="&amp;F542)+1)/2</f>
        <v/>
      </c>
      <c r="M542" s="99">
        <f>COUNTIF($G$5:$G$979,"&lt;"&amp;G542)+(COUNTIF($G$5:$G$979,"="&amp;G542)+1)/2</f>
        <v/>
      </c>
      <c r="N542" s="99">
        <f>COUNTIF($H$5:$H$979,"&lt;"&amp;H542)+(COUNTIF($H$5:$H$979,"="&amp;H542)+1)/2</f>
        <v/>
      </c>
      <c r="O542" s="99">
        <f>COUNTIF($I$5:$I$979,"&lt;"&amp;I542)+(COUNTIF($I$5:$I$979,"="&amp;I542)+1)/2</f>
        <v/>
      </c>
      <c r="P542" s="99">
        <f>COUNTIF($J$5:$J$979,"&lt;"&amp;J542)+(COUNTIF($J$5:$J$979,"="&amp;J542)+1)/2</f>
        <v/>
      </c>
    </row>
    <row r="543" ht="15" customHeight="1" s="68">
      <c r="A543" s="70">
        <f>'01_원자료'!A540</f>
        <v/>
      </c>
      <c r="B543" s="70">
        <f>'01_원자료'!B540</f>
        <v/>
      </c>
      <c r="C543" s="70">
        <f>'01_원자료'!C540</f>
        <v/>
      </c>
      <c r="E543" s="85">
        <f>'01_원자료'!P540*'03_가중치민감도'!$B$5+'01_원자료'!Q540*'03_가중치민감도'!$C$5+'01_원자료'!R540*'03_가중치민감도'!$D$5</f>
        <v/>
      </c>
      <c r="F543" s="85">
        <f>'01_원자료'!P540*'03_가중치민감도'!$B$6+'01_원자료'!Q540*'03_가중치민감도'!$C$6+'01_원자료'!R540*'03_가중치민감도'!$D$6</f>
        <v/>
      </c>
      <c r="G543" s="85">
        <f>'01_원자료'!P540*'03_가중치민감도'!$B$7+'01_원자료'!Q540*'03_가중치민감도'!$C$7+'01_원자료'!R540*'03_가중치민감도'!$D$7</f>
        <v/>
      </c>
      <c r="H543" s="85">
        <f>'01_원자료'!P540*'03_가중치민감도'!$B$8+'01_원자료'!Q540*'03_가중치민감도'!$C$8+'01_원자료'!R540*'03_가중치민감도'!$D$8</f>
        <v/>
      </c>
      <c r="I543" s="85">
        <f>'01_원자료'!P540*'03_가중치민감도'!$B$9+'01_원자료'!Q540*'03_가중치민감도'!$C$9+'01_원자료'!R540*'03_가중치민감도'!$D$9</f>
        <v/>
      </c>
      <c r="J543" s="85">
        <f>'01_원자료'!P540*'03_가중치민감도'!$B$10+'01_원자료'!Q540*'03_가중치민감도'!$C$10+'01_원자료'!R540*'03_가중치민감도'!$D$10</f>
        <v/>
      </c>
      <c r="K543" s="99">
        <f>COUNTIF($E$5:$E$979,"&lt;"&amp;E543)+(COUNTIF($E$5:$E$979,"="&amp;E543)+1)/2</f>
        <v/>
      </c>
      <c r="L543" s="99">
        <f>COUNTIF($F$5:$F$979,"&lt;"&amp;F543)+(COUNTIF($F$5:$F$979,"="&amp;F543)+1)/2</f>
        <v/>
      </c>
      <c r="M543" s="99">
        <f>COUNTIF($G$5:$G$979,"&lt;"&amp;G543)+(COUNTIF($G$5:$G$979,"="&amp;G543)+1)/2</f>
        <v/>
      </c>
      <c r="N543" s="99">
        <f>COUNTIF($H$5:$H$979,"&lt;"&amp;H543)+(COUNTIF($H$5:$H$979,"="&amp;H543)+1)/2</f>
        <v/>
      </c>
      <c r="O543" s="99">
        <f>COUNTIF($I$5:$I$979,"&lt;"&amp;I543)+(COUNTIF($I$5:$I$979,"="&amp;I543)+1)/2</f>
        <v/>
      </c>
      <c r="P543" s="99">
        <f>COUNTIF($J$5:$J$979,"&lt;"&amp;J543)+(COUNTIF($J$5:$J$979,"="&amp;J543)+1)/2</f>
        <v/>
      </c>
    </row>
    <row r="544" ht="15" customHeight="1" s="68">
      <c r="A544" s="70">
        <f>'01_원자료'!A541</f>
        <v/>
      </c>
      <c r="B544" s="70">
        <f>'01_원자료'!B541</f>
        <v/>
      </c>
      <c r="C544" s="70">
        <f>'01_원자료'!C541</f>
        <v/>
      </c>
      <c r="E544" s="85">
        <f>'01_원자료'!P541*'03_가중치민감도'!$B$5+'01_원자료'!Q541*'03_가중치민감도'!$C$5+'01_원자료'!R541*'03_가중치민감도'!$D$5</f>
        <v/>
      </c>
      <c r="F544" s="85">
        <f>'01_원자료'!P541*'03_가중치민감도'!$B$6+'01_원자료'!Q541*'03_가중치민감도'!$C$6+'01_원자료'!R541*'03_가중치민감도'!$D$6</f>
        <v/>
      </c>
      <c r="G544" s="85">
        <f>'01_원자료'!P541*'03_가중치민감도'!$B$7+'01_원자료'!Q541*'03_가중치민감도'!$C$7+'01_원자료'!R541*'03_가중치민감도'!$D$7</f>
        <v/>
      </c>
      <c r="H544" s="85">
        <f>'01_원자료'!P541*'03_가중치민감도'!$B$8+'01_원자료'!Q541*'03_가중치민감도'!$C$8+'01_원자료'!R541*'03_가중치민감도'!$D$8</f>
        <v/>
      </c>
      <c r="I544" s="85">
        <f>'01_원자료'!P541*'03_가중치민감도'!$B$9+'01_원자료'!Q541*'03_가중치민감도'!$C$9+'01_원자료'!R541*'03_가중치민감도'!$D$9</f>
        <v/>
      </c>
      <c r="J544" s="85">
        <f>'01_원자료'!P541*'03_가중치민감도'!$B$10+'01_원자료'!Q541*'03_가중치민감도'!$C$10+'01_원자료'!R541*'03_가중치민감도'!$D$10</f>
        <v/>
      </c>
      <c r="K544" s="99">
        <f>COUNTIF($E$5:$E$979,"&lt;"&amp;E544)+(COUNTIF($E$5:$E$979,"="&amp;E544)+1)/2</f>
        <v/>
      </c>
      <c r="L544" s="99">
        <f>COUNTIF($F$5:$F$979,"&lt;"&amp;F544)+(COUNTIF($F$5:$F$979,"="&amp;F544)+1)/2</f>
        <v/>
      </c>
      <c r="M544" s="99">
        <f>COUNTIF($G$5:$G$979,"&lt;"&amp;G544)+(COUNTIF($G$5:$G$979,"="&amp;G544)+1)/2</f>
        <v/>
      </c>
      <c r="N544" s="99">
        <f>COUNTIF($H$5:$H$979,"&lt;"&amp;H544)+(COUNTIF($H$5:$H$979,"="&amp;H544)+1)/2</f>
        <v/>
      </c>
      <c r="O544" s="99">
        <f>COUNTIF($I$5:$I$979,"&lt;"&amp;I544)+(COUNTIF($I$5:$I$979,"="&amp;I544)+1)/2</f>
        <v/>
      </c>
      <c r="P544" s="99">
        <f>COUNTIF($J$5:$J$979,"&lt;"&amp;J544)+(COUNTIF($J$5:$J$979,"="&amp;J544)+1)/2</f>
        <v/>
      </c>
    </row>
    <row r="545" ht="15" customHeight="1" s="68">
      <c r="A545" s="70">
        <f>'01_원자료'!A542</f>
        <v/>
      </c>
      <c r="B545" s="70">
        <f>'01_원자료'!B542</f>
        <v/>
      </c>
      <c r="C545" s="70">
        <f>'01_원자료'!C542</f>
        <v/>
      </c>
      <c r="E545" s="85">
        <f>'01_원자료'!P542*'03_가중치민감도'!$B$5+'01_원자료'!Q542*'03_가중치민감도'!$C$5+'01_원자료'!R542*'03_가중치민감도'!$D$5</f>
        <v/>
      </c>
      <c r="F545" s="85">
        <f>'01_원자료'!P542*'03_가중치민감도'!$B$6+'01_원자료'!Q542*'03_가중치민감도'!$C$6+'01_원자료'!R542*'03_가중치민감도'!$D$6</f>
        <v/>
      </c>
      <c r="G545" s="85">
        <f>'01_원자료'!P542*'03_가중치민감도'!$B$7+'01_원자료'!Q542*'03_가중치민감도'!$C$7+'01_원자료'!R542*'03_가중치민감도'!$D$7</f>
        <v/>
      </c>
      <c r="H545" s="85">
        <f>'01_원자료'!P542*'03_가중치민감도'!$B$8+'01_원자료'!Q542*'03_가중치민감도'!$C$8+'01_원자료'!R542*'03_가중치민감도'!$D$8</f>
        <v/>
      </c>
      <c r="I545" s="85">
        <f>'01_원자료'!P542*'03_가중치민감도'!$B$9+'01_원자료'!Q542*'03_가중치민감도'!$C$9+'01_원자료'!R542*'03_가중치민감도'!$D$9</f>
        <v/>
      </c>
      <c r="J545" s="85">
        <f>'01_원자료'!P542*'03_가중치민감도'!$B$10+'01_원자료'!Q542*'03_가중치민감도'!$C$10+'01_원자료'!R542*'03_가중치민감도'!$D$10</f>
        <v/>
      </c>
      <c r="K545" s="99">
        <f>COUNTIF($E$5:$E$979,"&lt;"&amp;E545)+(COUNTIF($E$5:$E$979,"="&amp;E545)+1)/2</f>
        <v/>
      </c>
      <c r="L545" s="99">
        <f>COUNTIF($F$5:$F$979,"&lt;"&amp;F545)+(COUNTIF($F$5:$F$979,"="&amp;F545)+1)/2</f>
        <v/>
      </c>
      <c r="M545" s="99">
        <f>COUNTIF($G$5:$G$979,"&lt;"&amp;G545)+(COUNTIF($G$5:$G$979,"="&amp;G545)+1)/2</f>
        <v/>
      </c>
      <c r="N545" s="99">
        <f>COUNTIF($H$5:$H$979,"&lt;"&amp;H545)+(COUNTIF($H$5:$H$979,"="&amp;H545)+1)/2</f>
        <v/>
      </c>
      <c r="O545" s="99">
        <f>COUNTIF($I$5:$I$979,"&lt;"&amp;I545)+(COUNTIF($I$5:$I$979,"="&amp;I545)+1)/2</f>
        <v/>
      </c>
      <c r="P545" s="99">
        <f>COUNTIF($J$5:$J$979,"&lt;"&amp;J545)+(COUNTIF($J$5:$J$979,"="&amp;J545)+1)/2</f>
        <v/>
      </c>
    </row>
    <row r="546" ht="15" customHeight="1" s="68">
      <c r="A546" s="70">
        <f>'01_원자료'!A543</f>
        <v/>
      </c>
      <c r="B546" s="70">
        <f>'01_원자료'!B543</f>
        <v/>
      </c>
      <c r="C546" s="70">
        <f>'01_원자료'!C543</f>
        <v/>
      </c>
      <c r="E546" s="85">
        <f>'01_원자료'!P543*'03_가중치민감도'!$B$5+'01_원자료'!Q543*'03_가중치민감도'!$C$5+'01_원자료'!R543*'03_가중치민감도'!$D$5</f>
        <v/>
      </c>
      <c r="F546" s="85">
        <f>'01_원자료'!P543*'03_가중치민감도'!$B$6+'01_원자료'!Q543*'03_가중치민감도'!$C$6+'01_원자료'!R543*'03_가중치민감도'!$D$6</f>
        <v/>
      </c>
      <c r="G546" s="85">
        <f>'01_원자료'!P543*'03_가중치민감도'!$B$7+'01_원자료'!Q543*'03_가중치민감도'!$C$7+'01_원자료'!R543*'03_가중치민감도'!$D$7</f>
        <v/>
      </c>
      <c r="H546" s="85">
        <f>'01_원자료'!P543*'03_가중치민감도'!$B$8+'01_원자료'!Q543*'03_가중치민감도'!$C$8+'01_원자료'!R543*'03_가중치민감도'!$D$8</f>
        <v/>
      </c>
      <c r="I546" s="85">
        <f>'01_원자료'!P543*'03_가중치민감도'!$B$9+'01_원자료'!Q543*'03_가중치민감도'!$C$9+'01_원자료'!R543*'03_가중치민감도'!$D$9</f>
        <v/>
      </c>
      <c r="J546" s="85">
        <f>'01_원자료'!P543*'03_가중치민감도'!$B$10+'01_원자료'!Q543*'03_가중치민감도'!$C$10+'01_원자료'!R543*'03_가중치민감도'!$D$10</f>
        <v/>
      </c>
      <c r="K546" s="99">
        <f>COUNTIF($E$5:$E$979,"&lt;"&amp;E546)+(COUNTIF($E$5:$E$979,"="&amp;E546)+1)/2</f>
        <v/>
      </c>
      <c r="L546" s="99">
        <f>COUNTIF($F$5:$F$979,"&lt;"&amp;F546)+(COUNTIF($F$5:$F$979,"="&amp;F546)+1)/2</f>
        <v/>
      </c>
      <c r="M546" s="99">
        <f>COUNTIF($G$5:$G$979,"&lt;"&amp;G546)+(COUNTIF($G$5:$G$979,"="&amp;G546)+1)/2</f>
        <v/>
      </c>
      <c r="N546" s="99">
        <f>COUNTIF($H$5:$H$979,"&lt;"&amp;H546)+(COUNTIF($H$5:$H$979,"="&amp;H546)+1)/2</f>
        <v/>
      </c>
      <c r="O546" s="99">
        <f>COUNTIF($I$5:$I$979,"&lt;"&amp;I546)+(COUNTIF($I$5:$I$979,"="&amp;I546)+1)/2</f>
        <v/>
      </c>
      <c r="P546" s="99">
        <f>COUNTIF($J$5:$J$979,"&lt;"&amp;J546)+(COUNTIF($J$5:$J$979,"="&amp;J546)+1)/2</f>
        <v/>
      </c>
    </row>
    <row r="547" ht="15" customHeight="1" s="68">
      <c r="A547" s="70">
        <f>'01_원자료'!A544</f>
        <v/>
      </c>
      <c r="B547" s="70">
        <f>'01_원자료'!B544</f>
        <v/>
      </c>
      <c r="C547" s="70">
        <f>'01_원자료'!C544</f>
        <v/>
      </c>
      <c r="E547" s="85">
        <f>'01_원자료'!P544*'03_가중치민감도'!$B$5+'01_원자료'!Q544*'03_가중치민감도'!$C$5+'01_원자료'!R544*'03_가중치민감도'!$D$5</f>
        <v/>
      </c>
      <c r="F547" s="85">
        <f>'01_원자료'!P544*'03_가중치민감도'!$B$6+'01_원자료'!Q544*'03_가중치민감도'!$C$6+'01_원자료'!R544*'03_가중치민감도'!$D$6</f>
        <v/>
      </c>
      <c r="G547" s="85">
        <f>'01_원자료'!P544*'03_가중치민감도'!$B$7+'01_원자료'!Q544*'03_가중치민감도'!$C$7+'01_원자료'!R544*'03_가중치민감도'!$D$7</f>
        <v/>
      </c>
      <c r="H547" s="85">
        <f>'01_원자료'!P544*'03_가중치민감도'!$B$8+'01_원자료'!Q544*'03_가중치민감도'!$C$8+'01_원자료'!R544*'03_가중치민감도'!$D$8</f>
        <v/>
      </c>
      <c r="I547" s="85">
        <f>'01_원자료'!P544*'03_가중치민감도'!$B$9+'01_원자료'!Q544*'03_가중치민감도'!$C$9+'01_원자료'!R544*'03_가중치민감도'!$D$9</f>
        <v/>
      </c>
      <c r="J547" s="85">
        <f>'01_원자료'!P544*'03_가중치민감도'!$B$10+'01_원자료'!Q544*'03_가중치민감도'!$C$10+'01_원자료'!R544*'03_가중치민감도'!$D$10</f>
        <v/>
      </c>
      <c r="K547" s="99">
        <f>COUNTIF($E$5:$E$979,"&lt;"&amp;E547)+(COUNTIF($E$5:$E$979,"="&amp;E547)+1)/2</f>
        <v/>
      </c>
      <c r="L547" s="99">
        <f>COUNTIF($F$5:$F$979,"&lt;"&amp;F547)+(COUNTIF($F$5:$F$979,"="&amp;F547)+1)/2</f>
        <v/>
      </c>
      <c r="M547" s="99">
        <f>COUNTIF($G$5:$G$979,"&lt;"&amp;G547)+(COUNTIF($G$5:$G$979,"="&amp;G547)+1)/2</f>
        <v/>
      </c>
      <c r="N547" s="99">
        <f>COUNTIF($H$5:$H$979,"&lt;"&amp;H547)+(COUNTIF($H$5:$H$979,"="&amp;H547)+1)/2</f>
        <v/>
      </c>
      <c r="O547" s="99">
        <f>COUNTIF($I$5:$I$979,"&lt;"&amp;I547)+(COUNTIF($I$5:$I$979,"="&amp;I547)+1)/2</f>
        <v/>
      </c>
      <c r="P547" s="99">
        <f>COUNTIF($J$5:$J$979,"&lt;"&amp;J547)+(COUNTIF($J$5:$J$979,"="&amp;J547)+1)/2</f>
        <v/>
      </c>
    </row>
    <row r="548" ht="15" customHeight="1" s="68">
      <c r="A548" s="70">
        <f>'01_원자료'!A545</f>
        <v/>
      </c>
      <c r="B548" s="70">
        <f>'01_원자료'!B545</f>
        <v/>
      </c>
      <c r="C548" s="70">
        <f>'01_원자료'!C545</f>
        <v/>
      </c>
      <c r="E548" s="85">
        <f>'01_원자료'!P545*'03_가중치민감도'!$B$5+'01_원자료'!Q545*'03_가중치민감도'!$C$5+'01_원자료'!R545*'03_가중치민감도'!$D$5</f>
        <v/>
      </c>
      <c r="F548" s="85">
        <f>'01_원자료'!P545*'03_가중치민감도'!$B$6+'01_원자료'!Q545*'03_가중치민감도'!$C$6+'01_원자료'!R545*'03_가중치민감도'!$D$6</f>
        <v/>
      </c>
      <c r="G548" s="85">
        <f>'01_원자료'!P545*'03_가중치민감도'!$B$7+'01_원자료'!Q545*'03_가중치민감도'!$C$7+'01_원자료'!R545*'03_가중치민감도'!$D$7</f>
        <v/>
      </c>
      <c r="H548" s="85">
        <f>'01_원자료'!P545*'03_가중치민감도'!$B$8+'01_원자료'!Q545*'03_가중치민감도'!$C$8+'01_원자료'!R545*'03_가중치민감도'!$D$8</f>
        <v/>
      </c>
      <c r="I548" s="85">
        <f>'01_원자료'!P545*'03_가중치민감도'!$B$9+'01_원자료'!Q545*'03_가중치민감도'!$C$9+'01_원자료'!R545*'03_가중치민감도'!$D$9</f>
        <v/>
      </c>
      <c r="J548" s="85">
        <f>'01_원자료'!P545*'03_가중치민감도'!$B$10+'01_원자료'!Q545*'03_가중치민감도'!$C$10+'01_원자료'!R545*'03_가중치민감도'!$D$10</f>
        <v/>
      </c>
      <c r="K548" s="99">
        <f>COUNTIF($E$5:$E$979,"&lt;"&amp;E548)+(COUNTIF($E$5:$E$979,"="&amp;E548)+1)/2</f>
        <v/>
      </c>
      <c r="L548" s="99">
        <f>COUNTIF($F$5:$F$979,"&lt;"&amp;F548)+(COUNTIF($F$5:$F$979,"="&amp;F548)+1)/2</f>
        <v/>
      </c>
      <c r="M548" s="99">
        <f>COUNTIF($G$5:$G$979,"&lt;"&amp;G548)+(COUNTIF($G$5:$G$979,"="&amp;G548)+1)/2</f>
        <v/>
      </c>
      <c r="N548" s="99">
        <f>COUNTIF($H$5:$H$979,"&lt;"&amp;H548)+(COUNTIF($H$5:$H$979,"="&amp;H548)+1)/2</f>
        <v/>
      </c>
      <c r="O548" s="99">
        <f>COUNTIF($I$5:$I$979,"&lt;"&amp;I548)+(COUNTIF($I$5:$I$979,"="&amp;I548)+1)/2</f>
        <v/>
      </c>
      <c r="P548" s="99">
        <f>COUNTIF($J$5:$J$979,"&lt;"&amp;J548)+(COUNTIF($J$5:$J$979,"="&amp;J548)+1)/2</f>
        <v/>
      </c>
    </row>
    <row r="549" ht="15" customHeight="1" s="68">
      <c r="A549" s="70">
        <f>'01_원자료'!A546</f>
        <v/>
      </c>
      <c r="B549" s="70">
        <f>'01_원자료'!B546</f>
        <v/>
      </c>
      <c r="C549" s="70">
        <f>'01_원자료'!C546</f>
        <v/>
      </c>
      <c r="E549" s="85">
        <f>'01_원자료'!P546*'03_가중치민감도'!$B$5+'01_원자료'!Q546*'03_가중치민감도'!$C$5+'01_원자료'!R546*'03_가중치민감도'!$D$5</f>
        <v/>
      </c>
      <c r="F549" s="85">
        <f>'01_원자료'!P546*'03_가중치민감도'!$B$6+'01_원자료'!Q546*'03_가중치민감도'!$C$6+'01_원자료'!R546*'03_가중치민감도'!$D$6</f>
        <v/>
      </c>
      <c r="G549" s="85">
        <f>'01_원자료'!P546*'03_가중치민감도'!$B$7+'01_원자료'!Q546*'03_가중치민감도'!$C$7+'01_원자료'!R546*'03_가중치민감도'!$D$7</f>
        <v/>
      </c>
      <c r="H549" s="85">
        <f>'01_원자료'!P546*'03_가중치민감도'!$B$8+'01_원자료'!Q546*'03_가중치민감도'!$C$8+'01_원자료'!R546*'03_가중치민감도'!$D$8</f>
        <v/>
      </c>
      <c r="I549" s="85">
        <f>'01_원자료'!P546*'03_가중치민감도'!$B$9+'01_원자료'!Q546*'03_가중치민감도'!$C$9+'01_원자료'!R546*'03_가중치민감도'!$D$9</f>
        <v/>
      </c>
      <c r="J549" s="85">
        <f>'01_원자료'!P546*'03_가중치민감도'!$B$10+'01_원자료'!Q546*'03_가중치민감도'!$C$10+'01_원자료'!R546*'03_가중치민감도'!$D$10</f>
        <v/>
      </c>
      <c r="K549" s="99">
        <f>COUNTIF($E$5:$E$979,"&lt;"&amp;E549)+(COUNTIF($E$5:$E$979,"="&amp;E549)+1)/2</f>
        <v/>
      </c>
      <c r="L549" s="99">
        <f>COUNTIF($F$5:$F$979,"&lt;"&amp;F549)+(COUNTIF($F$5:$F$979,"="&amp;F549)+1)/2</f>
        <v/>
      </c>
      <c r="M549" s="99">
        <f>COUNTIF($G$5:$G$979,"&lt;"&amp;G549)+(COUNTIF($G$5:$G$979,"="&amp;G549)+1)/2</f>
        <v/>
      </c>
      <c r="N549" s="99">
        <f>COUNTIF($H$5:$H$979,"&lt;"&amp;H549)+(COUNTIF($H$5:$H$979,"="&amp;H549)+1)/2</f>
        <v/>
      </c>
      <c r="O549" s="99">
        <f>COUNTIF($I$5:$I$979,"&lt;"&amp;I549)+(COUNTIF($I$5:$I$979,"="&amp;I549)+1)/2</f>
        <v/>
      </c>
      <c r="P549" s="99">
        <f>COUNTIF($J$5:$J$979,"&lt;"&amp;J549)+(COUNTIF($J$5:$J$979,"="&amp;J549)+1)/2</f>
        <v/>
      </c>
    </row>
    <row r="550" ht="15" customHeight="1" s="68">
      <c r="A550" s="70">
        <f>'01_원자료'!A547</f>
        <v/>
      </c>
      <c r="B550" s="70">
        <f>'01_원자료'!B547</f>
        <v/>
      </c>
      <c r="C550" s="70">
        <f>'01_원자료'!C547</f>
        <v/>
      </c>
      <c r="E550" s="85">
        <f>'01_원자료'!P547*'03_가중치민감도'!$B$5+'01_원자료'!Q547*'03_가중치민감도'!$C$5+'01_원자료'!R547*'03_가중치민감도'!$D$5</f>
        <v/>
      </c>
      <c r="F550" s="85">
        <f>'01_원자료'!P547*'03_가중치민감도'!$B$6+'01_원자료'!Q547*'03_가중치민감도'!$C$6+'01_원자료'!R547*'03_가중치민감도'!$D$6</f>
        <v/>
      </c>
      <c r="G550" s="85">
        <f>'01_원자료'!P547*'03_가중치민감도'!$B$7+'01_원자료'!Q547*'03_가중치민감도'!$C$7+'01_원자료'!R547*'03_가중치민감도'!$D$7</f>
        <v/>
      </c>
      <c r="H550" s="85">
        <f>'01_원자료'!P547*'03_가중치민감도'!$B$8+'01_원자료'!Q547*'03_가중치민감도'!$C$8+'01_원자료'!R547*'03_가중치민감도'!$D$8</f>
        <v/>
      </c>
      <c r="I550" s="85">
        <f>'01_원자료'!P547*'03_가중치민감도'!$B$9+'01_원자료'!Q547*'03_가중치민감도'!$C$9+'01_원자료'!R547*'03_가중치민감도'!$D$9</f>
        <v/>
      </c>
      <c r="J550" s="85">
        <f>'01_원자료'!P547*'03_가중치민감도'!$B$10+'01_원자료'!Q547*'03_가중치민감도'!$C$10+'01_원자료'!R547*'03_가중치민감도'!$D$10</f>
        <v/>
      </c>
      <c r="K550" s="99">
        <f>COUNTIF($E$5:$E$979,"&lt;"&amp;E550)+(COUNTIF($E$5:$E$979,"="&amp;E550)+1)/2</f>
        <v/>
      </c>
      <c r="L550" s="99">
        <f>COUNTIF($F$5:$F$979,"&lt;"&amp;F550)+(COUNTIF($F$5:$F$979,"="&amp;F550)+1)/2</f>
        <v/>
      </c>
      <c r="M550" s="99">
        <f>COUNTIF($G$5:$G$979,"&lt;"&amp;G550)+(COUNTIF($G$5:$G$979,"="&amp;G550)+1)/2</f>
        <v/>
      </c>
      <c r="N550" s="99">
        <f>COUNTIF($H$5:$H$979,"&lt;"&amp;H550)+(COUNTIF($H$5:$H$979,"="&amp;H550)+1)/2</f>
        <v/>
      </c>
      <c r="O550" s="99">
        <f>COUNTIF($I$5:$I$979,"&lt;"&amp;I550)+(COUNTIF($I$5:$I$979,"="&amp;I550)+1)/2</f>
        <v/>
      </c>
      <c r="P550" s="99">
        <f>COUNTIF($J$5:$J$979,"&lt;"&amp;J550)+(COUNTIF($J$5:$J$979,"="&amp;J550)+1)/2</f>
        <v/>
      </c>
    </row>
    <row r="551" ht="15" customHeight="1" s="68">
      <c r="A551" s="70">
        <f>'01_원자료'!A548</f>
        <v/>
      </c>
      <c r="B551" s="70">
        <f>'01_원자료'!B548</f>
        <v/>
      </c>
      <c r="C551" s="70">
        <f>'01_원자료'!C548</f>
        <v/>
      </c>
      <c r="E551" s="85">
        <f>'01_원자료'!P548*'03_가중치민감도'!$B$5+'01_원자료'!Q548*'03_가중치민감도'!$C$5+'01_원자료'!R548*'03_가중치민감도'!$D$5</f>
        <v/>
      </c>
      <c r="F551" s="85">
        <f>'01_원자료'!P548*'03_가중치민감도'!$B$6+'01_원자료'!Q548*'03_가중치민감도'!$C$6+'01_원자료'!R548*'03_가중치민감도'!$D$6</f>
        <v/>
      </c>
      <c r="G551" s="85">
        <f>'01_원자료'!P548*'03_가중치민감도'!$B$7+'01_원자료'!Q548*'03_가중치민감도'!$C$7+'01_원자료'!R548*'03_가중치민감도'!$D$7</f>
        <v/>
      </c>
      <c r="H551" s="85">
        <f>'01_원자료'!P548*'03_가중치민감도'!$B$8+'01_원자료'!Q548*'03_가중치민감도'!$C$8+'01_원자료'!R548*'03_가중치민감도'!$D$8</f>
        <v/>
      </c>
      <c r="I551" s="85">
        <f>'01_원자료'!P548*'03_가중치민감도'!$B$9+'01_원자료'!Q548*'03_가중치민감도'!$C$9+'01_원자료'!R548*'03_가중치민감도'!$D$9</f>
        <v/>
      </c>
      <c r="J551" s="85">
        <f>'01_원자료'!P548*'03_가중치민감도'!$B$10+'01_원자료'!Q548*'03_가중치민감도'!$C$10+'01_원자료'!R548*'03_가중치민감도'!$D$10</f>
        <v/>
      </c>
      <c r="K551" s="99">
        <f>COUNTIF($E$5:$E$979,"&lt;"&amp;E551)+(COUNTIF($E$5:$E$979,"="&amp;E551)+1)/2</f>
        <v/>
      </c>
      <c r="L551" s="99">
        <f>COUNTIF($F$5:$F$979,"&lt;"&amp;F551)+(COUNTIF($F$5:$F$979,"="&amp;F551)+1)/2</f>
        <v/>
      </c>
      <c r="M551" s="99">
        <f>COUNTIF($G$5:$G$979,"&lt;"&amp;G551)+(COUNTIF($G$5:$G$979,"="&amp;G551)+1)/2</f>
        <v/>
      </c>
      <c r="N551" s="99">
        <f>COUNTIF($H$5:$H$979,"&lt;"&amp;H551)+(COUNTIF($H$5:$H$979,"="&amp;H551)+1)/2</f>
        <v/>
      </c>
      <c r="O551" s="99">
        <f>COUNTIF($I$5:$I$979,"&lt;"&amp;I551)+(COUNTIF($I$5:$I$979,"="&amp;I551)+1)/2</f>
        <v/>
      </c>
      <c r="P551" s="99">
        <f>COUNTIF($J$5:$J$979,"&lt;"&amp;J551)+(COUNTIF($J$5:$J$979,"="&amp;J551)+1)/2</f>
        <v/>
      </c>
    </row>
    <row r="552" ht="15" customHeight="1" s="68">
      <c r="A552" s="70">
        <f>'01_원자료'!A549</f>
        <v/>
      </c>
      <c r="B552" s="70">
        <f>'01_원자료'!B549</f>
        <v/>
      </c>
      <c r="C552" s="70">
        <f>'01_원자료'!C549</f>
        <v/>
      </c>
      <c r="E552" s="85">
        <f>'01_원자료'!P549*'03_가중치민감도'!$B$5+'01_원자료'!Q549*'03_가중치민감도'!$C$5+'01_원자료'!R549*'03_가중치민감도'!$D$5</f>
        <v/>
      </c>
      <c r="F552" s="85">
        <f>'01_원자료'!P549*'03_가중치민감도'!$B$6+'01_원자료'!Q549*'03_가중치민감도'!$C$6+'01_원자료'!R549*'03_가중치민감도'!$D$6</f>
        <v/>
      </c>
      <c r="G552" s="85">
        <f>'01_원자료'!P549*'03_가중치민감도'!$B$7+'01_원자료'!Q549*'03_가중치민감도'!$C$7+'01_원자료'!R549*'03_가중치민감도'!$D$7</f>
        <v/>
      </c>
      <c r="H552" s="85">
        <f>'01_원자료'!P549*'03_가중치민감도'!$B$8+'01_원자료'!Q549*'03_가중치민감도'!$C$8+'01_원자료'!R549*'03_가중치민감도'!$D$8</f>
        <v/>
      </c>
      <c r="I552" s="85">
        <f>'01_원자료'!P549*'03_가중치민감도'!$B$9+'01_원자료'!Q549*'03_가중치민감도'!$C$9+'01_원자료'!R549*'03_가중치민감도'!$D$9</f>
        <v/>
      </c>
      <c r="J552" s="85">
        <f>'01_원자료'!P549*'03_가중치민감도'!$B$10+'01_원자료'!Q549*'03_가중치민감도'!$C$10+'01_원자료'!R549*'03_가중치민감도'!$D$10</f>
        <v/>
      </c>
      <c r="K552" s="99">
        <f>COUNTIF($E$5:$E$979,"&lt;"&amp;E552)+(COUNTIF($E$5:$E$979,"="&amp;E552)+1)/2</f>
        <v/>
      </c>
      <c r="L552" s="99">
        <f>COUNTIF($F$5:$F$979,"&lt;"&amp;F552)+(COUNTIF($F$5:$F$979,"="&amp;F552)+1)/2</f>
        <v/>
      </c>
      <c r="M552" s="99">
        <f>COUNTIF($G$5:$G$979,"&lt;"&amp;G552)+(COUNTIF($G$5:$G$979,"="&amp;G552)+1)/2</f>
        <v/>
      </c>
      <c r="N552" s="99">
        <f>COUNTIF($H$5:$H$979,"&lt;"&amp;H552)+(COUNTIF($H$5:$H$979,"="&amp;H552)+1)/2</f>
        <v/>
      </c>
      <c r="O552" s="99">
        <f>COUNTIF($I$5:$I$979,"&lt;"&amp;I552)+(COUNTIF($I$5:$I$979,"="&amp;I552)+1)/2</f>
        <v/>
      </c>
      <c r="P552" s="99">
        <f>COUNTIF($J$5:$J$979,"&lt;"&amp;J552)+(COUNTIF($J$5:$J$979,"="&amp;J552)+1)/2</f>
        <v/>
      </c>
    </row>
    <row r="553" ht="15" customHeight="1" s="68">
      <c r="A553" s="70">
        <f>'01_원자료'!A550</f>
        <v/>
      </c>
      <c r="B553" s="70">
        <f>'01_원자료'!B550</f>
        <v/>
      </c>
      <c r="C553" s="70">
        <f>'01_원자료'!C550</f>
        <v/>
      </c>
      <c r="E553" s="85">
        <f>'01_원자료'!P550*'03_가중치민감도'!$B$5+'01_원자료'!Q550*'03_가중치민감도'!$C$5+'01_원자료'!R550*'03_가중치민감도'!$D$5</f>
        <v/>
      </c>
      <c r="F553" s="85">
        <f>'01_원자료'!P550*'03_가중치민감도'!$B$6+'01_원자료'!Q550*'03_가중치민감도'!$C$6+'01_원자료'!R550*'03_가중치민감도'!$D$6</f>
        <v/>
      </c>
      <c r="G553" s="85">
        <f>'01_원자료'!P550*'03_가중치민감도'!$B$7+'01_원자료'!Q550*'03_가중치민감도'!$C$7+'01_원자료'!R550*'03_가중치민감도'!$D$7</f>
        <v/>
      </c>
      <c r="H553" s="85">
        <f>'01_원자료'!P550*'03_가중치민감도'!$B$8+'01_원자료'!Q550*'03_가중치민감도'!$C$8+'01_원자료'!R550*'03_가중치민감도'!$D$8</f>
        <v/>
      </c>
      <c r="I553" s="85">
        <f>'01_원자료'!P550*'03_가중치민감도'!$B$9+'01_원자료'!Q550*'03_가중치민감도'!$C$9+'01_원자료'!R550*'03_가중치민감도'!$D$9</f>
        <v/>
      </c>
      <c r="J553" s="85">
        <f>'01_원자료'!P550*'03_가중치민감도'!$B$10+'01_원자료'!Q550*'03_가중치민감도'!$C$10+'01_원자료'!R550*'03_가중치민감도'!$D$10</f>
        <v/>
      </c>
      <c r="K553" s="99">
        <f>COUNTIF($E$5:$E$979,"&lt;"&amp;E553)+(COUNTIF($E$5:$E$979,"="&amp;E553)+1)/2</f>
        <v/>
      </c>
      <c r="L553" s="99">
        <f>COUNTIF($F$5:$F$979,"&lt;"&amp;F553)+(COUNTIF($F$5:$F$979,"="&amp;F553)+1)/2</f>
        <v/>
      </c>
      <c r="M553" s="99">
        <f>COUNTIF($G$5:$G$979,"&lt;"&amp;G553)+(COUNTIF($G$5:$G$979,"="&amp;G553)+1)/2</f>
        <v/>
      </c>
      <c r="N553" s="99">
        <f>COUNTIF($H$5:$H$979,"&lt;"&amp;H553)+(COUNTIF($H$5:$H$979,"="&amp;H553)+1)/2</f>
        <v/>
      </c>
      <c r="O553" s="99">
        <f>COUNTIF($I$5:$I$979,"&lt;"&amp;I553)+(COUNTIF($I$5:$I$979,"="&amp;I553)+1)/2</f>
        <v/>
      </c>
      <c r="P553" s="99">
        <f>COUNTIF($J$5:$J$979,"&lt;"&amp;J553)+(COUNTIF($J$5:$J$979,"="&amp;J553)+1)/2</f>
        <v/>
      </c>
    </row>
    <row r="554" ht="15" customHeight="1" s="68">
      <c r="A554" s="70">
        <f>'01_원자료'!A551</f>
        <v/>
      </c>
      <c r="B554" s="70">
        <f>'01_원자료'!B551</f>
        <v/>
      </c>
      <c r="C554" s="70">
        <f>'01_원자료'!C551</f>
        <v/>
      </c>
      <c r="E554" s="85">
        <f>'01_원자료'!P551*'03_가중치민감도'!$B$5+'01_원자료'!Q551*'03_가중치민감도'!$C$5+'01_원자료'!R551*'03_가중치민감도'!$D$5</f>
        <v/>
      </c>
      <c r="F554" s="85">
        <f>'01_원자료'!P551*'03_가중치민감도'!$B$6+'01_원자료'!Q551*'03_가중치민감도'!$C$6+'01_원자료'!R551*'03_가중치민감도'!$D$6</f>
        <v/>
      </c>
      <c r="G554" s="85">
        <f>'01_원자료'!P551*'03_가중치민감도'!$B$7+'01_원자료'!Q551*'03_가중치민감도'!$C$7+'01_원자료'!R551*'03_가중치민감도'!$D$7</f>
        <v/>
      </c>
      <c r="H554" s="85">
        <f>'01_원자료'!P551*'03_가중치민감도'!$B$8+'01_원자료'!Q551*'03_가중치민감도'!$C$8+'01_원자료'!R551*'03_가중치민감도'!$D$8</f>
        <v/>
      </c>
      <c r="I554" s="85">
        <f>'01_원자료'!P551*'03_가중치민감도'!$B$9+'01_원자료'!Q551*'03_가중치민감도'!$C$9+'01_원자료'!R551*'03_가중치민감도'!$D$9</f>
        <v/>
      </c>
      <c r="J554" s="85">
        <f>'01_원자료'!P551*'03_가중치민감도'!$B$10+'01_원자료'!Q551*'03_가중치민감도'!$C$10+'01_원자료'!R551*'03_가중치민감도'!$D$10</f>
        <v/>
      </c>
      <c r="K554" s="99">
        <f>COUNTIF($E$5:$E$979,"&lt;"&amp;E554)+(COUNTIF($E$5:$E$979,"="&amp;E554)+1)/2</f>
        <v/>
      </c>
      <c r="L554" s="99">
        <f>COUNTIF($F$5:$F$979,"&lt;"&amp;F554)+(COUNTIF($F$5:$F$979,"="&amp;F554)+1)/2</f>
        <v/>
      </c>
      <c r="M554" s="99">
        <f>COUNTIF($G$5:$G$979,"&lt;"&amp;G554)+(COUNTIF($G$5:$G$979,"="&amp;G554)+1)/2</f>
        <v/>
      </c>
      <c r="N554" s="99">
        <f>COUNTIF($H$5:$H$979,"&lt;"&amp;H554)+(COUNTIF($H$5:$H$979,"="&amp;H554)+1)/2</f>
        <v/>
      </c>
      <c r="O554" s="99">
        <f>COUNTIF($I$5:$I$979,"&lt;"&amp;I554)+(COUNTIF($I$5:$I$979,"="&amp;I554)+1)/2</f>
        <v/>
      </c>
      <c r="P554" s="99">
        <f>COUNTIF($J$5:$J$979,"&lt;"&amp;J554)+(COUNTIF($J$5:$J$979,"="&amp;J554)+1)/2</f>
        <v/>
      </c>
    </row>
    <row r="555" ht="15" customHeight="1" s="68">
      <c r="A555" s="70">
        <f>'01_원자료'!A552</f>
        <v/>
      </c>
      <c r="B555" s="70">
        <f>'01_원자료'!B552</f>
        <v/>
      </c>
      <c r="C555" s="70">
        <f>'01_원자료'!C552</f>
        <v/>
      </c>
      <c r="E555" s="85">
        <f>'01_원자료'!P552*'03_가중치민감도'!$B$5+'01_원자료'!Q552*'03_가중치민감도'!$C$5+'01_원자료'!R552*'03_가중치민감도'!$D$5</f>
        <v/>
      </c>
      <c r="F555" s="85">
        <f>'01_원자료'!P552*'03_가중치민감도'!$B$6+'01_원자료'!Q552*'03_가중치민감도'!$C$6+'01_원자료'!R552*'03_가중치민감도'!$D$6</f>
        <v/>
      </c>
      <c r="G555" s="85">
        <f>'01_원자료'!P552*'03_가중치민감도'!$B$7+'01_원자료'!Q552*'03_가중치민감도'!$C$7+'01_원자료'!R552*'03_가중치민감도'!$D$7</f>
        <v/>
      </c>
      <c r="H555" s="85">
        <f>'01_원자료'!P552*'03_가중치민감도'!$B$8+'01_원자료'!Q552*'03_가중치민감도'!$C$8+'01_원자료'!R552*'03_가중치민감도'!$D$8</f>
        <v/>
      </c>
      <c r="I555" s="85">
        <f>'01_원자료'!P552*'03_가중치민감도'!$B$9+'01_원자료'!Q552*'03_가중치민감도'!$C$9+'01_원자료'!R552*'03_가중치민감도'!$D$9</f>
        <v/>
      </c>
      <c r="J555" s="85">
        <f>'01_원자료'!P552*'03_가중치민감도'!$B$10+'01_원자료'!Q552*'03_가중치민감도'!$C$10+'01_원자료'!R552*'03_가중치민감도'!$D$10</f>
        <v/>
      </c>
      <c r="K555" s="99">
        <f>COUNTIF($E$5:$E$979,"&lt;"&amp;E555)+(COUNTIF($E$5:$E$979,"="&amp;E555)+1)/2</f>
        <v/>
      </c>
      <c r="L555" s="99">
        <f>COUNTIF($F$5:$F$979,"&lt;"&amp;F555)+(COUNTIF($F$5:$F$979,"="&amp;F555)+1)/2</f>
        <v/>
      </c>
      <c r="M555" s="99">
        <f>COUNTIF($G$5:$G$979,"&lt;"&amp;G555)+(COUNTIF($G$5:$G$979,"="&amp;G555)+1)/2</f>
        <v/>
      </c>
      <c r="N555" s="99">
        <f>COUNTIF($H$5:$H$979,"&lt;"&amp;H555)+(COUNTIF($H$5:$H$979,"="&amp;H555)+1)/2</f>
        <v/>
      </c>
      <c r="O555" s="99">
        <f>COUNTIF($I$5:$I$979,"&lt;"&amp;I555)+(COUNTIF($I$5:$I$979,"="&amp;I555)+1)/2</f>
        <v/>
      </c>
      <c r="P555" s="99">
        <f>COUNTIF($J$5:$J$979,"&lt;"&amp;J555)+(COUNTIF($J$5:$J$979,"="&amp;J555)+1)/2</f>
        <v/>
      </c>
    </row>
    <row r="556" ht="15" customHeight="1" s="68">
      <c r="A556" s="70">
        <f>'01_원자료'!A553</f>
        <v/>
      </c>
      <c r="B556" s="70">
        <f>'01_원자료'!B553</f>
        <v/>
      </c>
      <c r="C556" s="70">
        <f>'01_원자료'!C553</f>
        <v/>
      </c>
      <c r="E556" s="85">
        <f>'01_원자료'!P553*'03_가중치민감도'!$B$5+'01_원자료'!Q553*'03_가중치민감도'!$C$5+'01_원자료'!R553*'03_가중치민감도'!$D$5</f>
        <v/>
      </c>
      <c r="F556" s="85">
        <f>'01_원자료'!P553*'03_가중치민감도'!$B$6+'01_원자료'!Q553*'03_가중치민감도'!$C$6+'01_원자료'!R553*'03_가중치민감도'!$D$6</f>
        <v/>
      </c>
      <c r="G556" s="85">
        <f>'01_원자료'!P553*'03_가중치민감도'!$B$7+'01_원자료'!Q553*'03_가중치민감도'!$C$7+'01_원자료'!R553*'03_가중치민감도'!$D$7</f>
        <v/>
      </c>
      <c r="H556" s="85">
        <f>'01_원자료'!P553*'03_가중치민감도'!$B$8+'01_원자료'!Q553*'03_가중치민감도'!$C$8+'01_원자료'!R553*'03_가중치민감도'!$D$8</f>
        <v/>
      </c>
      <c r="I556" s="85">
        <f>'01_원자료'!P553*'03_가중치민감도'!$B$9+'01_원자료'!Q553*'03_가중치민감도'!$C$9+'01_원자료'!R553*'03_가중치민감도'!$D$9</f>
        <v/>
      </c>
      <c r="J556" s="85">
        <f>'01_원자료'!P553*'03_가중치민감도'!$B$10+'01_원자료'!Q553*'03_가중치민감도'!$C$10+'01_원자료'!R553*'03_가중치민감도'!$D$10</f>
        <v/>
      </c>
      <c r="K556" s="99">
        <f>COUNTIF($E$5:$E$979,"&lt;"&amp;E556)+(COUNTIF($E$5:$E$979,"="&amp;E556)+1)/2</f>
        <v/>
      </c>
      <c r="L556" s="99">
        <f>COUNTIF($F$5:$F$979,"&lt;"&amp;F556)+(COUNTIF($F$5:$F$979,"="&amp;F556)+1)/2</f>
        <v/>
      </c>
      <c r="M556" s="99">
        <f>COUNTIF($G$5:$G$979,"&lt;"&amp;G556)+(COUNTIF($G$5:$G$979,"="&amp;G556)+1)/2</f>
        <v/>
      </c>
      <c r="N556" s="99">
        <f>COUNTIF($H$5:$H$979,"&lt;"&amp;H556)+(COUNTIF($H$5:$H$979,"="&amp;H556)+1)/2</f>
        <v/>
      </c>
      <c r="O556" s="99">
        <f>COUNTIF($I$5:$I$979,"&lt;"&amp;I556)+(COUNTIF($I$5:$I$979,"="&amp;I556)+1)/2</f>
        <v/>
      </c>
      <c r="P556" s="99">
        <f>COUNTIF($J$5:$J$979,"&lt;"&amp;J556)+(COUNTIF($J$5:$J$979,"="&amp;J556)+1)/2</f>
        <v/>
      </c>
    </row>
    <row r="557" ht="15" customHeight="1" s="68">
      <c r="A557" s="70">
        <f>'01_원자료'!A554</f>
        <v/>
      </c>
      <c r="B557" s="70">
        <f>'01_원자료'!B554</f>
        <v/>
      </c>
      <c r="C557" s="70">
        <f>'01_원자료'!C554</f>
        <v/>
      </c>
      <c r="E557" s="85">
        <f>'01_원자료'!P554*'03_가중치민감도'!$B$5+'01_원자료'!Q554*'03_가중치민감도'!$C$5+'01_원자료'!R554*'03_가중치민감도'!$D$5</f>
        <v/>
      </c>
      <c r="F557" s="85">
        <f>'01_원자료'!P554*'03_가중치민감도'!$B$6+'01_원자료'!Q554*'03_가중치민감도'!$C$6+'01_원자료'!R554*'03_가중치민감도'!$D$6</f>
        <v/>
      </c>
      <c r="G557" s="85">
        <f>'01_원자료'!P554*'03_가중치민감도'!$B$7+'01_원자료'!Q554*'03_가중치민감도'!$C$7+'01_원자료'!R554*'03_가중치민감도'!$D$7</f>
        <v/>
      </c>
      <c r="H557" s="85">
        <f>'01_원자료'!P554*'03_가중치민감도'!$B$8+'01_원자료'!Q554*'03_가중치민감도'!$C$8+'01_원자료'!R554*'03_가중치민감도'!$D$8</f>
        <v/>
      </c>
      <c r="I557" s="85">
        <f>'01_원자료'!P554*'03_가중치민감도'!$B$9+'01_원자료'!Q554*'03_가중치민감도'!$C$9+'01_원자료'!R554*'03_가중치민감도'!$D$9</f>
        <v/>
      </c>
      <c r="J557" s="85">
        <f>'01_원자료'!P554*'03_가중치민감도'!$B$10+'01_원자료'!Q554*'03_가중치민감도'!$C$10+'01_원자료'!R554*'03_가중치민감도'!$D$10</f>
        <v/>
      </c>
      <c r="K557" s="99">
        <f>COUNTIF($E$5:$E$979,"&lt;"&amp;E557)+(COUNTIF($E$5:$E$979,"="&amp;E557)+1)/2</f>
        <v/>
      </c>
      <c r="L557" s="99">
        <f>COUNTIF($F$5:$F$979,"&lt;"&amp;F557)+(COUNTIF($F$5:$F$979,"="&amp;F557)+1)/2</f>
        <v/>
      </c>
      <c r="M557" s="99">
        <f>COUNTIF($G$5:$G$979,"&lt;"&amp;G557)+(COUNTIF($G$5:$G$979,"="&amp;G557)+1)/2</f>
        <v/>
      </c>
      <c r="N557" s="99">
        <f>COUNTIF($H$5:$H$979,"&lt;"&amp;H557)+(COUNTIF($H$5:$H$979,"="&amp;H557)+1)/2</f>
        <v/>
      </c>
      <c r="O557" s="99">
        <f>COUNTIF($I$5:$I$979,"&lt;"&amp;I557)+(COUNTIF($I$5:$I$979,"="&amp;I557)+1)/2</f>
        <v/>
      </c>
      <c r="P557" s="99">
        <f>COUNTIF($J$5:$J$979,"&lt;"&amp;J557)+(COUNTIF($J$5:$J$979,"="&amp;J557)+1)/2</f>
        <v/>
      </c>
    </row>
    <row r="558" ht="15" customHeight="1" s="68">
      <c r="A558" s="70">
        <f>'01_원자료'!A555</f>
        <v/>
      </c>
      <c r="B558" s="70">
        <f>'01_원자료'!B555</f>
        <v/>
      </c>
      <c r="C558" s="70">
        <f>'01_원자료'!C555</f>
        <v/>
      </c>
      <c r="E558" s="85">
        <f>'01_원자료'!P555*'03_가중치민감도'!$B$5+'01_원자료'!Q555*'03_가중치민감도'!$C$5+'01_원자료'!R555*'03_가중치민감도'!$D$5</f>
        <v/>
      </c>
      <c r="F558" s="85">
        <f>'01_원자료'!P555*'03_가중치민감도'!$B$6+'01_원자료'!Q555*'03_가중치민감도'!$C$6+'01_원자료'!R555*'03_가중치민감도'!$D$6</f>
        <v/>
      </c>
      <c r="G558" s="85">
        <f>'01_원자료'!P555*'03_가중치민감도'!$B$7+'01_원자료'!Q555*'03_가중치민감도'!$C$7+'01_원자료'!R555*'03_가중치민감도'!$D$7</f>
        <v/>
      </c>
      <c r="H558" s="85">
        <f>'01_원자료'!P555*'03_가중치민감도'!$B$8+'01_원자료'!Q555*'03_가중치민감도'!$C$8+'01_원자료'!R555*'03_가중치민감도'!$D$8</f>
        <v/>
      </c>
      <c r="I558" s="85">
        <f>'01_원자료'!P555*'03_가중치민감도'!$B$9+'01_원자료'!Q555*'03_가중치민감도'!$C$9+'01_원자료'!R555*'03_가중치민감도'!$D$9</f>
        <v/>
      </c>
      <c r="J558" s="85">
        <f>'01_원자료'!P555*'03_가중치민감도'!$B$10+'01_원자료'!Q555*'03_가중치민감도'!$C$10+'01_원자료'!R555*'03_가중치민감도'!$D$10</f>
        <v/>
      </c>
      <c r="K558" s="99">
        <f>COUNTIF($E$5:$E$979,"&lt;"&amp;E558)+(COUNTIF($E$5:$E$979,"="&amp;E558)+1)/2</f>
        <v/>
      </c>
      <c r="L558" s="99">
        <f>COUNTIF($F$5:$F$979,"&lt;"&amp;F558)+(COUNTIF($F$5:$F$979,"="&amp;F558)+1)/2</f>
        <v/>
      </c>
      <c r="M558" s="99">
        <f>COUNTIF($G$5:$G$979,"&lt;"&amp;G558)+(COUNTIF($G$5:$G$979,"="&amp;G558)+1)/2</f>
        <v/>
      </c>
      <c r="N558" s="99">
        <f>COUNTIF($H$5:$H$979,"&lt;"&amp;H558)+(COUNTIF($H$5:$H$979,"="&amp;H558)+1)/2</f>
        <v/>
      </c>
      <c r="O558" s="99">
        <f>COUNTIF($I$5:$I$979,"&lt;"&amp;I558)+(COUNTIF($I$5:$I$979,"="&amp;I558)+1)/2</f>
        <v/>
      </c>
      <c r="P558" s="99">
        <f>COUNTIF($J$5:$J$979,"&lt;"&amp;J558)+(COUNTIF($J$5:$J$979,"="&amp;J558)+1)/2</f>
        <v/>
      </c>
    </row>
    <row r="559" ht="15" customHeight="1" s="68">
      <c r="A559" s="70">
        <f>'01_원자료'!A556</f>
        <v/>
      </c>
      <c r="B559" s="70">
        <f>'01_원자료'!B556</f>
        <v/>
      </c>
      <c r="C559" s="70">
        <f>'01_원자료'!C556</f>
        <v/>
      </c>
      <c r="E559" s="85">
        <f>'01_원자료'!P556*'03_가중치민감도'!$B$5+'01_원자료'!Q556*'03_가중치민감도'!$C$5+'01_원자료'!R556*'03_가중치민감도'!$D$5</f>
        <v/>
      </c>
      <c r="F559" s="85">
        <f>'01_원자료'!P556*'03_가중치민감도'!$B$6+'01_원자료'!Q556*'03_가중치민감도'!$C$6+'01_원자료'!R556*'03_가중치민감도'!$D$6</f>
        <v/>
      </c>
      <c r="G559" s="85">
        <f>'01_원자료'!P556*'03_가중치민감도'!$B$7+'01_원자료'!Q556*'03_가중치민감도'!$C$7+'01_원자료'!R556*'03_가중치민감도'!$D$7</f>
        <v/>
      </c>
      <c r="H559" s="85">
        <f>'01_원자료'!P556*'03_가중치민감도'!$B$8+'01_원자료'!Q556*'03_가중치민감도'!$C$8+'01_원자료'!R556*'03_가중치민감도'!$D$8</f>
        <v/>
      </c>
      <c r="I559" s="85">
        <f>'01_원자료'!P556*'03_가중치민감도'!$B$9+'01_원자료'!Q556*'03_가중치민감도'!$C$9+'01_원자료'!R556*'03_가중치민감도'!$D$9</f>
        <v/>
      </c>
      <c r="J559" s="85">
        <f>'01_원자료'!P556*'03_가중치민감도'!$B$10+'01_원자료'!Q556*'03_가중치민감도'!$C$10+'01_원자료'!R556*'03_가중치민감도'!$D$10</f>
        <v/>
      </c>
      <c r="K559" s="99">
        <f>COUNTIF($E$5:$E$979,"&lt;"&amp;E559)+(COUNTIF($E$5:$E$979,"="&amp;E559)+1)/2</f>
        <v/>
      </c>
      <c r="L559" s="99">
        <f>COUNTIF($F$5:$F$979,"&lt;"&amp;F559)+(COUNTIF($F$5:$F$979,"="&amp;F559)+1)/2</f>
        <v/>
      </c>
      <c r="M559" s="99">
        <f>COUNTIF($G$5:$G$979,"&lt;"&amp;G559)+(COUNTIF($G$5:$G$979,"="&amp;G559)+1)/2</f>
        <v/>
      </c>
      <c r="N559" s="99">
        <f>COUNTIF($H$5:$H$979,"&lt;"&amp;H559)+(COUNTIF($H$5:$H$979,"="&amp;H559)+1)/2</f>
        <v/>
      </c>
      <c r="O559" s="99">
        <f>COUNTIF($I$5:$I$979,"&lt;"&amp;I559)+(COUNTIF($I$5:$I$979,"="&amp;I559)+1)/2</f>
        <v/>
      </c>
      <c r="P559" s="99">
        <f>COUNTIF($J$5:$J$979,"&lt;"&amp;J559)+(COUNTIF($J$5:$J$979,"="&amp;J559)+1)/2</f>
        <v/>
      </c>
    </row>
    <row r="560" ht="15" customHeight="1" s="68">
      <c r="A560" s="70">
        <f>'01_원자료'!A557</f>
        <v/>
      </c>
      <c r="B560" s="70">
        <f>'01_원자료'!B557</f>
        <v/>
      </c>
      <c r="C560" s="70">
        <f>'01_원자료'!C557</f>
        <v/>
      </c>
      <c r="E560" s="85">
        <f>'01_원자료'!P557*'03_가중치민감도'!$B$5+'01_원자료'!Q557*'03_가중치민감도'!$C$5+'01_원자료'!R557*'03_가중치민감도'!$D$5</f>
        <v/>
      </c>
      <c r="F560" s="85">
        <f>'01_원자료'!P557*'03_가중치민감도'!$B$6+'01_원자료'!Q557*'03_가중치민감도'!$C$6+'01_원자료'!R557*'03_가중치민감도'!$D$6</f>
        <v/>
      </c>
      <c r="G560" s="85">
        <f>'01_원자료'!P557*'03_가중치민감도'!$B$7+'01_원자료'!Q557*'03_가중치민감도'!$C$7+'01_원자료'!R557*'03_가중치민감도'!$D$7</f>
        <v/>
      </c>
      <c r="H560" s="85">
        <f>'01_원자료'!P557*'03_가중치민감도'!$B$8+'01_원자료'!Q557*'03_가중치민감도'!$C$8+'01_원자료'!R557*'03_가중치민감도'!$D$8</f>
        <v/>
      </c>
      <c r="I560" s="85">
        <f>'01_원자료'!P557*'03_가중치민감도'!$B$9+'01_원자료'!Q557*'03_가중치민감도'!$C$9+'01_원자료'!R557*'03_가중치민감도'!$D$9</f>
        <v/>
      </c>
      <c r="J560" s="85">
        <f>'01_원자료'!P557*'03_가중치민감도'!$B$10+'01_원자료'!Q557*'03_가중치민감도'!$C$10+'01_원자료'!R557*'03_가중치민감도'!$D$10</f>
        <v/>
      </c>
      <c r="K560" s="99">
        <f>COUNTIF($E$5:$E$979,"&lt;"&amp;E560)+(COUNTIF($E$5:$E$979,"="&amp;E560)+1)/2</f>
        <v/>
      </c>
      <c r="L560" s="99">
        <f>COUNTIF($F$5:$F$979,"&lt;"&amp;F560)+(COUNTIF($F$5:$F$979,"="&amp;F560)+1)/2</f>
        <v/>
      </c>
      <c r="M560" s="99">
        <f>COUNTIF($G$5:$G$979,"&lt;"&amp;G560)+(COUNTIF($G$5:$G$979,"="&amp;G560)+1)/2</f>
        <v/>
      </c>
      <c r="N560" s="99">
        <f>COUNTIF($H$5:$H$979,"&lt;"&amp;H560)+(COUNTIF($H$5:$H$979,"="&amp;H560)+1)/2</f>
        <v/>
      </c>
      <c r="O560" s="99">
        <f>COUNTIF($I$5:$I$979,"&lt;"&amp;I560)+(COUNTIF($I$5:$I$979,"="&amp;I560)+1)/2</f>
        <v/>
      </c>
      <c r="P560" s="99">
        <f>COUNTIF($J$5:$J$979,"&lt;"&amp;J560)+(COUNTIF($J$5:$J$979,"="&amp;J560)+1)/2</f>
        <v/>
      </c>
    </row>
    <row r="561" ht="15" customHeight="1" s="68">
      <c r="A561" s="70">
        <f>'01_원자료'!A558</f>
        <v/>
      </c>
      <c r="B561" s="70">
        <f>'01_원자료'!B558</f>
        <v/>
      </c>
      <c r="C561" s="70">
        <f>'01_원자료'!C558</f>
        <v/>
      </c>
      <c r="E561" s="85">
        <f>'01_원자료'!P558*'03_가중치민감도'!$B$5+'01_원자료'!Q558*'03_가중치민감도'!$C$5+'01_원자료'!R558*'03_가중치민감도'!$D$5</f>
        <v/>
      </c>
      <c r="F561" s="85">
        <f>'01_원자료'!P558*'03_가중치민감도'!$B$6+'01_원자료'!Q558*'03_가중치민감도'!$C$6+'01_원자료'!R558*'03_가중치민감도'!$D$6</f>
        <v/>
      </c>
      <c r="G561" s="85">
        <f>'01_원자료'!P558*'03_가중치민감도'!$B$7+'01_원자료'!Q558*'03_가중치민감도'!$C$7+'01_원자료'!R558*'03_가중치민감도'!$D$7</f>
        <v/>
      </c>
      <c r="H561" s="85">
        <f>'01_원자료'!P558*'03_가중치민감도'!$B$8+'01_원자료'!Q558*'03_가중치민감도'!$C$8+'01_원자료'!R558*'03_가중치민감도'!$D$8</f>
        <v/>
      </c>
      <c r="I561" s="85">
        <f>'01_원자료'!P558*'03_가중치민감도'!$B$9+'01_원자료'!Q558*'03_가중치민감도'!$C$9+'01_원자료'!R558*'03_가중치민감도'!$D$9</f>
        <v/>
      </c>
      <c r="J561" s="85">
        <f>'01_원자료'!P558*'03_가중치민감도'!$B$10+'01_원자료'!Q558*'03_가중치민감도'!$C$10+'01_원자료'!R558*'03_가중치민감도'!$D$10</f>
        <v/>
      </c>
      <c r="K561" s="99">
        <f>COUNTIF($E$5:$E$979,"&lt;"&amp;E561)+(COUNTIF($E$5:$E$979,"="&amp;E561)+1)/2</f>
        <v/>
      </c>
      <c r="L561" s="99">
        <f>COUNTIF($F$5:$F$979,"&lt;"&amp;F561)+(COUNTIF($F$5:$F$979,"="&amp;F561)+1)/2</f>
        <v/>
      </c>
      <c r="M561" s="99">
        <f>COUNTIF($G$5:$G$979,"&lt;"&amp;G561)+(COUNTIF($G$5:$G$979,"="&amp;G561)+1)/2</f>
        <v/>
      </c>
      <c r="N561" s="99">
        <f>COUNTIF($H$5:$H$979,"&lt;"&amp;H561)+(COUNTIF($H$5:$H$979,"="&amp;H561)+1)/2</f>
        <v/>
      </c>
      <c r="O561" s="99">
        <f>COUNTIF($I$5:$I$979,"&lt;"&amp;I561)+(COUNTIF($I$5:$I$979,"="&amp;I561)+1)/2</f>
        <v/>
      </c>
      <c r="P561" s="99">
        <f>COUNTIF($J$5:$J$979,"&lt;"&amp;J561)+(COUNTIF($J$5:$J$979,"="&amp;J561)+1)/2</f>
        <v/>
      </c>
    </row>
    <row r="562" ht="15" customHeight="1" s="68">
      <c r="A562" s="70">
        <f>'01_원자료'!A559</f>
        <v/>
      </c>
      <c r="B562" s="70">
        <f>'01_원자료'!B559</f>
        <v/>
      </c>
      <c r="C562" s="70">
        <f>'01_원자료'!C559</f>
        <v/>
      </c>
      <c r="E562" s="85">
        <f>'01_원자료'!P559*'03_가중치민감도'!$B$5+'01_원자료'!Q559*'03_가중치민감도'!$C$5+'01_원자료'!R559*'03_가중치민감도'!$D$5</f>
        <v/>
      </c>
      <c r="F562" s="85">
        <f>'01_원자료'!P559*'03_가중치민감도'!$B$6+'01_원자료'!Q559*'03_가중치민감도'!$C$6+'01_원자료'!R559*'03_가중치민감도'!$D$6</f>
        <v/>
      </c>
      <c r="G562" s="85">
        <f>'01_원자료'!P559*'03_가중치민감도'!$B$7+'01_원자료'!Q559*'03_가중치민감도'!$C$7+'01_원자료'!R559*'03_가중치민감도'!$D$7</f>
        <v/>
      </c>
      <c r="H562" s="85">
        <f>'01_원자료'!P559*'03_가중치민감도'!$B$8+'01_원자료'!Q559*'03_가중치민감도'!$C$8+'01_원자료'!R559*'03_가중치민감도'!$D$8</f>
        <v/>
      </c>
      <c r="I562" s="85">
        <f>'01_원자료'!P559*'03_가중치민감도'!$B$9+'01_원자료'!Q559*'03_가중치민감도'!$C$9+'01_원자료'!R559*'03_가중치민감도'!$D$9</f>
        <v/>
      </c>
      <c r="J562" s="85">
        <f>'01_원자료'!P559*'03_가중치민감도'!$B$10+'01_원자료'!Q559*'03_가중치민감도'!$C$10+'01_원자료'!R559*'03_가중치민감도'!$D$10</f>
        <v/>
      </c>
      <c r="K562" s="99">
        <f>COUNTIF($E$5:$E$979,"&lt;"&amp;E562)+(COUNTIF($E$5:$E$979,"="&amp;E562)+1)/2</f>
        <v/>
      </c>
      <c r="L562" s="99">
        <f>COUNTIF($F$5:$F$979,"&lt;"&amp;F562)+(COUNTIF($F$5:$F$979,"="&amp;F562)+1)/2</f>
        <v/>
      </c>
      <c r="M562" s="99">
        <f>COUNTIF($G$5:$G$979,"&lt;"&amp;G562)+(COUNTIF($G$5:$G$979,"="&amp;G562)+1)/2</f>
        <v/>
      </c>
      <c r="N562" s="99">
        <f>COUNTIF($H$5:$H$979,"&lt;"&amp;H562)+(COUNTIF($H$5:$H$979,"="&amp;H562)+1)/2</f>
        <v/>
      </c>
      <c r="O562" s="99">
        <f>COUNTIF($I$5:$I$979,"&lt;"&amp;I562)+(COUNTIF($I$5:$I$979,"="&amp;I562)+1)/2</f>
        <v/>
      </c>
      <c r="P562" s="99">
        <f>COUNTIF($J$5:$J$979,"&lt;"&amp;J562)+(COUNTIF($J$5:$J$979,"="&amp;J562)+1)/2</f>
        <v/>
      </c>
    </row>
    <row r="563" ht="15" customHeight="1" s="68">
      <c r="A563" s="70">
        <f>'01_원자료'!A560</f>
        <v/>
      </c>
      <c r="B563" s="70">
        <f>'01_원자료'!B560</f>
        <v/>
      </c>
      <c r="C563" s="70">
        <f>'01_원자료'!C560</f>
        <v/>
      </c>
      <c r="E563" s="85">
        <f>'01_원자료'!P560*'03_가중치민감도'!$B$5+'01_원자료'!Q560*'03_가중치민감도'!$C$5+'01_원자료'!R560*'03_가중치민감도'!$D$5</f>
        <v/>
      </c>
      <c r="F563" s="85">
        <f>'01_원자료'!P560*'03_가중치민감도'!$B$6+'01_원자료'!Q560*'03_가중치민감도'!$C$6+'01_원자료'!R560*'03_가중치민감도'!$D$6</f>
        <v/>
      </c>
      <c r="G563" s="85">
        <f>'01_원자료'!P560*'03_가중치민감도'!$B$7+'01_원자료'!Q560*'03_가중치민감도'!$C$7+'01_원자료'!R560*'03_가중치민감도'!$D$7</f>
        <v/>
      </c>
      <c r="H563" s="85">
        <f>'01_원자료'!P560*'03_가중치민감도'!$B$8+'01_원자료'!Q560*'03_가중치민감도'!$C$8+'01_원자료'!R560*'03_가중치민감도'!$D$8</f>
        <v/>
      </c>
      <c r="I563" s="85">
        <f>'01_원자료'!P560*'03_가중치민감도'!$B$9+'01_원자료'!Q560*'03_가중치민감도'!$C$9+'01_원자료'!R560*'03_가중치민감도'!$D$9</f>
        <v/>
      </c>
      <c r="J563" s="85">
        <f>'01_원자료'!P560*'03_가중치민감도'!$B$10+'01_원자료'!Q560*'03_가중치민감도'!$C$10+'01_원자료'!R560*'03_가중치민감도'!$D$10</f>
        <v/>
      </c>
      <c r="K563" s="99">
        <f>COUNTIF($E$5:$E$979,"&lt;"&amp;E563)+(COUNTIF($E$5:$E$979,"="&amp;E563)+1)/2</f>
        <v/>
      </c>
      <c r="L563" s="99">
        <f>COUNTIF($F$5:$F$979,"&lt;"&amp;F563)+(COUNTIF($F$5:$F$979,"="&amp;F563)+1)/2</f>
        <v/>
      </c>
      <c r="M563" s="99">
        <f>COUNTIF($G$5:$G$979,"&lt;"&amp;G563)+(COUNTIF($G$5:$G$979,"="&amp;G563)+1)/2</f>
        <v/>
      </c>
      <c r="N563" s="99">
        <f>COUNTIF($H$5:$H$979,"&lt;"&amp;H563)+(COUNTIF($H$5:$H$979,"="&amp;H563)+1)/2</f>
        <v/>
      </c>
      <c r="O563" s="99">
        <f>COUNTIF($I$5:$I$979,"&lt;"&amp;I563)+(COUNTIF($I$5:$I$979,"="&amp;I563)+1)/2</f>
        <v/>
      </c>
      <c r="P563" s="99">
        <f>COUNTIF($J$5:$J$979,"&lt;"&amp;J563)+(COUNTIF($J$5:$J$979,"="&amp;J563)+1)/2</f>
        <v/>
      </c>
    </row>
    <row r="564" ht="15" customHeight="1" s="68">
      <c r="A564" s="70">
        <f>'01_원자료'!A561</f>
        <v/>
      </c>
      <c r="B564" s="70">
        <f>'01_원자료'!B561</f>
        <v/>
      </c>
      <c r="C564" s="70">
        <f>'01_원자료'!C561</f>
        <v/>
      </c>
      <c r="E564" s="85">
        <f>'01_원자료'!P561*'03_가중치민감도'!$B$5+'01_원자료'!Q561*'03_가중치민감도'!$C$5+'01_원자료'!R561*'03_가중치민감도'!$D$5</f>
        <v/>
      </c>
      <c r="F564" s="85">
        <f>'01_원자료'!P561*'03_가중치민감도'!$B$6+'01_원자료'!Q561*'03_가중치민감도'!$C$6+'01_원자료'!R561*'03_가중치민감도'!$D$6</f>
        <v/>
      </c>
      <c r="G564" s="85">
        <f>'01_원자료'!P561*'03_가중치민감도'!$B$7+'01_원자료'!Q561*'03_가중치민감도'!$C$7+'01_원자료'!R561*'03_가중치민감도'!$D$7</f>
        <v/>
      </c>
      <c r="H564" s="85">
        <f>'01_원자료'!P561*'03_가중치민감도'!$B$8+'01_원자료'!Q561*'03_가중치민감도'!$C$8+'01_원자료'!R561*'03_가중치민감도'!$D$8</f>
        <v/>
      </c>
      <c r="I564" s="85">
        <f>'01_원자료'!P561*'03_가중치민감도'!$B$9+'01_원자료'!Q561*'03_가중치민감도'!$C$9+'01_원자료'!R561*'03_가중치민감도'!$D$9</f>
        <v/>
      </c>
      <c r="J564" s="85">
        <f>'01_원자료'!P561*'03_가중치민감도'!$B$10+'01_원자료'!Q561*'03_가중치민감도'!$C$10+'01_원자료'!R561*'03_가중치민감도'!$D$10</f>
        <v/>
      </c>
      <c r="K564" s="99">
        <f>COUNTIF($E$5:$E$979,"&lt;"&amp;E564)+(COUNTIF($E$5:$E$979,"="&amp;E564)+1)/2</f>
        <v/>
      </c>
      <c r="L564" s="99">
        <f>COUNTIF($F$5:$F$979,"&lt;"&amp;F564)+(COUNTIF($F$5:$F$979,"="&amp;F564)+1)/2</f>
        <v/>
      </c>
      <c r="M564" s="99">
        <f>COUNTIF($G$5:$G$979,"&lt;"&amp;G564)+(COUNTIF($G$5:$G$979,"="&amp;G564)+1)/2</f>
        <v/>
      </c>
      <c r="N564" s="99">
        <f>COUNTIF($H$5:$H$979,"&lt;"&amp;H564)+(COUNTIF($H$5:$H$979,"="&amp;H564)+1)/2</f>
        <v/>
      </c>
      <c r="O564" s="99">
        <f>COUNTIF($I$5:$I$979,"&lt;"&amp;I564)+(COUNTIF($I$5:$I$979,"="&amp;I564)+1)/2</f>
        <v/>
      </c>
      <c r="P564" s="99">
        <f>COUNTIF($J$5:$J$979,"&lt;"&amp;J564)+(COUNTIF($J$5:$J$979,"="&amp;J564)+1)/2</f>
        <v/>
      </c>
    </row>
    <row r="565" ht="15" customHeight="1" s="68">
      <c r="A565" s="70">
        <f>'01_원자료'!A562</f>
        <v/>
      </c>
      <c r="B565" s="70">
        <f>'01_원자료'!B562</f>
        <v/>
      </c>
      <c r="C565" s="70">
        <f>'01_원자료'!C562</f>
        <v/>
      </c>
      <c r="E565" s="85">
        <f>'01_원자료'!P562*'03_가중치민감도'!$B$5+'01_원자료'!Q562*'03_가중치민감도'!$C$5+'01_원자료'!R562*'03_가중치민감도'!$D$5</f>
        <v/>
      </c>
      <c r="F565" s="85">
        <f>'01_원자료'!P562*'03_가중치민감도'!$B$6+'01_원자료'!Q562*'03_가중치민감도'!$C$6+'01_원자료'!R562*'03_가중치민감도'!$D$6</f>
        <v/>
      </c>
      <c r="G565" s="85">
        <f>'01_원자료'!P562*'03_가중치민감도'!$B$7+'01_원자료'!Q562*'03_가중치민감도'!$C$7+'01_원자료'!R562*'03_가중치민감도'!$D$7</f>
        <v/>
      </c>
      <c r="H565" s="85">
        <f>'01_원자료'!P562*'03_가중치민감도'!$B$8+'01_원자료'!Q562*'03_가중치민감도'!$C$8+'01_원자료'!R562*'03_가중치민감도'!$D$8</f>
        <v/>
      </c>
      <c r="I565" s="85">
        <f>'01_원자료'!P562*'03_가중치민감도'!$B$9+'01_원자료'!Q562*'03_가중치민감도'!$C$9+'01_원자료'!R562*'03_가중치민감도'!$D$9</f>
        <v/>
      </c>
      <c r="J565" s="85">
        <f>'01_원자료'!P562*'03_가중치민감도'!$B$10+'01_원자료'!Q562*'03_가중치민감도'!$C$10+'01_원자료'!R562*'03_가중치민감도'!$D$10</f>
        <v/>
      </c>
      <c r="K565" s="99">
        <f>COUNTIF($E$5:$E$979,"&lt;"&amp;E565)+(COUNTIF($E$5:$E$979,"="&amp;E565)+1)/2</f>
        <v/>
      </c>
      <c r="L565" s="99">
        <f>COUNTIF($F$5:$F$979,"&lt;"&amp;F565)+(COUNTIF($F$5:$F$979,"="&amp;F565)+1)/2</f>
        <v/>
      </c>
      <c r="M565" s="99">
        <f>COUNTIF($G$5:$G$979,"&lt;"&amp;G565)+(COUNTIF($G$5:$G$979,"="&amp;G565)+1)/2</f>
        <v/>
      </c>
      <c r="N565" s="99">
        <f>COUNTIF($H$5:$H$979,"&lt;"&amp;H565)+(COUNTIF($H$5:$H$979,"="&amp;H565)+1)/2</f>
        <v/>
      </c>
      <c r="O565" s="99">
        <f>COUNTIF($I$5:$I$979,"&lt;"&amp;I565)+(COUNTIF($I$5:$I$979,"="&amp;I565)+1)/2</f>
        <v/>
      </c>
      <c r="P565" s="99">
        <f>COUNTIF($J$5:$J$979,"&lt;"&amp;J565)+(COUNTIF($J$5:$J$979,"="&amp;J565)+1)/2</f>
        <v/>
      </c>
    </row>
    <row r="566" ht="15" customHeight="1" s="68">
      <c r="A566" s="70">
        <f>'01_원자료'!A563</f>
        <v/>
      </c>
      <c r="B566" s="70">
        <f>'01_원자료'!B563</f>
        <v/>
      </c>
      <c r="C566" s="70">
        <f>'01_원자료'!C563</f>
        <v/>
      </c>
      <c r="E566" s="85">
        <f>'01_원자료'!P563*'03_가중치민감도'!$B$5+'01_원자료'!Q563*'03_가중치민감도'!$C$5+'01_원자료'!R563*'03_가중치민감도'!$D$5</f>
        <v/>
      </c>
      <c r="F566" s="85">
        <f>'01_원자료'!P563*'03_가중치민감도'!$B$6+'01_원자료'!Q563*'03_가중치민감도'!$C$6+'01_원자료'!R563*'03_가중치민감도'!$D$6</f>
        <v/>
      </c>
      <c r="G566" s="85">
        <f>'01_원자료'!P563*'03_가중치민감도'!$B$7+'01_원자료'!Q563*'03_가중치민감도'!$C$7+'01_원자료'!R563*'03_가중치민감도'!$D$7</f>
        <v/>
      </c>
      <c r="H566" s="85">
        <f>'01_원자료'!P563*'03_가중치민감도'!$B$8+'01_원자료'!Q563*'03_가중치민감도'!$C$8+'01_원자료'!R563*'03_가중치민감도'!$D$8</f>
        <v/>
      </c>
      <c r="I566" s="85">
        <f>'01_원자료'!P563*'03_가중치민감도'!$B$9+'01_원자료'!Q563*'03_가중치민감도'!$C$9+'01_원자료'!R563*'03_가중치민감도'!$D$9</f>
        <v/>
      </c>
      <c r="J566" s="85">
        <f>'01_원자료'!P563*'03_가중치민감도'!$B$10+'01_원자료'!Q563*'03_가중치민감도'!$C$10+'01_원자료'!R563*'03_가중치민감도'!$D$10</f>
        <v/>
      </c>
      <c r="K566" s="99">
        <f>COUNTIF($E$5:$E$979,"&lt;"&amp;E566)+(COUNTIF($E$5:$E$979,"="&amp;E566)+1)/2</f>
        <v/>
      </c>
      <c r="L566" s="99">
        <f>COUNTIF($F$5:$F$979,"&lt;"&amp;F566)+(COUNTIF($F$5:$F$979,"="&amp;F566)+1)/2</f>
        <v/>
      </c>
      <c r="M566" s="99">
        <f>COUNTIF($G$5:$G$979,"&lt;"&amp;G566)+(COUNTIF($G$5:$G$979,"="&amp;G566)+1)/2</f>
        <v/>
      </c>
      <c r="N566" s="99">
        <f>COUNTIF($H$5:$H$979,"&lt;"&amp;H566)+(COUNTIF($H$5:$H$979,"="&amp;H566)+1)/2</f>
        <v/>
      </c>
      <c r="O566" s="99">
        <f>COUNTIF($I$5:$I$979,"&lt;"&amp;I566)+(COUNTIF($I$5:$I$979,"="&amp;I566)+1)/2</f>
        <v/>
      </c>
      <c r="P566" s="99">
        <f>COUNTIF($J$5:$J$979,"&lt;"&amp;J566)+(COUNTIF($J$5:$J$979,"="&amp;J566)+1)/2</f>
        <v/>
      </c>
    </row>
    <row r="567" ht="15" customHeight="1" s="68">
      <c r="A567" s="70">
        <f>'01_원자료'!A564</f>
        <v/>
      </c>
      <c r="B567" s="70">
        <f>'01_원자료'!B564</f>
        <v/>
      </c>
      <c r="C567" s="70">
        <f>'01_원자료'!C564</f>
        <v/>
      </c>
      <c r="E567" s="85">
        <f>'01_원자료'!P564*'03_가중치민감도'!$B$5+'01_원자료'!Q564*'03_가중치민감도'!$C$5+'01_원자료'!R564*'03_가중치민감도'!$D$5</f>
        <v/>
      </c>
      <c r="F567" s="85">
        <f>'01_원자료'!P564*'03_가중치민감도'!$B$6+'01_원자료'!Q564*'03_가중치민감도'!$C$6+'01_원자료'!R564*'03_가중치민감도'!$D$6</f>
        <v/>
      </c>
      <c r="G567" s="85">
        <f>'01_원자료'!P564*'03_가중치민감도'!$B$7+'01_원자료'!Q564*'03_가중치민감도'!$C$7+'01_원자료'!R564*'03_가중치민감도'!$D$7</f>
        <v/>
      </c>
      <c r="H567" s="85">
        <f>'01_원자료'!P564*'03_가중치민감도'!$B$8+'01_원자료'!Q564*'03_가중치민감도'!$C$8+'01_원자료'!R564*'03_가중치민감도'!$D$8</f>
        <v/>
      </c>
      <c r="I567" s="85">
        <f>'01_원자료'!P564*'03_가중치민감도'!$B$9+'01_원자료'!Q564*'03_가중치민감도'!$C$9+'01_원자료'!R564*'03_가중치민감도'!$D$9</f>
        <v/>
      </c>
      <c r="J567" s="85">
        <f>'01_원자료'!P564*'03_가중치민감도'!$B$10+'01_원자료'!Q564*'03_가중치민감도'!$C$10+'01_원자료'!R564*'03_가중치민감도'!$D$10</f>
        <v/>
      </c>
      <c r="K567" s="99">
        <f>COUNTIF($E$5:$E$979,"&lt;"&amp;E567)+(COUNTIF($E$5:$E$979,"="&amp;E567)+1)/2</f>
        <v/>
      </c>
      <c r="L567" s="99">
        <f>COUNTIF($F$5:$F$979,"&lt;"&amp;F567)+(COUNTIF($F$5:$F$979,"="&amp;F567)+1)/2</f>
        <v/>
      </c>
      <c r="M567" s="99">
        <f>COUNTIF($G$5:$G$979,"&lt;"&amp;G567)+(COUNTIF($G$5:$G$979,"="&amp;G567)+1)/2</f>
        <v/>
      </c>
      <c r="N567" s="99">
        <f>COUNTIF($H$5:$H$979,"&lt;"&amp;H567)+(COUNTIF($H$5:$H$979,"="&amp;H567)+1)/2</f>
        <v/>
      </c>
      <c r="O567" s="99">
        <f>COUNTIF($I$5:$I$979,"&lt;"&amp;I567)+(COUNTIF($I$5:$I$979,"="&amp;I567)+1)/2</f>
        <v/>
      </c>
      <c r="P567" s="99">
        <f>COUNTIF($J$5:$J$979,"&lt;"&amp;J567)+(COUNTIF($J$5:$J$979,"="&amp;J567)+1)/2</f>
        <v/>
      </c>
    </row>
    <row r="568" ht="15" customHeight="1" s="68">
      <c r="A568" s="70">
        <f>'01_원자료'!A565</f>
        <v/>
      </c>
      <c r="B568" s="70">
        <f>'01_원자료'!B565</f>
        <v/>
      </c>
      <c r="C568" s="70">
        <f>'01_원자료'!C565</f>
        <v/>
      </c>
      <c r="E568" s="85">
        <f>'01_원자료'!P565*'03_가중치민감도'!$B$5+'01_원자료'!Q565*'03_가중치민감도'!$C$5+'01_원자료'!R565*'03_가중치민감도'!$D$5</f>
        <v/>
      </c>
      <c r="F568" s="85">
        <f>'01_원자료'!P565*'03_가중치민감도'!$B$6+'01_원자료'!Q565*'03_가중치민감도'!$C$6+'01_원자료'!R565*'03_가중치민감도'!$D$6</f>
        <v/>
      </c>
      <c r="G568" s="85">
        <f>'01_원자료'!P565*'03_가중치민감도'!$B$7+'01_원자료'!Q565*'03_가중치민감도'!$C$7+'01_원자료'!R565*'03_가중치민감도'!$D$7</f>
        <v/>
      </c>
      <c r="H568" s="85">
        <f>'01_원자료'!P565*'03_가중치민감도'!$B$8+'01_원자료'!Q565*'03_가중치민감도'!$C$8+'01_원자료'!R565*'03_가중치민감도'!$D$8</f>
        <v/>
      </c>
      <c r="I568" s="85">
        <f>'01_원자료'!P565*'03_가중치민감도'!$B$9+'01_원자료'!Q565*'03_가중치민감도'!$C$9+'01_원자료'!R565*'03_가중치민감도'!$D$9</f>
        <v/>
      </c>
      <c r="J568" s="85">
        <f>'01_원자료'!P565*'03_가중치민감도'!$B$10+'01_원자료'!Q565*'03_가중치민감도'!$C$10+'01_원자료'!R565*'03_가중치민감도'!$D$10</f>
        <v/>
      </c>
      <c r="K568" s="99">
        <f>COUNTIF($E$5:$E$979,"&lt;"&amp;E568)+(COUNTIF($E$5:$E$979,"="&amp;E568)+1)/2</f>
        <v/>
      </c>
      <c r="L568" s="99">
        <f>COUNTIF($F$5:$F$979,"&lt;"&amp;F568)+(COUNTIF($F$5:$F$979,"="&amp;F568)+1)/2</f>
        <v/>
      </c>
      <c r="M568" s="99">
        <f>COUNTIF($G$5:$G$979,"&lt;"&amp;G568)+(COUNTIF($G$5:$G$979,"="&amp;G568)+1)/2</f>
        <v/>
      </c>
      <c r="N568" s="99">
        <f>COUNTIF($H$5:$H$979,"&lt;"&amp;H568)+(COUNTIF($H$5:$H$979,"="&amp;H568)+1)/2</f>
        <v/>
      </c>
      <c r="O568" s="99">
        <f>COUNTIF($I$5:$I$979,"&lt;"&amp;I568)+(COUNTIF($I$5:$I$979,"="&amp;I568)+1)/2</f>
        <v/>
      </c>
      <c r="P568" s="99">
        <f>COUNTIF($J$5:$J$979,"&lt;"&amp;J568)+(COUNTIF($J$5:$J$979,"="&amp;J568)+1)/2</f>
        <v/>
      </c>
    </row>
    <row r="569" ht="15" customHeight="1" s="68">
      <c r="A569" s="70">
        <f>'01_원자료'!A566</f>
        <v/>
      </c>
      <c r="B569" s="70">
        <f>'01_원자료'!B566</f>
        <v/>
      </c>
      <c r="C569" s="70">
        <f>'01_원자료'!C566</f>
        <v/>
      </c>
      <c r="E569" s="85">
        <f>'01_원자료'!P566*'03_가중치민감도'!$B$5+'01_원자료'!Q566*'03_가중치민감도'!$C$5+'01_원자료'!R566*'03_가중치민감도'!$D$5</f>
        <v/>
      </c>
      <c r="F569" s="85">
        <f>'01_원자료'!P566*'03_가중치민감도'!$B$6+'01_원자료'!Q566*'03_가중치민감도'!$C$6+'01_원자료'!R566*'03_가중치민감도'!$D$6</f>
        <v/>
      </c>
      <c r="G569" s="85">
        <f>'01_원자료'!P566*'03_가중치민감도'!$B$7+'01_원자료'!Q566*'03_가중치민감도'!$C$7+'01_원자료'!R566*'03_가중치민감도'!$D$7</f>
        <v/>
      </c>
      <c r="H569" s="85">
        <f>'01_원자료'!P566*'03_가중치민감도'!$B$8+'01_원자료'!Q566*'03_가중치민감도'!$C$8+'01_원자료'!R566*'03_가중치민감도'!$D$8</f>
        <v/>
      </c>
      <c r="I569" s="85">
        <f>'01_원자료'!P566*'03_가중치민감도'!$B$9+'01_원자료'!Q566*'03_가중치민감도'!$C$9+'01_원자료'!R566*'03_가중치민감도'!$D$9</f>
        <v/>
      </c>
      <c r="J569" s="85">
        <f>'01_원자료'!P566*'03_가중치민감도'!$B$10+'01_원자료'!Q566*'03_가중치민감도'!$C$10+'01_원자료'!R566*'03_가중치민감도'!$D$10</f>
        <v/>
      </c>
      <c r="K569" s="99">
        <f>COUNTIF($E$5:$E$979,"&lt;"&amp;E569)+(COUNTIF($E$5:$E$979,"="&amp;E569)+1)/2</f>
        <v/>
      </c>
      <c r="L569" s="99">
        <f>COUNTIF($F$5:$F$979,"&lt;"&amp;F569)+(COUNTIF($F$5:$F$979,"="&amp;F569)+1)/2</f>
        <v/>
      </c>
      <c r="M569" s="99">
        <f>COUNTIF($G$5:$G$979,"&lt;"&amp;G569)+(COUNTIF($G$5:$G$979,"="&amp;G569)+1)/2</f>
        <v/>
      </c>
      <c r="N569" s="99">
        <f>COUNTIF($H$5:$H$979,"&lt;"&amp;H569)+(COUNTIF($H$5:$H$979,"="&amp;H569)+1)/2</f>
        <v/>
      </c>
      <c r="O569" s="99">
        <f>COUNTIF($I$5:$I$979,"&lt;"&amp;I569)+(COUNTIF($I$5:$I$979,"="&amp;I569)+1)/2</f>
        <v/>
      </c>
      <c r="P569" s="99">
        <f>COUNTIF($J$5:$J$979,"&lt;"&amp;J569)+(COUNTIF($J$5:$J$979,"="&amp;J569)+1)/2</f>
        <v/>
      </c>
    </row>
    <row r="570" ht="15" customHeight="1" s="68">
      <c r="A570" s="70">
        <f>'01_원자료'!A567</f>
        <v/>
      </c>
      <c r="B570" s="70">
        <f>'01_원자료'!B567</f>
        <v/>
      </c>
      <c r="C570" s="70">
        <f>'01_원자료'!C567</f>
        <v/>
      </c>
      <c r="E570" s="85">
        <f>'01_원자료'!P567*'03_가중치민감도'!$B$5+'01_원자료'!Q567*'03_가중치민감도'!$C$5+'01_원자료'!R567*'03_가중치민감도'!$D$5</f>
        <v/>
      </c>
      <c r="F570" s="85">
        <f>'01_원자료'!P567*'03_가중치민감도'!$B$6+'01_원자료'!Q567*'03_가중치민감도'!$C$6+'01_원자료'!R567*'03_가중치민감도'!$D$6</f>
        <v/>
      </c>
      <c r="G570" s="85">
        <f>'01_원자료'!P567*'03_가중치민감도'!$B$7+'01_원자료'!Q567*'03_가중치민감도'!$C$7+'01_원자료'!R567*'03_가중치민감도'!$D$7</f>
        <v/>
      </c>
      <c r="H570" s="85">
        <f>'01_원자료'!P567*'03_가중치민감도'!$B$8+'01_원자료'!Q567*'03_가중치민감도'!$C$8+'01_원자료'!R567*'03_가중치민감도'!$D$8</f>
        <v/>
      </c>
      <c r="I570" s="85">
        <f>'01_원자료'!P567*'03_가중치민감도'!$B$9+'01_원자료'!Q567*'03_가중치민감도'!$C$9+'01_원자료'!R567*'03_가중치민감도'!$D$9</f>
        <v/>
      </c>
      <c r="J570" s="85">
        <f>'01_원자료'!P567*'03_가중치민감도'!$B$10+'01_원자료'!Q567*'03_가중치민감도'!$C$10+'01_원자료'!R567*'03_가중치민감도'!$D$10</f>
        <v/>
      </c>
      <c r="K570" s="99">
        <f>COUNTIF($E$5:$E$979,"&lt;"&amp;E570)+(COUNTIF($E$5:$E$979,"="&amp;E570)+1)/2</f>
        <v/>
      </c>
      <c r="L570" s="99">
        <f>COUNTIF($F$5:$F$979,"&lt;"&amp;F570)+(COUNTIF($F$5:$F$979,"="&amp;F570)+1)/2</f>
        <v/>
      </c>
      <c r="M570" s="99">
        <f>COUNTIF($G$5:$G$979,"&lt;"&amp;G570)+(COUNTIF($G$5:$G$979,"="&amp;G570)+1)/2</f>
        <v/>
      </c>
      <c r="N570" s="99">
        <f>COUNTIF($H$5:$H$979,"&lt;"&amp;H570)+(COUNTIF($H$5:$H$979,"="&amp;H570)+1)/2</f>
        <v/>
      </c>
      <c r="O570" s="99">
        <f>COUNTIF($I$5:$I$979,"&lt;"&amp;I570)+(COUNTIF($I$5:$I$979,"="&amp;I570)+1)/2</f>
        <v/>
      </c>
      <c r="P570" s="99">
        <f>COUNTIF($J$5:$J$979,"&lt;"&amp;J570)+(COUNTIF($J$5:$J$979,"="&amp;J570)+1)/2</f>
        <v/>
      </c>
    </row>
    <row r="571" ht="15" customHeight="1" s="68">
      <c r="A571" s="70">
        <f>'01_원자료'!A568</f>
        <v/>
      </c>
      <c r="B571" s="70">
        <f>'01_원자료'!B568</f>
        <v/>
      </c>
      <c r="C571" s="70">
        <f>'01_원자료'!C568</f>
        <v/>
      </c>
      <c r="E571" s="85">
        <f>'01_원자료'!P568*'03_가중치민감도'!$B$5+'01_원자료'!Q568*'03_가중치민감도'!$C$5+'01_원자료'!R568*'03_가중치민감도'!$D$5</f>
        <v/>
      </c>
      <c r="F571" s="85">
        <f>'01_원자료'!P568*'03_가중치민감도'!$B$6+'01_원자료'!Q568*'03_가중치민감도'!$C$6+'01_원자료'!R568*'03_가중치민감도'!$D$6</f>
        <v/>
      </c>
      <c r="G571" s="85">
        <f>'01_원자료'!P568*'03_가중치민감도'!$B$7+'01_원자료'!Q568*'03_가중치민감도'!$C$7+'01_원자료'!R568*'03_가중치민감도'!$D$7</f>
        <v/>
      </c>
      <c r="H571" s="85">
        <f>'01_원자료'!P568*'03_가중치민감도'!$B$8+'01_원자료'!Q568*'03_가중치민감도'!$C$8+'01_원자료'!R568*'03_가중치민감도'!$D$8</f>
        <v/>
      </c>
      <c r="I571" s="85">
        <f>'01_원자료'!P568*'03_가중치민감도'!$B$9+'01_원자료'!Q568*'03_가중치민감도'!$C$9+'01_원자료'!R568*'03_가중치민감도'!$D$9</f>
        <v/>
      </c>
      <c r="J571" s="85">
        <f>'01_원자료'!P568*'03_가중치민감도'!$B$10+'01_원자료'!Q568*'03_가중치민감도'!$C$10+'01_원자료'!R568*'03_가중치민감도'!$D$10</f>
        <v/>
      </c>
      <c r="K571" s="99">
        <f>COUNTIF($E$5:$E$979,"&lt;"&amp;E571)+(COUNTIF($E$5:$E$979,"="&amp;E571)+1)/2</f>
        <v/>
      </c>
      <c r="L571" s="99">
        <f>COUNTIF($F$5:$F$979,"&lt;"&amp;F571)+(COUNTIF($F$5:$F$979,"="&amp;F571)+1)/2</f>
        <v/>
      </c>
      <c r="M571" s="99">
        <f>COUNTIF($G$5:$G$979,"&lt;"&amp;G571)+(COUNTIF($G$5:$G$979,"="&amp;G571)+1)/2</f>
        <v/>
      </c>
      <c r="N571" s="99">
        <f>COUNTIF($H$5:$H$979,"&lt;"&amp;H571)+(COUNTIF($H$5:$H$979,"="&amp;H571)+1)/2</f>
        <v/>
      </c>
      <c r="O571" s="99">
        <f>COUNTIF($I$5:$I$979,"&lt;"&amp;I571)+(COUNTIF($I$5:$I$979,"="&amp;I571)+1)/2</f>
        <v/>
      </c>
      <c r="P571" s="99">
        <f>COUNTIF($J$5:$J$979,"&lt;"&amp;J571)+(COUNTIF($J$5:$J$979,"="&amp;J571)+1)/2</f>
        <v/>
      </c>
    </row>
    <row r="572" ht="15" customHeight="1" s="68">
      <c r="A572" s="70">
        <f>'01_원자료'!A569</f>
        <v/>
      </c>
      <c r="B572" s="70">
        <f>'01_원자료'!B569</f>
        <v/>
      </c>
      <c r="C572" s="70">
        <f>'01_원자료'!C569</f>
        <v/>
      </c>
      <c r="E572" s="85">
        <f>'01_원자료'!P569*'03_가중치민감도'!$B$5+'01_원자료'!Q569*'03_가중치민감도'!$C$5+'01_원자료'!R569*'03_가중치민감도'!$D$5</f>
        <v/>
      </c>
      <c r="F572" s="85">
        <f>'01_원자료'!P569*'03_가중치민감도'!$B$6+'01_원자료'!Q569*'03_가중치민감도'!$C$6+'01_원자료'!R569*'03_가중치민감도'!$D$6</f>
        <v/>
      </c>
      <c r="G572" s="85">
        <f>'01_원자료'!P569*'03_가중치민감도'!$B$7+'01_원자료'!Q569*'03_가중치민감도'!$C$7+'01_원자료'!R569*'03_가중치민감도'!$D$7</f>
        <v/>
      </c>
      <c r="H572" s="85">
        <f>'01_원자료'!P569*'03_가중치민감도'!$B$8+'01_원자료'!Q569*'03_가중치민감도'!$C$8+'01_원자료'!R569*'03_가중치민감도'!$D$8</f>
        <v/>
      </c>
      <c r="I572" s="85">
        <f>'01_원자료'!P569*'03_가중치민감도'!$B$9+'01_원자료'!Q569*'03_가중치민감도'!$C$9+'01_원자료'!R569*'03_가중치민감도'!$D$9</f>
        <v/>
      </c>
      <c r="J572" s="85">
        <f>'01_원자료'!P569*'03_가중치민감도'!$B$10+'01_원자료'!Q569*'03_가중치민감도'!$C$10+'01_원자료'!R569*'03_가중치민감도'!$D$10</f>
        <v/>
      </c>
      <c r="K572" s="99">
        <f>COUNTIF($E$5:$E$979,"&lt;"&amp;E572)+(COUNTIF($E$5:$E$979,"="&amp;E572)+1)/2</f>
        <v/>
      </c>
      <c r="L572" s="99">
        <f>COUNTIF($F$5:$F$979,"&lt;"&amp;F572)+(COUNTIF($F$5:$F$979,"="&amp;F572)+1)/2</f>
        <v/>
      </c>
      <c r="M572" s="99">
        <f>COUNTIF($G$5:$G$979,"&lt;"&amp;G572)+(COUNTIF($G$5:$G$979,"="&amp;G572)+1)/2</f>
        <v/>
      </c>
      <c r="N572" s="99">
        <f>COUNTIF($H$5:$H$979,"&lt;"&amp;H572)+(COUNTIF($H$5:$H$979,"="&amp;H572)+1)/2</f>
        <v/>
      </c>
      <c r="O572" s="99">
        <f>COUNTIF($I$5:$I$979,"&lt;"&amp;I572)+(COUNTIF($I$5:$I$979,"="&amp;I572)+1)/2</f>
        <v/>
      </c>
      <c r="P572" s="99">
        <f>COUNTIF($J$5:$J$979,"&lt;"&amp;J572)+(COUNTIF($J$5:$J$979,"="&amp;J572)+1)/2</f>
        <v/>
      </c>
    </row>
    <row r="573" ht="15" customHeight="1" s="68">
      <c r="A573" s="70">
        <f>'01_원자료'!A570</f>
        <v/>
      </c>
      <c r="B573" s="70">
        <f>'01_원자료'!B570</f>
        <v/>
      </c>
      <c r="C573" s="70">
        <f>'01_원자료'!C570</f>
        <v/>
      </c>
      <c r="E573" s="85">
        <f>'01_원자료'!P570*'03_가중치민감도'!$B$5+'01_원자료'!Q570*'03_가중치민감도'!$C$5+'01_원자료'!R570*'03_가중치민감도'!$D$5</f>
        <v/>
      </c>
      <c r="F573" s="85">
        <f>'01_원자료'!P570*'03_가중치민감도'!$B$6+'01_원자료'!Q570*'03_가중치민감도'!$C$6+'01_원자료'!R570*'03_가중치민감도'!$D$6</f>
        <v/>
      </c>
      <c r="G573" s="85">
        <f>'01_원자료'!P570*'03_가중치민감도'!$B$7+'01_원자료'!Q570*'03_가중치민감도'!$C$7+'01_원자료'!R570*'03_가중치민감도'!$D$7</f>
        <v/>
      </c>
      <c r="H573" s="85">
        <f>'01_원자료'!P570*'03_가중치민감도'!$B$8+'01_원자료'!Q570*'03_가중치민감도'!$C$8+'01_원자료'!R570*'03_가중치민감도'!$D$8</f>
        <v/>
      </c>
      <c r="I573" s="85">
        <f>'01_원자료'!P570*'03_가중치민감도'!$B$9+'01_원자료'!Q570*'03_가중치민감도'!$C$9+'01_원자료'!R570*'03_가중치민감도'!$D$9</f>
        <v/>
      </c>
      <c r="J573" s="85">
        <f>'01_원자료'!P570*'03_가중치민감도'!$B$10+'01_원자료'!Q570*'03_가중치민감도'!$C$10+'01_원자료'!R570*'03_가중치민감도'!$D$10</f>
        <v/>
      </c>
      <c r="K573" s="99">
        <f>COUNTIF($E$5:$E$979,"&lt;"&amp;E573)+(COUNTIF($E$5:$E$979,"="&amp;E573)+1)/2</f>
        <v/>
      </c>
      <c r="L573" s="99">
        <f>COUNTIF($F$5:$F$979,"&lt;"&amp;F573)+(COUNTIF($F$5:$F$979,"="&amp;F573)+1)/2</f>
        <v/>
      </c>
      <c r="M573" s="99">
        <f>COUNTIF($G$5:$G$979,"&lt;"&amp;G573)+(COUNTIF($G$5:$G$979,"="&amp;G573)+1)/2</f>
        <v/>
      </c>
      <c r="N573" s="99">
        <f>COUNTIF($H$5:$H$979,"&lt;"&amp;H573)+(COUNTIF($H$5:$H$979,"="&amp;H573)+1)/2</f>
        <v/>
      </c>
      <c r="O573" s="99">
        <f>COUNTIF($I$5:$I$979,"&lt;"&amp;I573)+(COUNTIF($I$5:$I$979,"="&amp;I573)+1)/2</f>
        <v/>
      </c>
      <c r="P573" s="99">
        <f>COUNTIF($J$5:$J$979,"&lt;"&amp;J573)+(COUNTIF($J$5:$J$979,"="&amp;J573)+1)/2</f>
        <v/>
      </c>
    </row>
    <row r="574" ht="15" customHeight="1" s="68">
      <c r="A574" s="70">
        <f>'01_원자료'!A571</f>
        <v/>
      </c>
      <c r="B574" s="70">
        <f>'01_원자료'!B571</f>
        <v/>
      </c>
      <c r="C574" s="70">
        <f>'01_원자료'!C571</f>
        <v/>
      </c>
      <c r="E574" s="85">
        <f>'01_원자료'!P571*'03_가중치민감도'!$B$5+'01_원자료'!Q571*'03_가중치민감도'!$C$5+'01_원자료'!R571*'03_가중치민감도'!$D$5</f>
        <v/>
      </c>
      <c r="F574" s="85">
        <f>'01_원자료'!P571*'03_가중치민감도'!$B$6+'01_원자료'!Q571*'03_가중치민감도'!$C$6+'01_원자료'!R571*'03_가중치민감도'!$D$6</f>
        <v/>
      </c>
      <c r="G574" s="85">
        <f>'01_원자료'!P571*'03_가중치민감도'!$B$7+'01_원자료'!Q571*'03_가중치민감도'!$C$7+'01_원자료'!R571*'03_가중치민감도'!$D$7</f>
        <v/>
      </c>
      <c r="H574" s="85">
        <f>'01_원자료'!P571*'03_가중치민감도'!$B$8+'01_원자료'!Q571*'03_가중치민감도'!$C$8+'01_원자료'!R571*'03_가중치민감도'!$D$8</f>
        <v/>
      </c>
      <c r="I574" s="85">
        <f>'01_원자료'!P571*'03_가중치민감도'!$B$9+'01_원자료'!Q571*'03_가중치민감도'!$C$9+'01_원자료'!R571*'03_가중치민감도'!$D$9</f>
        <v/>
      </c>
      <c r="J574" s="85">
        <f>'01_원자료'!P571*'03_가중치민감도'!$B$10+'01_원자료'!Q571*'03_가중치민감도'!$C$10+'01_원자료'!R571*'03_가중치민감도'!$D$10</f>
        <v/>
      </c>
      <c r="K574" s="99">
        <f>COUNTIF($E$5:$E$979,"&lt;"&amp;E574)+(COUNTIF($E$5:$E$979,"="&amp;E574)+1)/2</f>
        <v/>
      </c>
      <c r="L574" s="99">
        <f>COUNTIF($F$5:$F$979,"&lt;"&amp;F574)+(COUNTIF($F$5:$F$979,"="&amp;F574)+1)/2</f>
        <v/>
      </c>
      <c r="M574" s="99">
        <f>COUNTIF($G$5:$G$979,"&lt;"&amp;G574)+(COUNTIF($G$5:$G$979,"="&amp;G574)+1)/2</f>
        <v/>
      </c>
      <c r="N574" s="99">
        <f>COUNTIF($H$5:$H$979,"&lt;"&amp;H574)+(COUNTIF($H$5:$H$979,"="&amp;H574)+1)/2</f>
        <v/>
      </c>
      <c r="O574" s="99">
        <f>COUNTIF($I$5:$I$979,"&lt;"&amp;I574)+(COUNTIF($I$5:$I$979,"="&amp;I574)+1)/2</f>
        <v/>
      </c>
      <c r="P574" s="99">
        <f>COUNTIF($J$5:$J$979,"&lt;"&amp;J574)+(COUNTIF($J$5:$J$979,"="&amp;J574)+1)/2</f>
        <v/>
      </c>
    </row>
    <row r="575" ht="15" customHeight="1" s="68">
      <c r="A575" s="70">
        <f>'01_원자료'!A572</f>
        <v/>
      </c>
      <c r="B575" s="70">
        <f>'01_원자료'!B572</f>
        <v/>
      </c>
      <c r="C575" s="70">
        <f>'01_원자료'!C572</f>
        <v/>
      </c>
      <c r="E575" s="85">
        <f>'01_원자료'!P572*'03_가중치민감도'!$B$5+'01_원자료'!Q572*'03_가중치민감도'!$C$5+'01_원자료'!R572*'03_가중치민감도'!$D$5</f>
        <v/>
      </c>
      <c r="F575" s="85">
        <f>'01_원자료'!P572*'03_가중치민감도'!$B$6+'01_원자료'!Q572*'03_가중치민감도'!$C$6+'01_원자료'!R572*'03_가중치민감도'!$D$6</f>
        <v/>
      </c>
      <c r="G575" s="85">
        <f>'01_원자료'!P572*'03_가중치민감도'!$B$7+'01_원자료'!Q572*'03_가중치민감도'!$C$7+'01_원자료'!R572*'03_가중치민감도'!$D$7</f>
        <v/>
      </c>
      <c r="H575" s="85">
        <f>'01_원자료'!P572*'03_가중치민감도'!$B$8+'01_원자료'!Q572*'03_가중치민감도'!$C$8+'01_원자료'!R572*'03_가중치민감도'!$D$8</f>
        <v/>
      </c>
      <c r="I575" s="85">
        <f>'01_원자료'!P572*'03_가중치민감도'!$B$9+'01_원자료'!Q572*'03_가중치민감도'!$C$9+'01_원자료'!R572*'03_가중치민감도'!$D$9</f>
        <v/>
      </c>
      <c r="J575" s="85">
        <f>'01_원자료'!P572*'03_가중치민감도'!$B$10+'01_원자료'!Q572*'03_가중치민감도'!$C$10+'01_원자료'!R572*'03_가중치민감도'!$D$10</f>
        <v/>
      </c>
      <c r="K575" s="99">
        <f>COUNTIF($E$5:$E$979,"&lt;"&amp;E575)+(COUNTIF($E$5:$E$979,"="&amp;E575)+1)/2</f>
        <v/>
      </c>
      <c r="L575" s="99">
        <f>COUNTIF($F$5:$F$979,"&lt;"&amp;F575)+(COUNTIF($F$5:$F$979,"="&amp;F575)+1)/2</f>
        <v/>
      </c>
      <c r="M575" s="99">
        <f>COUNTIF($G$5:$G$979,"&lt;"&amp;G575)+(COUNTIF($G$5:$G$979,"="&amp;G575)+1)/2</f>
        <v/>
      </c>
      <c r="N575" s="99">
        <f>COUNTIF($H$5:$H$979,"&lt;"&amp;H575)+(COUNTIF($H$5:$H$979,"="&amp;H575)+1)/2</f>
        <v/>
      </c>
      <c r="O575" s="99">
        <f>COUNTIF($I$5:$I$979,"&lt;"&amp;I575)+(COUNTIF($I$5:$I$979,"="&amp;I575)+1)/2</f>
        <v/>
      </c>
      <c r="P575" s="99">
        <f>COUNTIF($J$5:$J$979,"&lt;"&amp;J575)+(COUNTIF($J$5:$J$979,"="&amp;J575)+1)/2</f>
        <v/>
      </c>
    </row>
    <row r="576" ht="15" customHeight="1" s="68">
      <c r="A576" s="70">
        <f>'01_원자료'!A573</f>
        <v/>
      </c>
      <c r="B576" s="70">
        <f>'01_원자료'!B573</f>
        <v/>
      </c>
      <c r="C576" s="70">
        <f>'01_원자료'!C573</f>
        <v/>
      </c>
      <c r="E576" s="85">
        <f>'01_원자료'!P573*'03_가중치민감도'!$B$5+'01_원자료'!Q573*'03_가중치민감도'!$C$5+'01_원자료'!R573*'03_가중치민감도'!$D$5</f>
        <v/>
      </c>
      <c r="F576" s="85">
        <f>'01_원자료'!P573*'03_가중치민감도'!$B$6+'01_원자료'!Q573*'03_가중치민감도'!$C$6+'01_원자료'!R573*'03_가중치민감도'!$D$6</f>
        <v/>
      </c>
      <c r="G576" s="85">
        <f>'01_원자료'!P573*'03_가중치민감도'!$B$7+'01_원자료'!Q573*'03_가중치민감도'!$C$7+'01_원자료'!R573*'03_가중치민감도'!$D$7</f>
        <v/>
      </c>
      <c r="H576" s="85">
        <f>'01_원자료'!P573*'03_가중치민감도'!$B$8+'01_원자료'!Q573*'03_가중치민감도'!$C$8+'01_원자료'!R573*'03_가중치민감도'!$D$8</f>
        <v/>
      </c>
      <c r="I576" s="85">
        <f>'01_원자료'!P573*'03_가중치민감도'!$B$9+'01_원자료'!Q573*'03_가중치민감도'!$C$9+'01_원자료'!R573*'03_가중치민감도'!$D$9</f>
        <v/>
      </c>
      <c r="J576" s="85">
        <f>'01_원자료'!P573*'03_가중치민감도'!$B$10+'01_원자료'!Q573*'03_가중치민감도'!$C$10+'01_원자료'!R573*'03_가중치민감도'!$D$10</f>
        <v/>
      </c>
      <c r="K576" s="99">
        <f>COUNTIF($E$5:$E$979,"&lt;"&amp;E576)+(COUNTIF($E$5:$E$979,"="&amp;E576)+1)/2</f>
        <v/>
      </c>
      <c r="L576" s="99">
        <f>COUNTIF($F$5:$F$979,"&lt;"&amp;F576)+(COUNTIF($F$5:$F$979,"="&amp;F576)+1)/2</f>
        <v/>
      </c>
      <c r="M576" s="99">
        <f>COUNTIF($G$5:$G$979,"&lt;"&amp;G576)+(COUNTIF($G$5:$G$979,"="&amp;G576)+1)/2</f>
        <v/>
      </c>
      <c r="N576" s="99">
        <f>COUNTIF($H$5:$H$979,"&lt;"&amp;H576)+(COUNTIF($H$5:$H$979,"="&amp;H576)+1)/2</f>
        <v/>
      </c>
      <c r="O576" s="99">
        <f>COUNTIF($I$5:$I$979,"&lt;"&amp;I576)+(COUNTIF($I$5:$I$979,"="&amp;I576)+1)/2</f>
        <v/>
      </c>
      <c r="P576" s="99">
        <f>COUNTIF($J$5:$J$979,"&lt;"&amp;J576)+(COUNTIF($J$5:$J$979,"="&amp;J576)+1)/2</f>
        <v/>
      </c>
    </row>
    <row r="577" ht="15" customHeight="1" s="68">
      <c r="A577" s="70">
        <f>'01_원자료'!A574</f>
        <v/>
      </c>
      <c r="B577" s="70">
        <f>'01_원자료'!B574</f>
        <v/>
      </c>
      <c r="C577" s="70">
        <f>'01_원자료'!C574</f>
        <v/>
      </c>
      <c r="E577" s="85">
        <f>'01_원자료'!P574*'03_가중치민감도'!$B$5+'01_원자료'!Q574*'03_가중치민감도'!$C$5+'01_원자료'!R574*'03_가중치민감도'!$D$5</f>
        <v/>
      </c>
      <c r="F577" s="85">
        <f>'01_원자료'!P574*'03_가중치민감도'!$B$6+'01_원자료'!Q574*'03_가중치민감도'!$C$6+'01_원자료'!R574*'03_가중치민감도'!$D$6</f>
        <v/>
      </c>
      <c r="G577" s="85">
        <f>'01_원자료'!P574*'03_가중치민감도'!$B$7+'01_원자료'!Q574*'03_가중치민감도'!$C$7+'01_원자료'!R574*'03_가중치민감도'!$D$7</f>
        <v/>
      </c>
      <c r="H577" s="85">
        <f>'01_원자료'!P574*'03_가중치민감도'!$B$8+'01_원자료'!Q574*'03_가중치민감도'!$C$8+'01_원자료'!R574*'03_가중치민감도'!$D$8</f>
        <v/>
      </c>
      <c r="I577" s="85">
        <f>'01_원자료'!P574*'03_가중치민감도'!$B$9+'01_원자료'!Q574*'03_가중치민감도'!$C$9+'01_원자료'!R574*'03_가중치민감도'!$D$9</f>
        <v/>
      </c>
      <c r="J577" s="85">
        <f>'01_원자료'!P574*'03_가중치민감도'!$B$10+'01_원자료'!Q574*'03_가중치민감도'!$C$10+'01_원자료'!R574*'03_가중치민감도'!$D$10</f>
        <v/>
      </c>
      <c r="K577" s="99">
        <f>COUNTIF($E$5:$E$979,"&lt;"&amp;E577)+(COUNTIF($E$5:$E$979,"="&amp;E577)+1)/2</f>
        <v/>
      </c>
      <c r="L577" s="99">
        <f>COUNTIF($F$5:$F$979,"&lt;"&amp;F577)+(COUNTIF($F$5:$F$979,"="&amp;F577)+1)/2</f>
        <v/>
      </c>
      <c r="M577" s="99">
        <f>COUNTIF($G$5:$G$979,"&lt;"&amp;G577)+(COUNTIF($G$5:$G$979,"="&amp;G577)+1)/2</f>
        <v/>
      </c>
      <c r="N577" s="99">
        <f>COUNTIF($H$5:$H$979,"&lt;"&amp;H577)+(COUNTIF($H$5:$H$979,"="&amp;H577)+1)/2</f>
        <v/>
      </c>
      <c r="O577" s="99">
        <f>COUNTIF($I$5:$I$979,"&lt;"&amp;I577)+(COUNTIF($I$5:$I$979,"="&amp;I577)+1)/2</f>
        <v/>
      </c>
      <c r="P577" s="99">
        <f>COUNTIF($J$5:$J$979,"&lt;"&amp;J577)+(COUNTIF($J$5:$J$979,"="&amp;J577)+1)/2</f>
        <v/>
      </c>
    </row>
    <row r="578" ht="15" customHeight="1" s="68">
      <c r="A578" s="70">
        <f>'01_원자료'!A575</f>
        <v/>
      </c>
      <c r="B578" s="70">
        <f>'01_원자료'!B575</f>
        <v/>
      </c>
      <c r="C578" s="70">
        <f>'01_원자료'!C575</f>
        <v/>
      </c>
      <c r="E578" s="85">
        <f>'01_원자료'!P575*'03_가중치민감도'!$B$5+'01_원자료'!Q575*'03_가중치민감도'!$C$5+'01_원자료'!R575*'03_가중치민감도'!$D$5</f>
        <v/>
      </c>
      <c r="F578" s="85">
        <f>'01_원자료'!P575*'03_가중치민감도'!$B$6+'01_원자료'!Q575*'03_가중치민감도'!$C$6+'01_원자료'!R575*'03_가중치민감도'!$D$6</f>
        <v/>
      </c>
      <c r="G578" s="85">
        <f>'01_원자료'!P575*'03_가중치민감도'!$B$7+'01_원자료'!Q575*'03_가중치민감도'!$C$7+'01_원자료'!R575*'03_가중치민감도'!$D$7</f>
        <v/>
      </c>
      <c r="H578" s="85">
        <f>'01_원자료'!P575*'03_가중치민감도'!$B$8+'01_원자료'!Q575*'03_가중치민감도'!$C$8+'01_원자료'!R575*'03_가중치민감도'!$D$8</f>
        <v/>
      </c>
      <c r="I578" s="85">
        <f>'01_원자료'!P575*'03_가중치민감도'!$B$9+'01_원자료'!Q575*'03_가중치민감도'!$C$9+'01_원자료'!R575*'03_가중치민감도'!$D$9</f>
        <v/>
      </c>
      <c r="J578" s="85">
        <f>'01_원자료'!P575*'03_가중치민감도'!$B$10+'01_원자료'!Q575*'03_가중치민감도'!$C$10+'01_원자료'!R575*'03_가중치민감도'!$D$10</f>
        <v/>
      </c>
      <c r="K578" s="99">
        <f>COUNTIF($E$5:$E$979,"&lt;"&amp;E578)+(COUNTIF($E$5:$E$979,"="&amp;E578)+1)/2</f>
        <v/>
      </c>
      <c r="L578" s="99">
        <f>COUNTIF($F$5:$F$979,"&lt;"&amp;F578)+(COUNTIF($F$5:$F$979,"="&amp;F578)+1)/2</f>
        <v/>
      </c>
      <c r="M578" s="99">
        <f>COUNTIF($G$5:$G$979,"&lt;"&amp;G578)+(COUNTIF($G$5:$G$979,"="&amp;G578)+1)/2</f>
        <v/>
      </c>
      <c r="N578" s="99">
        <f>COUNTIF($H$5:$H$979,"&lt;"&amp;H578)+(COUNTIF($H$5:$H$979,"="&amp;H578)+1)/2</f>
        <v/>
      </c>
      <c r="O578" s="99">
        <f>COUNTIF($I$5:$I$979,"&lt;"&amp;I578)+(COUNTIF($I$5:$I$979,"="&amp;I578)+1)/2</f>
        <v/>
      </c>
      <c r="P578" s="99">
        <f>COUNTIF($J$5:$J$979,"&lt;"&amp;J578)+(COUNTIF($J$5:$J$979,"="&amp;J578)+1)/2</f>
        <v/>
      </c>
    </row>
    <row r="579" ht="15" customHeight="1" s="68">
      <c r="A579" s="70">
        <f>'01_원자료'!A576</f>
        <v/>
      </c>
      <c r="B579" s="70">
        <f>'01_원자료'!B576</f>
        <v/>
      </c>
      <c r="C579" s="70">
        <f>'01_원자료'!C576</f>
        <v/>
      </c>
      <c r="E579" s="85">
        <f>'01_원자료'!P576*'03_가중치민감도'!$B$5+'01_원자료'!Q576*'03_가중치민감도'!$C$5+'01_원자료'!R576*'03_가중치민감도'!$D$5</f>
        <v/>
      </c>
      <c r="F579" s="85">
        <f>'01_원자료'!P576*'03_가중치민감도'!$B$6+'01_원자료'!Q576*'03_가중치민감도'!$C$6+'01_원자료'!R576*'03_가중치민감도'!$D$6</f>
        <v/>
      </c>
      <c r="G579" s="85">
        <f>'01_원자료'!P576*'03_가중치민감도'!$B$7+'01_원자료'!Q576*'03_가중치민감도'!$C$7+'01_원자료'!R576*'03_가중치민감도'!$D$7</f>
        <v/>
      </c>
      <c r="H579" s="85">
        <f>'01_원자료'!P576*'03_가중치민감도'!$B$8+'01_원자료'!Q576*'03_가중치민감도'!$C$8+'01_원자료'!R576*'03_가중치민감도'!$D$8</f>
        <v/>
      </c>
      <c r="I579" s="85">
        <f>'01_원자료'!P576*'03_가중치민감도'!$B$9+'01_원자료'!Q576*'03_가중치민감도'!$C$9+'01_원자료'!R576*'03_가중치민감도'!$D$9</f>
        <v/>
      </c>
      <c r="J579" s="85">
        <f>'01_원자료'!P576*'03_가중치민감도'!$B$10+'01_원자료'!Q576*'03_가중치민감도'!$C$10+'01_원자료'!R576*'03_가중치민감도'!$D$10</f>
        <v/>
      </c>
      <c r="K579" s="99">
        <f>COUNTIF($E$5:$E$979,"&lt;"&amp;E579)+(COUNTIF($E$5:$E$979,"="&amp;E579)+1)/2</f>
        <v/>
      </c>
      <c r="L579" s="99">
        <f>COUNTIF($F$5:$F$979,"&lt;"&amp;F579)+(COUNTIF($F$5:$F$979,"="&amp;F579)+1)/2</f>
        <v/>
      </c>
      <c r="M579" s="99">
        <f>COUNTIF($G$5:$G$979,"&lt;"&amp;G579)+(COUNTIF($G$5:$G$979,"="&amp;G579)+1)/2</f>
        <v/>
      </c>
      <c r="N579" s="99">
        <f>COUNTIF($H$5:$H$979,"&lt;"&amp;H579)+(COUNTIF($H$5:$H$979,"="&amp;H579)+1)/2</f>
        <v/>
      </c>
      <c r="O579" s="99">
        <f>COUNTIF($I$5:$I$979,"&lt;"&amp;I579)+(COUNTIF($I$5:$I$979,"="&amp;I579)+1)/2</f>
        <v/>
      </c>
      <c r="P579" s="99">
        <f>COUNTIF($J$5:$J$979,"&lt;"&amp;J579)+(COUNTIF($J$5:$J$979,"="&amp;J579)+1)/2</f>
        <v/>
      </c>
    </row>
    <row r="580" ht="15" customHeight="1" s="68">
      <c r="A580" s="70">
        <f>'01_원자료'!A577</f>
        <v/>
      </c>
      <c r="B580" s="70">
        <f>'01_원자료'!B577</f>
        <v/>
      </c>
      <c r="C580" s="70">
        <f>'01_원자료'!C577</f>
        <v/>
      </c>
      <c r="E580" s="85">
        <f>'01_원자료'!P577*'03_가중치민감도'!$B$5+'01_원자료'!Q577*'03_가중치민감도'!$C$5+'01_원자료'!R577*'03_가중치민감도'!$D$5</f>
        <v/>
      </c>
      <c r="F580" s="85">
        <f>'01_원자료'!P577*'03_가중치민감도'!$B$6+'01_원자료'!Q577*'03_가중치민감도'!$C$6+'01_원자료'!R577*'03_가중치민감도'!$D$6</f>
        <v/>
      </c>
      <c r="G580" s="85">
        <f>'01_원자료'!P577*'03_가중치민감도'!$B$7+'01_원자료'!Q577*'03_가중치민감도'!$C$7+'01_원자료'!R577*'03_가중치민감도'!$D$7</f>
        <v/>
      </c>
      <c r="H580" s="85">
        <f>'01_원자료'!P577*'03_가중치민감도'!$B$8+'01_원자료'!Q577*'03_가중치민감도'!$C$8+'01_원자료'!R577*'03_가중치민감도'!$D$8</f>
        <v/>
      </c>
      <c r="I580" s="85">
        <f>'01_원자료'!P577*'03_가중치민감도'!$B$9+'01_원자료'!Q577*'03_가중치민감도'!$C$9+'01_원자료'!R577*'03_가중치민감도'!$D$9</f>
        <v/>
      </c>
      <c r="J580" s="85">
        <f>'01_원자료'!P577*'03_가중치민감도'!$B$10+'01_원자료'!Q577*'03_가중치민감도'!$C$10+'01_원자료'!R577*'03_가중치민감도'!$D$10</f>
        <v/>
      </c>
      <c r="K580" s="99">
        <f>COUNTIF($E$5:$E$979,"&lt;"&amp;E580)+(COUNTIF($E$5:$E$979,"="&amp;E580)+1)/2</f>
        <v/>
      </c>
      <c r="L580" s="99">
        <f>COUNTIF($F$5:$F$979,"&lt;"&amp;F580)+(COUNTIF($F$5:$F$979,"="&amp;F580)+1)/2</f>
        <v/>
      </c>
      <c r="M580" s="99">
        <f>COUNTIF($G$5:$G$979,"&lt;"&amp;G580)+(COUNTIF($G$5:$G$979,"="&amp;G580)+1)/2</f>
        <v/>
      </c>
      <c r="N580" s="99">
        <f>COUNTIF($H$5:$H$979,"&lt;"&amp;H580)+(COUNTIF($H$5:$H$979,"="&amp;H580)+1)/2</f>
        <v/>
      </c>
      <c r="O580" s="99">
        <f>COUNTIF($I$5:$I$979,"&lt;"&amp;I580)+(COUNTIF($I$5:$I$979,"="&amp;I580)+1)/2</f>
        <v/>
      </c>
      <c r="P580" s="99">
        <f>COUNTIF($J$5:$J$979,"&lt;"&amp;J580)+(COUNTIF($J$5:$J$979,"="&amp;J580)+1)/2</f>
        <v/>
      </c>
    </row>
    <row r="581" ht="15" customHeight="1" s="68">
      <c r="A581" s="70">
        <f>'01_원자료'!A578</f>
        <v/>
      </c>
      <c r="B581" s="70">
        <f>'01_원자료'!B578</f>
        <v/>
      </c>
      <c r="C581" s="70">
        <f>'01_원자료'!C578</f>
        <v/>
      </c>
      <c r="E581" s="85">
        <f>'01_원자료'!P578*'03_가중치민감도'!$B$5+'01_원자료'!Q578*'03_가중치민감도'!$C$5+'01_원자료'!R578*'03_가중치민감도'!$D$5</f>
        <v/>
      </c>
      <c r="F581" s="85">
        <f>'01_원자료'!P578*'03_가중치민감도'!$B$6+'01_원자료'!Q578*'03_가중치민감도'!$C$6+'01_원자료'!R578*'03_가중치민감도'!$D$6</f>
        <v/>
      </c>
      <c r="G581" s="85">
        <f>'01_원자료'!P578*'03_가중치민감도'!$B$7+'01_원자료'!Q578*'03_가중치민감도'!$C$7+'01_원자료'!R578*'03_가중치민감도'!$D$7</f>
        <v/>
      </c>
      <c r="H581" s="85">
        <f>'01_원자료'!P578*'03_가중치민감도'!$B$8+'01_원자료'!Q578*'03_가중치민감도'!$C$8+'01_원자료'!R578*'03_가중치민감도'!$D$8</f>
        <v/>
      </c>
      <c r="I581" s="85">
        <f>'01_원자료'!P578*'03_가중치민감도'!$B$9+'01_원자료'!Q578*'03_가중치민감도'!$C$9+'01_원자료'!R578*'03_가중치민감도'!$D$9</f>
        <v/>
      </c>
      <c r="J581" s="85">
        <f>'01_원자료'!P578*'03_가중치민감도'!$B$10+'01_원자료'!Q578*'03_가중치민감도'!$C$10+'01_원자료'!R578*'03_가중치민감도'!$D$10</f>
        <v/>
      </c>
      <c r="K581" s="99">
        <f>COUNTIF($E$5:$E$979,"&lt;"&amp;E581)+(COUNTIF($E$5:$E$979,"="&amp;E581)+1)/2</f>
        <v/>
      </c>
      <c r="L581" s="99">
        <f>COUNTIF($F$5:$F$979,"&lt;"&amp;F581)+(COUNTIF($F$5:$F$979,"="&amp;F581)+1)/2</f>
        <v/>
      </c>
      <c r="M581" s="99">
        <f>COUNTIF($G$5:$G$979,"&lt;"&amp;G581)+(COUNTIF($G$5:$G$979,"="&amp;G581)+1)/2</f>
        <v/>
      </c>
      <c r="N581" s="99">
        <f>COUNTIF($H$5:$H$979,"&lt;"&amp;H581)+(COUNTIF($H$5:$H$979,"="&amp;H581)+1)/2</f>
        <v/>
      </c>
      <c r="O581" s="99">
        <f>COUNTIF($I$5:$I$979,"&lt;"&amp;I581)+(COUNTIF($I$5:$I$979,"="&amp;I581)+1)/2</f>
        <v/>
      </c>
      <c r="P581" s="99">
        <f>COUNTIF($J$5:$J$979,"&lt;"&amp;J581)+(COUNTIF($J$5:$J$979,"="&amp;J581)+1)/2</f>
        <v/>
      </c>
    </row>
    <row r="582" ht="15" customHeight="1" s="68">
      <c r="A582" s="70">
        <f>'01_원자료'!A579</f>
        <v/>
      </c>
      <c r="B582" s="70">
        <f>'01_원자료'!B579</f>
        <v/>
      </c>
      <c r="C582" s="70">
        <f>'01_원자료'!C579</f>
        <v/>
      </c>
      <c r="E582" s="85">
        <f>'01_원자료'!P579*'03_가중치민감도'!$B$5+'01_원자료'!Q579*'03_가중치민감도'!$C$5+'01_원자료'!R579*'03_가중치민감도'!$D$5</f>
        <v/>
      </c>
      <c r="F582" s="85">
        <f>'01_원자료'!P579*'03_가중치민감도'!$B$6+'01_원자료'!Q579*'03_가중치민감도'!$C$6+'01_원자료'!R579*'03_가중치민감도'!$D$6</f>
        <v/>
      </c>
      <c r="G582" s="85">
        <f>'01_원자료'!P579*'03_가중치민감도'!$B$7+'01_원자료'!Q579*'03_가중치민감도'!$C$7+'01_원자료'!R579*'03_가중치민감도'!$D$7</f>
        <v/>
      </c>
      <c r="H582" s="85">
        <f>'01_원자료'!P579*'03_가중치민감도'!$B$8+'01_원자료'!Q579*'03_가중치민감도'!$C$8+'01_원자료'!R579*'03_가중치민감도'!$D$8</f>
        <v/>
      </c>
      <c r="I582" s="85">
        <f>'01_원자료'!P579*'03_가중치민감도'!$B$9+'01_원자료'!Q579*'03_가중치민감도'!$C$9+'01_원자료'!R579*'03_가중치민감도'!$D$9</f>
        <v/>
      </c>
      <c r="J582" s="85">
        <f>'01_원자료'!P579*'03_가중치민감도'!$B$10+'01_원자료'!Q579*'03_가중치민감도'!$C$10+'01_원자료'!R579*'03_가중치민감도'!$D$10</f>
        <v/>
      </c>
      <c r="K582" s="99">
        <f>COUNTIF($E$5:$E$979,"&lt;"&amp;E582)+(COUNTIF($E$5:$E$979,"="&amp;E582)+1)/2</f>
        <v/>
      </c>
      <c r="L582" s="99">
        <f>COUNTIF($F$5:$F$979,"&lt;"&amp;F582)+(COUNTIF($F$5:$F$979,"="&amp;F582)+1)/2</f>
        <v/>
      </c>
      <c r="M582" s="99">
        <f>COUNTIF($G$5:$G$979,"&lt;"&amp;G582)+(COUNTIF($G$5:$G$979,"="&amp;G582)+1)/2</f>
        <v/>
      </c>
      <c r="N582" s="99">
        <f>COUNTIF($H$5:$H$979,"&lt;"&amp;H582)+(COUNTIF($H$5:$H$979,"="&amp;H582)+1)/2</f>
        <v/>
      </c>
      <c r="O582" s="99">
        <f>COUNTIF($I$5:$I$979,"&lt;"&amp;I582)+(COUNTIF($I$5:$I$979,"="&amp;I582)+1)/2</f>
        <v/>
      </c>
      <c r="P582" s="99">
        <f>COUNTIF($J$5:$J$979,"&lt;"&amp;J582)+(COUNTIF($J$5:$J$979,"="&amp;J582)+1)/2</f>
        <v/>
      </c>
    </row>
    <row r="583" ht="15" customHeight="1" s="68">
      <c r="A583" s="70">
        <f>'01_원자료'!A580</f>
        <v/>
      </c>
      <c r="B583" s="70">
        <f>'01_원자료'!B580</f>
        <v/>
      </c>
      <c r="C583" s="70">
        <f>'01_원자료'!C580</f>
        <v/>
      </c>
      <c r="E583" s="85">
        <f>'01_원자료'!P580*'03_가중치민감도'!$B$5+'01_원자료'!Q580*'03_가중치민감도'!$C$5+'01_원자료'!R580*'03_가중치민감도'!$D$5</f>
        <v/>
      </c>
      <c r="F583" s="85">
        <f>'01_원자료'!P580*'03_가중치민감도'!$B$6+'01_원자료'!Q580*'03_가중치민감도'!$C$6+'01_원자료'!R580*'03_가중치민감도'!$D$6</f>
        <v/>
      </c>
      <c r="G583" s="85">
        <f>'01_원자료'!P580*'03_가중치민감도'!$B$7+'01_원자료'!Q580*'03_가중치민감도'!$C$7+'01_원자료'!R580*'03_가중치민감도'!$D$7</f>
        <v/>
      </c>
      <c r="H583" s="85">
        <f>'01_원자료'!P580*'03_가중치민감도'!$B$8+'01_원자료'!Q580*'03_가중치민감도'!$C$8+'01_원자료'!R580*'03_가중치민감도'!$D$8</f>
        <v/>
      </c>
      <c r="I583" s="85">
        <f>'01_원자료'!P580*'03_가중치민감도'!$B$9+'01_원자료'!Q580*'03_가중치민감도'!$C$9+'01_원자료'!R580*'03_가중치민감도'!$D$9</f>
        <v/>
      </c>
      <c r="J583" s="85">
        <f>'01_원자료'!P580*'03_가중치민감도'!$B$10+'01_원자료'!Q580*'03_가중치민감도'!$C$10+'01_원자료'!R580*'03_가중치민감도'!$D$10</f>
        <v/>
      </c>
      <c r="K583" s="99">
        <f>COUNTIF($E$5:$E$979,"&lt;"&amp;E583)+(COUNTIF($E$5:$E$979,"="&amp;E583)+1)/2</f>
        <v/>
      </c>
      <c r="L583" s="99">
        <f>COUNTIF($F$5:$F$979,"&lt;"&amp;F583)+(COUNTIF($F$5:$F$979,"="&amp;F583)+1)/2</f>
        <v/>
      </c>
      <c r="M583" s="99">
        <f>COUNTIF($G$5:$G$979,"&lt;"&amp;G583)+(COUNTIF($G$5:$G$979,"="&amp;G583)+1)/2</f>
        <v/>
      </c>
      <c r="N583" s="99">
        <f>COUNTIF($H$5:$H$979,"&lt;"&amp;H583)+(COUNTIF($H$5:$H$979,"="&amp;H583)+1)/2</f>
        <v/>
      </c>
      <c r="O583" s="99">
        <f>COUNTIF($I$5:$I$979,"&lt;"&amp;I583)+(COUNTIF($I$5:$I$979,"="&amp;I583)+1)/2</f>
        <v/>
      </c>
      <c r="P583" s="99">
        <f>COUNTIF($J$5:$J$979,"&lt;"&amp;J583)+(COUNTIF($J$5:$J$979,"="&amp;J583)+1)/2</f>
        <v/>
      </c>
    </row>
    <row r="584" ht="15" customHeight="1" s="68">
      <c r="A584" s="70">
        <f>'01_원자료'!A581</f>
        <v/>
      </c>
      <c r="B584" s="70">
        <f>'01_원자료'!B581</f>
        <v/>
      </c>
      <c r="C584" s="70">
        <f>'01_원자료'!C581</f>
        <v/>
      </c>
      <c r="E584" s="85">
        <f>'01_원자료'!P581*'03_가중치민감도'!$B$5+'01_원자료'!Q581*'03_가중치민감도'!$C$5+'01_원자료'!R581*'03_가중치민감도'!$D$5</f>
        <v/>
      </c>
      <c r="F584" s="85">
        <f>'01_원자료'!P581*'03_가중치민감도'!$B$6+'01_원자료'!Q581*'03_가중치민감도'!$C$6+'01_원자료'!R581*'03_가중치민감도'!$D$6</f>
        <v/>
      </c>
      <c r="G584" s="85">
        <f>'01_원자료'!P581*'03_가중치민감도'!$B$7+'01_원자료'!Q581*'03_가중치민감도'!$C$7+'01_원자료'!R581*'03_가중치민감도'!$D$7</f>
        <v/>
      </c>
      <c r="H584" s="85">
        <f>'01_원자료'!P581*'03_가중치민감도'!$B$8+'01_원자료'!Q581*'03_가중치민감도'!$C$8+'01_원자료'!R581*'03_가중치민감도'!$D$8</f>
        <v/>
      </c>
      <c r="I584" s="85">
        <f>'01_원자료'!P581*'03_가중치민감도'!$B$9+'01_원자료'!Q581*'03_가중치민감도'!$C$9+'01_원자료'!R581*'03_가중치민감도'!$D$9</f>
        <v/>
      </c>
      <c r="J584" s="85">
        <f>'01_원자료'!P581*'03_가중치민감도'!$B$10+'01_원자료'!Q581*'03_가중치민감도'!$C$10+'01_원자료'!R581*'03_가중치민감도'!$D$10</f>
        <v/>
      </c>
      <c r="K584" s="99">
        <f>COUNTIF($E$5:$E$979,"&lt;"&amp;E584)+(COUNTIF($E$5:$E$979,"="&amp;E584)+1)/2</f>
        <v/>
      </c>
      <c r="L584" s="99">
        <f>COUNTIF($F$5:$F$979,"&lt;"&amp;F584)+(COUNTIF($F$5:$F$979,"="&amp;F584)+1)/2</f>
        <v/>
      </c>
      <c r="M584" s="99">
        <f>COUNTIF($G$5:$G$979,"&lt;"&amp;G584)+(COUNTIF($G$5:$G$979,"="&amp;G584)+1)/2</f>
        <v/>
      </c>
      <c r="N584" s="99">
        <f>COUNTIF($H$5:$H$979,"&lt;"&amp;H584)+(COUNTIF($H$5:$H$979,"="&amp;H584)+1)/2</f>
        <v/>
      </c>
      <c r="O584" s="99">
        <f>COUNTIF($I$5:$I$979,"&lt;"&amp;I584)+(COUNTIF($I$5:$I$979,"="&amp;I584)+1)/2</f>
        <v/>
      </c>
      <c r="P584" s="99">
        <f>COUNTIF($J$5:$J$979,"&lt;"&amp;J584)+(COUNTIF($J$5:$J$979,"="&amp;J584)+1)/2</f>
        <v/>
      </c>
    </row>
    <row r="585" ht="15" customHeight="1" s="68">
      <c r="A585" s="70">
        <f>'01_원자료'!A582</f>
        <v/>
      </c>
      <c r="B585" s="70">
        <f>'01_원자료'!B582</f>
        <v/>
      </c>
      <c r="C585" s="70">
        <f>'01_원자료'!C582</f>
        <v/>
      </c>
      <c r="E585" s="85">
        <f>'01_원자료'!P582*'03_가중치민감도'!$B$5+'01_원자료'!Q582*'03_가중치민감도'!$C$5+'01_원자료'!R582*'03_가중치민감도'!$D$5</f>
        <v/>
      </c>
      <c r="F585" s="85">
        <f>'01_원자료'!P582*'03_가중치민감도'!$B$6+'01_원자료'!Q582*'03_가중치민감도'!$C$6+'01_원자료'!R582*'03_가중치민감도'!$D$6</f>
        <v/>
      </c>
      <c r="G585" s="85">
        <f>'01_원자료'!P582*'03_가중치민감도'!$B$7+'01_원자료'!Q582*'03_가중치민감도'!$C$7+'01_원자료'!R582*'03_가중치민감도'!$D$7</f>
        <v/>
      </c>
      <c r="H585" s="85">
        <f>'01_원자료'!P582*'03_가중치민감도'!$B$8+'01_원자료'!Q582*'03_가중치민감도'!$C$8+'01_원자료'!R582*'03_가중치민감도'!$D$8</f>
        <v/>
      </c>
      <c r="I585" s="85">
        <f>'01_원자료'!P582*'03_가중치민감도'!$B$9+'01_원자료'!Q582*'03_가중치민감도'!$C$9+'01_원자료'!R582*'03_가중치민감도'!$D$9</f>
        <v/>
      </c>
      <c r="J585" s="85">
        <f>'01_원자료'!P582*'03_가중치민감도'!$B$10+'01_원자료'!Q582*'03_가중치민감도'!$C$10+'01_원자료'!R582*'03_가중치민감도'!$D$10</f>
        <v/>
      </c>
      <c r="K585" s="99">
        <f>COUNTIF($E$5:$E$979,"&lt;"&amp;E585)+(COUNTIF($E$5:$E$979,"="&amp;E585)+1)/2</f>
        <v/>
      </c>
      <c r="L585" s="99">
        <f>COUNTIF($F$5:$F$979,"&lt;"&amp;F585)+(COUNTIF($F$5:$F$979,"="&amp;F585)+1)/2</f>
        <v/>
      </c>
      <c r="M585" s="99">
        <f>COUNTIF($G$5:$G$979,"&lt;"&amp;G585)+(COUNTIF($G$5:$G$979,"="&amp;G585)+1)/2</f>
        <v/>
      </c>
      <c r="N585" s="99">
        <f>COUNTIF($H$5:$H$979,"&lt;"&amp;H585)+(COUNTIF($H$5:$H$979,"="&amp;H585)+1)/2</f>
        <v/>
      </c>
      <c r="O585" s="99">
        <f>COUNTIF($I$5:$I$979,"&lt;"&amp;I585)+(COUNTIF($I$5:$I$979,"="&amp;I585)+1)/2</f>
        <v/>
      </c>
      <c r="P585" s="99">
        <f>COUNTIF($J$5:$J$979,"&lt;"&amp;J585)+(COUNTIF($J$5:$J$979,"="&amp;J585)+1)/2</f>
        <v/>
      </c>
    </row>
    <row r="586" ht="15" customHeight="1" s="68">
      <c r="A586" s="70">
        <f>'01_원자료'!A583</f>
        <v/>
      </c>
      <c r="B586" s="70">
        <f>'01_원자료'!B583</f>
        <v/>
      </c>
      <c r="C586" s="70">
        <f>'01_원자료'!C583</f>
        <v/>
      </c>
      <c r="E586" s="85">
        <f>'01_원자료'!P583*'03_가중치민감도'!$B$5+'01_원자료'!Q583*'03_가중치민감도'!$C$5+'01_원자료'!R583*'03_가중치민감도'!$D$5</f>
        <v/>
      </c>
      <c r="F586" s="85">
        <f>'01_원자료'!P583*'03_가중치민감도'!$B$6+'01_원자료'!Q583*'03_가중치민감도'!$C$6+'01_원자료'!R583*'03_가중치민감도'!$D$6</f>
        <v/>
      </c>
      <c r="G586" s="85">
        <f>'01_원자료'!P583*'03_가중치민감도'!$B$7+'01_원자료'!Q583*'03_가중치민감도'!$C$7+'01_원자료'!R583*'03_가중치민감도'!$D$7</f>
        <v/>
      </c>
      <c r="H586" s="85">
        <f>'01_원자료'!P583*'03_가중치민감도'!$B$8+'01_원자료'!Q583*'03_가중치민감도'!$C$8+'01_원자료'!R583*'03_가중치민감도'!$D$8</f>
        <v/>
      </c>
      <c r="I586" s="85">
        <f>'01_원자료'!P583*'03_가중치민감도'!$B$9+'01_원자료'!Q583*'03_가중치민감도'!$C$9+'01_원자료'!R583*'03_가중치민감도'!$D$9</f>
        <v/>
      </c>
      <c r="J586" s="85">
        <f>'01_원자료'!P583*'03_가중치민감도'!$B$10+'01_원자료'!Q583*'03_가중치민감도'!$C$10+'01_원자료'!R583*'03_가중치민감도'!$D$10</f>
        <v/>
      </c>
      <c r="K586" s="99">
        <f>COUNTIF($E$5:$E$979,"&lt;"&amp;E586)+(COUNTIF($E$5:$E$979,"="&amp;E586)+1)/2</f>
        <v/>
      </c>
      <c r="L586" s="99">
        <f>COUNTIF($F$5:$F$979,"&lt;"&amp;F586)+(COUNTIF($F$5:$F$979,"="&amp;F586)+1)/2</f>
        <v/>
      </c>
      <c r="M586" s="99">
        <f>COUNTIF($G$5:$G$979,"&lt;"&amp;G586)+(COUNTIF($G$5:$G$979,"="&amp;G586)+1)/2</f>
        <v/>
      </c>
      <c r="N586" s="99">
        <f>COUNTIF($H$5:$H$979,"&lt;"&amp;H586)+(COUNTIF($H$5:$H$979,"="&amp;H586)+1)/2</f>
        <v/>
      </c>
      <c r="O586" s="99">
        <f>COUNTIF($I$5:$I$979,"&lt;"&amp;I586)+(COUNTIF($I$5:$I$979,"="&amp;I586)+1)/2</f>
        <v/>
      </c>
      <c r="P586" s="99">
        <f>COUNTIF($J$5:$J$979,"&lt;"&amp;J586)+(COUNTIF($J$5:$J$979,"="&amp;J586)+1)/2</f>
        <v/>
      </c>
    </row>
    <row r="587" ht="15" customHeight="1" s="68">
      <c r="A587" s="70">
        <f>'01_원자료'!A584</f>
        <v/>
      </c>
      <c r="B587" s="70">
        <f>'01_원자료'!B584</f>
        <v/>
      </c>
      <c r="C587" s="70">
        <f>'01_원자료'!C584</f>
        <v/>
      </c>
      <c r="E587" s="85">
        <f>'01_원자료'!P584*'03_가중치민감도'!$B$5+'01_원자료'!Q584*'03_가중치민감도'!$C$5+'01_원자료'!R584*'03_가중치민감도'!$D$5</f>
        <v/>
      </c>
      <c r="F587" s="85">
        <f>'01_원자료'!P584*'03_가중치민감도'!$B$6+'01_원자료'!Q584*'03_가중치민감도'!$C$6+'01_원자료'!R584*'03_가중치민감도'!$D$6</f>
        <v/>
      </c>
      <c r="G587" s="85">
        <f>'01_원자료'!P584*'03_가중치민감도'!$B$7+'01_원자료'!Q584*'03_가중치민감도'!$C$7+'01_원자료'!R584*'03_가중치민감도'!$D$7</f>
        <v/>
      </c>
      <c r="H587" s="85">
        <f>'01_원자료'!P584*'03_가중치민감도'!$B$8+'01_원자료'!Q584*'03_가중치민감도'!$C$8+'01_원자료'!R584*'03_가중치민감도'!$D$8</f>
        <v/>
      </c>
      <c r="I587" s="85">
        <f>'01_원자료'!P584*'03_가중치민감도'!$B$9+'01_원자료'!Q584*'03_가중치민감도'!$C$9+'01_원자료'!R584*'03_가중치민감도'!$D$9</f>
        <v/>
      </c>
      <c r="J587" s="85">
        <f>'01_원자료'!P584*'03_가중치민감도'!$B$10+'01_원자료'!Q584*'03_가중치민감도'!$C$10+'01_원자료'!R584*'03_가중치민감도'!$D$10</f>
        <v/>
      </c>
      <c r="K587" s="99">
        <f>COUNTIF($E$5:$E$979,"&lt;"&amp;E587)+(COUNTIF($E$5:$E$979,"="&amp;E587)+1)/2</f>
        <v/>
      </c>
      <c r="L587" s="99">
        <f>COUNTIF($F$5:$F$979,"&lt;"&amp;F587)+(COUNTIF($F$5:$F$979,"="&amp;F587)+1)/2</f>
        <v/>
      </c>
      <c r="M587" s="99">
        <f>COUNTIF($G$5:$G$979,"&lt;"&amp;G587)+(COUNTIF($G$5:$G$979,"="&amp;G587)+1)/2</f>
        <v/>
      </c>
      <c r="N587" s="99">
        <f>COUNTIF($H$5:$H$979,"&lt;"&amp;H587)+(COUNTIF($H$5:$H$979,"="&amp;H587)+1)/2</f>
        <v/>
      </c>
      <c r="O587" s="99">
        <f>COUNTIF($I$5:$I$979,"&lt;"&amp;I587)+(COUNTIF($I$5:$I$979,"="&amp;I587)+1)/2</f>
        <v/>
      </c>
      <c r="P587" s="99">
        <f>COUNTIF($J$5:$J$979,"&lt;"&amp;J587)+(COUNTIF($J$5:$J$979,"="&amp;J587)+1)/2</f>
        <v/>
      </c>
    </row>
    <row r="588" ht="15" customHeight="1" s="68">
      <c r="A588" s="70">
        <f>'01_원자료'!A585</f>
        <v/>
      </c>
      <c r="B588" s="70">
        <f>'01_원자료'!B585</f>
        <v/>
      </c>
      <c r="C588" s="70">
        <f>'01_원자료'!C585</f>
        <v/>
      </c>
      <c r="E588" s="85">
        <f>'01_원자료'!P585*'03_가중치민감도'!$B$5+'01_원자료'!Q585*'03_가중치민감도'!$C$5+'01_원자료'!R585*'03_가중치민감도'!$D$5</f>
        <v/>
      </c>
      <c r="F588" s="85">
        <f>'01_원자료'!P585*'03_가중치민감도'!$B$6+'01_원자료'!Q585*'03_가중치민감도'!$C$6+'01_원자료'!R585*'03_가중치민감도'!$D$6</f>
        <v/>
      </c>
      <c r="G588" s="85">
        <f>'01_원자료'!P585*'03_가중치민감도'!$B$7+'01_원자료'!Q585*'03_가중치민감도'!$C$7+'01_원자료'!R585*'03_가중치민감도'!$D$7</f>
        <v/>
      </c>
      <c r="H588" s="85">
        <f>'01_원자료'!P585*'03_가중치민감도'!$B$8+'01_원자료'!Q585*'03_가중치민감도'!$C$8+'01_원자료'!R585*'03_가중치민감도'!$D$8</f>
        <v/>
      </c>
      <c r="I588" s="85">
        <f>'01_원자료'!P585*'03_가중치민감도'!$B$9+'01_원자료'!Q585*'03_가중치민감도'!$C$9+'01_원자료'!R585*'03_가중치민감도'!$D$9</f>
        <v/>
      </c>
      <c r="J588" s="85">
        <f>'01_원자료'!P585*'03_가중치민감도'!$B$10+'01_원자료'!Q585*'03_가중치민감도'!$C$10+'01_원자료'!R585*'03_가중치민감도'!$D$10</f>
        <v/>
      </c>
      <c r="K588" s="99">
        <f>COUNTIF($E$5:$E$979,"&lt;"&amp;E588)+(COUNTIF($E$5:$E$979,"="&amp;E588)+1)/2</f>
        <v/>
      </c>
      <c r="L588" s="99">
        <f>COUNTIF($F$5:$F$979,"&lt;"&amp;F588)+(COUNTIF($F$5:$F$979,"="&amp;F588)+1)/2</f>
        <v/>
      </c>
      <c r="M588" s="99">
        <f>COUNTIF($G$5:$G$979,"&lt;"&amp;G588)+(COUNTIF($G$5:$G$979,"="&amp;G588)+1)/2</f>
        <v/>
      </c>
      <c r="N588" s="99">
        <f>COUNTIF($H$5:$H$979,"&lt;"&amp;H588)+(COUNTIF($H$5:$H$979,"="&amp;H588)+1)/2</f>
        <v/>
      </c>
      <c r="O588" s="99">
        <f>COUNTIF($I$5:$I$979,"&lt;"&amp;I588)+(COUNTIF($I$5:$I$979,"="&amp;I588)+1)/2</f>
        <v/>
      </c>
      <c r="P588" s="99">
        <f>COUNTIF($J$5:$J$979,"&lt;"&amp;J588)+(COUNTIF($J$5:$J$979,"="&amp;J588)+1)/2</f>
        <v/>
      </c>
    </row>
    <row r="589" ht="15" customHeight="1" s="68">
      <c r="A589" s="70">
        <f>'01_원자료'!A586</f>
        <v/>
      </c>
      <c r="B589" s="70">
        <f>'01_원자료'!B586</f>
        <v/>
      </c>
      <c r="C589" s="70">
        <f>'01_원자료'!C586</f>
        <v/>
      </c>
      <c r="E589" s="85">
        <f>'01_원자료'!P586*'03_가중치민감도'!$B$5+'01_원자료'!Q586*'03_가중치민감도'!$C$5+'01_원자료'!R586*'03_가중치민감도'!$D$5</f>
        <v/>
      </c>
      <c r="F589" s="85">
        <f>'01_원자료'!P586*'03_가중치민감도'!$B$6+'01_원자료'!Q586*'03_가중치민감도'!$C$6+'01_원자료'!R586*'03_가중치민감도'!$D$6</f>
        <v/>
      </c>
      <c r="G589" s="85">
        <f>'01_원자료'!P586*'03_가중치민감도'!$B$7+'01_원자료'!Q586*'03_가중치민감도'!$C$7+'01_원자료'!R586*'03_가중치민감도'!$D$7</f>
        <v/>
      </c>
      <c r="H589" s="85">
        <f>'01_원자료'!P586*'03_가중치민감도'!$B$8+'01_원자료'!Q586*'03_가중치민감도'!$C$8+'01_원자료'!R586*'03_가중치민감도'!$D$8</f>
        <v/>
      </c>
      <c r="I589" s="85">
        <f>'01_원자료'!P586*'03_가중치민감도'!$B$9+'01_원자료'!Q586*'03_가중치민감도'!$C$9+'01_원자료'!R586*'03_가중치민감도'!$D$9</f>
        <v/>
      </c>
      <c r="J589" s="85">
        <f>'01_원자료'!P586*'03_가중치민감도'!$B$10+'01_원자료'!Q586*'03_가중치민감도'!$C$10+'01_원자료'!R586*'03_가중치민감도'!$D$10</f>
        <v/>
      </c>
      <c r="K589" s="99">
        <f>COUNTIF($E$5:$E$979,"&lt;"&amp;E589)+(COUNTIF($E$5:$E$979,"="&amp;E589)+1)/2</f>
        <v/>
      </c>
      <c r="L589" s="99">
        <f>COUNTIF($F$5:$F$979,"&lt;"&amp;F589)+(COUNTIF($F$5:$F$979,"="&amp;F589)+1)/2</f>
        <v/>
      </c>
      <c r="M589" s="99">
        <f>COUNTIF($G$5:$G$979,"&lt;"&amp;G589)+(COUNTIF($G$5:$G$979,"="&amp;G589)+1)/2</f>
        <v/>
      </c>
      <c r="N589" s="99">
        <f>COUNTIF($H$5:$H$979,"&lt;"&amp;H589)+(COUNTIF($H$5:$H$979,"="&amp;H589)+1)/2</f>
        <v/>
      </c>
      <c r="O589" s="99">
        <f>COUNTIF($I$5:$I$979,"&lt;"&amp;I589)+(COUNTIF($I$5:$I$979,"="&amp;I589)+1)/2</f>
        <v/>
      </c>
      <c r="P589" s="99">
        <f>COUNTIF($J$5:$J$979,"&lt;"&amp;J589)+(COUNTIF($J$5:$J$979,"="&amp;J589)+1)/2</f>
        <v/>
      </c>
    </row>
    <row r="590" ht="15" customHeight="1" s="68">
      <c r="A590" s="70">
        <f>'01_원자료'!A587</f>
        <v/>
      </c>
      <c r="B590" s="70">
        <f>'01_원자료'!B587</f>
        <v/>
      </c>
      <c r="C590" s="70">
        <f>'01_원자료'!C587</f>
        <v/>
      </c>
      <c r="E590" s="85">
        <f>'01_원자료'!P587*'03_가중치민감도'!$B$5+'01_원자료'!Q587*'03_가중치민감도'!$C$5+'01_원자료'!R587*'03_가중치민감도'!$D$5</f>
        <v/>
      </c>
      <c r="F590" s="85">
        <f>'01_원자료'!P587*'03_가중치민감도'!$B$6+'01_원자료'!Q587*'03_가중치민감도'!$C$6+'01_원자료'!R587*'03_가중치민감도'!$D$6</f>
        <v/>
      </c>
      <c r="G590" s="85">
        <f>'01_원자료'!P587*'03_가중치민감도'!$B$7+'01_원자료'!Q587*'03_가중치민감도'!$C$7+'01_원자료'!R587*'03_가중치민감도'!$D$7</f>
        <v/>
      </c>
      <c r="H590" s="85">
        <f>'01_원자료'!P587*'03_가중치민감도'!$B$8+'01_원자료'!Q587*'03_가중치민감도'!$C$8+'01_원자료'!R587*'03_가중치민감도'!$D$8</f>
        <v/>
      </c>
      <c r="I590" s="85">
        <f>'01_원자료'!P587*'03_가중치민감도'!$B$9+'01_원자료'!Q587*'03_가중치민감도'!$C$9+'01_원자료'!R587*'03_가중치민감도'!$D$9</f>
        <v/>
      </c>
      <c r="J590" s="85">
        <f>'01_원자료'!P587*'03_가중치민감도'!$B$10+'01_원자료'!Q587*'03_가중치민감도'!$C$10+'01_원자료'!R587*'03_가중치민감도'!$D$10</f>
        <v/>
      </c>
      <c r="K590" s="99">
        <f>COUNTIF($E$5:$E$979,"&lt;"&amp;E590)+(COUNTIF($E$5:$E$979,"="&amp;E590)+1)/2</f>
        <v/>
      </c>
      <c r="L590" s="99">
        <f>COUNTIF($F$5:$F$979,"&lt;"&amp;F590)+(COUNTIF($F$5:$F$979,"="&amp;F590)+1)/2</f>
        <v/>
      </c>
      <c r="M590" s="99">
        <f>COUNTIF($G$5:$G$979,"&lt;"&amp;G590)+(COUNTIF($G$5:$G$979,"="&amp;G590)+1)/2</f>
        <v/>
      </c>
      <c r="N590" s="99">
        <f>COUNTIF($H$5:$H$979,"&lt;"&amp;H590)+(COUNTIF($H$5:$H$979,"="&amp;H590)+1)/2</f>
        <v/>
      </c>
      <c r="O590" s="99">
        <f>COUNTIF($I$5:$I$979,"&lt;"&amp;I590)+(COUNTIF($I$5:$I$979,"="&amp;I590)+1)/2</f>
        <v/>
      </c>
      <c r="P590" s="99">
        <f>COUNTIF($J$5:$J$979,"&lt;"&amp;J590)+(COUNTIF($J$5:$J$979,"="&amp;J590)+1)/2</f>
        <v/>
      </c>
    </row>
    <row r="591" ht="15" customHeight="1" s="68">
      <c r="A591" s="70">
        <f>'01_원자료'!A588</f>
        <v/>
      </c>
      <c r="B591" s="70">
        <f>'01_원자료'!B588</f>
        <v/>
      </c>
      <c r="C591" s="70">
        <f>'01_원자료'!C588</f>
        <v/>
      </c>
      <c r="E591" s="85">
        <f>'01_원자료'!P588*'03_가중치민감도'!$B$5+'01_원자료'!Q588*'03_가중치민감도'!$C$5+'01_원자료'!R588*'03_가중치민감도'!$D$5</f>
        <v/>
      </c>
      <c r="F591" s="85">
        <f>'01_원자료'!P588*'03_가중치민감도'!$B$6+'01_원자료'!Q588*'03_가중치민감도'!$C$6+'01_원자료'!R588*'03_가중치민감도'!$D$6</f>
        <v/>
      </c>
      <c r="G591" s="85">
        <f>'01_원자료'!P588*'03_가중치민감도'!$B$7+'01_원자료'!Q588*'03_가중치민감도'!$C$7+'01_원자료'!R588*'03_가중치민감도'!$D$7</f>
        <v/>
      </c>
      <c r="H591" s="85">
        <f>'01_원자료'!P588*'03_가중치민감도'!$B$8+'01_원자료'!Q588*'03_가중치민감도'!$C$8+'01_원자료'!R588*'03_가중치민감도'!$D$8</f>
        <v/>
      </c>
      <c r="I591" s="85">
        <f>'01_원자료'!P588*'03_가중치민감도'!$B$9+'01_원자료'!Q588*'03_가중치민감도'!$C$9+'01_원자료'!R588*'03_가중치민감도'!$D$9</f>
        <v/>
      </c>
      <c r="J591" s="85">
        <f>'01_원자료'!P588*'03_가중치민감도'!$B$10+'01_원자료'!Q588*'03_가중치민감도'!$C$10+'01_원자료'!R588*'03_가중치민감도'!$D$10</f>
        <v/>
      </c>
      <c r="K591" s="99">
        <f>COUNTIF($E$5:$E$979,"&lt;"&amp;E591)+(COUNTIF($E$5:$E$979,"="&amp;E591)+1)/2</f>
        <v/>
      </c>
      <c r="L591" s="99">
        <f>COUNTIF($F$5:$F$979,"&lt;"&amp;F591)+(COUNTIF($F$5:$F$979,"="&amp;F591)+1)/2</f>
        <v/>
      </c>
      <c r="M591" s="99">
        <f>COUNTIF($G$5:$G$979,"&lt;"&amp;G591)+(COUNTIF($G$5:$G$979,"="&amp;G591)+1)/2</f>
        <v/>
      </c>
      <c r="N591" s="99">
        <f>COUNTIF($H$5:$H$979,"&lt;"&amp;H591)+(COUNTIF($H$5:$H$979,"="&amp;H591)+1)/2</f>
        <v/>
      </c>
      <c r="O591" s="99">
        <f>COUNTIF($I$5:$I$979,"&lt;"&amp;I591)+(COUNTIF($I$5:$I$979,"="&amp;I591)+1)/2</f>
        <v/>
      </c>
      <c r="P591" s="99">
        <f>COUNTIF($J$5:$J$979,"&lt;"&amp;J591)+(COUNTIF($J$5:$J$979,"="&amp;J591)+1)/2</f>
        <v/>
      </c>
    </row>
    <row r="592" ht="15" customHeight="1" s="68">
      <c r="A592" s="70">
        <f>'01_원자료'!A589</f>
        <v/>
      </c>
      <c r="B592" s="70">
        <f>'01_원자료'!B589</f>
        <v/>
      </c>
      <c r="C592" s="70">
        <f>'01_원자료'!C589</f>
        <v/>
      </c>
      <c r="E592" s="85">
        <f>'01_원자료'!P589*'03_가중치민감도'!$B$5+'01_원자료'!Q589*'03_가중치민감도'!$C$5+'01_원자료'!R589*'03_가중치민감도'!$D$5</f>
        <v/>
      </c>
      <c r="F592" s="85">
        <f>'01_원자료'!P589*'03_가중치민감도'!$B$6+'01_원자료'!Q589*'03_가중치민감도'!$C$6+'01_원자료'!R589*'03_가중치민감도'!$D$6</f>
        <v/>
      </c>
      <c r="G592" s="85">
        <f>'01_원자료'!P589*'03_가중치민감도'!$B$7+'01_원자료'!Q589*'03_가중치민감도'!$C$7+'01_원자료'!R589*'03_가중치민감도'!$D$7</f>
        <v/>
      </c>
      <c r="H592" s="85">
        <f>'01_원자료'!P589*'03_가중치민감도'!$B$8+'01_원자료'!Q589*'03_가중치민감도'!$C$8+'01_원자료'!R589*'03_가중치민감도'!$D$8</f>
        <v/>
      </c>
      <c r="I592" s="85">
        <f>'01_원자료'!P589*'03_가중치민감도'!$B$9+'01_원자료'!Q589*'03_가중치민감도'!$C$9+'01_원자료'!R589*'03_가중치민감도'!$D$9</f>
        <v/>
      </c>
      <c r="J592" s="85">
        <f>'01_원자료'!P589*'03_가중치민감도'!$B$10+'01_원자료'!Q589*'03_가중치민감도'!$C$10+'01_원자료'!R589*'03_가중치민감도'!$D$10</f>
        <v/>
      </c>
      <c r="K592" s="99">
        <f>COUNTIF($E$5:$E$979,"&lt;"&amp;E592)+(COUNTIF($E$5:$E$979,"="&amp;E592)+1)/2</f>
        <v/>
      </c>
      <c r="L592" s="99">
        <f>COUNTIF($F$5:$F$979,"&lt;"&amp;F592)+(COUNTIF($F$5:$F$979,"="&amp;F592)+1)/2</f>
        <v/>
      </c>
      <c r="M592" s="99">
        <f>COUNTIF($G$5:$G$979,"&lt;"&amp;G592)+(COUNTIF($G$5:$G$979,"="&amp;G592)+1)/2</f>
        <v/>
      </c>
      <c r="N592" s="99">
        <f>COUNTIF($H$5:$H$979,"&lt;"&amp;H592)+(COUNTIF($H$5:$H$979,"="&amp;H592)+1)/2</f>
        <v/>
      </c>
      <c r="O592" s="99">
        <f>COUNTIF($I$5:$I$979,"&lt;"&amp;I592)+(COUNTIF($I$5:$I$979,"="&amp;I592)+1)/2</f>
        <v/>
      </c>
      <c r="P592" s="99">
        <f>COUNTIF($J$5:$J$979,"&lt;"&amp;J592)+(COUNTIF($J$5:$J$979,"="&amp;J592)+1)/2</f>
        <v/>
      </c>
    </row>
    <row r="593" ht="15" customHeight="1" s="68">
      <c r="A593" s="70">
        <f>'01_원자료'!A590</f>
        <v/>
      </c>
      <c r="B593" s="70">
        <f>'01_원자료'!B590</f>
        <v/>
      </c>
      <c r="C593" s="70">
        <f>'01_원자료'!C590</f>
        <v/>
      </c>
      <c r="E593" s="85">
        <f>'01_원자료'!P590*'03_가중치민감도'!$B$5+'01_원자료'!Q590*'03_가중치민감도'!$C$5+'01_원자료'!R590*'03_가중치민감도'!$D$5</f>
        <v/>
      </c>
      <c r="F593" s="85">
        <f>'01_원자료'!P590*'03_가중치민감도'!$B$6+'01_원자료'!Q590*'03_가중치민감도'!$C$6+'01_원자료'!R590*'03_가중치민감도'!$D$6</f>
        <v/>
      </c>
      <c r="G593" s="85">
        <f>'01_원자료'!P590*'03_가중치민감도'!$B$7+'01_원자료'!Q590*'03_가중치민감도'!$C$7+'01_원자료'!R590*'03_가중치민감도'!$D$7</f>
        <v/>
      </c>
      <c r="H593" s="85">
        <f>'01_원자료'!P590*'03_가중치민감도'!$B$8+'01_원자료'!Q590*'03_가중치민감도'!$C$8+'01_원자료'!R590*'03_가중치민감도'!$D$8</f>
        <v/>
      </c>
      <c r="I593" s="85">
        <f>'01_원자료'!P590*'03_가중치민감도'!$B$9+'01_원자료'!Q590*'03_가중치민감도'!$C$9+'01_원자료'!R590*'03_가중치민감도'!$D$9</f>
        <v/>
      </c>
      <c r="J593" s="85">
        <f>'01_원자료'!P590*'03_가중치민감도'!$B$10+'01_원자료'!Q590*'03_가중치민감도'!$C$10+'01_원자료'!R590*'03_가중치민감도'!$D$10</f>
        <v/>
      </c>
      <c r="K593" s="99">
        <f>COUNTIF($E$5:$E$979,"&lt;"&amp;E593)+(COUNTIF($E$5:$E$979,"="&amp;E593)+1)/2</f>
        <v/>
      </c>
      <c r="L593" s="99">
        <f>COUNTIF($F$5:$F$979,"&lt;"&amp;F593)+(COUNTIF($F$5:$F$979,"="&amp;F593)+1)/2</f>
        <v/>
      </c>
      <c r="M593" s="99">
        <f>COUNTIF($G$5:$G$979,"&lt;"&amp;G593)+(COUNTIF($G$5:$G$979,"="&amp;G593)+1)/2</f>
        <v/>
      </c>
      <c r="N593" s="99">
        <f>COUNTIF($H$5:$H$979,"&lt;"&amp;H593)+(COUNTIF($H$5:$H$979,"="&amp;H593)+1)/2</f>
        <v/>
      </c>
      <c r="O593" s="99">
        <f>COUNTIF($I$5:$I$979,"&lt;"&amp;I593)+(COUNTIF($I$5:$I$979,"="&amp;I593)+1)/2</f>
        <v/>
      </c>
      <c r="P593" s="99">
        <f>COUNTIF($J$5:$J$979,"&lt;"&amp;J593)+(COUNTIF($J$5:$J$979,"="&amp;J593)+1)/2</f>
        <v/>
      </c>
    </row>
    <row r="594" ht="15" customHeight="1" s="68">
      <c r="A594" s="70">
        <f>'01_원자료'!A591</f>
        <v/>
      </c>
      <c r="B594" s="70">
        <f>'01_원자료'!B591</f>
        <v/>
      </c>
      <c r="C594" s="70">
        <f>'01_원자료'!C591</f>
        <v/>
      </c>
      <c r="E594" s="85">
        <f>'01_원자료'!P591*'03_가중치민감도'!$B$5+'01_원자료'!Q591*'03_가중치민감도'!$C$5+'01_원자료'!R591*'03_가중치민감도'!$D$5</f>
        <v/>
      </c>
      <c r="F594" s="85">
        <f>'01_원자료'!P591*'03_가중치민감도'!$B$6+'01_원자료'!Q591*'03_가중치민감도'!$C$6+'01_원자료'!R591*'03_가중치민감도'!$D$6</f>
        <v/>
      </c>
      <c r="G594" s="85">
        <f>'01_원자료'!P591*'03_가중치민감도'!$B$7+'01_원자료'!Q591*'03_가중치민감도'!$C$7+'01_원자료'!R591*'03_가중치민감도'!$D$7</f>
        <v/>
      </c>
      <c r="H594" s="85">
        <f>'01_원자료'!P591*'03_가중치민감도'!$B$8+'01_원자료'!Q591*'03_가중치민감도'!$C$8+'01_원자료'!R591*'03_가중치민감도'!$D$8</f>
        <v/>
      </c>
      <c r="I594" s="85">
        <f>'01_원자료'!P591*'03_가중치민감도'!$B$9+'01_원자료'!Q591*'03_가중치민감도'!$C$9+'01_원자료'!R591*'03_가중치민감도'!$D$9</f>
        <v/>
      </c>
      <c r="J594" s="85">
        <f>'01_원자료'!P591*'03_가중치민감도'!$B$10+'01_원자료'!Q591*'03_가중치민감도'!$C$10+'01_원자료'!R591*'03_가중치민감도'!$D$10</f>
        <v/>
      </c>
      <c r="K594" s="99">
        <f>COUNTIF($E$5:$E$979,"&lt;"&amp;E594)+(COUNTIF($E$5:$E$979,"="&amp;E594)+1)/2</f>
        <v/>
      </c>
      <c r="L594" s="99">
        <f>COUNTIF($F$5:$F$979,"&lt;"&amp;F594)+(COUNTIF($F$5:$F$979,"="&amp;F594)+1)/2</f>
        <v/>
      </c>
      <c r="M594" s="99">
        <f>COUNTIF($G$5:$G$979,"&lt;"&amp;G594)+(COUNTIF($G$5:$G$979,"="&amp;G594)+1)/2</f>
        <v/>
      </c>
      <c r="N594" s="99">
        <f>COUNTIF($H$5:$H$979,"&lt;"&amp;H594)+(COUNTIF($H$5:$H$979,"="&amp;H594)+1)/2</f>
        <v/>
      </c>
      <c r="O594" s="99">
        <f>COUNTIF($I$5:$I$979,"&lt;"&amp;I594)+(COUNTIF($I$5:$I$979,"="&amp;I594)+1)/2</f>
        <v/>
      </c>
      <c r="P594" s="99">
        <f>COUNTIF($J$5:$J$979,"&lt;"&amp;J594)+(COUNTIF($J$5:$J$979,"="&amp;J594)+1)/2</f>
        <v/>
      </c>
    </row>
    <row r="595" ht="15" customHeight="1" s="68">
      <c r="A595" s="70">
        <f>'01_원자료'!A592</f>
        <v/>
      </c>
      <c r="B595" s="70">
        <f>'01_원자료'!B592</f>
        <v/>
      </c>
      <c r="C595" s="70">
        <f>'01_원자료'!C592</f>
        <v/>
      </c>
      <c r="E595" s="85">
        <f>'01_원자료'!P592*'03_가중치민감도'!$B$5+'01_원자료'!Q592*'03_가중치민감도'!$C$5+'01_원자료'!R592*'03_가중치민감도'!$D$5</f>
        <v/>
      </c>
      <c r="F595" s="85">
        <f>'01_원자료'!P592*'03_가중치민감도'!$B$6+'01_원자료'!Q592*'03_가중치민감도'!$C$6+'01_원자료'!R592*'03_가중치민감도'!$D$6</f>
        <v/>
      </c>
      <c r="G595" s="85">
        <f>'01_원자료'!P592*'03_가중치민감도'!$B$7+'01_원자료'!Q592*'03_가중치민감도'!$C$7+'01_원자료'!R592*'03_가중치민감도'!$D$7</f>
        <v/>
      </c>
      <c r="H595" s="85">
        <f>'01_원자료'!P592*'03_가중치민감도'!$B$8+'01_원자료'!Q592*'03_가중치민감도'!$C$8+'01_원자료'!R592*'03_가중치민감도'!$D$8</f>
        <v/>
      </c>
      <c r="I595" s="85">
        <f>'01_원자료'!P592*'03_가중치민감도'!$B$9+'01_원자료'!Q592*'03_가중치민감도'!$C$9+'01_원자료'!R592*'03_가중치민감도'!$D$9</f>
        <v/>
      </c>
      <c r="J595" s="85">
        <f>'01_원자료'!P592*'03_가중치민감도'!$B$10+'01_원자료'!Q592*'03_가중치민감도'!$C$10+'01_원자료'!R592*'03_가중치민감도'!$D$10</f>
        <v/>
      </c>
      <c r="K595" s="99">
        <f>COUNTIF($E$5:$E$979,"&lt;"&amp;E595)+(COUNTIF($E$5:$E$979,"="&amp;E595)+1)/2</f>
        <v/>
      </c>
      <c r="L595" s="99">
        <f>COUNTIF($F$5:$F$979,"&lt;"&amp;F595)+(COUNTIF($F$5:$F$979,"="&amp;F595)+1)/2</f>
        <v/>
      </c>
      <c r="M595" s="99">
        <f>COUNTIF($G$5:$G$979,"&lt;"&amp;G595)+(COUNTIF($G$5:$G$979,"="&amp;G595)+1)/2</f>
        <v/>
      </c>
      <c r="N595" s="99">
        <f>COUNTIF($H$5:$H$979,"&lt;"&amp;H595)+(COUNTIF($H$5:$H$979,"="&amp;H595)+1)/2</f>
        <v/>
      </c>
      <c r="O595" s="99">
        <f>COUNTIF($I$5:$I$979,"&lt;"&amp;I595)+(COUNTIF($I$5:$I$979,"="&amp;I595)+1)/2</f>
        <v/>
      </c>
      <c r="P595" s="99">
        <f>COUNTIF($J$5:$J$979,"&lt;"&amp;J595)+(COUNTIF($J$5:$J$979,"="&amp;J595)+1)/2</f>
        <v/>
      </c>
    </row>
    <row r="596" ht="15" customHeight="1" s="68">
      <c r="A596" s="70">
        <f>'01_원자료'!A593</f>
        <v/>
      </c>
      <c r="B596" s="70">
        <f>'01_원자료'!B593</f>
        <v/>
      </c>
      <c r="C596" s="70">
        <f>'01_원자료'!C593</f>
        <v/>
      </c>
      <c r="E596" s="85">
        <f>'01_원자료'!P593*'03_가중치민감도'!$B$5+'01_원자료'!Q593*'03_가중치민감도'!$C$5+'01_원자료'!R593*'03_가중치민감도'!$D$5</f>
        <v/>
      </c>
      <c r="F596" s="85">
        <f>'01_원자료'!P593*'03_가중치민감도'!$B$6+'01_원자료'!Q593*'03_가중치민감도'!$C$6+'01_원자료'!R593*'03_가중치민감도'!$D$6</f>
        <v/>
      </c>
      <c r="G596" s="85">
        <f>'01_원자료'!P593*'03_가중치민감도'!$B$7+'01_원자료'!Q593*'03_가중치민감도'!$C$7+'01_원자료'!R593*'03_가중치민감도'!$D$7</f>
        <v/>
      </c>
      <c r="H596" s="85">
        <f>'01_원자료'!P593*'03_가중치민감도'!$B$8+'01_원자료'!Q593*'03_가중치민감도'!$C$8+'01_원자료'!R593*'03_가중치민감도'!$D$8</f>
        <v/>
      </c>
      <c r="I596" s="85">
        <f>'01_원자료'!P593*'03_가중치민감도'!$B$9+'01_원자료'!Q593*'03_가중치민감도'!$C$9+'01_원자료'!R593*'03_가중치민감도'!$D$9</f>
        <v/>
      </c>
      <c r="J596" s="85">
        <f>'01_원자료'!P593*'03_가중치민감도'!$B$10+'01_원자료'!Q593*'03_가중치민감도'!$C$10+'01_원자료'!R593*'03_가중치민감도'!$D$10</f>
        <v/>
      </c>
      <c r="K596" s="99">
        <f>COUNTIF($E$5:$E$979,"&lt;"&amp;E596)+(COUNTIF($E$5:$E$979,"="&amp;E596)+1)/2</f>
        <v/>
      </c>
      <c r="L596" s="99">
        <f>COUNTIF($F$5:$F$979,"&lt;"&amp;F596)+(COUNTIF($F$5:$F$979,"="&amp;F596)+1)/2</f>
        <v/>
      </c>
      <c r="M596" s="99">
        <f>COUNTIF($G$5:$G$979,"&lt;"&amp;G596)+(COUNTIF($G$5:$G$979,"="&amp;G596)+1)/2</f>
        <v/>
      </c>
      <c r="N596" s="99">
        <f>COUNTIF($H$5:$H$979,"&lt;"&amp;H596)+(COUNTIF($H$5:$H$979,"="&amp;H596)+1)/2</f>
        <v/>
      </c>
      <c r="O596" s="99">
        <f>COUNTIF($I$5:$I$979,"&lt;"&amp;I596)+(COUNTIF($I$5:$I$979,"="&amp;I596)+1)/2</f>
        <v/>
      </c>
      <c r="P596" s="99">
        <f>COUNTIF($J$5:$J$979,"&lt;"&amp;J596)+(COUNTIF($J$5:$J$979,"="&amp;J596)+1)/2</f>
        <v/>
      </c>
    </row>
    <row r="597" ht="15" customHeight="1" s="68">
      <c r="A597" s="70">
        <f>'01_원자료'!A594</f>
        <v/>
      </c>
      <c r="B597" s="70">
        <f>'01_원자료'!B594</f>
        <v/>
      </c>
      <c r="C597" s="70">
        <f>'01_원자료'!C594</f>
        <v/>
      </c>
      <c r="E597" s="85">
        <f>'01_원자료'!P594*'03_가중치민감도'!$B$5+'01_원자료'!Q594*'03_가중치민감도'!$C$5+'01_원자료'!R594*'03_가중치민감도'!$D$5</f>
        <v/>
      </c>
      <c r="F597" s="85">
        <f>'01_원자료'!P594*'03_가중치민감도'!$B$6+'01_원자료'!Q594*'03_가중치민감도'!$C$6+'01_원자료'!R594*'03_가중치민감도'!$D$6</f>
        <v/>
      </c>
      <c r="G597" s="85">
        <f>'01_원자료'!P594*'03_가중치민감도'!$B$7+'01_원자료'!Q594*'03_가중치민감도'!$C$7+'01_원자료'!R594*'03_가중치민감도'!$D$7</f>
        <v/>
      </c>
      <c r="H597" s="85">
        <f>'01_원자료'!P594*'03_가중치민감도'!$B$8+'01_원자료'!Q594*'03_가중치민감도'!$C$8+'01_원자료'!R594*'03_가중치민감도'!$D$8</f>
        <v/>
      </c>
      <c r="I597" s="85">
        <f>'01_원자료'!P594*'03_가중치민감도'!$B$9+'01_원자료'!Q594*'03_가중치민감도'!$C$9+'01_원자료'!R594*'03_가중치민감도'!$D$9</f>
        <v/>
      </c>
      <c r="J597" s="85">
        <f>'01_원자료'!P594*'03_가중치민감도'!$B$10+'01_원자료'!Q594*'03_가중치민감도'!$C$10+'01_원자료'!R594*'03_가중치민감도'!$D$10</f>
        <v/>
      </c>
      <c r="K597" s="99">
        <f>COUNTIF($E$5:$E$979,"&lt;"&amp;E597)+(COUNTIF($E$5:$E$979,"="&amp;E597)+1)/2</f>
        <v/>
      </c>
      <c r="L597" s="99">
        <f>COUNTIF($F$5:$F$979,"&lt;"&amp;F597)+(COUNTIF($F$5:$F$979,"="&amp;F597)+1)/2</f>
        <v/>
      </c>
      <c r="M597" s="99">
        <f>COUNTIF($G$5:$G$979,"&lt;"&amp;G597)+(COUNTIF($G$5:$G$979,"="&amp;G597)+1)/2</f>
        <v/>
      </c>
      <c r="N597" s="99">
        <f>COUNTIF($H$5:$H$979,"&lt;"&amp;H597)+(COUNTIF($H$5:$H$979,"="&amp;H597)+1)/2</f>
        <v/>
      </c>
      <c r="O597" s="99">
        <f>COUNTIF($I$5:$I$979,"&lt;"&amp;I597)+(COUNTIF($I$5:$I$979,"="&amp;I597)+1)/2</f>
        <v/>
      </c>
      <c r="P597" s="99">
        <f>COUNTIF($J$5:$J$979,"&lt;"&amp;J597)+(COUNTIF($J$5:$J$979,"="&amp;J597)+1)/2</f>
        <v/>
      </c>
    </row>
    <row r="598" ht="15" customHeight="1" s="68">
      <c r="A598" s="70">
        <f>'01_원자료'!A595</f>
        <v/>
      </c>
      <c r="B598" s="70">
        <f>'01_원자료'!B595</f>
        <v/>
      </c>
      <c r="C598" s="70">
        <f>'01_원자료'!C595</f>
        <v/>
      </c>
      <c r="E598" s="85">
        <f>'01_원자료'!P595*'03_가중치민감도'!$B$5+'01_원자료'!Q595*'03_가중치민감도'!$C$5+'01_원자료'!R595*'03_가중치민감도'!$D$5</f>
        <v/>
      </c>
      <c r="F598" s="85">
        <f>'01_원자료'!P595*'03_가중치민감도'!$B$6+'01_원자료'!Q595*'03_가중치민감도'!$C$6+'01_원자료'!R595*'03_가중치민감도'!$D$6</f>
        <v/>
      </c>
      <c r="G598" s="85">
        <f>'01_원자료'!P595*'03_가중치민감도'!$B$7+'01_원자료'!Q595*'03_가중치민감도'!$C$7+'01_원자료'!R595*'03_가중치민감도'!$D$7</f>
        <v/>
      </c>
      <c r="H598" s="85">
        <f>'01_원자료'!P595*'03_가중치민감도'!$B$8+'01_원자료'!Q595*'03_가중치민감도'!$C$8+'01_원자료'!R595*'03_가중치민감도'!$D$8</f>
        <v/>
      </c>
      <c r="I598" s="85">
        <f>'01_원자료'!P595*'03_가중치민감도'!$B$9+'01_원자료'!Q595*'03_가중치민감도'!$C$9+'01_원자료'!R595*'03_가중치민감도'!$D$9</f>
        <v/>
      </c>
      <c r="J598" s="85">
        <f>'01_원자료'!P595*'03_가중치민감도'!$B$10+'01_원자료'!Q595*'03_가중치민감도'!$C$10+'01_원자료'!R595*'03_가중치민감도'!$D$10</f>
        <v/>
      </c>
      <c r="K598" s="99">
        <f>COUNTIF($E$5:$E$979,"&lt;"&amp;E598)+(COUNTIF($E$5:$E$979,"="&amp;E598)+1)/2</f>
        <v/>
      </c>
      <c r="L598" s="99">
        <f>COUNTIF($F$5:$F$979,"&lt;"&amp;F598)+(COUNTIF($F$5:$F$979,"="&amp;F598)+1)/2</f>
        <v/>
      </c>
      <c r="M598" s="99">
        <f>COUNTIF($G$5:$G$979,"&lt;"&amp;G598)+(COUNTIF($G$5:$G$979,"="&amp;G598)+1)/2</f>
        <v/>
      </c>
      <c r="N598" s="99">
        <f>COUNTIF($H$5:$H$979,"&lt;"&amp;H598)+(COUNTIF($H$5:$H$979,"="&amp;H598)+1)/2</f>
        <v/>
      </c>
      <c r="O598" s="99">
        <f>COUNTIF($I$5:$I$979,"&lt;"&amp;I598)+(COUNTIF($I$5:$I$979,"="&amp;I598)+1)/2</f>
        <v/>
      </c>
      <c r="P598" s="99">
        <f>COUNTIF($J$5:$J$979,"&lt;"&amp;J598)+(COUNTIF($J$5:$J$979,"="&amp;J598)+1)/2</f>
        <v/>
      </c>
    </row>
    <row r="599" ht="15" customHeight="1" s="68">
      <c r="A599" s="70">
        <f>'01_원자료'!A596</f>
        <v/>
      </c>
      <c r="B599" s="70">
        <f>'01_원자료'!B596</f>
        <v/>
      </c>
      <c r="C599" s="70">
        <f>'01_원자료'!C596</f>
        <v/>
      </c>
      <c r="E599" s="85">
        <f>'01_원자료'!P596*'03_가중치민감도'!$B$5+'01_원자료'!Q596*'03_가중치민감도'!$C$5+'01_원자료'!R596*'03_가중치민감도'!$D$5</f>
        <v/>
      </c>
      <c r="F599" s="85">
        <f>'01_원자료'!P596*'03_가중치민감도'!$B$6+'01_원자료'!Q596*'03_가중치민감도'!$C$6+'01_원자료'!R596*'03_가중치민감도'!$D$6</f>
        <v/>
      </c>
      <c r="G599" s="85">
        <f>'01_원자료'!P596*'03_가중치민감도'!$B$7+'01_원자료'!Q596*'03_가중치민감도'!$C$7+'01_원자료'!R596*'03_가중치민감도'!$D$7</f>
        <v/>
      </c>
      <c r="H599" s="85">
        <f>'01_원자료'!P596*'03_가중치민감도'!$B$8+'01_원자료'!Q596*'03_가중치민감도'!$C$8+'01_원자료'!R596*'03_가중치민감도'!$D$8</f>
        <v/>
      </c>
      <c r="I599" s="85">
        <f>'01_원자료'!P596*'03_가중치민감도'!$B$9+'01_원자료'!Q596*'03_가중치민감도'!$C$9+'01_원자료'!R596*'03_가중치민감도'!$D$9</f>
        <v/>
      </c>
      <c r="J599" s="85">
        <f>'01_원자료'!P596*'03_가중치민감도'!$B$10+'01_원자료'!Q596*'03_가중치민감도'!$C$10+'01_원자료'!R596*'03_가중치민감도'!$D$10</f>
        <v/>
      </c>
      <c r="K599" s="99">
        <f>COUNTIF($E$5:$E$979,"&lt;"&amp;E599)+(COUNTIF($E$5:$E$979,"="&amp;E599)+1)/2</f>
        <v/>
      </c>
      <c r="L599" s="99">
        <f>COUNTIF($F$5:$F$979,"&lt;"&amp;F599)+(COUNTIF($F$5:$F$979,"="&amp;F599)+1)/2</f>
        <v/>
      </c>
      <c r="M599" s="99">
        <f>COUNTIF($G$5:$G$979,"&lt;"&amp;G599)+(COUNTIF($G$5:$G$979,"="&amp;G599)+1)/2</f>
        <v/>
      </c>
      <c r="N599" s="99">
        <f>COUNTIF($H$5:$H$979,"&lt;"&amp;H599)+(COUNTIF($H$5:$H$979,"="&amp;H599)+1)/2</f>
        <v/>
      </c>
      <c r="O599" s="99">
        <f>COUNTIF($I$5:$I$979,"&lt;"&amp;I599)+(COUNTIF($I$5:$I$979,"="&amp;I599)+1)/2</f>
        <v/>
      </c>
      <c r="P599" s="99">
        <f>COUNTIF($J$5:$J$979,"&lt;"&amp;J599)+(COUNTIF($J$5:$J$979,"="&amp;J599)+1)/2</f>
        <v/>
      </c>
    </row>
    <row r="600" ht="15" customHeight="1" s="68">
      <c r="A600" s="70">
        <f>'01_원자료'!A597</f>
        <v/>
      </c>
      <c r="B600" s="70">
        <f>'01_원자료'!B597</f>
        <v/>
      </c>
      <c r="C600" s="70">
        <f>'01_원자료'!C597</f>
        <v/>
      </c>
      <c r="E600" s="85">
        <f>'01_원자료'!P597*'03_가중치민감도'!$B$5+'01_원자료'!Q597*'03_가중치민감도'!$C$5+'01_원자료'!R597*'03_가중치민감도'!$D$5</f>
        <v/>
      </c>
      <c r="F600" s="85">
        <f>'01_원자료'!P597*'03_가중치민감도'!$B$6+'01_원자료'!Q597*'03_가중치민감도'!$C$6+'01_원자료'!R597*'03_가중치민감도'!$D$6</f>
        <v/>
      </c>
      <c r="G600" s="85">
        <f>'01_원자료'!P597*'03_가중치민감도'!$B$7+'01_원자료'!Q597*'03_가중치민감도'!$C$7+'01_원자료'!R597*'03_가중치민감도'!$D$7</f>
        <v/>
      </c>
      <c r="H600" s="85">
        <f>'01_원자료'!P597*'03_가중치민감도'!$B$8+'01_원자료'!Q597*'03_가중치민감도'!$C$8+'01_원자료'!R597*'03_가중치민감도'!$D$8</f>
        <v/>
      </c>
      <c r="I600" s="85">
        <f>'01_원자료'!P597*'03_가중치민감도'!$B$9+'01_원자료'!Q597*'03_가중치민감도'!$C$9+'01_원자료'!R597*'03_가중치민감도'!$D$9</f>
        <v/>
      </c>
      <c r="J600" s="85">
        <f>'01_원자료'!P597*'03_가중치민감도'!$B$10+'01_원자료'!Q597*'03_가중치민감도'!$C$10+'01_원자료'!R597*'03_가중치민감도'!$D$10</f>
        <v/>
      </c>
      <c r="K600" s="99">
        <f>COUNTIF($E$5:$E$979,"&lt;"&amp;E600)+(COUNTIF($E$5:$E$979,"="&amp;E600)+1)/2</f>
        <v/>
      </c>
      <c r="L600" s="99">
        <f>COUNTIF($F$5:$F$979,"&lt;"&amp;F600)+(COUNTIF($F$5:$F$979,"="&amp;F600)+1)/2</f>
        <v/>
      </c>
      <c r="M600" s="99">
        <f>COUNTIF($G$5:$G$979,"&lt;"&amp;G600)+(COUNTIF($G$5:$G$979,"="&amp;G600)+1)/2</f>
        <v/>
      </c>
      <c r="N600" s="99">
        <f>COUNTIF($H$5:$H$979,"&lt;"&amp;H600)+(COUNTIF($H$5:$H$979,"="&amp;H600)+1)/2</f>
        <v/>
      </c>
      <c r="O600" s="99">
        <f>COUNTIF($I$5:$I$979,"&lt;"&amp;I600)+(COUNTIF($I$5:$I$979,"="&amp;I600)+1)/2</f>
        <v/>
      </c>
      <c r="P600" s="99">
        <f>COUNTIF($J$5:$J$979,"&lt;"&amp;J600)+(COUNTIF($J$5:$J$979,"="&amp;J600)+1)/2</f>
        <v/>
      </c>
    </row>
    <row r="601" ht="15" customHeight="1" s="68">
      <c r="A601" s="70">
        <f>'01_원자료'!A598</f>
        <v/>
      </c>
      <c r="B601" s="70">
        <f>'01_원자료'!B598</f>
        <v/>
      </c>
      <c r="C601" s="70">
        <f>'01_원자료'!C598</f>
        <v/>
      </c>
      <c r="E601" s="85">
        <f>'01_원자료'!P598*'03_가중치민감도'!$B$5+'01_원자료'!Q598*'03_가중치민감도'!$C$5+'01_원자료'!R598*'03_가중치민감도'!$D$5</f>
        <v/>
      </c>
      <c r="F601" s="85">
        <f>'01_원자료'!P598*'03_가중치민감도'!$B$6+'01_원자료'!Q598*'03_가중치민감도'!$C$6+'01_원자료'!R598*'03_가중치민감도'!$D$6</f>
        <v/>
      </c>
      <c r="G601" s="85">
        <f>'01_원자료'!P598*'03_가중치민감도'!$B$7+'01_원자료'!Q598*'03_가중치민감도'!$C$7+'01_원자료'!R598*'03_가중치민감도'!$D$7</f>
        <v/>
      </c>
      <c r="H601" s="85">
        <f>'01_원자료'!P598*'03_가중치민감도'!$B$8+'01_원자료'!Q598*'03_가중치민감도'!$C$8+'01_원자료'!R598*'03_가중치민감도'!$D$8</f>
        <v/>
      </c>
      <c r="I601" s="85">
        <f>'01_원자료'!P598*'03_가중치민감도'!$B$9+'01_원자료'!Q598*'03_가중치민감도'!$C$9+'01_원자료'!R598*'03_가중치민감도'!$D$9</f>
        <v/>
      </c>
      <c r="J601" s="85">
        <f>'01_원자료'!P598*'03_가중치민감도'!$B$10+'01_원자료'!Q598*'03_가중치민감도'!$C$10+'01_원자료'!R598*'03_가중치민감도'!$D$10</f>
        <v/>
      </c>
      <c r="K601" s="99">
        <f>COUNTIF($E$5:$E$979,"&lt;"&amp;E601)+(COUNTIF($E$5:$E$979,"="&amp;E601)+1)/2</f>
        <v/>
      </c>
      <c r="L601" s="99">
        <f>COUNTIF($F$5:$F$979,"&lt;"&amp;F601)+(COUNTIF($F$5:$F$979,"="&amp;F601)+1)/2</f>
        <v/>
      </c>
      <c r="M601" s="99">
        <f>COUNTIF($G$5:$G$979,"&lt;"&amp;G601)+(COUNTIF($G$5:$G$979,"="&amp;G601)+1)/2</f>
        <v/>
      </c>
      <c r="N601" s="99">
        <f>COUNTIF($H$5:$H$979,"&lt;"&amp;H601)+(COUNTIF($H$5:$H$979,"="&amp;H601)+1)/2</f>
        <v/>
      </c>
      <c r="O601" s="99">
        <f>COUNTIF($I$5:$I$979,"&lt;"&amp;I601)+(COUNTIF($I$5:$I$979,"="&amp;I601)+1)/2</f>
        <v/>
      </c>
      <c r="P601" s="99">
        <f>COUNTIF($J$5:$J$979,"&lt;"&amp;J601)+(COUNTIF($J$5:$J$979,"="&amp;J601)+1)/2</f>
        <v/>
      </c>
    </row>
    <row r="602" ht="15" customHeight="1" s="68">
      <c r="A602" s="70">
        <f>'01_원자료'!A599</f>
        <v/>
      </c>
      <c r="B602" s="70">
        <f>'01_원자료'!B599</f>
        <v/>
      </c>
      <c r="C602" s="70">
        <f>'01_원자료'!C599</f>
        <v/>
      </c>
      <c r="E602" s="85">
        <f>'01_원자료'!P599*'03_가중치민감도'!$B$5+'01_원자료'!Q599*'03_가중치민감도'!$C$5+'01_원자료'!R599*'03_가중치민감도'!$D$5</f>
        <v/>
      </c>
      <c r="F602" s="85">
        <f>'01_원자료'!P599*'03_가중치민감도'!$B$6+'01_원자료'!Q599*'03_가중치민감도'!$C$6+'01_원자료'!R599*'03_가중치민감도'!$D$6</f>
        <v/>
      </c>
      <c r="G602" s="85">
        <f>'01_원자료'!P599*'03_가중치민감도'!$B$7+'01_원자료'!Q599*'03_가중치민감도'!$C$7+'01_원자료'!R599*'03_가중치민감도'!$D$7</f>
        <v/>
      </c>
      <c r="H602" s="85">
        <f>'01_원자료'!P599*'03_가중치민감도'!$B$8+'01_원자료'!Q599*'03_가중치민감도'!$C$8+'01_원자료'!R599*'03_가중치민감도'!$D$8</f>
        <v/>
      </c>
      <c r="I602" s="85">
        <f>'01_원자료'!P599*'03_가중치민감도'!$B$9+'01_원자료'!Q599*'03_가중치민감도'!$C$9+'01_원자료'!R599*'03_가중치민감도'!$D$9</f>
        <v/>
      </c>
      <c r="J602" s="85">
        <f>'01_원자료'!P599*'03_가중치민감도'!$B$10+'01_원자료'!Q599*'03_가중치민감도'!$C$10+'01_원자료'!R599*'03_가중치민감도'!$D$10</f>
        <v/>
      </c>
      <c r="K602" s="99">
        <f>COUNTIF($E$5:$E$979,"&lt;"&amp;E602)+(COUNTIF($E$5:$E$979,"="&amp;E602)+1)/2</f>
        <v/>
      </c>
      <c r="L602" s="99">
        <f>COUNTIF($F$5:$F$979,"&lt;"&amp;F602)+(COUNTIF($F$5:$F$979,"="&amp;F602)+1)/2</f>
        <v/>
      </c>
      <c r="M602" s="99">
        <f>COUNTIF($G$5:$G$979,"&lt;"&amp;G602)+(COUNTIF($G$5:$G$979,"="&amp;G602)+1)/2</f>
        <v/>
      </c>
      <c r="N602" s="99">
        <f>COUNTIF($H$5:$H$979,"&lt;"&amp;H602)+(COUNTIF($H$5:$H$979,"="&amp;H602)+1)/2</f>
        <v/>
      </c>
      <c r="O602" s="99">
        <f>COUNTIF($I$5:$I$979,"&lt;"&amp;I602)+(COUNTIF($I$5:$I$979,"="&amp;I602)+1)/2</f>
        <v/>
      </c>
      <c r="P602" s="99">
        <f>COUNTIF($J$5:$J$979,"&lt;"&amp;J602)+(COUNTIF($J$5:$J$979,"="&amp;J602)+1)/2</f>
        <v/>
      </c>
    </row>
    <row r="603" ht="15" customHeight="1" s="68">
      <c r="A603" s="70">
        <f>'01_원자료'!A600</f>
        <v/>
      </c>
      <c r="B603" s="70">
        <f>'01_원자료'!B600</f>
        <v/>
      </c>
      <c r="C603" s="70">
        <f>'01_원자료'!C600</f>
        <v/>
      </c>
      <c r="E603" s="85">
        <f>'01_원자료'!P600*'03_가중치민감도'!$B$5+'01_원자료'!Q600*'03_가중치민감도'!$C$5+'01_원자료'!R600*'03_가중치민감도'!$D$5</f>
        <v/>
      </c>
      <c r="F603" s="85">
        <f>'01_원자료'!P600*'03_가중치민감도'!$B$6+'01_원자료'!Q600*'03_가중치민감도'!$C$6+'01_원자료'!R600*'03_가중치민감도'!$D$6</f>
        <v/>
      </c>
      <c r="G603" s="85">
        <f>'01_원자료'!P600*'03_가중치민감도'!$B$7+'01_원자료'!Q600*'03_가중치민감도'!$C$7+'01_원자료'!R600*'03_가중치민감도'!$D$7</f>
        <v/>
      </c>
      <c r="H603" s="85">
        <f>'01_원자료'!P600*'03_가중치민감도'!$B$8+'01_원자료'!Q600*'03_가중치민감도'!$C$8+'01_원자료'!R600*'03_가중치민감도'!$D$8</f>
        <v/>
      </c>
      <c r="I603" s="85">
        <f>'01_원자료'!P600*'03_가중치민감도'!$B$9+'01_원자료'!Q600*'03_가중치민감도'!$C$9+'01_원자료'!R600*'03_가중치민감도'!$D$9</f>
        <v/>
      </c>
      <c r="J603" s="85">
        <f>'01_원자료'!P600*'03_가중치민감도'!$B$10+'01_원자료'!Q600*'03_가중치민감도'!$C$10+'01_원자료'!R600*'03_가중치민감도'!$D$10</f>
        <v/>
      </c>
      <c r="K603" s="99">
        <f>COUNTIF($E$5:$E$979,"&lt;"&amp;E603)+(COUNTIF($E$5:$E$979,"="&amp;E603)+1)/2</f>
        <v/>
      </c>
      <c r="L603" s="99">
        <f>COUNTIF($F$5:$F$979,"&lt;"&amp;F603)+(COUNTIF($F$5:$F$979,"="&amp;F603)+1)/2</f>
        <v/>
      </c>
      <c r="M603" s="99">
        <f>COUNTIF($G$5:$G$979,"&lt;"&amp;G603)+(COUNTIF($G$5:$G$979,"="&amp;G603)+1)/2</f>
        <v/>
      </c>
      <c r="N603" s="99">
        <f>COUNTIF($H$5:$H$979,"&lt;"&amp;H603)+(COUNTIF($H$5:$H$979,"="&amp;H603)+1)/2</f>
        <v/>
      </c>
      <c r="O603" s="99">
        <f>COUNTIF($I$5:$I$979,"&lt;"&amp;I603)+(COUNTIF($I$5:$I$979,"="&amp;I603)+1)/2</f>
        <v/>
      </c>
      <c r="P603" s="99">
        <f>COUNTIF($J$5:$J$979,"&lt;"&amp;J603)+(COUNTIF($J$5:$J$979,"="&amp;J603)+1)/2</f>
        <v/>
      </c>
    </row>
    <row r="604" ht="15" customHeight="1" s="68">
      <c r="A604" s="70">
        <f>'01_원자료'!A601</f>
        <v/>
      </c>
      <c r="B604" s="70">
        <f>'01_원자료'!B601</f>
        <v/>
      </c>
      <c r="C604" s="70">
        <f>'01_원자료'!C601</f>
        <v/>
      </c>
      <c r="E604" s="85">
        <f>'01_원자료'!P601*'03_가중치민감도'!$B$5+'01_원자료'!Q601*'03_가중치민감도'!$C$5+'01_원자료'!R601*'03_가중치민감도'!$D$5</f>
        <v/>
      </c>
      <c r="F604" s="85">
        <f>'01_원자료'!P601*'03_가중치민감도'!$B$6+'01_원자료'!Q601*'03_가중치민감도'!$C$6+'01_원자료'!R601*'03_가중치민감도'!$D$6</f>
        <v/>
      </c>
      <c r="G604" s="85">
        <f>'01_원자료'!P601*'03_가중치민감도'!$B$7+'01_원자료'!Q601*'03_가중치민감도'!$C$7+'01_원자료'!R601*'03_가중치민감도'!$D$7</f>
        <v/>
      </c>
      <c r="H604" s="85">
        <f>'01_원자료'!P601*'03_가중치민감도'!$B$8+'01_원자료'!Q601*'03_가중치민감도'!$C$8+'01_원자료'!R601*'03_가중치민감도'!$D$8</f>
        <v/>
      </c>
      <c r="I604" s="85">
        <f>'01_원자료'!P601*'03_가중치민감도'!$B$9+'01_원자료'!Q601*'03_가중치민감도'!$C$9+'01_원자료'!R601*'03_가중치민감도'!$D$9</f>
        <v/>
      </c>
      <c r="J604" s="85">
        <f>'01_원자료'!P601*'03_가중치민감도'!$B$10+'01_원자료'!Q601*'03_가중치민감도'!$C$10+'01_원자료'!R601*'03_가중치민감도'!$D$10</f>
        <v/>
      </c>
      <c r="K604" s="99">
        <f>COUNTIF($E$5:$E$979,"&lt;"&amp;E604)+(COUNTIF($E$5:$E$979,"="&amp;E604)+1)/2</f>
        <v/>
      </c>
      <c r="L604" s="99">
        <f>COUNTIF($F$5:$F$979,"&lt;"&amp;F604)+(COUNTIF($F$5:$F$979,"="&amp;F604)+1)/2</f>
        <v/>
      </c>
      <c r="M604" s="99">
        <f>COUNTIF($G$5:$G$979,"&lt;"&amp;G604)+(COUNTIF($G$5:$G$979,"="&amp;G604)+1)/2</f>
        <v/>
      </c>
      <c r="N604" s="99">
        <f>COUNTIF($H$5:$H$979,"&lt;"&amp;H604)+(COUNTIF($H$5:$H$979,"="&amp;H604)+1)/2</f>
        <v/>
      </c>
      <c r="O604" s="99">
        <f>COUNTIF($I$5:$I$979,"&lt;"&amp;I604)+(COUNTIF($I$5:$I$979,"="&amp;I604)+1)/2</f>
        <v/>
      </c>
      <c r="P604" s="99">
        <f>COUNTIF($J$5:$J$979,"&lt;"&amp;J604)+(COUNTIF($J$5:$J$979,"="&amp;J604)+1)/2</f>
        <v/>
      </c>
    </row>
    <row r="605" ht="15" customHeight="1" s="68">
      <c r="A605" s="70">
        <f>'01_원자료'!A602</f>
        <v/>
      </c>
      <c r="B605" s="70">
        <f>'01_원자료'!B602</f>
        <v/>
      </c>
      <c r="C605" s="70">
        <f>'01_원자료'!C602</f>
        <v/>
      </c>
      <c r="E605" s="85">
        <f>'01_원자료'!P602*'03_가중치민감도'!$B$5+'01_원자료'!Q602*'03_가중치민감도'!$C$5+'01_원자료'!R602*'03_가중치민감도'!$D$5</f>
        <v/>
      </c>
      <c r="F605" s="85">
        <f>'01_원자료'!P602*'03_가중치민감도'!$B$6+'01_원자료'!Q602*'03_가중치민감도'!$C$6+'01_원자료'!R602*'03_가중치민감도'!$D$6</f>
        <v/>
      </c>
      <c r="G605" s="85">
        <f>'01_원자료'!P602*'03_가중치민감도'!$B$7+'01_원자료'!Q602*'03_가중치민감도'!$C$7+'01_원자료'!R602*'03_가중치민감도'!$D$7</f>
        <v/>
      </c>
      <c r="H605" s="85">
        <f>'01_원자료'!P602*'03_가중치민감도'!$B$8+'01_원자료'!Q602*'03_가중치민감도'!$C$8+'01_원자료'!R602*'03_가중치민감도'!$D$8</f>
        <v/>
      </c>
      <c r="I605" s="85">
        <f>'01_원자료'!P602*'03_가중치민감도'!$B$9+'01_원자료'!Q602*'03_가중치민감도'!$C$9+'01_원자료'!R602*'03_가중치민감도'!$D$9</f>
        <v/>
      </c>
      <c r="J605" s="85">
        <f>'01_원자료'!P602*'03_가중치민감도'!$B$10+'01_원자료'!Q602*'03_가중치민감도'!$C$10+'01_원자료'!R602*'03_가중치민감도'!$D$10</f>
        <v/>
      </c>
      <c r="K605" s="99">
        <f>COUNTIF($E$5:$E$979,"&lt;"&amp;E605)+(COUNTIF($E$5:$E$979,"="&amp;E605)+1)/2</f>
        <v/>
      </c>
      <c r="L605" s="99">
        <f>COUNTIF($F$5:$F$979,"&lt;"&amp;F605)+(COUNTIF($F$5:$F$979,"="&amp;F605)+1)/2</f>
        <v/>
      </c>
      <c r="M605" s="99">
        <f>COUNTIF($G$5:$G$979,"&lt;"&amp;G605)+(COUNTIF($G$5:$G$979,"="&amp;G605)+1)/2</f>
        <v/>
      </c>
      <c r="N605" s="99">
        <f>COUNTIF($H$5:$H$979,"&lt;"&amp;H605)+(COUNTIF($H$5:$H$979,"="&amp;H605)+1)/2</f>
        <v/>
      </c>
      <c r="O605" s="99">
        <f>COUNTIF($I$5:$I$979,"&lt;"&amp;I605)+(COUNTIF($I$5:$I$979,"="&amp;I605)+1)/2</f>
        <v/>
      </c>
      <c r="P605" s="99">
        <f>COUNTIF($J$5:$J$979,"&lt;"&amp;J605)+(COUNTIF($J$5:$J$979,"="&amp;J605)+1)/2</f>
        <v/>
      </c>
    </row>
    <row r="606" ht="15" customHeight="1" s="68">
      <c r="A606" s="70">
        <f>'01_원자료'!A603</f>
        <v/>
      </c>
      <c r="B606" s="70">
        <f>'01_원자료'!B603</f>
        <v/>
      </c>
      <c r="C606" s="70">
        <f>'01_원자료'!C603</f>
        <v/>
      </c>
      <c r="E606" s="85">
        <f>'01_원자료'!P603*'03_가중치민감도'!$B$5+'01_원자료'!Q603*'03_가중치민감도'!$C$5+'01_원자료'!R603*'03_가중치민감도'!$D$5</f>
        <v/>
      </c>
      <c r="F606" s="85">
        <f>'01_원자료'!P603*'03_가중치민감도'!$B$6+'01_원자료'!Q603*'03_가중치민감도'!$C$6+'01_원자료'!R603*'03_가중치민감도'!$D$6</f>
        <v/>
      </c>
      <c r="G606" s="85">
        <f>'01_원자료'!P603*'03_가중치민감도'!$B$7+'01_원자료'!Q603*'03_가중치민감도'!$C$7+'01_원자료'!R603*'03_가중치민감도'!$D$7</f>
        <v/>
      </c>
      <c r="H606" s="85">
        <f>'01_원자료'!P603*'03_가중치민감도'!$B$8+'01_원자료'!Q603*'03_가중치민감도'!$C$8+'01_원자료'!R603*'03_가중치민감도'!$D$8</f>
        <v/>
      </c>
      <c r="I606" s="85">
        <f>'01_원자료'!P603*'03_가중치민감도'!$B$9+'01_원자료'!Q603*'03_가중치민감도'!$C$9+'01_원자료'!R603*'03_가중치민감도'!$D$9</f>
        <v/>
      </c>
      <c r="J606" s="85">
        <f>'01_원자료'!P603*'03_가중치민감도'!$B$10+'01_원자료'!Q603*'03_가중치민감도'!$C$10+'01_원자료'!R603*'03_가중치민감도'!$D$10</f>
        <v/>
      </c>
      <c r="K606" s="99">
        <f>COUNTIF($E$5:$E$979,"&lt;"&amp;E606)+(COUNTIF($E$5:$E$979,"="&amp;E606)+1)/2</f>
        <v/>
      </c>
      <c r="L606" s="99">
        <f>COUNTIF($F$5:$F$979,"&lt;"&amp;F606)+(COUNTIF($F$5:$F$979,"="&amp;F606)+1)/2</f>
        <v/>
      </c>
      <c r="M606" s="99">
        <f>COUNTIF($G$5:$G$979,"&lt;"&amp;G606)+(COUNTIF($G$5:$G$979,"="&amp;G606)+1)/2</f>
        <v/>
      </c>
      <c r="N606" s="99">
        <f>COUNTIF($H$5:$H$979,"&lt;"&amp;H606)+(COUNTIF($H$5:$H$979,"="&amp;H606)+1)/2</f>
        <v/>
      </c>
      <c r="O606" s="99">
        <f>COUNTIF($I$5:$I$979,"&lt;"&amp;I606)+(COUNTIF($I$5:$I$979,"="&amp;I606)+1)/2</f>
        <v/>
      </c>
      <c r="P606" s="99">
        <f>COUNTIF($J$5:$J$979,"&lt;"&amp;J606)+(COUNTIF($J$5:$J$979,"="&amp;J606)+1)/2</f>
        <v/>
      </c>
    </row>
    <row r="607" ht="15" customHeight="1" s="68">
      <c r="A607" s="70">
        <f>'01_원자료'!A604</f>
        <v/>
      </c>
      <c r="B607" s="70">
        <f>'01_원자료'!B604</f>
        <v/>
      </c>
      <c r="C607" s="70">
        <f>'01_원자료'!C604</f>
        <v/>
      </c>
      <c r="E607" s="85">
        <f>'01_원자료'!P604*'03_가중치민감도'!$B$5+'01_원자료'!Q604*'03_가중치민감도'!$C$5+'01_원자료'!R604*'03_가중치민감도'!$D$5</f>
        <v/>
      </c>
      <c r="F607" s="85">
        <f>'01_원자료'!P604*'03_가중치민감도'!$B$6+'01_원자료'!Q604*'03_가중치민감도'!$C$6+'01_원자료'!R604*'03_가중치민감도'!$D$6</f>
        <v/>
      </c>
      <c r="G607" s="85">
        <f>'01_원자료'!P604*'03_가중치민감도'!$B$7+'01_원자료'!Q604*'03_가중치민감도'!$C$7+'01_원자료'!R604*'03_가중치민감도'!$D$7</f>
        <v/>
      </c>
      <c r="H607" s="85">
        <f>'01_원자료'!P604*'03_가중치민감도'!$B$8+'01_원자료'!Q604*'03_가중치민감도'!$C$8+'01_원자료'!R604*'03_가중치민감도'!$D$8</f>
        <v/>
      </c>
      <c r="I607" s="85">
        <f>'01_원자료'!P604*'03_가중치민감도'!$B$9+'01_원자료'!Q604*'03_가중치민감도'!$C$9+'01_원자료'!R604*'03_가중치민감도'!$D$9</f>
        <v/>
      </c>
      <c r="J607" s="85">
        <f>'01_원자료'!P604*'03_가중치민감도'!$B$10+'01_원자료'!Q604*'03_가중치민감도'!$C$10+'01_원자료'!R604*'03_가중치민감도'!$D$10</f>
        <v/>
      </c>
      <c r="K607" s="99">
        <f>COUNTIF($E$5:$E$979,"&lt;"&amp;E607)+(COUNTIF($E$5:$E$979,"="&amp;E607)+1)/2</f>
        <v/>
      </c>
      <c r="L607" s="99">
        <f>COUNTIF($F$5:$F$979,"&lt;"&amp;F607)+(COUNTIF($F$5:$F$979,"="&amp;F607)+1)/2</f>
        <v/>
      </c>
      <c r="M607" s="99">
        <f>COUNTIF($G$5:$G$979,"&lt;"&amp;G607)+(COUNTIF($G$5:$G$979,"="&amp;G607)+1)/2</f>
        <v/>
      </c>
      <c r="N607" s="99">
        <f>COUNTIF($H$5:$H$979,"&lt;"&amp;H607)+(COUNTIF($H$5:$H$979,"="&amp;H607)+1)/2</f>
        <v/>
      </c>
      <c r="O607" s="99">
        <f>COUNTIF($I$5:$I$979,"&lt;"&amp;I607)+(COUNTIF($I$5:$I$979,"="&amp;I607)+1)/2</f>
        <v/>
      </c>
      <c r="P607" s="99">
        <f>COUNTIF($J$5:$J$979,"&lt;"&amp;J607)+(COUNTIF($J$5:$J$979,"="&amp;J607)+1)/2</f>
        <v/>
      </c>
    </row>
    <row r="608" ht="15" customHeight="1" s="68">
      <c r="A608" s="70">
        <f>'01_원자료'!A605</f>
        <v/>
      </c>
      <c r="B608" s="70">
        <f>'01_원자료'!B605</f>
        <v/>
      </c>
      <c r="C608" s="70">
        <f>'01_원자료'!C605</f>
        <v/>
      </c>
      <c r="E608" s="85">
        <f>'01_원자료'!P605*'03_가중치민감도'!$B$5+'01_원자료'!Q605*'03_가중치민감도'!$C$5+'01_원자료'!R605*'03_가중치민감도'!$D$5</f>
        <v/>
      </c>
      <c r="F608" s="85">
        <f>'01_원자료'!P605*'03_가중치민감도'!$B$6+'01_원자료'!Q605*'03_가중치민감도'!$C$6+'01_원자료'!R605*'03_가중치민감도'!$D$6</f>
        <v/>
      </c>
      <c r="G608" s="85">
        <f>'01_원자료'!P605*'03_가중치민감도'!$B$7+'01_원자료'!Q605*'03_가중치민감도'!$C$7+'01_원자료'!R605*'03_가중치민감도'!$D$7</f>
        <v/>
      </c>
      <c r="H608" s="85">
        <f>'01_원자료'!P605*'03_가중치민감도'!$B$8+'01_원자료'!Q605*'03_가중치민감도'!$C$8+'01_원자료'!R605*'03_가중치민감도'!$D$8</f>
        <v/>
      </c>
      <c r="I608" s="85">
        <f>'01_원자료'!P605*'03_가중치민감도'!$B$9+'01_원자료'!Q605*'03_가중치민감도'!$C$9+'01_원자료'!R605*'03_가중치민감도'!$D$9</f>
        <v/>
      </c>
      <c r="J608" s="85">
        <f>'01_원자료'!P605*'03_가중치민감도'!$B$10+'01_원자료'!Q605*'03_가중치민감도'!$C$10+'01_원자료'!R605*'03_가중치민감도'!$D$10</f>
        <v/>
      </c>
      <c r="K608" s="99">
        <f>COUNTIF($E$5:$E$979,"&lt;"&amp;E608)+(COUNTIF($E$5:$E$979,"="&amp;E608)+1)/2</f>
        <v/>
      </c>
      <c r="L608" s="99">
        <f>COUNTIF($F$5:$F$979,"&lt;"&amp;F608)+(COUNTIF($F$5:$F$979,"="&amp;F608)+1)/2</f>
        <v/>
      </c>
      <c r="M608" s="99">
        <f>COUNTIF($G$5:$G$979,"&lt;"&amp;G608)+(COUNTIF($G$5:$G$979,"="&amp;G608)+1)/2</f>
        <v/>
      </c>
      <c r="N608" s="99">
        <f>COUNTIF($H$5:$H$979,"&lt;"&amp;H608)+(COUNTIF($H$5:$H$979,"="&amp;H608)+1)/2</f>
        <v/>
      </c>
      <c r="O608" s="99">
        <f>COUNTIF($I$5:$I$979,"&lt;"&amp;I608)+(COUNTIF($I$5:$I$979,"="&amp;I608)+1)/2</f>
        <v/>
      </c>
      <c r="P608" s="99">
        <f>COUNTIF($J$5:$J$979,"&lt;"&amp;J608)+(COUNTIF($J$5:$J$979,"="&amp;J608)+1)/2</f>
        <v/>
      </c>
    </row>
    <row r="609" ht="15" customHeight="1" s="68">
      <c r="A609" s="70">
        <f>'01_원자료'!A606</f>
        <v/>
      </c>
      <c r="B609" s="70">
        <f>'01_원자료'!B606</f>
        <v/>
      </c>
      <c r="C609" s="70">
        <f>'01_원자료'!C606</f>
        <v/>
      </c>
      <c r="E609" s="85">
        <f>'01_원자료'!P606*'03_가중치민감도'!$B$5+'01_원자료'!Q606*'03_가중치민감도'!$C$5+'01_원자료'!R606*'03_가중치민감도'!$D$5</f>
        <v/>
      </c>
      <c r="F609" s="85">
        <f>'01_원자료'!P606*'03_가중치민감도'!$B$6+'01_원자료'!Q606*'03_가중치민감도'!$C$6+'01_원자료'!R606*'03_가중치민감도'!$D$6</f>
        <v/>
      </c>
      <c r="G609" s="85">
        <f>'01_원자료'!P606*'03_가중치민감도'!$B$7+'01_원자료'!Q606*'03_가중치민감도'!$C$7+'01_원자료'!R606*'03_가중치민감도'!$D$7</f>
        <v/>
      </c>
      <c r="H609" s="85">
        <f>'01_원자료'!P606*'03_가중치민감도'!$B$8+'01_원자료'!Q606*'03_가중치민감도'!$C$8+'01_원자료'!R606*'03_가중치민감도'!$D$8</f>
        <v/>
      </c>
      <c r="I609" s="85">
        <f>'01_원자료'!P606*'03_가중치민감도'!$B$9+'01_원자료'!Q606*'03_가중치민감도'!$C$9+'01_원자료'!R606*'03_가중치민감도'!$D$9</f>
        <v/>
      </c>
      <c r="J609" s="85">
        <f>'01_원자료'!P606*'03_가중치민감도'!$B$10+'01_원자료'!Q606*'03_가중치민감도'!$C$10+'01_원자료'!R606*'03_가중치민감도'!$D$10</f>
        <v/>
      </c>
      <c r="K609" s="99">
        <f>COUNTIF($E$5:$E$979,"&lt;"&amp;E609)+(COUNTIF($E$5:$E$979,"="&amp;E609)+1)/2</f>
        <v/>
      </c>
      <c r="L609" s="99">
        <f>COUNTIF($F$5:$F$979,"&lt;"&amp;F609)+(COUNTIF($F$5:$F$979,"="&amp;F609)+1)/2</f>
        <v/>
      </c>
      <c r="M609" s="99">
        <f>COUNTIF($G$5:$G$979,"&lt;"&amp;G609)+(COUNTIF($G$5:$G$979,"="&amp;G609)+1)/2</f>
        <v/>
      </c>
      <c r="N609" s="99">
        <f>COUNTIF($H$5:$H$979,"&lt;"&amp;H609)+(COUNTIF($H$5:$H$979,"="&amp;H609)+1)/2</f>
        <v/>
      </c>
      <c r="O609" s="99">
        <f>COUNTIF($I$5:$I$979,"&lt;"&amp;I609)+(COUNTIF($I$5:$I$979,"="&amp;I609)+1)/2</f>
        <v/>
      </c>
      <c r="P609" s="99">
        <f>COUNTIF($J$5:$J$979,"&lt;"&amp;J609)+(COUNTIF($J$5:$J$979,"="&amp;J609)+1)/2</f>
        <v/>
      </c>
    </row>
    <row r="610" ht="15" customHeight="1" s="68">
      <c r="A610" s="70">
        <f>'01_원자료'!A607</f>
        <v/>
      </c>
      <c r="B610" s="70">
        <f>'01_원자료'!B607</f>
        <v/>
      </c>
      <c r="C610" s="70">
        <f>'01_원자료'!C607</f>
        <v/>
      </c>
      <c r="E610" s="85">
        <f>'01_원자료'!P607*'03_가중치민감도'!$B$5+'01_원자료'!Q607*'03_가중치민감도'!$C$5+'01_원자료'!R607*'03_가중치민감도'!$D$5</f>
        <v/>
      </c>
      <c r="F610" s="85">
        <f>'01_원자료'!P607*'03_가중치민감도'!$B$6+'01_원자료'!Q607*'03_가중치민감도'!$C$6+'01_원자료'!R607*'03_가중치민감도'!$D$6</f>
        <v/>
      </c>
      <c r="G610" s="85">
        <f>'01_원자료'!P607*'03_가중치민감도'!$B$7+'01_원자료'!Q607*'03_가중치민감도'!$C$7+'01_원자료'!R607*'03_가중치민감도'!$D$7</f>
        <v/>
      </c>
      <c r="H610" s="85">
        <f>'01_원자료'!P607*'03_가중치민감도'!$B$8+'01_원자료'!Q607*'03_가중치민감도'!$C$8+'01_원자료'!R607*'03_가중치민감도'!$D$8</f>
        <v/>
      </c>
      <c r="I610" s="85">
        <f>'01_원자료'!P607*'03_가중치민감도'!$B$9+'01_원자료'!Q607*'03_가중치민감도'!$C$9+'01_원자료'!R607*'03_가중치민감도'!$D$9</f>
        <v/>
      </c>
      <c r="J610" s="85">
        <f>'01_원자료'!P607*'03_가중치민감도'!$B$10+'01_원자료'!Q607*'03_가중치민감도'!$C$10+'01_원자료'!R607*'03_가중치민감도'!$D$10</f>
        <v/>
      </c>
      <c r="K610" s="99">
        <f>COUNTIF($E$5:$E$979,"&lt;"&amp;E610)+(COUNTIF($E$5:$E$979,"="&amp;E610)+1)/2</f>
        <v/>
      </c>
      <c r="L610" s="99">
        <f>COUNTIF($F$5:$F$979,"&lt;"&amp;F610)+(COUNTIF($F$5:$F$979,"="&amp;F610)+1)/2</f>
        <v/>
      </c>
      <c r="M610" s="99">
        <f>COUNTIF($G$5:$G$979,"&lt;"&amp;G610)+(COUNTIF($G$5:$G$979,"="&amp;G610)+1)/2</f>
        <v/>
      </c>
      <c r="N610" s="99">
        <f>COUNTIF($H$5:$H$979,"&lt;"&amp;H610)+(COUNTIF($H$5:$H$979,"="&amp;H610)+1)/2</f>
        <v/>
      </c>
      <c r="O610" s="99">
        <f>COUNTIF($I$5:$I$979,"&lt;"&amp;I610)+(COUNTIF($I$5:$I$979,"="&amp;I610)+1)/2</f>
        <v/>
      </c>
      <c r="P610" s="99">
        <f>COUNTIF($J$5:$J$979,"&lt;"&amp;J610)+(COUNTIF($J$5:$J$979,"="&amp;J610)+1)/2</f>
        <v/>
      </c>
    </row>
    <row r="611" ht="15" customHeight="1" s="68">
      <c r="A611" s="70">
        <f>'01_원자료'!A608</f>
        <v/>
      </c>
      <c r="B611" s="70">
        <f>'01_원자료'!B608</f>
        <v/>
      </c>
      <c r="C611" s="70">
        <f>'01_원자료'!C608</f>
        <v/>
      </c>
      <c r="E611" s="85">
        <f>'01_원자료'!P608*'03_가중치민감도'!$B$5+'01_원자료'!Q608*'03_가중치민감도'!$C$5+'01_원자료'!R608*'03_가중치민감도'!$D$5</f>
        <v/>
      </c>
      <c r="F611" s="85">
        <f>'01_원자료'!P608*'03_가중치민감도'!$B$6+'01_원자료'!Q608*'03_가중치민감도'!$C$6+'01_원자료'!R608*'03_가중치민감도'!$D$6</f>
        <v/>
      </c>
      <c r="G611" s="85">
        <f>'01_원자료'!P608*'03_가중치민감도'!$B$7+'01_원자료'!Q608*'03_가중치민감도'!$C$7+'01_원자료'!R608*'03_가중치민감도'!$D$7</f>
        <v/>
      </c>
      <c r="H611" s="85">
        <f>'01_원자료'!P608*'03_가중치민감도'!$B$8+'01_원자료'!Q608*'03_가중치민감도'!$C$8+'01_원자료'!R608*'03_가중치민감도'!$D$8</f>
        <v/>
      </c>
      <c r="I611" s="85">
        <f>'01_원자료'!P608*'03_가중치민감도'!$B$9+'01_원자료'!Q608*'03_가중치민감도'!$C$9+'01_원자료'!R608*'03_가중치민감도'!$D$9</f>
        <v/>
      </c>
      <c r="J611" s="85">
        <f>'01_원자료'!P608*'03_가중치민감도'!$B$10+'01_원자료'!Q608*'03_가중치민감도'!$C$10+'01_원자료'!R608*'03_가중치민감도'!$D$10</f>
        <v/>
      </c>
      <c r="K611" s="99">
        <f>COUNTIF($E$5:$E$979,"&lt;"&amp;E611)+(COUNTIF($E$5:$E$979,"="&amp;E611)+1)/2</f>
        <v/>
      </c>
      <c r="L611" s="99">
        <f>COUNTIF($F$5:$F$979,"&lt;"&amp;F611)+(COUNTIF($F$5:$F$979,"="&amp;F611)+1)/2</f>
        <v/>
      </c>
      <c r="M611" s="99">
        <f>COUNTIF($G$5:$G$979,"&lt;"&amp;G611)+(COUNTIF($G$5:$G$979,"="&amp;G611)+1)/2</f>
        <v/>
      </c>
      <c r="N611" s="99">
        <f>COUNTIF($H$5:$H$979,"&lt;"&amp;H611)+(COUNTIF($H$5:$H$979,"="&amp;H611)+1)/2</f>
        <v/>
      </c>
      <c r="O611" s="99">
        <f>COUNTIF($I$5:$I$979,"&lt;"&amp;I611)+(COUNTIF($I$5:$I$979,"="&amp;I611)+1)/2</f>
        <v/>
      </c>
      <c r="P611" s="99">
        <f>COUNTIF($J$5:$J$979,"&lt;"&amp;J611)+(COUNTIF($J$5:$J$979,"="&amp;J611)+1)/2</f>
        <v/>
      </c>
    </row>
    <row r="612" ht="15" customHeight="1" s="68">
      <c r="A612" s="70">
        <f>'01_원자료'!A609</f>
        <v/>
      </c>
      <c r="B612" s="70">
        <f>'01_원자료'!B609</f>
        <v/>
      </c>
      <c r="C612" s="70">
        <f>'01_원자료'!C609</f>
        <v/>
      </c>
      <c r="E612" s="85">
        <f>'01_원자료'!P609*'03_가중치민감도'!$B$5+'01_원자료'!Q609*'03_가중치민감도'!$C$5+'01_원자료'!R609*'03_가중치민감도'!$D$5</f>
        <v/>
      </c>
      <c r="F612" s="85">
        <f>'01_원자료'!P609*'03_가중치민감도'!$B$6+'01_원자료'!Q609*'03_가중치민감도'!$C$6+'01_원자료'!R609*'03_가중치민감도'!$D$6</f>
        <v/>
      </c>
      <c r="G612" s="85">
        <f>'01_원자료'!P609*'03_가중치민감도'!$B$7+'01_원자료'!Q609*'03_가중치민감도'!$C$7+'01_원자료'!R609*'03_가중치민감도'!$D$7</f>
        <v/>
      </c>
      <c r="H612" s="85">
        <f>'01_원자료'!P609*'03_가중치민감도'!$B$8+'01_원자료'!Q609*'03_가중치민감도'!$C$8+'01_원자료'!R609*'03_가중치민감도'!$D$8</f>
        <v/>
      </c>
      <c r="I612" s="85">
        <f>'01_원자료'!P609*'03_가중치민감도'!$B$9+'01_원자료'!Q609*'03_가중치민감도'!$C$9+'01_원자료'!R609*'03_가중치민감도'!$D$9</f>
        <v/>
      </c>
      <c r="J612" s="85">
        <f>'01_원자료'!P609*'03_가중치민감도'!$B$10+'01_원자료'!Q609*'03_가중치민감도'!$C$10+'01_원자료'!R609*'03_가중치민감도'!$D$10</f>
        <v/>
      </c>
      <c r="K612" s="99">
        <f>COUNTIF($E$5:$E$979,"&lt;"&amp;E612)+(COUNTIF($E$5:$E$979,"="&amp;E612)+1)/2</f>
        <v/>
      </c>
      <c r="L612" s="99">
        <f>COUNTIF($F$5:$F$979,"&lt;"&amp;F612)+(COUNTIF($F$5:$F$979,"="&amp;F612)+1)/2</f>
        <v/>
      </c>
      <c r="M612" s="99">
        <f>COUNTIF($G$5:$G$979,"&lt;"&amp;G612)+(COUNTIF($G$5:$G$979,"="&amp;G612)+1)/2</f>
        <v/>
      </c>
      <c r="N612" s="99">
        <f>COUNTIF($H$5:$H$979,"&lt;"&amp;H612)+(COUNTIF($H$5:$H$979,"="&amp;H612)+1)/2</f>
        <v/>
      </c>
      <c r="O612" s="99">
        <f>COUNTIF($I$5:$I$979,"&lt;"&amp;I612)+(COUNTIF($I$5:$I$979,"="&amp;I612)+1)/2</f>
        <v/>
      </c>
      <c r="P612" s="99">
        <f>COUNTIF($J$5:$J$979,"&lt;"&amp;J612)+(COUNTIF($J$5:$J$979,"="&amp;J612)+1)/2</f>
        <v/>
      </c>
    </row>
    <row r="613" ht="15" customHeight="1" s="68">
      <c r="A613" s="70">
        <f>'01_원자료'!A610</f>
        <v/>
      </c>
      <c r="B613" s="70">
        <f>'01_원자료'!B610</f>
        <v/>
      </c>
      <c r="C613" s="70">
        <f>'01_원자료'!C610</f>
        <v/>
      </c>
      <c r="E613" s="85">
        <f>'01_원자료'!P610*'03_가중치민감도'!$B$5+'01_원자료'!Q610*'03_가중치민감도'!$C$5+'01_원자료'!R610*'03_가중치민감도'!$D$5</f>
        <v/>
      </c>
      <c r="F613" s="85">
        <f>'01_원자료'!P610*'03_가중치민감도'!$B$6+'01_원자료'!Q610*'03_가중치민감도'!$C$6+'01_원자료'!R610*'03_가중치민감도'!$D$6</f>
        <v/>
      </c>
      <c r="G613" s="85">
        <f>'01_원자료'!P610*'03_가중치민감도'!$B$7+'01_원자료'!Q610*'03_가중치민감도'!$C$7+'01_원자료'!R610*'03_가중치민감도'!$D$7</f>
        <v/>
      </c>
      <c r="H613" s="85">
        <f>'01_원자료'!P610*'03_가중치민감도'!$B$8+'01_원자료'!Q610*'03_가중치민감도'!$C$8+'01_원자료'!R610*'03_가중치민감도'!$D$8</f>
        <v/>
      </c>
      <c r="I613" s="85">
        <f>'01_원자료'!P610*'03_가중치민감도'!$B$9+'01_원자료'!Q610*'03_가중치민감도'!$C$9+'01_원자료'!R610*'03_가중치민감도'!$D$9</f>
        <v/>
      </c>
      <c r="J613" s="85">
        <f>'01_원자료'!P610*'03_가중치민감도'!$B$10+'01_원자료'!Q610*'03_가중치민감도'!$C$10+'01_원자료'!R610*'03_가중치민감도'!$D$10</f>
        <v/>
      </c>
      <c r="K613" s="99">
        <f>COUNTIF($E$5:$E$979,"&lt;"&amp;E613)+(COUNTIF($E$5:$E$979,"="&amp;E613)+1)/2</f>
        <v/>
      </c>
      <c r="L613" s="99">
        <f>COUNTIF($F$5:$F$979,"&lt;"&amp;F613)+(COUNTIF($F$5:$F$979,"="&amp;F613)+1)/2</f>
        <v/>
      </c>
      <c r="M613" s="99">
        <f>COUNTIF($G$5:$G$979,"&lt;"&amp;G613)+(COUNTIF($G$5:$G$979,"="&amp;G613)+1)/2</f>
        <v/>
      </c>
      <c r="N613" s="99">
        <f>COUNTIF($H$5:$H$979,"&lt;"&amp;H613)+(COUNTIF($H$5:$H$979,"="&amp;H613)+1)/2</f>
        <v/>
      </c>
      <c r="O613" s="99">
        <f>COUNTIF($I$5:$I$979,"&lt;"&amp;I613)+(COUNTIF($I$5:$I$979,"="&amp;I613)+1)/2</f>
        <v/>
      </c>
      <c r="P613" s="99">
        <f>COUNTIF($J$5:$J$979,"&lt;"&amp;J613)+(COUNTIF($J$5:$J$979,"="&amp;J613)+1)/2</f>
        <v/>
      </c>
    </row>
    <row r="614" ht="15" customHeight="1" s="68">
      <c r="A614" s="70">
        <f>'01_원자료'!A611</f>
        <v/>
      </c>
      <c r="B614" s="70">
        <f>'01_원자료'!B611</f>
        <v/>
      </c>
      <c r="C614" s="70">
        <f>'01_원자료'!C611</f>
        <v/>
      </c>
      <c r="E614" s="85">
        <f>'01_원자료'!P611*'03_가중치민감도'!$B$5+'01_원자료'!Q611*'03_가중치민감도'!$C$5+'01_원자료'!R611*'03_가중치민감도'!$D$5</f>
        <v/>
      </c>
      <c r="F614" s="85">
        <f>'01_원자료'!P611*'03_가중치민감도'!$B$6+'01_원자료'!Q611*'03_가중치민감도'!$C$6+'01_원자료'!R611*'03_가중치민감도'!$D$6</f>
        <v/>
      </c>
      <c r="G614" s="85">
        <f>'01_원자료'!P611*'03_가중치민감도'!$B$7+'01_원자료'!Q611*'03_가중치민감도'!$C$7+'01_원자료'!R611*'03_가중치민감도'!$D$7</f>
        <v/>
      </c>
      <c r="H614" s="85">
        <f>'01_원자료'!P611*'03_가중치민감도'!$B$8+'01_원자료'!Q611*'03_가중치민감도'!$C$8+'01_원자료'!R611*'03_가중치민감도'!$D$8</f>
        <v/>
      </c>
      <c r="I614" s="85">
        <f>'01_원자료'!P611*'03_가중치민감도'!$B$9+'01_원자료'!Q611*'03_가중치민감도'!$C$9+'01_원자료'!R611*'03_가중치민감도'!$D$9</f>
        <v/>
      </c>
      <c r="J614" s="85">
        <f>'01_원자료'!P611*'03_가중치민감도'!$B$10+'01_원자료'!Q611*'03_가중치민감도'!$C$10+'01_원자료'!R611*'03_가중치민감도'!$D$10</f>
        <v/>
      </c>
      <c r="K614" s="99">
        <f>COUNTIF($E$5:$E$979,"&lt;"&amp;E614)+(COUNTIF($E$5:$E$979,"="&amp;E614)+1)/2</f>
        <v/>
      </c>
      <c r="L614" s="99">
        <f>COUNTIF($F$5:$F$979,"&lt;"&amp;F614)+(COUNTIF($F$5:$F$979,"="&amp;F614)+1)/2</f>
        <v/>
      </c>
      <c r="M614" s="99">
        <f>COUNTIF($G$5:$G$979,"&lt;"&amp;G614)+(COUNTIF($G$5:$G$979,"="&amp;G614)+1)/2</f>
        <v/>
      </c>
      <c r="N614" s="99">
        <f>COUNTIF($H$5:$H$979,"&lt;"&amp;H614)+(COUNTIF($H$5:$H$979,"="&amp;H614)+1)/2</f>
        <v/>
      </c>
      <c r="O614" s="99">
        <f>COUNTIF($I$5:$I$979,"&lt;"&amp;I614)+(COUNTIF($I$5:$I$979,"="&amp;I614)+1)/2</f>
        <v/>
      </c>
      <c r="P614" s="99">
        <f>COUNTIF($J$5:$J$979,"&lt;"&amp;J614)+(COUNTIF($J$5:$J$979,"="&amp;J614)+1)/2</f>
        <v/>
      </c>
    </row>
    <row r="615" ht="15" customHeight="1" s="68">
      <c r="A615" s="70">
        <f>'01_원자료'!A612</f>
        <v/>
      </c>
      <c r="B615" s="70">
        <f>'01_원자료'!B612</f>
        <v/>
      </c>
      <c r="C615" s="70">
        <f>'01_원자료'!C612</f>
        <v/>
      </c>
      <c r="E615" s="85">
        <f>'01_원자료'!P612*'03_가중치민감도'!$B$5+'01_원자료'!Q612*'03_가중치민감도'!$C$5+'01_원자료'!R612*'03_가중치민감도'!$D$5</f>
        <v/>
      </c>
      <c r="F615" s="85">
        <f>'01_원자료'!P612*'03_가중치민감도'!$B$6+'01_원자료'!Q612*'03_가중치민감도'!$C$6+'01_원자료'!R612*'03_가중치민감도'!$D$6</f>
        <v/>
      </c>
      <c r="G615" s="85">
        <f>'01_원자료'!P612*'03_가중치민감도'!$B$7+'01_원자료'!Q612*'03_가중치민감도'!$C$7+'01_원자료'!R612*'03_가중치민감도'!$D$7</f>
        <v/>
      </c>
      <c r="H615" s="85">
        <f>'01_원자료'!P612*'03_가중치민감도'!$B$8+'01_원자료'!Q612*'03_가중치민감도'!$C$8+'01_원자료'!R612*'03_가중치민감도'!$D$8</f>
        <v/>
      </c>
      <c r="I615" s="85">
        <f>'01_원자료'!P612*'03_가중치민감도'!$B$9+'01_원자료'!Q612*'03_가중치민감도'!$C$9+'01_원자료'!R612*'03_가중치민감도'!$D$9</f>
        <v/>
      </c>
      <c r="J615" s="85">
        <f>'01_원자료'!P612*'03_가중치민감도'!$B$10+'01_원자료'!Q612*'03_가중치민감도'!$C$10+'01_원자료'!R612*'03_가중치민감도'!$D$10</f>
        <v/>
      </c>
      <c r="K615" s="99">
        <f>COUNTIF($E$5:$E$979,"&lt;"&amp;E615)+(COUNTIF($E$5:$E$979,"="&amp;E615)+1)/2</f>
        <v/>
      </c>
      <c r="L615" s="99">
        <f>COUNTIF($F$5:$F$979,"&lt;"&amp;F615)+(COUNTIF($F$5:$F$979,"="&amp;F615)+1)/2</f>
        <v/>
      </c>
      <c r="M615" s="99">
        <f>COUNTIF($G$5:$G$979,"&lt;"&amp;G615)+(COUNTIF($G$5:$G$979,"="&amp;G615)+1)/2</f>
        <v/>
      </c>
      <c r="N615" s="99">
        <f>COUNTIF($H$5:$H$979,"&lt;"&amp;H615)+(COUNTIF($H$5:$H$979,"="&amp;H615)+1)/2</f>
        <v/>
      </c>
      <c r="O615" s="99">
        <f>COUNTIF($I$5:$I$979,"&lt;"&amp;I615)+(COUNTIF($I$5:$I$979,"="&amp;I615)+1)/2</f>
        <v/>
      </c>
      <c r="P615" s="99">
        <f>COUNTIF($J$5:$J$979,"&lt;"&amp;J615)+(COUNTIF($J$5:$J$979,"="&amp;J615)+1)/2</f>
        <v/>
      </c>
    </row>
    <row r="616" ht="15" customHeight="1" s="68">
      <c r="A616" s="70">
        <f>'01_원자료'!A613</f>
        <v/>
      </c>
      <c r="B616" s="70">
        <f>'01_원자료'!B613</f>
        <v/>
      </c>
      <c r="C616" s="70">
        <f>'01_원자료'!C613</f>
        <v/>
      </c>
      <c r="E616" s="85">
        <f>'01_원자료'!P613*'03_가중치민감도'!$B$5+'01_원자료'!Q613*'03_가중치민감도'!$C$5+'01_원자료'!R613*'03_가중치민감도'!$D$5</f>
        <v/>
      </c>
      <c r="F616" s="85">
        <f>'01_원자료'!P613*'03_가중치민감도'!$B$6+'01_원자료'!Q613*'03_가중치민감도'!$C$6+'01_원자료'!R613*'03_가중치민감도'!$D$6</f>
        <v/>
      </c>
      <c r="G616" s="85">
        <f>'01_원자료'!P613*'03_가중치민감도'!$B$7+'01_원자료'!Q613*'03_가중치민감도'!$C$7+'01_원자료'!R613*'03_가중치민감도'!$D$7</f>
        <v/>
      </c>
      <c r="H616" s="85">
        <f>'01_원자료'!P613*'03_가중치민감도'!$B$8+'01_원자료'!Q613*'03_가중치민감도'!$C$8+'01_원자료'!R613*'03_가중치민감도'!$D$8</f>
        <v/>
      </c>
      <c r="I616" s="85">
        <f>'01_원자료'!P613*'03_가중치민감도'!$B$9+'01_원자료'!Q613*'03_가중치민감도'!$C$9+'01_원자료'!R613*'03_가중치민감도'!$D$9</f>
        <v/>
      </c>
      <c r="J616" s="85">
        <f>'01_원자료'!P613*'03_가중치민감도'!$B$10+'01_원자료'!Q613*'03_가중치민감도'!$C$10+'01_원자료'!R613*'03_가중치민감도'!$D$10</f>
        <v/>
      </c>
      <c r="K616" s="99">
        <f>COUNTIF($E$5:$E$979,"&lt;"&amp;E616)+(COUNTIF($E$5:$E$979,"="&amp;E616)+1)/2</f>
        <v/>
      </c>
      <c r="L616" s="99">
        <f>COUNTIF($F$5:$F$979,"&lt;"&amp;F616)+(COUNTIF($F$5:$F$979,"="&amp;F616)+1)/2</f>
        <v/>
      </c>
      <c r="M616" s="99">
        <f>COUNTIF($G$5:$G$979,"&lt;"&amp;G616)+(COUNTIF($G$5:$G$979,"="&amp;G616)+1)/2</f>
        <v/>
      </c>
      <c r="N616" s="99">
        <f>COUNTIF($H$5:$H$979,"&lt;"&amp;H616)+(COUNTIF($H$5:$H$979,"="&amp;H616)+1)/2</f>
        <v/>
      </c>
      <c r="O616" s="99">
        <f>COUNTIF($I$5:$I$979,"&lt;"&amp;I616)+(COUNTIF($I$5:$I$979,"="&amp;I616)+1)/2</f>
        <v/>
      </c>
      <c r="P616" s="99">
        <f>COUNTIF($J$5:$J$979,"&lt;"&amp;J616)+(COUNTIF($J$5:$J$979,"="&amp;J616)+1)/2</f>
        <v/>
      </c>
    </row>
    <row r="617" ht="15" customHeight="1" s="68">
      <c r="A617" s="70">
        <f>'01_원자료'!A614</f>
        <v/>
      </c>
      <c r="B617" s="70">
        <f>'01_원자료'!B614</f>
        <v/>
      </c>
      <c r="C617" s="70">
        <f>'01_원자료'!C614</f>
        <v/>
      </c>
      <c r="E617" s="85">
        <f>'01_원자료'!P614*'03_가중치민감도'!$B$5+'01_원자료'!Q614*'03_가중치민감도'!$C$5+'01_원자료'!R614*'03_가중치민감도'!$D$5</f>
        <v/>
      </c>
      <c r="F617" s="85">
        <f>'01_원자료'!P614*'03_가중치민감도'!$B$6+'01_원자료'!Q614*'03_가중치민감도'!$C$6+'01_원자료'!R614*'03_가중치민감도'!$D$6</f>
        <v/>
      </c>
      <c r="G617" s="85">
        <f>'01_원자료'!P614*'03_가중치민감도'!$B$7+'01_원자료'!Q614*'03_가중치민감도'!$C$7+'01_원자료'!R614*'03_가중치민감도'!$D$7</f>
        <v/>
      </c>
      <c r="H617" s="85">
        <f>'01_원자료'!P614*'03_가중치민감도'!$B$8+'01_원자료'!Q614*'03_가중치민감도'!$C$8+'01_원자료'!R614*'03_가중치민감도'!$D$8</f>
        <v/>
      </c>
      <c r="I617" s="85">
        <f>'01_원자료'!P614*'03_가중치민감도'!$B$9+'01_원자료'!Q614*'03_가중치민감도'!$C$9+'01_원자료'!R614*'03_가중치민감도'!$D$9</f>
        <v/>
      </c>
      <c r="J617" s="85">
        <f>'01_원자료'!P614*'03_가중치민감도'!$B$10+'01_원자료'!Q614*'03_가중치민감도'!$C$10+'01_원자료'!R614*'03_가중치민감도'!$D$10</f>
        <v/>
      </c>
      <c r="K617" s="99">
        <f>COUNTIF($E$5:$E$979,"&lt;"&amp;E617)+(COUNTIF($E$5:$E$979,"="&amp;E617)+1)/2</f>
        <v/>
      </c>
      <c r="L617" s="99">
        <f>COUNTIF($F$5:$F$979,"&lt;"&amp;F617)+(COUNTIF($F$5:$F$979,"="&amp;F617)+1)/2</f>
        <v/>
      </c>
      <c r="M617" s="99">
        <f>COUNTIF($G$5:$G$979,"&lt;"&amp;G617)+(COUNTIF($G$5:$G$979,"="&amp;G617)+1)/2</f>
        <v/>
      </c>
      <c r="N617" s="99">
        <f>COUNTIF($H$5:$H$979,"&lt;"&amp;H617)+(COUNTIF($H$5:$H$979,"="&amp;H617)+1)/2</f>
        <v/>
      </c>
      <c r="O617" s="99">
        <f>COUNTIF($I$5:$I$979,"&lt;"&amp;I617)+(COUNTIF($I$5:$I$979,"="&amp;I617)+1)/2</f>
        <v/>
      </c>
      <c r="P617" s="99">
        <f>COUNTIF($J$5:$J$979,"&lt;"&amp;J617)+(COUNTIF($J$5:$J$979,"="&amp;J617)+1)/2</f>
        <v/>
      </c>
    </row>
    <row r="618" ht="15" customHeight="1" s="68">
      <c r="A618" s="70">
        <f>'01_원자료'!A615</f>
        <v/>
      </c>
      <c r="B618" s="70">
        <f>'01_원자료'!B615</f>
        <v/>
      </c>
      <c r="C618" s="70">
        <f>'01_원자료'!C615</f>
        <v/>
      </c>
      <c r="E618" s="85">
        <f>'01_원자료'!P615*'03_가중치민감도'!$B$5+'01_원자료'!Q615*'03_가중치민감도'!$C$5+'01_원자료'!R615*'03_가중치민감도'!$D$5</f>
        <v/>
      </c>
      <c r="F618" s="85">
        <f>'01_원자료'!P615*'03_가중치민감도'!$B$6+'01_원자료'!Q615*'03_가중치민감도'!$C$6+'01_원자료'!R615*'03_가중치민감도'!$D$6</f>
        <v/>
      </c>
      <c r="G618" s="85">
        <f>'01_원자료'!P615*'03_가중치민감도'!$B$7+'01_원자료'!Q615*'03_가중치민감도'!$C$7+'01_원자료'!R615*'03_가중치민감도'!$D$7</f>
        <v/>
      </c>
      <c r="H618" s="85">
        <f>'01_원자료'!P615*'03_가중치민감도'!$B$8+'01_원자료'!Q615*'03_가중치민감도'!$C$8+'01_원자료'!R615*'03_가중치민감도'!$D$8</f>
        <v/>
      </c>
      <c r="I618" s="85">
        <f>'01_원자료'!P615*'03_가중치민감도'!$B$9+'01_원자료'!Q615*'03_가중치민감도'!$C$9+'01_원자료'!R615*'03_가중치민감도'!$D$9</f>
        <v/>
      </c>
      <c r="J618" s="85">
        <f>'01_원자료'!P615*'03_가중치민감도'!$B$10+'01_원자료'!Q615*'03_가중치민감도'!$C$10+'01_원자료'!R615*'03_가중치민감도'!$D$10</f>
        <v/>
      </c>
      <c r="K618" s="99">
        <f>COUNTIF($E$5:$E$979,"&lt;"&amp;E618)+(COUNTIF($E$5:$E$979,"="&amp;E618)+1)/2</f>
        <v/>
      </c>
      <c r="L618" s="99">
        <f>COUNTIF($F$5:$F$979,"&lt;"&amp;F618)+(COUNTIF($F$5:$F$979,"="&amp;F618)+1)/2</f>
        <v/>
      </c>
      <c r="M618" s="99">
        <f>COUNTIF($G$5:$G$979,"&lt;"&amp;G618)+(COUNTIF($G$5:$G$979,"="&amp;G618)+1)/2</f>
        <v/>
      </c>
      <c r="N618" s="99">
        <f>COUNTIF($H$5:$H$979,"&lt;"&amp;H618)+(COUNTIF($H$5:$H$979,"="&amp;H618)+1)/2</f>
        <v/>
      </c>
      <c r="O618" s="99">
        <f>COUNTIF($I$5:$I$979,"&lt;"&amp;I618)+(COUNTIF($I$5:$I$979,"="&amp;I618)+1)/2</f>
        <v/>
      </c>
      <c r="P618" s="99">
        <f>COUNTIF($J$5:$J$979,"&lt;"&amp;J618)+(COUNTIF($J$5:$J$979,"="&amp;J618)+1)/2</f>
        <v/>
      </c>
    </row>
    <row r="619" ht="15" customHeight="1" s="68">
      <c r="A619" s="70">
        <f>'01_원자료'!A616</f>
        <v/>
      </c>
      <c r="B619" s="70">
        <f>'01_원자료'!B616</f>
        <v/>
      </c>
      <c r="C619" s="70">
        <f>'01_원자료'!C616</f>
        <v/>
      </c>
      <c r="E619" s="85">
        <f>'01_원자료'!P616*'03_가중치민감도'!$B$5+'01_원자료'!Q616*'03_가중치민감도'!$C$5+'01_원자료'!R616*'03_가중치민감도'!$D$5</f>
        <v/>
      </c>
      <c r="F619" s="85">
        <f>'01_원자료'!P616*'03_가중치민감도'!$B$6+'01_원자료'!Q616*'03_가중치민감도'!$C$6+'01_원자료'!R616*'03_가중치민감도'!$D$6</f>
        <v/>
      </c>
      <c r="G619" s="85">
        <f>'01_원자료'!P616*'03_가중치민감도'!$B$7+'01_원자료'!Q616*'03_가중치민감도'!$C$7+'01_원자료'!R616*'03_가중치민감도'!$D$7</f>
        <v/>
      </c>
      <c r="H619" s="85">
        <f>'01_원자료'!P616*'03_가중치민감도'!$B$8+'01_원자료'!Q616*'03_가중치민감도'!$C$8+'01_원자료'!R616*'03_가중치민감도'!$D$8</f>
        <v/>
      </c>
      <c r="I619" s="85">
        <f>'01_원자료'!P616*'03_가중치민감도'!$B$9+'01_원자료'!Q616*'03_가중치민감도'!$C$9+'01_원자료'!R616*'03_가중치민감도'!$D$9</f>
        <v/>
      </c>
      <c r="J619" s="85">
        <f>'01_원자료'!P616*'03_가중치민감도'!$B$10+'01_원자료'!Q616*'03_가중치민감도'!$C$10+'01_원자료'!R616*'03_가중치민감도'!$D$10</f>
        <v/>
      </c>
      <c r="K619" s="99">
        <f>COUNTIF($E$5:$E$979,"&lt;"&amp;E619)+(COUNTIF($E$5:$E$979,"="&amp;E619)+1)/2</f>
        <v/>
      </c>
      <c r="L619" s="99">
        <f>COUNTIF($F$5:$F$979,"&lt;"&amp;F619)+(COUNTIF($F$5:$F$979,"="&amp;F619)+1)/2</f>
        <v/>
      </c>
      <c r="M619" s="99">
        <f>COUNTIF($G$5:$G$979,"&lt;"&amp;G619)+(COUNTIF($G$5:$G$979,"="&amp;G619)+1)/2</f>
        <v/>
      </c>
      <c r="N619" s="99">
        <f>COUNTIF($H$5:$H$979,"&lt;"&amp;H619)+(COUNTIF($H$5:$H$979,"="&amp;H619)+1)/2</f>
        <v/>
      </c>
      <c r="O619" s="99">
        <f>COUNTIF($I$5:$I$979,"&lt;"&amp;I619)+(COUNTIF($I$5:$I$979,"="&amp;I619)+1)/2</f>
        <v/>
      </c>
      <c r="P619" s="99">
        <f>COUNTIF($J$5:$J$979,"&lt;"&amp;J619)+(COUNTIF($J$5:$J$979,"="&amp;J619)+1)/2</f>
        <v/>
      </c>
    </row>
    <row r="620" ht="15" customHeight="1" s="68">
      <c r="A620" s="70">
        <f>'01_원자료'!A617</f>
        <v/>
      </c>
      <c r="B620" s="70">
        <f>'01_원자료'!B617</f>
        <v/>
      </c>
      <c r="C620" s="70">
        <f>'01_원자료'!C617</f>
        <v/>
      </c>
      <c r="E620" s="85">
        <f>'01_원자료'!P617*'03_가중치민감도'!$B$5+'01_원자료'!Q617*'03_가중치민감도'!$C$5+'01_원자료'!R617*'03_가중치민감도'!$D$5</f>
        <v/>
      </c>
      <c r="F620" s="85">
        <f>'01_원자료'!P617*'03_가중치민감도'!$B$6+'01_원자료'!Q617*'03_가중치민감도'!$C$6+'01_원자료'!R617*'03_가중치민감도'!$D$6</f>
        <v/>
      </c>
      <c r="G620" s="85">
        <f>'01_원자료'!P617*'03_가중치민감도'!$B$7+'01_원자료'!Q617*'03_가중치민감도'!$C$7+'01_원자료'!R617*'03_가중치민감도'!$D$7</f>
        <v/>
      </c>
      <c r="H620" s="85">
        <f>'01_원자료'!P617*'03_가중치민감도'!$B$8+'01_원자료'!Q617*'03_가중치민감도'!$C$8+'01_원자료'!R617*'03_가중치민감도'!$D$8</f>
        <v/>
      </c>
      <c r="I620" s="85">
        <f>'01_원자료'!P617*'03_가중치민감도'!$B$9+'01_원자료'!Q617*'03_가중치민감도'!$C$9+'01_원자료'!R617*'03_가중치민감도'!$D$9</f>
        <v/>
      </c>
      <c r="J620" s="85">
        <f>'01_원자료'!P617*'03_가중치민감도'!$B$10+'01_원자료'!Q617*'03_가중치민감도'!$C$10+'01_원자료'!R617*'03_가중치민감도'!$D$10</f>
        <v/>
      </c>
      <c r="K620" s="99">
        <f>COUNTIF($E$5:$E$979,"&lt;"&amp;E620)+(COUNTIF($E$5:$E$979,"="&amp;E620)+1)/2</f>
        <v/>
      </c>
      <c r="L620" s="99">
        <f>COUNTIF($F$5:$F$979,"&lt;"&amp;F620)+(COUNTIF($F$5:$F$979,"="&amp;F620)+1)/2</f>
        <v/>
      </c>
      <c r="M620" s="99">
        <f>COUNTIF($G$5:$G$979,"&lt;"&amp;G620)+(COUNTIF($G$5:$G$979,"="&amp;G620)+1)/2</f>
        <v/>
      </c>
      <c r="N620" s="99">
        <f>COUNTIF($H$5:$H$979,"&lt;"&amp;H620)+(COUNTIF($H$5:$H$979,"="&amp;H620)+1)/2</f>
        <v/>
      </c>
      <c r="O620" s="99">
        <f>COUNTIF($I$5:$I$979,"&lt;"&amp;I620)+(COUNTIF($I$5:$I$979,"="&amp;I620)+1)/2</f>
        <v/>
      </c>
      <c r="P620" s="99">
        <f>COUNTIF($J$5:$J$979,"&lt;"&amp;J620)+(COUNTIF($J$5:$J$979,"="&amp;J620)+1)/2</f>
        <v/>
      </c>
    </row>
    <row r="621" ht="15" customHeight="1" s="68">
      <c r="A621" s="70">
        <f>'01_원자료'!A618</f>
        <v/>
      </c>
      <c r="B621" s="70">
        <f>'01_원자료'!B618</f>
        <v/>
      </c>
      <c r="C621" s="70">
        <f>'01_원자료'!C618</f>
        <v/>
      </c>
      <c r="E621" s="85">
        <f>'01_원자료'!P618*'03_가중치민감도'!$B$5+'01_원자료'!Q618*'03_가중치민감도'!$C$5+'01_원자료'!R618*'03_가중치민감도'!$D$5</f>
        <v/>
      </c>
      <c r="F621" s="85">
        <f>'01_원자료'!P618*'03_가중치민감도'!$B$6+'01_원자료'!Q618*'03_가중치민감도'!$C$6+'01_원자료'!R618*'03_가중치민감도'!$D$6</f>
        <v/>
      </c>
      <c r="G621" s="85">
        <f>'01_원자료'!P618*'03_가중치민감도'!$B$7+'01_원자료'!Q618*'03_가중치민감도'!$C$7+'01_원자료'!R618*'03_가중치민감도'!$D$7</f>
        <v/>
      </c>
      <c r="H621" s="85">
        <f>'01_원자료'!P618*'03_가중치민감도'!$B$8+'01_원자료'!Q618*'03_가중치민감도'!$C$8+'01_원자료'!R618*'03_가중치민감도'!$D$8</f>
        <v/>
      </c>
      <c r="I621" s="85">
        <f>'01_원자료'!P618*'03_가중치민감도'!$B$9+'01_원자료'!Q618*'03_가중치민감도'!$C$9+'01_원자료'!R618*'03_가중치민감도'!$D$9</f>
        <v/>
      </c>
      <c r="J621" s="85">
        <f>'01_원자료'!P618*'03_가중치민감도'!$B$10+'01_원자료'!Q618*'03_가중치민감도'!$C$10+'01_원자료'!R618*'03_가중치민감도'!$D$10</f>
        <v/>
      </c>
      <c r="K621" s="99">
        <f>COUNTIF($E$5:$E$979,"&lt;"&amp;E621)+(COUNTIF($E$5:$E$979,"="&amp;E621)+1)/2</f>
        <v/>
      </c>
      <c r="L621" s="99">
        <f>COUNTIF($F$5:$F$979,"&lt;"&amp;F621)+(COUNTIF($F$5:$F$979,"="&amp;F621)+1)/2</f>
        <v/>
      </c>
      <c r="M621" s="99">
        <f>COUNTIF($G$5:$G$979,"&lt;"&amp;G621)+(COUNTIF($G$5:$G$979,"="&amp;G621)+1)/2</f>
        <v/>
      </c>
      <c r="N621" s="99">
        <f>COUNTIF($H$5:$H$979,"&lt;"&amp;H621)+(COUNTIF($H$5:$H$979,"="&amp;H621)+1)/2</f>
        <v/>
      </c>
      <c r="O621" s="99">
        <f>COUNTIF($I$5:$I$979,"&lt;"&amp;I621)+(COUNTIF($I$5:$I$979,"="&amp;I621)+1)/2</f>
        <v/>
      </c>
      <c r="P621" s="99">
        <f>COUNTIF($J$5:$J$979,"&lt;"&amp;J621)+(COUNTIF($J$5:$J$979,"="&amp;J621)+1)/2</f>
        <v/>
      </c>
    </row>
    <row r="622" ht="15" customHeight="1" s="68">
      <c r="A622" s="70">
        <f>'01_원자료'!A619</f>
        <v/>
      </c>
      <c r="B622" s="70">
        <f>'01_원자료'!B619</f>
        <v/>
      </c>
      <c r="C622" s="70">
        <f>'01_원자료'!C619</f>
        <v/>
      </c>
      <c r="E622" s="85">
        <f>'01_원자료'!P619*'03_가중치민감도'!$B$5+'01_원자료'!Q619*'03_가중치민감도'!$C$5+'01_원자료'!R619*'03_가중치민감도'!$D$5</f>
        <v/>
      </c>
      <c r="F622" s="85">
        <f>'01_원자료'!P619*'03_가중치민감도'!$B$6+'01_원자료'!Q619*'03_가중치민감도'!$C$6+'01_원자료'!R619*'03_가중치민감도'!$D$6</f>
        <v/>
      </c>
      <c r="G622" s="85">
        <f>'01_원자료'!P619*'03_가중치민감도'!$B$7+'01_원자료'!Q619*'03_가중치민감도'!$C$7+'01_원자료'!R619*'03_가중치민감도'!$D$7</f>
        <v/>
      </c>
      <c r="H622" s="85">
        <f>'01_원자료'!P619*'03_가중치민감도'!$B$8+'01_원자료'!Q619*'03_가중치민감도'!$C$8+'01_원자료'!R619*'03_가중치민감도'!$D$8</f>
        <v/>
      </c>
      <c r="I622" s="85">
        <f>'01_원자료'!P619*'03_가중치민감도'!$B$9+'01_원자료'!Q619*'03_가중치민감도'!$C$9+'01_원자료'!R619*'03_가중치민감도'!$D$9</f>
        <v/>
      </c>
      <c r="J622" s="85">
        <f>'01_원자료'!P619*'03_가중치민감도'!$B$10+'01_원자료'!Q619*'03_가중치민감도'!$C$10+'01_원자료'!R619*'03_가중치민감도'!$D$10</f>
        <v/>
      </c>
      <c r="K622" s="99">
        <f>COUNTIF($E$5:$E$979,"&lt;"&amp;E622)+(COUNTIF($E$5:$E$979,"="&amp;E622)+1)/2</f>
        <v/>
      </c>
      <c r="L622" s="99">
        <f>COUNTIF($F$5:$F$979,"&lt;"&amp;F622)+(COUNTIF($F$5:$F$979,"="&amp;F622)+1)/2</f>
        <v/>
      </c>
      <c r="M622" s="99">
        <f>COUNTIF($G$5:$G$979,"&lt;"&amp;G622)+(COUNTIF($G$5:$G$979,"="&amp;G622)+1)/2</f>
        <v/>
      </c>
      <c r="N622" s="99">
        <f>COUNTIF($H$5:$H$979,"&lt;"&amp;H622)+(COUNTIF($H$5:$H$979,"="&amp;H622)+1)/2</f>
        <v/>
      </c>
      <c r="O622" s="99">
        <f>COUNTIF($I$5:$I$979,"&lt;"&amp;I622)+(COUNTIF($I$5:$I$979,"="&amp;I622)+1)/2</f>
        <v/>
      </c>
      <c r="P622" s="99">
        <f>COUNTIF($J$5:$J$979,"&lt;"&amp;J622)+(COUNTIF($J$5:$J$979,"="&amp;J622)+1)/2</f>
        <v/>
      </c>
    </row>
    <row r="623" ht="15" customHeight="1" s="68">
      <c r="A623" s="70">
        <f>'01_원자료'!A620</f>
        <v/>
      </c>
      <c r="B623" s="70">
        <f>'01_원자료'!B620</f>
        <v/>
      </c>
      <c r="C623" s="70">
        <f>'01_원자료'!C620</f>
        <v/>
      </c>
      <c r="E623" s="85">
        <f>'01_원자료'!P620*'03_가중치민감도'!$B$5+'01_원자료'!Q620*'03_가중치민감도'!$C$5+'01_원자료'!R620*'03_가중치민감도'!$D$5</f>
        <v/>
      </c>
      <c r="F623" s="85">
        <f>'01_원자료'!P620*'03_가중치민감도'!$B$6+'01_원자료'!Q620*'03_가중치민감도'!$C$6+'01_원자료'!R620*'03_가중치민감도'!$D$6</f>
        <v/>
      </c>
      <c r="G623" s="85">
        <f>'01_원자료'!P620*'03_가중치민감도'!$B$7+'01_원자료'!Q620*'03_가중치민감도'!$C$7+'01_원자료'!R620*'03_가중치민감도'!$D$7</f>
        <v/>
      </c>
      <c r="H623" s="85">
        <f>'01_원자료'!P620*'03_가중치민감도'!$B$8+'01_원자료'!Q620*'03_가중치민감도'!$C$8+'01_원자료'!R620*'03_가중치민감도'!$D$8</f>
        <v/>
      </c>
      <c r="I623" s="85">
        <f>'01_원자료'!P620*'03_가중치민감도'!$B$9+'01_원자료'!Q620*'03_가중치민감도'!$C$9+'01_원자료'!R620*'03_가중치민감도'!$D$9</f>
        <v/>
      </c>
      <c r="J623" s="85">
        <f>'01_원자료'!P620*'03_가중치민감도'!$B$10+'01_원자료'!Q620*'03_가중치민감도'!$C$10+'01_원자료'!R620*'03_가중치민감도'!$D$10</f>
        <v/>
      </c>
      <c r="K623" s="99">
        <f>COUNTIF($E$5:$E$979,"&lt;"&amp;E623)+(COUNTIF($E$5:$E$979,"="&amp;E623)+1)/2</f>
        <v/>
      </c>
      <c r="L623" s="99">
        <f>COUNTIF($F$5:$F$979,"&lt;"&amp;F623)+(COUNTIF($F$5:$F$979,"="&amp;F623)+1)/2</f>
        <v/>
      </c>
      <c r="M623" s="99">
        <f>COUNTIF($G$5:$G$979,"&lt;"&amp;G623)+(COUNTIF($G$5:$G$979,"="&amp;G623)+1)/2</f>
        <v/>
      </c>
      <c r="N623" s="99">
        <f>COUNTIF($H$5:$H$979,"&lt;"&amp;H623)+(COUNTIF($H$5:$H$979,"="&amp;H623)+1)/2</f>
        <v/>
      </c>
      <c r="O623" s="99">
        <f>COUNTIF($I$5:$I$979,"&lt;"&amp;I623)+(COUNTIF($I$5:$I$979,"="&amp;I623)+1)/2</f>
        <v/>
      </c>
      <c r="P623" s="99">
        <f>COUNTIF($J$5:$J$979,"&lt;"&amp;J623)+(COUNTIF($J$5:$J$979,"="&amp;J623)+1)/2</f>
        <v/>
      </c>
    </row>
    <row r="624" ht="15" customHeight="1" s="68">
      <c r="A624" s="70">
        <f>'01_원자료'!A621</f>
        <v/>
      </c>
      <c r="B624" s="70">
        <f>'01_원자료'!B621</f>
        <v/>
      </c>
      <c r="C624" s="70">
        <f>'01_원자료'!C621</f>
        <v/>
      </c>
      <c r="E624" s="85">
        <f>'01_원자료'!P621*'03_가중치민감도'!$B$5+'01_원자료'!Q621*'03_가중치민감도'!$C$5+'01_원자료'!R621*'03_가중치민감도'!$D$5</f>
        <v/>
      </c>
      <c r="F624" s="85">
        <f>'01_원자료'!P621*'03_가중치민감도'!$B$6+'01_원자료'!Q621*'03_가중치민감도'!$C$6+'01_원자료'!R621*'03_가중치민감도'!$D$6</f>
        <v/>
      </c>
      <c r="G624" s="85">
        <f>'01_원자료'!P621*'03_가중치민감도'!$B$7+'01_원자료'!Q621*'03_가중치민감도'!$C$7+'01_원자료'!R621*'03_가중치민감도'!$D$7</f>
        <v/>
      </c>
      <c r="H624" s="85">
        <f>'01_원자료'!P621*'03_가중치민감도'!$B$8+'01_원자료'!Q621*'03_가중치민감도'!$C$8+'01_원자료'!R621*'03_가중치민감도'!$D$8</f>
        <v/>
      </c>
      <c r="I624" s="85">
        <f>'01_원자료'!P621*'03_가중치민감도'!$B$9+'01_원자료'!Q621*'03_가중치민감도'!$C$9+'01_원자료'!R621*'03_가중치민감도'!$D$9</f>
        <v/>
      </c>
      <c r="J624" s="85">
        <f>'01_원자료'!P621*'03_가중치민감도'!$B$10+'01_원자료'!Q621*'03_가중치민감도'!$C$10+'01_원자료'!R621*'03_가중치민감도'!$D$10</f>
        <v/>
      </c>
      <c r="K624" s="99">
        <f>COUNTIF($E$5:$E$979,"&lt;"&amp;E624)+(COUNTIF($E$5:$E$979,"="&amp;E624)+1)/2</f>
        <v/>
      </c>
      <c r="L624" s="99">
        <f>COUNTIF($F$5:$F$979,"&lt;"&amp;F624)+(COUNTIF($F$5:$F$979,"="&amp;F624)+1)/2</f>
        <v/>
      </c>
      <c r="M624" s="99">
        <f>COUNTIF($G$5:$G$979,"&lt;"&amp;G624)+(COUNTIF($G$5:$G$979,"="&amp;G624)+1)/2</f>
        <v/>
      </c>
      <c r="N624" s="99">
        <f>COUNTIF($H$5:$H$979,"&lt;"&amp;H624)+(COUNTIF($H$5:$H$979,"="&amp;H624)+1)/2</f>
        <v/>
      </c>
      <c r="O624" s="99">
        <f>COUNTIF($I$5:$I$979,"&lt;"&amp;I624)+(COUNTIF($I$5:$I$979,"="&amp;I624)+1)/2</f>
        <v/>
      </c>
      <c r="P624" s="99">
        <f>COUNTIF($J$5:$J$979,"&lt;"&amp;J624)+(COUNTIF($J$5:$J$979,"="&amp;J624)+1)/2</f>
        <v/>
      </c>
    </row>
    <row r="625" ht="15" customHeight="1" s="68">
      <c r="A625" s="70">
        <f>'01_원자료'!A622</f>
        <v/>
      </c>
      <c r="B625" s="70">
        <f>'01_원자료'!B622</f>
        <v/>
      </c>
      <c r="C625" s="70">
        <f>'01_원자료'!C622</f>
        <v/>
      </c>
      <c r="E625" s="85">
        <f>'01_원자료'!P622*'03_가중치민감도'!$B$5+'01_원자료'!Q622*'03_가중치민감도'!$C$5+'01_원자료'!R622*'03_가중치민감도'!$D$5</f>
        <v/>
      </c>
      <c r="F625" s="85">
        <f>'01_원자료'!P622*'03_가중치민감도'!$B$6+'01_원자료'!Q622*'03_가중치민감도'!$C$6+'01_원자료'!R622*'03_가중치민감도'!$D$6</f>
        <v/>
      </c>
      <c r="G625" s="85">
        <f>'01_원자료'!P622*'03_가중치민감도'!$B$7+'01_원자료'!Q622*'03_가중치민감도'!$C$7+'01_원자료'!R622*'03_가중치민감도'!$D$7</f>
        <v/>
      </c>
      <c r="H625" s="85">
        <f>'01_원자료'!P622*'03_가중치민감도'!$B$8+'01_원자료'!Q622*'03_가중치민감도'!$C$8+'01_원자료'!R622*'03_가중치민감도'!$D$8</f>
        <v/>
      </c>
      <c r="I625" s="85">
        <f>'01_원자료'!P622*'03_가중치민감도'!$B$9+'01_원자료'!Q622*'03_가중치민감도'!$C$9+'01_원자료'!R622*'03_가중치민감도'!$D$9</f>
        <v/>
      </c>
      <c r="J625" s="85">
        <f>'01_원자료'!P622*'03_가중치민감도'!$B$10+'01_원자료'!Q622*'03_가중치민감도'!$C$10+'01_원자료'!R622*'03_가중치민감도'!$D$10</f>
        <v/>
      </c>
      <c r="K625" s="99">
        <f>COUNTIF($E$5:$E$979,"&lt;"&amp;E625)+(COUNTIF($E$5:$E$979,"="&amp;E625)+1)/2</f>
        <v/>
      </c>
      <c r="L625" s="99">
        <f>COUNTIF($F$5:$F$979,"&lt;"&amp;F625)+(COUNTIF($F$5:$F$979,"="&amp;F625)+1)/2</f>
        <v/>
      </c>
      <c r="M625" s="99">
        <f>COUNTIF($G$5:$G$979,"&lt;"&amp;G625)+(COUNTIF($G$5:$G$979,"="&amp;G625)+1)/2</f>
        <v/>
      </c>
      <c r="N625" s="99">
        <f>COUNTIF($H$5:$H$979,"&lt;"&amp;H625)+(COUNTIF($H$5:$H$979,"="&amp;H625)+1)/2</f>
        <v/>
      </c>
      <c r="O625" s="99">
        <f>COUNTIF($I$5:$I$979,"&lt;"&amp;I625)+(COUNTIF($I$5:$I$979,"="&amp;I625)+1)/2</f>
        <v/>
      </c>
      <c r="P625" s="99">
        <f>COUNTIF($J$5:$J$979,"&lt;"&amp;J625)+(COUNTIF($J$5:$J$979,"="&amp;J625)+1)/2</f>
        <v/>
      </c>
    </row>
    <row r="626" ht="15" customHeight="1" s="68">
      <c r="A626" s="70">
        <f>'01_원자료'!A623</f>
        <v/>
      </c>
      <c r="B626" s="70">
        <f>'01_원자료'!B623</f>
        <v/>
      </c>
      <c r="C626" s="70">
        <f>'01_원자료'!C623</f>
        <v/>
      </c>
      <c r="E626" s="85">
        <f>'01_원자료'!P623*'03_가중치민감도'!$B$5+'01_원자료'!Q623*'03_가중치민감도'!$C$5+'01_원자료'!R623*'03_가중치민감도'!$D$5</f>
        <v/>
      </c>
      <c r="F626" s="85">
        <f>'01_원자료'!P623*'03_가중치민감도'!$B$6+'01_원자료'!Q623*'03_가중치민감도'!$C$6+'01_원자료'!R623*'03_가중치민감도'!$D$6</f>
        <v/>
      </c>
      <c r="G626" s="85">
        <f>'01_원자료'!P623*'03_가중치민감도'!$B$7+'01_원자료'!Q623*'03_가중치민감도'!$C$7+'01_원자료'!R623*'03_가중치민감도'!$D$7</f>
        <v/>
      </c>
      <c r="H626" s="85">
        <f>'01_원자료'!P623*'03_가중치민감도'!$B$8+'01_원자료'!Q623*'03_가중치민감도'!$C$8+'01_원자료'!R623*'03_가중치민감도'!$D$8</f>
        <v/>
      </c>
      <c r="I626" s="85">
        <f>'01_원자료'!P623*'03_가중치민감도'!$B$9+'01_원자료'!Q623*'03_가중치민감도'!$C$9+'01_원자료'!R623*'03_가중치민감도'!$D$9</f>
        <v/>
      </c>
      <c r="J626" s="85">
        <f>'01_원자료'!P623*'03_가중치민감도'!$B$10+'01_원자료'!Q623*'03_가중치민감도'!$C$10+'01_원자료'!R623*'03_가중치민감도'!$D$10</f>
        <v/>
      </c>
      <c r="K626" s="99">
        <f>COUNTIF($E$5:$E$979,"&lt;"&amp;E626)+(COUNTIF($E$5:$E$979,"="&amp;E626)+1)/2</f>
        <v/>
      </c>
      <c r="L626" s="99">
        <f>COUNTIF($F$5:$F$979,"&lt;"&amp;F626)+(COUNTIF($F$5:$F$979,"="&amp;F626)+1)/2</f>
        <v/>
      </c>
      <c r="M626" s="99">
        <f>COUNTIF($G$5:$G$979,"&lt;"&amp;G626)+(COUNTIF($G$5:$G$979,"="&amp;G626)+1)/2</f>
        <v/>
      </c>
      <c r="N626" s="99">
        <f>COUNTIF($H$5:$H$979,"&lt;"&amp;H626)+(COUNTIF($H$5:$H$979,"="&amp;H626)+1)/2</f>
        <v/>
      </c>
      <c r="O626" s="99">
        <f>COUNTIF($I$5:$I$979,"&lt;"&amp;I626)+(COUNTIF($I$5:$I$979,"="&amp;I626)+1)/2</f>
        <v/>
      </c>
      <c r="P626" s="99">
        <f>COUNTIF($J$5:$J$979,"&lt;"&amp;J626)+(COUNTIF($J$5:$J$979,"="&amp;J626)+1)/2</f>
        <v/>
      </c>
    </row>
    <row r="627" ht="15" customHeight="1" s="68">
      <c r="A627" s="70">
        <f>'01_원자료'!A624</f>
        <v/>
      </c>
      <c r="B627" s="70">
        <f>'01_원자료'!B624</f>
        <v/>
      </c>
      <c r="C627" s="70">
        <f>'01_원자료'!C624</f>
        <v/>
      </c>
      <c r="E627" s="85">
        <f>'01_원자료'!P624*'03_가중치민감도'!$B$5+'01_원자료'!Q624*'03_가중치민감도'!$C$5+'01_원자료'!R624*'03_가중치민감도'!$D$5</f>
        <v/>
      </c>
      <c r="F627" s="85">
        <f>'01_원자료'!P624*'03_가중치민감도'!$B$6+'01_원자료'!Q624*'03_가중치민감도'!$C$6+'01_원자료'!R624*'03_가중치민감도'!$D$6</f>
        <v/>
      </c>
      <c r="G627" s="85">
        <f>'01_원자료'!P624*'03_가중치민감도'!$B$7+'01_원자료'!Q624*'03_가중치민감도'!$C$7+'01_원자료'!R624*'03_가중치민감도'!$D$7</f>
        <v/>
      </c>
      <c r="H627" s="85">
        <f>'01_원자료'!P624*'03_가중치민감도'!$B$8+'01_원자료'!Q624*'03_가중치민감도'!$C$8+'01_원자료'!R624*'03_가중치민감도'!$D$8</f>
        <v/>
      </c>
      <c r="I627" s="85">
        <f>'01_원자료'!P624*'03_가중치민감도'!$B$9+'01_원자료'!Q624*'03_가중치민감도'!$C$9+'01_원자료'!R624*'03_가중치민감도'!$D$9</f>
        <v/>
      </c>
      <c r="J627" s="85">
        <f>'01_원자료'!P624*'03_가중치민감도'!$B$10+'01_원자료'!Q624*'03_가중치민감도'!$C$10+'01_원자료'!R624*'03_가중치민감도'!$D$10</f>
        <v/>
      </c>
      <c r="K627" s="99">
        <f>COUNTIF($E$5:$E$979,"&lt;"&amp;E627)+(COUNTIF($E$5:$E$979,"="&amp;E627)+1)/2</f>
        <v/>
      </c>
      <c r="L627" s="99">
        <f>COUNTIF($F$5:$F$979,"&lt;"&amp;F627)+(COUNTIF($F$5:$F$979,"="&amp;F627)+1)/2</f>
        <v/>
      </c>
      <c r="M627" s="99">
        <f>COUNTIF($G$5:$G$979,"&lt;"&amp;G627)+(COUNTIF($G$5:$G$979,"="&amp;G627)+1)/2</f>
        <v/>
      </c>
      <c r="N627" s="99">
        <f>COUNTIF($H$5:$H$979,"&lt;"&amp;H627)+(COUNTIF($H$5:$H$979,"="&amp;H627)+1)/2</f>
        <v/>
      </c>
      <c r="O627" s="99">
        <f>COUNTIF($I$5:$I$979,"&lt;"&amp;I627)+(COUNTIF($I$5:$I$979,"="&amp;I627)+1)/2</f>
        <v/>
      </c>
      <c r="P627" s="99">
        <f>COUNTIF($J$5:$J$979,"&lt;"&amp;J627)+(COUNTIF($J$5:$J$979,"="&amp;J627)+1)/2</f>
        <v/>
      </c>
    </row>
    <row r="628" ht="15" customHeight="1" s="68">
      <c r="A628" s="70">
        <f>'01_원자료'!A625</f>
        <v/>
      </c>
      <c r="B628" s="70">
        <f>'01_원자료'!B625</f>
        <v/>
      </c>
      <c r="C628" s="70">
        <f>'01_원자료'!C625</f>
        <v/>
      </c>
      <c r="E628" s="85">
        <f>'01_원자료'!P625*'03_가중치민감도'!$B$5+'01_원자료'!Q625*'03_가중치민감도'!$C$5+'01_원자료'!R625*'03_가중치민감도'!$D$5</f>
        <v/>
      </c>
      <c r="F628" s="85">
        <f>'01_원자료'!P625*'03_가중치민감도'!$B$6+'01_원자료'!Q625*'03_가중치민감도'!$C$6+'01_원자료'!R625*'03_가중치민감도'!$D$6</f>
        <v/>
      </c>
      <c r="G628" s="85">
        <f>'01_원자료'!P625*'03_가중치민감도'!$B$7+'01_원자료'!Q625*'03_가중치민감도'!$C$7+'01_원자료'!R625*'03_가중치민감도'!$D$7</f>
        <v/>
      </c>
      <c r="H628" s="85">
        <f>'01_원자료'!P625*'03_가중치민감도'!$B$8+'01_원자료'!Q625*'03_가중치민감도'!$C$8+'01_원자료'!R625*'03_가중치민감도'!$D$8</f>
        <v/>
      </c>
      <c r="I628" s="85">
        <f>'01_원자료'!P625*'03_가중치민감도'!$B$9+'01_원자료'!Q625*'03_가중치민감도'!$C$9+'01_원자료'!R625*'03_가중치민감도'!$D$9</f>
        <v/>
      </c>
      <c r="J628" s="85">
        <f>'01_원자료'!P625*'03_가중치민감도'!$B$10+'01_원자료'!Q625*'03_가중치민감도'!$C$10+'01_원자료'!R625*'03_가중치민감도'!$D$10</f>
        <v/>
      </c>
      <c r="K628" s="99">
        <f>COUNTIF($E$5:$E$979,"&lt;"&amp;E628)+(COUNTIF($E$5:$E$979,"="&amp;E628)+1)/2</f>
        <v/>
      </c>
      <c r="L628" s="99">
        <f>COUNTIF($F$5:$F$979,"&lt;"&amp;F628)+(COUNTIF($F$5:$F$979,"="&amp;F628)+1)/2</f>
        <v/>
      </c>
      <c r="M628" s="99">
        <f>COUNTIF($G$5:$G$979,"&lt;"&amp;G628)+(COUNTIF($G$5:$G$979,"="&amp;G628)+1)/2</f>
        <v/>
      </c>
      <c r="N628" s="99">
        <f>COUNTIF($H$5:$H$979,"&lt;"&amp;H628)+(COUNTIF($H$5:$H$979,"="&amp;H628)+1)/2</f>
        <v/>
      </c>
      <c r="O628" s="99">
        <f>COUNTIF($I$5:$I$979,"&lt;"&amp;I628)+(COUNTIF($I$5:$I$979,"="&amp;I628)+1)/2</f>
        <v/>
      </c>
      <c r="P628" s="99">
        <f>COUNTIF($J$5:$J$979,"&lt;"&amp;J628)+(COUNTIF($J$5:$J$979,"="&amp;J628)+1)/2</f>
        <v/>
      </c>
    </row>
    <row r="629" ht="15" customHeight="1" s="68">
      <c r="A629" s="70">
        <f>'01_원자료'!A626</f>
        <v/>
      </c>
      <c r="B629" s="70">
        <f>'01_원자료'!B626</f>
        <v/>
      </c>
      <c r="C629" s="70">
        <f>'01_원자료'!C626</f>
        <v/>
      </c>
      <c r="E629" s="85">
        <f>'01_원자료'!P626*'03_가중치민감도'!$B$5+'01_원자료'!Q626*'03_가중치민감도'!$C$5+'01_원자료'!R626*'03_가중치민감도'!$D$5</f>
        <v/>
      </c>
      <c r="F629" s="85">
        <f>'01_원자료'!P626*'03_가중치민감도'!$B$6+'01_원자료'!Q626*'03_가중치민감도'!$C$6+'01_원자료'!R626*'03_가중치민감도'!$D$6</f>
        <v/>
      </c>
      <c r="G629" s="85">
        <f>'01_원자료'!P626*'03_가중치민감도'!$B$7+'01_원자료'!Q626*'03_가중치민감도'!$C$7+'01_원자료'!R626*'03_가중치민감도'!$D$7</f>
        <v/>
      </c>
      <c r="H629" s="85">
        <f>'01_원자료'!P626*'03_가중치민감도'!$B$8+'01_원자료'!Q626*'03_가중치민감도'!$C$8+'01_원자료'!R626*'03_가중치민감도'!$D$8</f>
        <v/>
      </c>
      <c r="I629" s="85">
        <f>'01_원자료'!P626*'03_가중치민감도'!$B$9+'01_원자료'!Q626*'03_가중치민감도'!$C$9+'01_원자료'!R626*'03_가중치민감도'!$D$9</f>
        <v/>
      </c>
      <c r="J629" s="85">
        <f>'01_원자료'!P626*'03_가중치민감도'!$B$10+'01_원자료'!Q626*'03_가중치민감도'!$C$10+'01_원자료'!R626*'03_가중치민감도'!$D$10</f>
        <v/>
      </c>
      <c r="K629" s="99">
        <f>COUNTIF($E$5:$E$979,"&lt;"&amp;E629)+(COUNTIF($E$5:$E$979,"="&amp;E629)+1)/2</f>
        <v/>
      </c>
      <c r="L629" s="99">
        <f>COUNTIF($F$5:$F$979,"&lt;"&amp;F629)+(COUNTIF($F$5:$F$979,"="&amp;F629)+1)/2</f>
        <v/>
      </c>
      <c r="M629" s="99">
        <f>COUNTIF($G$5:$G$979,"&lt;"&amp;G629)+(COUNTIF($G$5:$G$979,"="&amp;G629)+1)/2</f>
        <v/>
      </c>
      <c r="N629" s="99">
        <f>COUNTIF($H$5:$H$979,"&lt;"&amp;H629)+(COUNTIF($H$5:$H$979,"="&amp;H629)+1)/2</f>
        <v/>
      </c>
      <c r="O629" s="99">
        <f>COUNTIF($I$5:$I$979,"&lt;"&amp;I629)+(COUNTIF($I$5:$I$979,"="&amp;I629)+1)/2</f>
        <v/>
      </c>
      <c r="P629" s="99">
        <f>COUNTIF($J$5:$J$979,"&lt;"&amp;J629)+(COUNTIF($J$5:$J$979,"="&amp;J629)+1)/2</f>
        <v/>
      </c>
    </row>
    <row r="630" ht="15" customHeight="1" s="68">
      <c r="A630" s="70">
        <f>'01_원자료'!A627</f>
        <v/>
      </c>
      <c r="B630" s="70">
        <f>'01_원자료'!B627</f>
        <v/>
      </c>
      <c r="C630" s="70">
        <f>'01_원자료'!C627</f>
        <v/>
      </c>
      <c r="E630" s="85">
        <f>'01_원자료'!P627*'03_가중치민감도'!$B$5+'01_원자료'!Q627*'03_가중치민감도'!$C$5+'01_원자료'!R627*'03_가중치민감도'!$D$5</f>
        <v/>
      </c>
      <c r="F630" s="85">
        <f>'01_원자료'!P627*'03_가중치민감도'!$B$6+'01_원자료'!Q627*'03_가중치민감도'!$C$6+'01_원자료'!R627*'03_가중치민감도'!$D$6</f>
        <v/>
      </c>
      <c r="G630" s="85">
        <f>'01_원자료'!P627*'03_가중치민감도'!$B$7+'01_원자료'!Q627*'03_가중치민감도'!$C$7+'01_원자료'!R627*'03_가중치민감도'!$D$7</f>
        <v/>
      </c>
      <c r="H630" s="85">
        <f>'01_원자료'!P627*'03_가중치민감도'!$B$8+'01_원자료'!Q627*'03_가중치민감도'!$C$8+'01_원자료'!R627*'03_가중치민감도'!$D$8</f>
        <v/>
      </c>
      <c r="I630" s="85">
        <f>'01_원자료'!P627*'03_가중치민감도'!$B$9+'01_원자료'!Q627*'03_가중치민감도'!$C$9+'01_원자료'!R627*'03_가중치민감도'!$D$9</f>
        <v/>
      </c>
      <c r="J630" s="85">
        <f>'01_원자료'!P627*'03_가중치민감도'!$B$10+'01_원자료'!Q627*'03_가중치민감도'!$C$10+'01_원자료'!R627*'03_가중치민감도'!$D$10</f>
        <v/>
      </c>
      <c r="K630" s="99">
        <f>COUNTIF($E$5:$E$979,"&lt;"&amp;E630)+(COUNTIF($E$5:$E$979,"="&amp;E630)+1)/2</f>
        <v/>
      </c>
      <c r="L630" s="99">
        <f>COUNTIF($F$5:$F$979,"&lt;"&amp;F630)+(COUNTIF($F$5:$F$979,"="&amp;F630)+1)/2</f>
        <v/>
      </c>
      <c r="M630" s="99">
        <f>COUNTIF($G$5:$G$979,"&lt;"&amp;G630)+(COUNTIF($G$5:$G$979,"="&amp;G630)+1)/2</f>
        <v/>
      </c>
      <c r="N630" s="99">
        <f>COUNTIF($H$5:$H$979,"&lt;"&amp;H630)+(COUNTIF($H$5:$H$979,"="&amp;H630)+1)/2</f>
        <v/>
      </c>
      <c r="O630" s="99">
        <f>COUNTIF($I$5:$I$979,"&lt;"&amp;I630)+(COUNTIF($I$5:$I$979,"="&amp;I630)+1)/2</f>
        <v/>
      </c>
      <c r="P630" s="99">
        <f>COUNTIF($J$5:$J$979,"&lt;"&amp;J630)+(COUNTIF($J$5:$J$979,"="&amp;J630)+1)/2</f>
        <v/>
      </c>
    </row>
    <row r="631" ht="15" customHeight="1" s="68">
      <c r="A631" s="70">
        <f>'01_원자료'!A628</f>
        <v/>
      </c>
      <c r="B631" s="70">
        <f>'01_원자료'!B628</f>
        <v/>
      </c>
      <c r="C631" s="70">
        <f>'01_원자료'!C628</f>
        <v/>
      </c>
      <c r="E631" s="85">
        <f>'01_원자료'!P628*'03_가중치민감도'!$B$5+'01_원자료'!Q628*'03_가중치민감도'!$C$5+'01_원자료'!R628*'03_가중치민감도'!$D$5</f>
        <v/>
      </c>
      <c r="F631" s="85">
        <f>'01_원자료'!P628*'03_가중치민감도'!$B$6+'01_원자료'!Q628*'03_가중치민감도'!$C$6+'01_원자료'!R628*'03_가중치민감도'!$D$6</f>
        <v/>
      </c>
      <c r="G631" s="85">
        <f>'01_원자료'!P628*'03_가중치민감도'!$B$7+'01_원자료'!Q628*'03_가중치민감도'!$C$7+'01_원자료'!R628*'03_가중치민감도'!$D$7</f>
        <v/>
      </c>
      <c r="H631" s="85">
        <f>'01_원자료'!P628*'03_가중치민감도'!$B$8+'01_원자료'!Q628*'03_가중치민감도'!$C$8+'01_원자료'!R628*'03_가중치민감도'!$D$8</f>
        <v/>
      </c>
      <c r="I631" s="85">
        <f>'01_원자료'!P628*'03_가중치민감도'!$B$9+'01_원자료'!Q628*'03_가중치민감도'!$C$9+'01_원자료'!R628*'03_가중치민감도'!$D$9</f>
        <v/>
      </c>
      <c r="J631" s="85">
        <f>'01_원자료'!P628*'03_가중치민감도'!$B$10+'01_원자료'!Q628*'03_가중치민감도'!$C$10+'01_원자료'!R628*'03_가중치민감도'!$D$10</f>
        <v/>
      </c>
      <c r="K631" s="99">
        <f>COUNTIF($E$5:$E$979,"&lt;"&amp;E631)+(COUNTIF($E$5:$E$979,"="&amp;E631)+1)/2</f>
        <v/>
      </c>
      <c r="L631" s="99">
        <f>COUNTIF($F$5:$F$979,"&lt;"&amp;F631)+(COUNTIF($F$5:$F$979,"="&amp;F631)+1)/2</f>
        <v/>
      </c>
      <c r="M631" s="99">
        <f>COUNTIF($G$5:$G$979,"&lt;"&amp;G631)+(COUNTIF($G$5:$G$979,"="&amp;G631)+1)/2</f>
        <v/>
      </c>
      <c r="N631" s="99">
        <f>COUNTIF($H$5:$H$979,"&lt;"&amp;H631)+(COUNTIF($H$5:$H$979,"="&amp;H631)+1)/2</f>
        <v/>
      </c>
      <c r="O631" s="99">
        <f>COUNTIF($I$5:$I$979,"&lt;"&amp;I631)+(COUNTIF($I$5:$I$979,"="&amp;I631)+1)/2</f>
        <v/>
      </c>
      <c r="P631" s="99">
        <f>COUNTIF($J$5:$J$979,"&lt;"&amp;J631)+(COUNTIF($J$5:$J$979,"="&amp;J631)+1)/2</f>
        <v/>
      </c>
    </row>
    <row r="632" ht="15" customHeight="1" s="68">
      <c r="A632" s="70">
        <f>'01_원자료'!A629</f>
        <v/>
      </c>
      <c r="B632" s="70">
        <f>'01_원자료'!B629</f>
        <v/>
      </c>
      <c r="C632" s="70">
        <f>'01_원자료'!C629</f>
        <v/>
      </c>
      <c r="E632" s="85">
        <f>'01_원자료'!P629*'03_가중치민감도'!$B$5+'01_원자료'!Q629*'03_가중치민감도'!$C$5+'01_원자료'!R629*'03_가중치민감도'!$D$5</f>
        <v/>
      </c>
      <c r="F632" s="85">
        <f>'01_원자료'!P629*'03_가중치민감도'!$B$6+'01_원자료'!Q629*'03_가중치민감도'!$C$6+'01_원자료'!R629*'03_가중치민감도'!$D$6</f>
        <v/>
      </c>
      <c r="G632" s="85">
        <f>'01_원자료'!P629*'03_가중치민감도'!$B$7+'01_원자료'!Q629*'03_가중치민감도'!$C$7+'01_원자료'!R629*'03_가중치민감도'!$D$7</f>
        <v/>
      </c>
      <c r="H632" s="85">
        <f>'01_원자료'!P629*'03_가중치민감도'!$B$8+'01_원자료'!Q629*'03_가중치민감도'!$C$8+'01_원자료'!R629*'03_가중치민감도'!$D$8</f>
        <v/>
      </c>
      <c r="I632" s="85">
        <f>'01_원자료'!P629*'03_가중치민감도'!$B$9+'01_원자료'!Q629*'03_가중치민감도'!$C$9+'01_원자료'!R629*'03_가중치민감도'!$D$9</f>
        <v/>
      </c>
      <c r="J632" s="85">
        <f>'01_원자료'!P629*'03_가중치민감도'!$B$10+'01_원자료'!Q629*'03_가중치민감도'!$C$10+'01_원자료'!R629*'03_가중치민감도'!$D$10</f>
        <v/>
      </c>
      <c r="K632" s="99">
        <f>COUNTIF($E$5:$E$979,"&lt;"&amp;E632)+(COUNTIF($E$5:$E$979,"="&amp;E632)+1)/2</f>
        <v/>
      </c>
      <c r="L632" s="99">
        <f>COUNTIF($F$5:$F$979,"&lt;"&amp;F632)+(COUNTIF($F$5:$F$979,"="&amp;F632)+1)/2</f>
        <v/>
      </c>
      <c r="M632" s="99">
        <f>COUNTIF($G$5:$G$979,"&lt;"&amp;G632)+(COUNTIF($G$5:$G$979,"="&amp;G632)+1)/2</f>
        <v/>
      </c>
      <c r="N632" s="99">
        <f>COUNTIF($H$5:$H$979,"&lt;"&amp;H632)+(COUNTIF($H$5:$H$979,"="&amp;H632)+1)/2</f>
        <v/>
      </c>
      <c r="O632" s="99">
        <f>COUNTIF($I$5:$I$979,"&lt;"&amp;I632)+(COUNTIF($I$5:$I$979,"="&amp;I632)+1)/2</f>
        <v/>
      </c>
      <c r="P632" s="99">
        <f>COUNTIF($J$5:$J$979,"&lt;"&amp;J632)+(COUNTIF($J$5:$J$979,"="&amp;J632)+1)/2</f>
        <v/>
      </c>
    </row>
    <row r="633" ht="15" customHeight="1" s="68">
      <c r="A633" s="70">
        <f>'01_원자료'!A630</f>
        <v/>
      </c>
      <c r="B633" s="70">
        <f>'01_원자료'!B630</f>
        <v/>
      </c>
      <c r="C633" s="70">
        <f>'01_원자료'!C630</f>
        <v/>
      </c>
      <c r="E633" s="85">
        <f>'01_원자료'!P630*'03_가중치민감도'!$B$5+'01_원자료'!Q630*'03_가중치민감도'!$C$5+'01_원자료'!R630*'03_가중치민감도'!$D$5</f>
        <v/>
      </c>
      <c r="F633" s="85">
        <f>'01_원자료'!P630*'03_가중치민감도'!$B$6+'01_원자료'!Q630*'03_가중치민감도'!$C$6+'01_원자료'!R630*'03_가중치민감도'!$D$6</f>
        <v/>
      </c>
      <c r="G633" s="85">
        <f>'01_원자료'!P630*'03_가중치민감도'!$B$7+'01_원자료'!Q630*'03_가중치민감도'!$C$7+'01_원자료'!R630*'03_가중치민감도'!$D$7</f>
        <v/>
      </c>
      <c r="H633" s="85">
        <f>'01_원자료'!P630*'03_가중치민감도'!$B$8+'01_원자료'!Q630*'03_가중치민감도'!$C$8+'01_원자료'!R630*'03_가중치민감도'!$D$8</f>
        <v/>
      </c>
      <c r="I633" s="85">
        <f>'01_원자료'!P630*'03_가중치민감도'!$B$9+'01_원자료'!Q630*'03_가중치민감도'!$C$9+'01_원자료'!R630*'03_가중치민감도'!$D$9</f>
        <v/>
      </c>
      <c r="J633" s="85">
        <f>'01_원자료'!P630*'03_가중치민감도'!$B$10+'01_원자료'!Q630*'03_가중치민감도'!$C$10+'01_원자료'!R630*'03_가중치민감도'!$D$10</f>
        <v/>
      </c>
      <c r="K633" s="99">
        <f>COUNTIF($E$5:$E$979,"&lt;"&amp;E633)+(COUNTIF($E$5:$E$979,"="&amp;E633)+1)/2</f>
        <v/>
      </c>
      <c r="L633" s="99">
        <f>COUNTIF($F$5:$F$979,"&lt;"&amp;F633)+(COUNTIF($F$5:$F$979,"="&amp;F633)+1)/2</f>
        <v/>
      </c>
      <c r="M633" s="99">
        <f>COUNTIF($G$5:$G$979,"&lt;"&amp;G633)+(COUNTIF($G$5:$G$979,"="&amp;G633)+1)/2</f>
        <v/>
      </c>
      <c r="N633" s="99">
        <f>COUNTIF($H$5:$H$979,"&lt;"&amp;H633)+(COUNTIF($H$5:$H$979,"="&amp;H633)+1)/2</f>
        <v/>
      </c>
      <c r="O633" s="99">
        <f>COUNTIF($I$5:$I$979,"&lt;"&amp;I633)+(COUNTIF($I$5:$I$979,"="&amp;I633)+1)/2</f>
        <v/>
      </c>
      <c r="P633" s="99">
        <f>COUNTIF($J$5:$J$979,"&lt;"&amp;J633)+(COUNTIF($J$5:$J$979,"="&amp;J633)+1)/2</f>
        <v/>
      </c>
    </row>
    <row r="634" ht="15" customHeight="1" s="68">
      <c r="A634" s="70">
        <f>'01_원자료'!A631</f>
        <v/>
      </c>
      <c r="B634" s="70">
        <f>'01_원자료'!B631</f>
        <v/>
      </c>
      <c r="C634" s="70">
        <f>'01_원자료'!C631</f>
        <v/>
      </c>
      <c r="E634" s="85">
        <f>'01_원자료'!P631*'03_가중치민감도'!$B$5+'01_원자료'!Q631*'03_가중치민감도'!$C$5+'01_원자료'!R631*'03_가중치민감도'!$D$5</f>
        <v/>
      </c>
      <c r="F634" s="85">
        <f>'01_원자료'!P631*'03_가중치민감도'!$B$6+'01_원자료'!Q631*'03_가중치민감도'!$C$6+'01_원자료'!R631*'03_가중치민감도'!$D$6</f>
        <v/>
      </c>
      <c r="G634" s="85">
        <f>'01_원자료'!P631*'03_가중치민감도'!$B$7+'01_원자료'!Q631*'03_가중치민감도'!$C$7+'01_원자료'!R631*'03_가중치민감도'!$D$7</f>
        <v/>
      </c>
      <c r="H634" s="85">
        <f>'01_원자료'!P631*'03_가중치민감도'!$B$8+'01_원자료'!Q631*'03_가중치민감도'!$C$8+'01_원자료'!R631*'03_가중치민감도'!$D$8</f>
        <v/>
      </c>
      <c r="I634" s="85">
        <f>'01_원자료'!P631*'03_가중치민감도'!$B$9+'01_원자료'!Q631*'03_가중치민감도'!$C$9+'01_원자료'!R631*'03_가중치민감도'!$D$9</f>
        <v/>
      </c>
      <c r="J634" s="85">
        <f>'01_원자료'!P631*'03_가중치민감도'!$B$10+'01_원자료'!Q631*'03_가중치민감도'!$C$10+'01_원자료'!R631*'03_가중치민감도'!$D$10</f>
        <v/>
      </c>
      <c r="K634" s="99">
        <f>COUNTIF($E$5:$E$979,"&lt;"&amp;E634)+(COUNTIF($E$5:$E$979,"="&amp;E634)+1)/2</f>
        <v/>
      </c>
      <c r="L634" s="99">
        <f>COUNTIF($F$5:$F$979,"&lt;"&amp;F634)+(COUNTIF($F$5:$F$979,"="&amp;F634)+1)/2</f>
        <v/>
      </c>
      <c r="M634" s="99">
        <f>COUNTIF($G$5:$G$979,"&lt;"&amp;G634)+(COUNTIF($G$5:$G$979,"="&amp;G634)+1)/2</f>
        <v/>
      </c>
      <c r="N634" s="99">
        <f>COUNTIF($H$5:$H$979,"&lt;"&amp;H634)+(COUNTIF($H$5:$H$979,"="&amp;H634)+1)/2</f>
        <v/>
      </c>
      <c r="O634" s="99">
        <f>COUNTIF($I$5:$I$979,"&lt;"&amp;I634)+(COUNTIF($I$5:$I$979,"="&amp;I634)+1)/2</f>
        <v/>
      </c>
      <c r="P634" s="99">
        <f>COUNTIF($J$5:$J$979,"&lt;"&amp;J634)+(COUNTIF($J$5:$J$979,"="&amp;J634)+1)/2</f>
        <v/>
      </c>
    </row>
    <row r="635" ht="15" customHeight="1" s="68">
      <c r="A635" s="70">
        <f>'01_원자료'!A632</f>
        <v/>
      </c>
      <c r="B635" s="70">
        <f>'01_원자료'!B632</f>
        <v/>
      </c>
      <c r="C635" s="70">
        <f>'01_원자료'!C632</f>
        <v/>
      </c>
      <c r="E635" s="85">
        <f>'01_원자료'!P632*'03_가중치민감도'!$B$5+'01_원자료'!Q632*'03_가중치민감도'!$C$5+'01_원자료'!R632*'03_가중치민감도'!$D$5</f>
        <v/>
      </c>
      <c r="F635" s="85">
        <f>'01_원자료'!P632*'03_가중치민감도'!$B$6+'01_원자료'!Q632*'03_가중치민감도'!$C$6+'01_원자료'!R632*'03_가중치민감도'!$D$6</f>
        <v/>
      </c>
      <c r="G635" s="85">
        <f>'01_원자료'!P632*'03_가중치민감도'!$B$7+'01_원자료'!Q632*'03_가중치민감도'!$C$7+'01_원자료'!R632*'03_가중치민감도'!$D$7</f>
        <v/>
      </c>
      <c r="H635" s="85">
        <f>'01_원자료'!P632*'03_가중치민감도'!$B$8+'01_원자료'!Q632*'03_가중치민감도'!$C$8+'01_원자료'!R632*'03_가중치민감도'!$D$8</f>
        <v/>
      </c>
      <c r="I635" s="85">
        <f>'01_원자료'!P632*'03_가중치민감도'!$B$9+'01_원자료'!Q632*'03_가중치민감도'!$C$9+'01_원자료'!R632*'03_가중치민감도'!$D$9</f>
        <v/>
      </c>
      <c r="J635" s="85">
        <f>'01_원자료'!P632*'03_가중치민감도'!$B$10+'01_원자료'!Q632*'03_가중치민감도'!$C$10+'01_원자료'!R632*'03_가중치민감도'!$D$10</f>
        <v/>
      </c>
      <c r="K635" s="99">
        <f>COUNTIF($E$5:$E$979,"&lt;"&amp;E635)+(COUNTIF($E$5:$E$979,"="&amp;E635)+1)/2</f>
        <v/>
      </c>
      <c r="L635" s="99">
        <f>COUNTIF($F$5:$F$979,"&lt;"&amp;F635)+(COUNTIF($F$5:$F$979,"="&amp;F635)+1)/2</f>
        <v/>
      </c>
      <c r="M635" s="99">
        <f>COUNTIF($G$5:$G$979,"&lt;"&amp;G635)+(COUNTIF($G$5:$G$979,"="&amp;G635)+1)/2</f>
        <v/>
      </c>
      <c r="N635" s="99">
        <f>COUNTIF($H$5:$H$979,"&lt;"&amp;H635)+(COUNTIF($H$5:$H$979,"="&amp;H635)+1)/2</f>
        <v/>
      </c>
      <c r="O635" s="99">
        <f>COUNTIF($I$5:$I$979,"&lt;"&amp;I635)+(COUNTIF($I$5:$I$979,"="&amp;I635)+1)/2</f>
        <v/>
      </c>
      <c r="P635" s="99">
        <f>COUNTIF($J$5:$J$979,"&lt;"&amp;J635)+(COUNTIF($J$5:$J$979,"="&amp;J635)+1)/2</f>
        <v/>
      </c>
    </row>
    <row r="636" ht="15" customHeight="1" s="68">
      <c r="A636" s="70">
        <f>'01_원자료'!A633</f>
        <v/>
      </c>
      <c r="B636" s="70">
        <f>'01_원자료'!B633</f>
        <v/>
      </c>
      <c r="C636" s="70">
        <f>'01_원자료'!C633</f>
        <v/>
      </c>
      <c r="E636" s="85">
        <f>'01_원자료'!P633*'03_가중치민감도'!$B$5+'01_원자료'!Q633*'03_가중치민감도'!$C$5+'01_원자료'!R633*'03_가중치민감도'!$D$5</f>
        <v/>
      </c>
      <c r="F636" s="85">
        <f>'01_원자료'!P633*'03_가중치민감도'!$B$6+'01_원자료'!Q633*'03_가중치민감도'!$C$6+'01_원자료'!R633*'03_가중치민감도'!$D$6</f>
        <v/>
      </c>
      <c r="G636" s="85">
        <f>'01_원자료'!P633*'03_가중치민감도'!$B$7+'01_원자료'!Q633*'03_가중치민감도'!$C$7+'01_원자료'!R633*'03_가중치민감도'!$D$7</f>
        <v/>
      </c>
      <c r="H636" s="85">
        <f>'01_원자료'!P633*'03_가중치민감도'!$B$8+'01_원자료'!Q633*'03_가중치민감도'!$C$8+'01_원자료'!R633*'03_가중치민감도'!$D$8</f>
        <v/>
      </c>
      <c r="I636" s="85">
        <f>'01_원자료'!P633*'03_가중치민감도'!$B$9+'01_원자료'!Q633*'03_가중치민감도'!$C$9+'01_원자료'!R633*'03_가중치민감도'!$D$9</f>
        <v/>
      </c>
      <c r="J636" s="85">
        <f>'01_원자료'!P633*'03_가중치민감도'!$B$10+'01_원자료'!Q633*'03_가중치민감도'!$C$10+'01_원자료'!R633*'03_가중치민감도'!$D$10</f>
        <v/>
      </c>
      <c r="K636" s="99">
        <f>COUNTIF($E$5:$E$979,"&lt;"&amp;E636)+(COUNTIF($E$5:$E$979,"="&amp;E636)+1)/2</f>
        <v/>
      </c>
      <c r="L636" s="99">
        <f>COUNTIF($F$5:$F$979,"&lt;"&amp;F636)+(COUNTIF($F$5:$F$979,"="&amp;F636)+1)/2</f>
        <v/>
      </c>
      <c r="M636" s="99">
        <f>COUNTIF($G$5:$G$979,"&lt;"&amp;G636)+(COUNTIF($G$5:$G$979,"="&amp;G636)+1)/2</f>
        <v/>
      </c>
      <c r="N636" s="99">
        <f>COUNTIF($H$5:$H$979,"&lt;"&amp;H636)+(COUNTIF($H$5:$H$979,"="&amp;H636)+1)/2</f>
        <v/>
      </c>
      <c r="O636" s="99">
        <f>COUNTIF($I$5:$I$979,"&lt;"&amp;I636)+(COUNTIF($I$5:$I$979,"="&amp;I636)+1)/2</f>
        <v/>
      </c>
      <c r="P636" s="99">
        <f>COUNTIF($J$5:$J$979,"&lt;"&amp;J636)+(COUNTIF($J$5:$J$979,"="&amp;J636)+1)/2</f>
        <v/>
      </c>
    </row>
    <row r="637" ht="15" customHeight="1" s="68">
      <c r="A637" s="70">
        <f>'01_원자료'!A634</f>
        <v/>
      </c>
      <c r="B637" s="70">
        <f>'01_원자료'!B634</f>
        <v/>
      </c>
      <c r="C637" s="70">
        <f>'01_원자료'!C634</f>
        <v/>
      </c>
      <c r="E637" s="85">
        <f>'01_원자료'!P634*'03_가중치민감도'!$B$5+'01_원자료'!Q634*'03_가중치민감도'!$C$5+'01_원자료'!R634*'03_가중치민감도'!$D$5</f>
        <v/>
      </c>
      <c r="F637" s="85">
        <f>'01_원자료'!P634*'03_가중치민감도'!$B$6+'01_원자료'!Q634*'03_가중치민감도'!$C$6+'01_원자료'!R634*'03_가중치민감도'!$D$6</f>
        <v/>
      </c>
      <c r="G637" s="85">
        <f>'01_원자료'!P634*'03_가중치민감도'!$B$7+'01_원자료'!Q634*'03_가중치민감도'!$C$7+'01_원자료'!R634*'03_가중치민감도'!$D$7</f>
        <v/>
      </c>
      <c r="H637" s="85">
        <f>'01_원자료'!P634*'03_가중치민감도'!$B$8+'01_원자료'!Q634*'03_가중치민감도'!$C$8+'01_원자료'!R634*'03_가중치민감도'!$D$8</f>
        <v/>
      </c>
      <c r="I637" s="85">
        <f>'01_원자료'!P634*'03_가중치민감도'!$B$9+'01_원자료'!Q634*'03_가중치민감도'!$C$9+'01_원자료'!R634*'03_가중치민감도'!$D$9</f>
        <v/>
      </c>
      <c r="J637" s="85">
        <f>'01_원자료'!P634*'03_가중치민감도'!$B$10+'01_원자료'!Q634*'03_가중치민감도'!$C$10+'01_원자료'!R634*'03_가중치민감도'!$D$10</f>
        <v/>
      </c>
      <c r="K637" s="99">
        <f>COUNTIF($E$5:$E$979,"&lt;"&amp;E637)+(COUNTIF($E$5:$E$979,"="&amp;E637)+1)/2</f>
        <v/>
      </c>
      <c r="L637" s="99">
        <f>COUNTIF($F$5:$F$979,"&lt;"&amp;F637)+(COUNTIF($F$5:$F$979,"="&amp;F637)+1)/2</f>
        <v/>
      </c>
      <c r="M637" s="99">
        <f>COUNTIF($G$5:$G$979,"&lt;"&amp;G637)+(COUNTIF($G$5:$G$979,"="&amp;G637)+1)/2</f>
        <v/>
      </c>
      <c r="N637" s="99">
        <f>COUNTIF($H$5:$H$979,"&lt;"&amp;H637)+(COUNTIF($H$5:$H$979,"="&amp;H637)+1)/2</f>
        <v/>
      </c>
      <c r="O637" s="99">
        <f>COUNTIF($I$5:$I$979,"&lt;"&amp;I637)+(COUNTIF($I$5:$I$979,"="&amp;I637)+1)/2</f>
        <v/>
      </c>
      <c r="P637" s="99">
        <f>COUNTIF($J$5:$J$979,"&lt;"&amp;J637)+(COUNTIF($J$5:$J$979,"="&amp;J637)+1)/2</f>
        <v/>
      </c>
    </row>
    <row r="638" ht="15" customHeight="1" s="68">
      <c r="A638" s="70">
        <f>'01_원자료'!A635</f>
        <v/>
      </c>
      <c r="B638" s="70">
        <f>'01_원자료'!B635</f>
        <v/>
      </c>
      <c r="C638" s="70">
        <f>'01_원자료'!C635</f>
        <v/>
      </c>
      <c r="E638" s="85">
        <f>'01_원자료'!P635*'03_가중치민감도'!$B$5+'01_원자료'!Q635*'03_가중치민감도'!$C$5+'01_원자료'!R635*'03_가중치민감도'!$D$5</f>
        <v/>
      </c>
      <c r="F638" s="85">
        <f>'01_원자료'!P635*'03_가중치민감도'!$B$6+'01_원자료'!Q635*'03_가중치민감도'!$C$6+'01_원자료'!R635*'03_가중치민감도'!$D$6</f>
        <v/>
      </c>
      <c r="G638" s="85">
        <f>'01_원자료'!P635*'03_가중치민감도'!$B$7+'01_원자료'!Q635*'03_가중치민감도'!$C$7+'01_원자료'!R635*'03_가중치민감도'!$D$7</f>
        <v/>
      </c>
      <c r="H638" s="85">
        <f>'01_원자료'!P635*'03_가중치민감도'!$B$8+'01_원자료'!Q635*'03_가중치민감도'!$C$8+'01_원자료'!R635*'03_가중치민감도'!$D$8</f>
        <v/>
      </c>
      <c r="I638" s="85">
        <f>'01_원자료'!P635*'03_가중치민감도'!$B$9+'01_원자료'!Q635*'03_가중치민감도'!$C$9+'01_원자료'!R635*'03_가중치민감도'!$D$9</f>
        <v/>
      </c>
      <c r="J638" s="85">
        <f>'01_원자료'!P635*'03_가중치민감도'!$B$10+'01_원자료'!Q635*'03_가중치민감도'!$C$10+'01_원자료'!R635*'03_가중치민감도'!$D$10</f>
        <v/>
      </c>
      <c r="K638" s="99">
        <f>COUNTIF($E$5:$E$979,"&lt;"&amp;E638)+(COUNTIF($E$5:$E$979,"="&amp;E638)+1)/2</f>
        <v/>
      </c>
      <c r="L638" s="99">
        <f>COUNTIF($F$5:$F$979,"&lt;"&amp;F638)+(COUNTIF($F$5:$F$979,"="&amp;F638)+1)/2</f>
        <v/>
      </c>
      <c r="M638" s="99">
        <f>COUNTIF($G$5:$G$979,"&lt;"&amp;G638)+(COUNTIF($G$5:$G$979,"="&amp;G638)+1)/2</f>
        <v/>
      </c>
      <c r="N638" s="99">
        <f>COUNTIF($H$5:$H$979,"&lt;"&amp;H638)+(COUNTIF($H$5:$H$979,"="&amp;H638)+1)/2</f>
        <v/>
      </c>
      <c r="O638" s="99">
        <f>COUNTIF($I$5:$I$979,"&lt;"&amp;I638)+(COUNTIF($I$5:$I$979,"="&amp;I638)+1)/2</f>
        <v/>
      </c>
      <c r="P638" s="99">
        <f>COUNTIF($J$5:$J$979,"&lt;"&amp;J638)+(COUNTIF($J$5:$J$979,"="&amp;J638)+1)/2</f>
        <v/>
      </c>
    </row>
    <row r="639" ht="15" customHeight="1" s="68">
      <c r="A639" s="70">
        <f>'01_원자료'!A636</f>
        <v/>
      </c>
      <c r="B639" s="70">
        <f>'01_원자료'!B636</f>
        <v/>
      </c>
      <c r="C639" s="70">
        <f>'01_원자료'!C636</f>
        <v/>
      </c>
      <c r="E639" s="85">
        <f>'01_원자료'!P636*'03_가중치민감도'!$B$5+'01_원자료'!Q636*'03_가중치민감도'!$C$5+'01_원자료'!R636*'03_가중치민감도'!$D$5</f>
        <v/>
      </c>
      <c r="F639" s="85">
        <f>'01_원자료'!P636*'03_가중치민감도'!$B$6+'01_원자료'!Q636*'03_가중치민감도'!$C$6+'01_원자료'!R636*'03_가중치민감도'!$D$6</f>
        <v/>
      </c>
      <c r="G639" s="85">
        <f>'01_원자료'!P636*'03_가중치민감도'!$B$7+'01_원자료'!Q636*'03_가중치민감도'!$C$7+'01_원자료'!R636*'03_가중치민감도'!$D$7</f>
        <v/>
      </c>
      <c r="H639" s="85">
        <f>'01_원자료'!P636*'03_가중치민감도'!$B$8+'01_원자료'!Q636*'03_가중치민감도'!$C$8+'01_원자료'!R636*'03_가중치민감도'!$D$8</f>
        <v/>
      </c>
      <c r="I639" s="85">
        <f>'01_원자료'!P636*'03_가중치민감도'!$B$9+'01_원자료'!Q636*'03_가중치민감도'!$C$9+'01_원자료'!R636*'03_가중치민감도'!$D$9</f>
        <v/>
      </c>
      <c r="J639" s="85">
        <f>'01_원자료'!P636*'03_가중치민감도'!$B$10+'01_원자료'!Q636*'03_가중치민감도'!$C$10+'01_원자료'!R636*'03_가중치민감도'!$D$10</f>
        <v/>
      </c>
      <c r="K639" s="99">
        <f>COUNTIF($E$5:$E$979,"&lt;"&amp;E639)+(COUNTIF($E$5:$E$979,"="&amp;E639)+1)/2</f>
        <v/>
      </c>
      <c r="L639" s="99">
        <f>COUNTIF($F$5:$F$979,"&lt;"&amp;F639)+(COUNTIF($F$5:$F$979,"="&amp;F639)+1)/2</f>
        <v/>
      </c>
      <c r="M639" s="99">
        <f>COUNTIF($G$5:$G$979,"&lt;"&amp;G639)+(COUNTIF($G$5:$G$979,"="&amp;G639)+1)/2</f>
        <v/>
      </c>
      <c r="N639" s="99">
        <f>COUNTIF($H$5:$H$979,"&lt;"&amp;H639)+(COUNTIF($H$5:$H$979,"="&amp;H639)+1)/2</f>
        <v/>
      </c>
      <c r="O639" s="99">
        <f>COUNTIF($I$5:$I$979,"&lt;"&amp;I639)+(COUNTIF($I$5:$I$979,"="&amp;I639)+1)/2</f>
        <v/>
      </c>
      <c r="P639" s="99">
        <f>COUNTIF($J$5:$J$979,"&lt;"&amp;J639)+(COUNTIF($J$5:$J$979,"="&amp;J639)+1)/2</f>
        <v/>
      </c>
    </row>
    <row r="640" ht="15" customHeight="1" s="68">
      <c r="A640" s="70">
        <f>'01_원자료'!A637</f>
        <v/>
      </c>
      <c r="B640" s="70">
        <f>'01_원자료'!B637</f>
        <v/>
      </c>
      <c r="C640" s="70">
        <f>'01_원자료'!C637</f>
        <v/>
      </c>
      <c r="E640" s="85">
        <f>'01_원자료'!P637*'03_가중치민감도'!$B$5+'01_원자료'!Q637*'03_가중치민감도'!$C$5+'01_원자료'!R637*'03_가중치민감도'!$D$5</f>
        <v/>
      </c>
      <c r="F640" s="85">
        <f>'01_원자료'!P637*'03_가중치민감도'!$B$6+'01_원자료'!Q637*'03_가중치민감도'!$C$6+'01_원자료'!R637*'03_가중치민감도'!$D$6</f>
        <v/>
      </c>
      <c r="G640" s="85">
        <f>'01_원자료'!P637*'03_가중치민감도'!$B$7+'01_원자료'!Q637*'03_가중치민감도'!$C$7+'01_원자료'!R637*'03_가중치민감도'!$D$7</f>
        <v/>
      </c>
      <c r="H640" s="85">
        <f>'01_원자료'!P637*'03_가중치민감도'!$B$8+'01_원자료'!Q637*'03_가중치민감도'!$C$8+'01_원자료'!R637*'03_가중치민감도'!$D$8</f>
        <v/>
      </c>
      <c r="I640" s="85">
        <f>'01_원자료'!P637*'03_가중치민감도'!$B$9+'01_원자료'!Q637*'03_가중치민감도'!$C$9+'01_원자료'!R637*'03_가중치민감도'!$D$9</f>
        <v/>
      </c>
      <c r="J640" s="85">
        <f>'01_원자료'!P637*'03_가중치민감도'!$B$10+'01_원자료'!Q637*'03_가중치민감도'!$C$10+'01_원자료'!R637*'03_가중치민감도'!$D$10</f>
        <v/>
      </c>
      <c r="K640" s="99">
        <f>COUNTIF($E$5:$E$979,"&lt;"&amp;E640)+(COUNTIF($E$5:$E$979,"="&amp;E640)+1)/2</f>
        <v/>
      </c>
      <c r="L640" s="99">
        <f>COUNTIF($F$5:$F$979,"&lt;"&amp;F640)+(COUNTIF($F$5:$F$979,"="&amp;F640)+1)/2</f>
        <v/>
      </c>
      <c r="M640" s="99">
        <f>COUNTIF($G$5:$G$979,"&lt;"&amp;G640)+(COUNTIF($G$5:$G$979,"="&amp;G640)+1)/2</f>
        <v/>
      </c>
      <c r="N640" s="99">
        <f>COUNTIF($H$5:$H$979,"&lt;"&amp;H640)+(COUNTIF($H$5:$H$979,"="&amp;H640)+1)/2</f>
        <v/>
      </c>
      <c r="O640" s="99">
        <f>COUNTIF($I$5:$I$979,"&lt;"&amp;I640)+(COUNTIF($I$5:$I$979,"="&amp;I640)+1)/2</f>
        <v/>
      </c>
      <c r="P640" s="99">
        <f>COUNTIF($J$5:$J$979,"&lt;"&amp;J640)+(COUNTIF($J$5:$J$979,"="&amp;J640)+1)/2</f>
        <v/>
      </c>
    </row>
    <row r="641" ht="15" customHeight="1" s="68">
      <c r="A641" s="70">
        <f>'01_원자료'!A638</f>
        <v/>
      </c>
      <c r="B641" s="70">
        <f>'01_원자료'!B638</f>
        <v/>
      </c>
      <c r="C641" s="70">
        <f>'01_원자료'!C638</f>
        <v/>
      </c>
      <c r="E641" s="85">
        <f>'01_원자료'!P638*'03_가중치민감도'!$B$5+'01_원자료'!Q638*'03_가중치민감도'!$C$5+'01_원자료'!R638*'03_가중치민감도'!$D$5</f>
        <v/>
      </c>
      <c r="F641" s="85">
        <f>'01_원자료'!P638*'03_가중치민감도'!$B$6+'01_원자료'!Q638*'03_가중치민감도'!$C$6+'01_원자료'!R638*'03_가중치민감도'!$D$6</f>
        <v/>
      </c>
      <c r="G641" s="85">
        <f>'01_원자료'!P638*'03_가중치민감도'!$B$7+'01_원자료'!Q638*'03_가중치민감도'!$C$7+'01_원자료'!R638*'03_가중치민감도'!$D$7</f>
        <v/>
      </c>
      <c r="H641" s="85">
        <f>'01_원자료'!P638*'03_가중치민감도'!$B$8+'01_원자료'!Q638*'03_가중치민감도'!$C$8+'01_원자료'!R638*'03_가중치민감도'!$D$8</f>
        <v/>
      </c>
      <c r="I641" s="85">
        <f>'01_원자료'!P638*'03_가중치민감도'!$B$9+'01_원자료'!Q638*'03_가중치민감도'!$C$9+'01_원자료'!R638*'03_가중치민감도'!$D$9</f>
        <v/>
      </c>
      <c r="J641" s="85">
        <f>'01_원자료'!P638*'03_가중치민감도'!$B$10+'01_원자료'!Q638*'03_가중치민감도'!$C$10+'01_원자료'!R638*'03_가중치민감도'!$D$10</f>
        <v/>
      </c>
      <c r="K641" s="99">
        <f>COUNTIF($E$5:$E$979,"&lt;"&amp;E641)+(COUNTIF($E$5:$E$979,"="&amp;E641)+1)/2</f>
        <v/>
      </c>
      <c r="L641" s="99">
        <f>COUNTIF($F$5:$F$979,"&lt;"&amp;F641)+(COUNTIF($F$5:$F$979,"="&amp;F641)+1)/2</f>
        <v/>
      </c>
      <c r="M641" s="99">
        <f>COUNTIF($G$5:$G$979,"&lt;"&amp;G641)+(COUNTIF($G$5:$G$979,"="&amp;G641)+1)/2</f>
        <v/>
      </c>
      <c r="N641" s="99">
        <f>COUNTIF($H$5:$H$979,"&lt;"&amp;H641)+(COUNTIF($H$5:$H$979,"="&amp;H641)+1)/2</f>
        <v/>
      </c>
      <c r="O641" s="99">
        <f>COUNTIF($I$5:$I$979,"&lt;"&amp;I641)+(COUNTIF($I$5:$I$979,"="&amp;I641)+1)/2</f>
        <v/>
      </c>
      <c r="P641" s="99">
        <f>COUNTIF($J$5:$J$979,"&lt;"&amp;J641)+(COUNTIF($J$5:$J$979,"="&amp;J641)+1)/2</f>
        <v/>
      </c>
    </row>
    <row r="642" ht="15" customHeight="1" s="68">
      <c r="A642" s="70">
        <f>'01_원자료'!A639</f>
        <v/>
      </c>
      <c r="B642" s="70">
        <f>'01_원자료'!B639</f>
        <v/>
      </c>
      <c r="C642" s="70">
        <f>'01_원자료'!C639</f>
        <v/>
      </c>
      <c r="E642" s="85">
        <f>'01_원자료'!P639*'03_가중치민감도'!$B$5+'01_원자료'!Q639*'03_가중치민감도'!$C$5+'01_원자료'!R639*'03_가중치민감도'!$D$5</f>
        <v/>
      </c>
      <c r="F642" s="85">
        <f>'01_원자료'!P639*'03_가중치민감도'!$B$6+'01_원자료'!Q639*'03_가중치민감도'!$C$6+'01_원자료'!R639*'03_가중치민감도'!$D$6</f>
        <v/>
      </c>
      <c r="G642" s="85">
        <f>'01_원자료'!P639*'03_가중치민감도'!$B$7+'01_원자료'!Q639*'03_가중치민감도'!$C$7+'01_원자료'!R639*'03_가중치민감도'!$D$7</f>
        <v/>
      </c>
      <c r="H642" s="85">
        <f>'01_원자료'!P639*'03_가중치민감도'!$B$8+'01_원자료'!Q639*'03_가중치민감도'!$C$8+'01_원자료'!R639*'03_가중치민감도'!$D$8</f>
        <v/>
      </c>
      <c r="I642" s="85">
        <f>'01_원자료'!P639*'03_가중치민감도'!$B$9+'01_원자료'!Q639*'03_가중치민감도'!$C$9+'01_원자료'!R639*'03_가중치민감도'!$D$9</f>
        <v/>
      </c>
      <c r="J642" s="85">
        <f>'01_원자료'!P639*'03_가중치민감도'!$B$10+'01_원자료'!Q639*'03_가중치민감도'!$C$10+'01_원자료'!R639*'03_가중치민감도'!$D$10</f>
        <v/>
      </c>
      <c r="K642" s="99">
        <f>COUNTIF($E$5:$E$979,"&lt;"&amp;E642)+(COUNTIF($E$5:$E$979,"="&amp;E642)+1)/2</f>
        <v/>
      </c>
      <c r="L642" s="99">
        <f>COUNTIF($F$5:$F$979,"&lt;"&amp;F642)+(COUNTIF($F$5:$F$979,"="&amp;F642)+1)/2</f>
        <v/>
      </c>
      <c r="M642" s="99">
        <f>COUNTIF($G$5:$G$979,"&lt;"&amp;G642)+(COUNTIF($G$5:$G$979,"="&amp;G642)+1)/2</f>
        <v/>
      </c>
      <c r="N642" s="99">
        <f>COUNTIF($H$5:$H$979,"&lt;"&amp;H642)+(COUNTIF($H$5:$H$979,"="&amp;H642)+1)/2</f>
        <v/>
      </c>
      <c r="O642" s="99">
        <f>COUNTIF($I$5:$I$979,"&lt;"&amp;I642)+(COUNTIF($I$5:$I$979,"="&amp;I642)+1)/2</f>
        <v/>
      </c>
      <c r="P642" s="99">
        <f>COUNTIF($J$5:$J$979,"&lt;"&amp;J642)+(COUNTIF($J$5:$J$979,"="&amp;J642)+1)/2</f>
        <v/>
      </c>
    </row>
    <row r="643" ht="15" customHeight="1" s="68">
      <c r="A643" s="70">
        <f>'01_원자료'!A640</f>
        <v/>
      </c>
      <c r="B643" s="70">
        <f>'01_원자료'!B640</f>
        <v/>
      </c>
      <c r="C643" s="70">
        <f>'01_원자료'!C640</f>
        <v/>
      </c>
      <c r="E643" s="85">
        <f>'01_원자료'!P640*'03_가중치민감도'!$B$5+'01_원자료'!Q640*'03_가중치민감도'!$C$5+'01_원자료'!R640*'03_가중치민감도'!$D$5</f>
        <v/>
      </c>
      <c r="F643" s="85">
        <f>'01_원자료'!P640*'03_가중치민감도'!$B$6+'01_원자료'!Q640*'03_가중치민감도'!$C$6+'01_원자료'!R640*'03_가중치민감도'!$D$6</f>
        <v/>
      </c>
      <c r="G643" s="85">
        <f>'01_원자료'!P640*'03_가중치민감도'!$B$7+'01_원자료'!Q640*'03_가중치민감도'!$C$7+'01_원자료'!R640*'03_가중치민감도'!$D$7</f>
        <v/>
      </c>
      <c r="H643" s="85">
        <f>'01_원자료'!P640*'03_가중치민감도'!$B$8+'01_원자료'!Q640*'03_가중치민감도'!$C$8+'01_원자료'!R640*'03_가중치민감도'!$D$8</f>
        <v/>
      </c>
      <c r="I643" s="85">
        <f>'01_원자료'!P640*'03_가중치민감도'!$B$9+'01_원자료'!Q640*'03_가중치민감도'!$C$9+'01_원자료'!R640*'03_가중치민감도'!$D$9</f>
        <v/>
      </c>
      <c r="J643" s="85">
        <f>'01_원자료'!P640*'03_가중치민감도'!$B$10+'01_원자료'!Q640*'03_가중치민감도'!$C$10+'01_원자료'!R640*'03_가중치민감도'!$D$10</f>
        <v/>
      </c>
      <c r="K643" s="99">
        <f>COUNTIF($E$5:$E$979,"&lt;"&amp;E643)+(COUNTIF($E$5:$E$979,"="&amp;E643)+1)/2</f>
        <v/>
      </c>
      <c r="L643" s="99">
        <f>COUNTIF($F$5:$F$979,"&lt;"&amp;F643)+(COUNTIF($F$5:$F$979,"="&amp;F643)+1)/2</f>
        <v/>
      </c>
      <c r="M643" s="99">
        <f>COUNTIF($G$5:$G$979,"&lt;"&amp;G643)+(COUNTIF($G$5:$G$979,"="&amp;G643)+1)/2</f>
        <v/>
      </c>
      <c r="N643" s="99">
        <f>COUNTIF($H$5:$H$979,"&lt;"&amp;H643)+(COUNTIF($H$5:$H$979,"="&amp;H643)+1)/2</f>
        <v/>
      </c>
      <c r="O643" s="99">
        <f>COUNTIF($I$5:$I$979,"&lt;"&amp;I643)+(COUNTIF($I$5:$I$979,"="&amp;I643)+1)/2</f>
        <v/>
      </c>
      <c r="P643" s="99">
        <f>COUNTIF($J$5:$J$979,"&lt;"&amp;J643)+(COUNTIF($J$5:$J$979,"="&amp;J643)+1)/2</f>
        <v/>
      </c>
    </row>
    <row r="644" ht="15" customHeight="1" s="68">
      <c r="A644" s="70">
        <f>'01_원자료'!A641</f>
        <v/>
      </c>
      <c r="B644" s="70">
        <f>'01_원자료'!B641</f>
        <v/>
      </c>
      <c r="C644" s="70">
        <f>'01_원자료'!C641</f>
        <v/>
      </c>
      <c r="E644" s="85">
        <f>'01_원자료'!P641*'03_가중치민감도'!$B$5+'01_원자료'!Q641*'03_가중치민감도'!$C$5+'01_원자료'!R641*'03_가중치민감도'!$D$5</f>
        <v/>
      </c>
      <c r="F644" s="85">
        <f>'01_원자료'!P641*'03_가중치민감도'!$B$6+'01_원자료'!Q641*'03_가중치민감도'!$C$6+'01_원자료'!R641*'03_가중치민감도'!$D$6</f>
        <v/>
      </c>
      <c r="G644" s="85">
        <f>'01_원자료'!P641*'03_가중치민감도'!$B$7+'01_원자료'!Q641*'03_가중치민감도'!$C$7+'01_원자료'!R641*'03_가중치민감도'!$D$7</f>
        <v/>
      </c>
      <c r="H644" s="85">
        <f>'01_원자료'!P641*'03_가중치민감도'!$B$8+'01_원자료'!Q641*'03_가중치민감도'!$C$8+'01_원자료'!R641*'03_가중치민감도'!$D$8</f>
        <v/>
      </c>
      <c r="I644" s="85">
        <f>'01_원자료'!P641*'03_가중치민감도'!$B$9+'01_원자료'!Q641*'03_가중치민감도'!$C$9+'01_원자료'!R641*'03_가중치민감도'!$D$9</f>
        <v/>
      </c>
      <c r="J644" s="85">
        <f>'01_원자료'!P641*'03_가중치민감도'!$B$10+'01_원자료'!Q641*'03_가중치민감도'!$C$10+'01_원자료'!R641*'03_가중치민감도'!$D$10</f>
        <v/>
      </c>
      <c r="K644" s="99">
        <f>COUNTIF($E$5:$E$979,"&lt;"&amp;E644)+(COUNTIF($E$5:$E$979,"="&amp;E644)+1)/2</f>
        <v/>
      </c>
      <c r="L644" s="99">
        <f>COUNTIF($F$5:$F$979,"&lt;"&amp;F644)+(COUNTIF($F$5:$F$979,"="&amp;F644)+1)/2</f>
        <v/>
      </c>
      <c r="M644" s="99">
        <f>COUNTIF($G$5:$G$979,"&lt;"&amp;G644)+(COUNTIF($G$5:$G$979,"="&amp;G644)+1)/2</f>
        <v/>
      </c>
      <c r="N644" s="99">
        <f>COUNTIF($H$5:$H$979,"&lt;"&amp;H644)+(COUNTIF($H$5:$H$979,"="&amp;H644)+1)/2</f>
        <v/>
      </c>
      <c r="O644" s="99">
        <f>COUNTIF($I$5:$I$979,"&lt;"&amp;I644)+(COUNTIF($I$5:$I$979,"="&amp;I644)+1)/2</f>
        <v/>
      </c>
      <c r="P644" s="99">
        <f>COUNTIF($J$5:$J$979,"&lt;"&amp;J644)+(COUNTIF($J$5:$J$979,"="&amp;J644)+1)/2</f>
        <v/>
      </c>
    </row>
    <row r="645" ht="15" customHeight="1" s="68">
      <c r="A645" s="70">
        <f>'01_원자료'!A642</f>
        <v/>
      </c>
      <c r="B645" s="70">
        <f>'01_원자료'!B642</f>
        <v/>
      </c>
      <c r="C645" s="70">
        <f>'01_원자료'!C642</f>
        <v/>
      </c>
      <c r="E645" s="85">
        <f>'01_원자료'!P642*'03_가중치민감도'!$B$5+'01_원자료'!Q642*'03_가중치민감도'!$C$5+'01_원자료'!R642*'03_가중치민감도'!$D$5</f>
        <v/>
      </c>
      <c r="F645" s="85">
        <f>'01_원자료'!P642*'03_가중치민감도'!$B$6+'01_원자료'!Q642*'03_가중치민감도'!$C$6+'01_원자료'!R642*'03_가중치민감도'!$D$6</f>
        <v/>
      </c>
      <c r="G645" s="85">
        <f>'01_원자료'!P642*'03_가중치민감도'!$B$7+'01_원자료'!Q642*'03_가중치민감도'!$C$7+'01_원자료'!R642*'03_가중치민감도'!$D$7</f>
        <v/>
      </c>
      <c r="H645" s="85">
        <f>'01_원자료'!P642*'03_가중치민감도'!$B$8+'01_원자료'!Q642*'03_가중치민감도'!$C$8+'01_원자료'!R642*'03_가중치민감도'!$D$8</f>
        <v/>
      </c>
      <c r="I645" s="85">
        <f>'01_원자료'!P642*'03_가중치민감도'!$B$9+'01_원자료'!Q642*'03_가중치민감도'!$C$9+'01_원자료'!R642*'03_가중치민감도'!$D$9</f>
        <v/>
      </c>
      <c r="J645" s="85">
        <f>'01_원자료'!P642*'03_가중치민감도'!$B$10+'01_원자료'!Q642*'03_가중치민감도'!$C$10+'01_원자료'!R642*'03_가중치민감도'!$D$10</f>
        <v/>
      </c>
      <c r="K645" s="99">
        <f>COUNTIF($E$5:$E$979,"&lt;"&amp;E645)+(COUNTIF($E$5:$E$979,"="&amp;E645)+1)/2</f>
        <v/>
      </c>
      <c r="L645" s="99">
        <f>COUNTIF($F$5:$F$979,"&lt;"&amp;F645)+(COUNTIF($F$5:$F$979,"="&amp;F645)+1)/2</f>
        <v/>
      </c>
      <c r="M645" s="99">
        <f>COUNTIF($G$5:$G$979,"&lt;"&amp;G645)+(COUNTIF($G$5:$G$979,"="&amp;G645)+1)/2</f>
        <v/>
      </c>
      <c r="N645" s="99">
        <f>COUNTIF($H$5:$H$979,"&lt;"&amp;H645)+(COUNTIF($H$5:$H$979,"="&amp;H645)+1)/2</f>
        <v/>
      </c>
      <c r="O645" s="99">
        <f>COUNTIF($I$5:$I$979,"&lt;"&amp;I645)+(COUNTIF($I$5:$I$979,"="&amp;I645)+1)/2</f>
        <v/>
      </c>
      <c r="P645" s="99">
        <f>COUNTIF($J$5:$J$979,"&lt;"&amp;J645)+(COUNTIF($J$5:$J$979,"="&amp;J645)+1)/2</f>
        <v/>
      </c>
    </row>
    <row r="646" ht="15" customHeight="1" s="68">
      <c r="A646" s="70">
        <f>'01_원자료'!A643</f>
        <v/>
      </c>
      <c r="B646" s="70">
        <f>'01_원자료'!B643</f>
        <v/>
      </c>
      <c r="C646" s="70">
        <f>'01_원자료'!C643</f>
        <v/>
      </c>
      <c r="E646" s="85">
        <f>'01_원자료'!P643*'03_가중치민감도'!$B$5+'01_원자료'!Q643*'03_가중치민감도'!$C$5+'01_원자료'!R643*'03_가중치민감도'!$D$5</f>
        <v/>
      </c>
      <c r="F646" s="85">
        <f>'01_원자료'!P643*'03_가중치민감도'!$B$6+'01_원자료'!Q643*'03_가중치민감도'!$C$6+'01_원자료'!R643*'03_가중치민감도'!$D$6</f>
        <v/>
      </c>
      <c r="G646" s="85">
        <f>'01_원자료'!P643*'03_가중치민감도'!$B$7+'01_원자료'!Q643*'03_가중치민감도'!$C$7+'01_원자료'!R643*'03_가중치민감도'!$D$7</f>
        <v/>
      </c>
      <c r="H646" s="85">
        <f>'01_원자료'!P643*'03_가중치민감도'!$B$8+'01_원자료'!Q643*'03_가중치민감도'!$C$8+'01_원자료'!R643*'03_가중치민감도'!$D$8</f>
        <v/>
      </c>
      <c r="I646" s="85">
        <f>'01_원자료'!P643*'03_가중치민감도'!$B$9+'01_원자료'!Q643*'03_가중치민감도'!$C$9+'01_원자료'!R643*'03_가중치민감도'!$D$9</f>
        <v/>
      </c>
      <c r="J646" s="85">
        <f>'01_원자료'!P643*'03_가중치민감도'!$B$10+'01_원자료'!Q643*'03_가중치민감도'!$C$10+'01_원자료'!R643*'03_가중치민감도'!$D$10</f>
        <v/>
      </c>
      <c r="K646" s="99">
        <f>COUNTIF($E$5:$E$979,"&lt;"&amp;E646)+(COUNTIF($E$5:$E$979,"="&amp;E646)+1)/2</f>
        <v/>
      </c>
      <c r="L646" s="99">
        <f>COUNTIF($F$5:$F$979,"&lt;"&amp;F646)+(COUNTIF($F$5:$F$979,"="&amp;F646)+1)/2</f>
        <v/>
      </c>
      <c r="M646" s="99">
        <f>COUNTIF($G$5:$G$979,"&lt;"&amp;G646)+(COUNTIF($G$5:$G$979,"="&amp;G646)+1)/2</f>
        <v/>
      </c>
      <c r="N646" s="99">
        <f>COUNTIF($H$5:$H$979,"&lt;"&amp;H646)+(COUNTIF($H$5:$H$979,"="&amp;H646)+1)/2</f>
        <v/>
      </c>
      <c r="O646" s="99">
        <f>COUNTIF($I$5:$I$979,"&lt;"&amp;I646)+(COUNTIF($I$5:$I$979,"="&amp;I646)+1)/2</f>
        <v/>
      </c>
      <c r="P646" s="99">
        <f>COUNTIF($J$5:$J$979,"&lt;"&amp;J646)+(COUNTIF($J$5:$J$979,"="&amp;J646)+1)/2</f>
        <v/>
      </c>
    </row>
    <row r="647" ht="15" customHeight="1" s="68">
      <c r="A647" s="70">
        <f>'01_원자료'!A644</f>
        <v/>
      </c>
      <c r="B647" s="70">
        <f>'01_원자료'!B644</f>
        <v/>
      </c>
      <c r="C647" s="70">
        <f>'01_원자료'!C644</f>
        <v/>
      </c>
      <c r="E647" s="85">
        <f>'01_원자료'!P644*'03_가중치민감도'!$B$5+'01_원자료'!Q644*'03_가중치민감도'!$C$5+'01_원자료'!R644*'03_가중치민감도'!$D$5</f>
        <v/>
      </c>
      <c r="F647" s="85">
        <f>'01_원자료'!P644*'03_가중치민감도'!$B$6+'01_원자료'!Q644*'03_가중치민감도'!$C$6+'01_원자료'!R644*'03_가중치민감도'!$D$6</f>
        <v/>
      </c>
      <c r="G647" s="85">
        <f>'01_원자료'!P644*'03_가중치민감도'!$B$7+'01_원자료'!Q644*'03_가중치민감도'!$C$7+'01_원자료'!R644*'03_가중치민감도'!$D$7</f>
        <v/>
      </c>
      <c r="H647" s="85">
        <f>'01_원자료'!P644*'03_가중치민감도'!$B$8+'01_원자료'!Q644*'03_가중치민감도'!$C$8+'01_원자료'!R644*'03_가중치민감도'!$D$8</f>
        <v/>
      </c>
      <c r="I647" s="85">
        <f>'01_원자료'!P644*'03_가중치민감도'!$B$9+'01_원자료'!Q644*'03_가중치민감도'!$C$9+'01_원자료'!R644*'03_가중치민감도'!$D$9</f>
        <v/>
      </c>
      <c r="J647" s="85">
        <f>'01_원자료'!P644*'03_가중치민감도'!$B$10+'01_원자료'!Q644*'03_가중치민감도'!$C$10+'01_원자료'!R644*'03_가중치민감도'!$D$10</f>
        <v/>
      </c>
      <c r="K647" s="99">
        <f>COUNTIF($E$5:$E$979,"&lt;"&amp;E647)+(COUNTIF($E$5:$E$979,"="&amp;E647)+1)/2</f>
        <v/>
      </c>
      <c r="L647" s="99">
        <f>COUNTIF($F$5:$F$979,"&lt;"&amp;F647)+(COUNTIF($F$5:$F$979,"="&amp;F647)+1)/2</f>
        <v/>
      </c>
      <c r="M647" s="99">
        <f>COUNTIF($G$5:$G$979,"&lt;"&amp;G647)+(COUNTIF($G$5:$G$979,"="&amp;G647)+1)/2</f>
        <v/>
      </c>
      <c r="N647" s="99">
        <f>COUNTIF($H$5:$H$979,"&lt;"&amp;H647)+(COUNTIF($H$5:$H$979,"="&amp;H647)+1)/2</f>
        <v/>
      </c>
      <c r="O647" s="99">
        <f>COUNTIF($I$5:$I$979,"&lt;"&amp;I647)+(COUNTIF($I$5:$I$979,"="&amp;I647)+1)/2</f>
        <v/>
      </c>
      <c r="P647" s="99">
        <f>COUNTIF($J$5:$J$979,"&lt;"&amp;J647)+(COUNTIF($J$5:$J$979,"="&amp;J647)+1)/2</f>
        <v/>
      </c>
    </row>
    <row r="648" ht="15" customHeight="1" s="68">
      <c r="A648" s="70">
        <f>'01_원자료'!A645</f>
        <v/>
      </c>
      <c r="B648" s="70">
        <f>'01_원자료'!B645</f>
        <v/>
      </c>
      <c r="C648" s="70">
        <f>'01_원자료'!C645</f>
        <v/>
      </c>
      <c r="E648" s="85">
        <f>'01_원자료'!P645*'03_가중치민감도'!$B$5+'01_원자료'!Q645*'03_가중치민감도'!$C$5+'01_원자료'!R645*'03_가중치민감도'!$D$5</f>
        <v/>
      </c>
      <c r="F648" s="85">
        <f>'01_원자료'!P645*'03_가중치민감도'!$B$6+'01_원자료'!Q645*'03_가중치민감도'!$C$6+'01_원자료'!R645*'03_가중치민감도'!$D$6</f>
        <v/>
      </c>
      <c r="G648" s="85">
        <f>'01_원자료'!P645*'03_가중치민감도'!$B$7+'01_원자료'!Q645*'03_가중치민감도'!$C$7+'01_원자료'!R645*'03_가중치민감도'!$D$7</f>
        <v/>
      </c>
      <c r="H648" s="85">
        <f>'01_원자료'!P645*'03_가중치민감도'!$B$8+'01_원자료'!Q645*'03_가중치민감도'!$C$8+'01_원자료'!R645*'03_가중치민감도'!$D$8</f>
        <v/>
      </c>
      <c r="I648" s="85">
        <f>'01_원자료'!P645*'03_가중치민감도'!$B$9+'01_원자료'!Q645*'03_가중치민감도'!$C$9+'01_원자료'!R645*'03_가중치민감도'!$D$9</f>
        <v/>
      </c>
      <c r="J648" s="85">
        <f>'01_원자료'!P645*'03_가중치민감도'!$B$10+'01_원자료'!Q645*'03_가중치민감도'!$C$10+'01_원자료'!R645*'03_가중치민감도'!$D$10</f>
        <v/>
      </c>
      <c r="K648" s="99">
        <f>COUNTIF($E$5:$E$979,"&lt;"&amp;E648)+(COUNTIF($E$5:$E$979,"="&amp;E648)+1)/2</f>
        <v/>
      </c>
      <c r="L648" s="99">
        <f>COUNTIF($F$5:$F$979,"&lt;"&amp;F648)+(COUNTIF($F$5:$F$979,"="&amp;F648)+1)/2</f>
        <v/>
      </c>
      <c r="M648" s="99">
        <f>COUNTIF($G$5:$G$979,"&lt;"&amp;G648)+(COUNTIF($G$5:$G$979,"="&amp;G648)+1)/2</f>
        <v/>
      </c>
      <c r="N648" s="99">
        <f>COUNTIF($H$5:$H$979,"&lt;"&amp;H648)+(COUNTIF($H$5:$H$979,"="&amp;H648)+1)/2</f>
        <v/>
      </c>
      <c r="O648" s="99">
        <f>COUNTIF($I$5:$I$979,"&lt;"&amp;I648)+(COUNTIF($I$5:$I$979,"="&amp;I648)+1)/2</f>
        <v/>
      </c>
      <c r="P648" s="99">
        <f>COUNTIF($J$5:$J$979,"&lt;"&amp;J648)+(COUNTIF($J$5:$J$979,"="&amp;J648)+1)/2</f>
        <v/>
      </c>
    </row>
    <row r="649" ht="15" customHeight="1" s="68">
      <c r="A649" s="70">
        <f>'01_원자료'!A646</f>
        <v/>
      </c>
      <c r="B649" s="70">
        <f>'01_원자료'!B646</f>
        <v/>
      </c>
      <c r="C649" s="70">
        <f>'01_원자료'!C646</f>
        <v/>
      </c>
      <c r="E649" s="85">
        <f>'01_원자료'!P646*'03_가중치민감도'!$B$5+'01_원자료'!Q646*'03_가중치민감도'!$C$5+'01_원자료'!R646*'03_가중치민감도'!$D$5</f>
        <v/>
      </c>
      <c r="F649" s="85">
        <f>'01_원자료'!P646*'03_가중치민감도'!$B$6+'01_원자료'!Q646*'03_가중치민감도'!$C$6+'01_원자료'!R646*'03_가중치민감도'!$D$6</f>
        <v/>
      </c>
      <c r="G649" s="85">
        <f>'01_원자료'!P646*'03_가중치민감도'!$B$7+'01_원자료'!Q646*'03_가중치민감도'!$C$7+'01_원자료'!R646*'03_가중치민감도'!$D$7</f>
        <v/>
      </c>
      <c r="H649" s="85">
        <f>'01_원자료'!P646*'03_가중치민감도'!$B$8+'01_원자료'!Q646*'03_가중치민감도'!$C$8+'01_원자료'!R646*'03_가중치민감도'!$D$8</f>
        <v/>
      </c>
      <c r="I649" s="85">
        <f>'01_원자료'!P646*'03_가중치민감도'!$B$9+'01_원자료'!Q646*'03_가중치민감도'!$C$9+'01_원자료'!R646*'03_가중치민감도'!$D$9</f>
        <v/>
      </c>
      <c r="J649" s="85">
        <f>'01_원자료'!P646*'03_가중치민감도'!$B$10+'01_원자료'!Q646*'03_가중치민감도'!$C$10+'01_원자료'!R646*'03_가중치민감도'!$D$10</f>
        <v/>
      </c>
      <c r="K649" s="99">
        <f>COUNTIF($E$5:$E$979,"&lt;"&amp;E649)+(COUNTIF($E$5:$E$979,"="&amp;E649)+1)/2</f>
        <v/>
      </c>
      <c r="L649" s="99">
        <f>COUNTIF($F$5:$F$979,"&lt;"&amp;F649)+(COUNTIF($F$5:$F$979,"="&amp;F649)+1)/2</f>
        <v/>
      </c>
      <c r="M649" s="99">
        <f>COUNTIF($G$5:$G$979,"&lt;"&amp;G649)+(COUNTIF($G$5:$G$979,"="&amp;G649)+1)/2</f>
        <v/>
      </c>
      <c r="N649" s="99">
        <f>COUNTIF($H$5:$H$979,"&lt;"&amp;H649)+(COUNTIF($H$5:$H$979,"="&amp;H649)+1)/2</f>
        <v/>
      </c>
      <c r="O649" s="99">
        <f>COUNTIF($I$5:$I$979,"&lt;"&amp;I649)+(COUNTIF($I$5:$I$979,"="&amp;I649)+1)/2</f>
        <v/>
      </c>
      <c r="P649" s="99">
        <f>COUNTIF($J$5:$J$979,"&lt;"&amp;J649)+(COUNTIF($J$5:$J$979,"="&amp;J649)+1)/2</f>
        <v/>
      </c>
    </row>
    <row r="650" ht="15" customHeight="1" s="68">
      <c r="A650" s="70">
        <f>'01_원자료'!A647</f>
        <v/>
      </c>
      <c r="B650" s="70">
        <f>'01_원자료'!B647</f>
        <v/>
      </c>
      <c r="C650" s="70">
        <f>'01_원자료'!C647</f>
        <v/>
      </c>
      <c r="E650" s="85">
        <f>'01_원자료'!P647*'03_가중치민감도'!$B$5+'01_원자료'!Q647*'03_가중치민감도'!$C$5+'01_원자료'!R647*'03_가중치민감도'!$D$5</f>
        <v/>
      </c>
      <c r="F650" s="85">
        <f>'01_원자료'!P647*'03_가중치민감도'!$B$6+'01_원자료'!Q647*'03_가중치민감도'!$C$6+'01_원자료'!R647*'03_가중치민감도'!$D$6</f>
        <v/>
      </c>
      <c r="G650" s="85">
        <f>'01_원자료'!P647*'03_가중치민감도'!$B$7+'01_원자료'!Q647*'03_가중치민감도'!$C$7+'01_원자료'!R647*'03_가중치민감도'!$D$7</f>
        <v/>
      </c>
      <c r="H650" s="85">
        <f>'01_원자료'!P647*'03_가중치민감도'!$B$8+'01_원자료'!Q647*'03_가중치민감도'!$C$8+'01_원자료'!R647*'03_가중치민감도'!$D$8</f>
        <v/>
      </c>
      <c r="I650" s="85">
        <f>'01_원자료'!P647*'03_가중치민감도'!$B$9+'01_원자료'!Q647*'03_가중치민감도'!$C$9+'01_원자료'!R647*'03_가중치민감도'!$D$9</f>
        <v/>
      </c>
      <c r="J650" s="85">
        <f>'01_원자료'!P647*'03_가중치민감도'!$B$10+'01_원자료'!Q647*'03_가중치민감도'!$C$10+'01_원자료'!R647*'03_가중치민감도'!$D$10</f>
        <v/>
      </c>
      <c r="K650" s="99">
        <f>COUNTIF($E$5:$E$979,"&lt;"&amp;E650)+(COUNTIF($E$5:$E$979,"="&amp;E650)+1)/2</f>
        <v/>
      </c>
      <c r="L650" s="99">
        <f>COUNTIF($F$5:$F$979,"&lt;"&amp;F650)+(COUNTIF($F$5:$F$979,"="&amp;F650)+1)/2</f>
        <v/>
      </c>
      <c r="M650" s="99">
        <f>COUNTIF($G$5:$G$979,"&lt;"&amp;G650)+(COUNTIF($G$5:$G$979,"="&amp;G650)+1)/2</f>
        <v/>
      </c>
      <c r="N650" s="99">
        <f>COUNTIF($H$5:$H$979,"&lt;"&amp;H650)+(COUNTIF($H$5:$H$979,"="&amp;H650)+1)/2</f>
        <v/>
      </c>
      <c r="O650" s="99">
        <f>COUNTIF($I$5:$I$979,"&lt;"&amp;I650)+(COUNTIF($I$5:$I$979,"="&amp;I650)+1)/2</f>
        <v/>
      </c>
      <c r="P650" s="99">
        <f>COUNTIF($J$5:$J$979,"&lt;"&amp;J650)+(COUNTIF($J$5:$J$979,"="&amp;J650)+1)/2</f>
        <v/>
      </c>
    </row>
    <row r="651" ht="15" customHeight="1" s="68">
      <c r="A651" s="70">
        <f>'01_원자료'!A648</f>
        <v/>
      </c>
      <c r="B651" s="70">
        <f>'01_원자료'!B648</f>
        <v/>
      </c>
      <c r="C651" s="70">
        <f>'01_원자료'!C648</f>
        <v/>
      </c>
      <c r="E651" s="85">
        <f>'01_원자료'!P648*'03_가중치민감도'!$B$5+'01_원자료'!Q648*'03_가중치민감도'!$C$5+'01_원자료'!R648*'03_가중치민감도'!$D$5</f>
        <v/>
      </c>
      <c r="F651" s="85">
        <f>'01_원자료'!P648*'03_가중치민감도'!$B$6+'01_원자료'!Q648*'03_가중치민감도'!$C$6+'01_원자료'!R648*'03_가중치민감도'!$D$6</f>
        <v/>
      </c>
      <c r="G651" s="85">
        <f>'01_원자료'!P648*'03_가중치민감도'!$B$7+'01_원자료'!Q648*'03_가중치민감도'!$C$7+'01_원자료'!R648*'03_가중치민감도'!$D$7</f>
        <v/>
      </c>
      <c r="H651" s="85">
        <f>'01_원자료'!P648*'03_가중치민감도'!$B$8+'01_원자료'!Q648*'03_가중치민감도'!$C$8+'01_원자료'!R648*'03_가중치민감도'!$D$8</f>
        <v/>
      </c>
      <c r="I651" s="85">
        <f>'01_원자료'!P648*'03_가중치민감도'!$B$9+'01_원자료'!Q648*'03_가중치민감도'!$C$9+'01_원자료'!R648*'03_가중치민감도'!$D$9</f>
        <v/>
      </c>
      <c r="J651" s="85">
        <f>'01_원자료'!P648*'03_가중치민감도'!$B$10+'01_원자료'!Q648*'03_가중치민감도'!$C$10+'01_원자료'!R648*'03_가중치민감도'!$D$10</f>
        <v/>
      </c>
      <c r="K651" s="99">
        <f>COUNTIF($E$5:$E$979,"&lt;"&amp;E651)+(COUNTIF($E$5:$E$979,"="&amp;E651)+1)/2</f>
        <v/>
      </c>
      <c r="L651" s="99">
        <f>COUNTIF($F$5:$F$979,"&lt;"&amp;F651)+(COUNTIF($F$5:$F$979,"="&amp;F651)+1)/2</f>
        <v/>
      </c>
      <c r="M651" s="99">
        <f>COUNTIF($G$5:$G$979,"&lt;"&amp;G651)+(COUNTIF($G$5:$G$979,"="&amp;G651)+1)/2</f>
        <v/>
      </c>
      <c r="N651" s="99">
        <f>COUNTIF($H$5:$H$979,"&lt;"&amp;H651)+(COUNTIF($H$5:$H$979,"="&amp;H651)+1)/2</f>
        <v/>
      </c>
      <c r="O651" s="99">
        <f>COUNTIF($I$5:$I$979,"&lt;"&amp;I651)+(COUNTIF($I$5:$I$979,"="&amp;I651)+1)/2</f>
        <v/>
      </c>
      <c r="P651" s="99">
        <f>COUNTIF($J$5:$J$979,"&lt;"&amp;J651)+(COUNTIF($J$5:$J$979,"="&amp;J651)+1)/2</f>
        <v/>
      </c>
    </row>
    <row r="652" ht="15" customHeight="1" s="68">
      <c r="A652" s="70">
        <f>'01_원자료'!A649</f>
        <v/>
      </c>
      <c r="B652" s="70">
        <f>'01_원자료'!B649</f>
        <v/>
      </c>
      <c r="C652" s="70">
        <f>'01_원자료'!C649</f>
        <v/>
      </c>
      <c r="E652" s="85">
        <f>'01_원자료'!P649*'03_가중치민감도'!$B$5+'01_원자료'!Q649*'03_가중치민감도'!$C$5+'01_원자료'!R649*'03_가중치민감도'!$D$5</f>
        <v/>
      </c>
      <c r="F652" s="85">
        <f>'01_원자료'!P649*'03_가중치민감도'!$B$6+'01_원자료'!Q649*'03_가중치민감도'!$C$6+'01_원자료'!R649*'03_가중치민감도'!$D$6</f>
        <v/>
      </c>
      <c r="G652" s="85">
        <f>'01_원자료'!P649*'03_가중치민감도'!$B$7+'01_원자료'!Q649*'03_가중치민감도'!$C$7+'01_원자료'!R649*'03_가중치민감도'!$D$7</f>
        <v/>
      </c>
      <c r="H652" s="85">
        <f>'01_원자료'!P649*'03_가중치민감도'!$B$8+'01_원자료'!Q649*'03_가중치민감도'!$C$8+'01_원자료'!R649*'03_가중치민감도'!$D$8</f>
        <v/>
      </c>
      <c r="I652" s="85">
        <f>'01_원자료'!P649*'03_가중치민감도'!$B$9+'01_원자료'!Q649*'03_가중치민감도'!$C$9+'01_원자료'!R649*'03_가중치민감도'!$D$9</f>
        <v/>
      </c>
      <c r="J652" s="85">
        <f>'01_원자료'!P649*'03_가중치민감도'!$B$10+'01_원자료'!Q649*'03_가중치민감도'!$C$10+'01_원자료'!R649*'03_가중치민감도'!$D$10</f>
        <v/>
      </c>
      <c r="K652" s="99">
        <f>COUNTIF($E$5:$E$979,"&lt;"&amp;E652)+(COUNTIF($E$5:$E$979,"="&amp;E652)+1)/2</f>
        <v/>
      </c>
      <c r="L652" s="99">
        <f>COUNTIF($F$5:$F$979,"&lt;"&amp;F652)+(COUNTIF($F$5:$F$979,"="&amp;F652)+1)/2</f>
        <v/>
      </c>
      <c r="M652" s="99">
        <f>COUNTIF($G$5:$G$979,"&lt;"&amp;G652)+(COUNTIF($G$5:$G$979,"="&amp;G652)+1)/2</f>
        <v/>
      </c>
      <c r="N652" s="99">
        <f>COUNTIF($H$5:$H$979,"&lt;"&amp;H652)+(COUNTIF($H$5:$H$979,"="&amp;H652)+1)/2</f>
        <v/>
      </c>
      <c r="O652" s="99">
        <f>COUNTIF($I$5:$I$979,"&lt;"&amp;I652)+(COUNTIF($I$5:$I$979,"="&amp;I652)+1)/2</f>
        <v/>
      </c>
      <c r="P652" s="99">
        <f>COUNTIF($J$5:$J$979,"&lt;"&amp;J652)+(COUNTIF($J$5:$J$979,"="&amp;J652)+1)/2</f>
        <v/>
      </c>
    </row>
    <row r="653" ht="15" customHeight="1" s="68">
      <c r="A653" s="70">
        <f>'01_원자료'!A650</f>
        <v/>
      </c>
      <c r="B653" s="70">
        <f>'01_원자료'!B650</f>
        <v/>
      </c>
      <c r="C653" s="70">
        <f>'01_원자료'!C650</f>
        <v/>
      </c>
      <c r="E653" s="85">
        <f>'01_원자료'!P650*'03_가중치민감도'!$B$5+'01_원자료'!Q650*'03_가중치민감도'!$C$5+'01_원자료'!R650*'03_가중치민감도'!$D$5</f>
        <v/>
      </c>
      <c r="F653" s="85">
        <f>'01_원자료'!P650*'03_가중치민감도'!$B$6+'01_원자료'!Q650*'03_가중치민감도'!$C$6+'01_원자료'!R650*'03_가중치민감도'!$D$6</f>
        <v/>
      </c>
      <c r="G653" s="85">
        <f>'01_원자료'!P650*'03_가중치민감도'!$B$7+'01_원자료'!Q650*'03_가중치민감도'!$C$7+'01_원자료'!R650*'03_가중치민감도'!$D$7</f>
        <v/>
      </c>
      <c r="H653" s="85">
        <f>'01_원자료'!P650*'03_가중치민감도'!$B$8+'01_원자료'!Q650*'03_가중치민감도'!$C$8+'01_원자료'!R650*'03_가중치민감도'!$D$8</f>
        <v/>
      </c>
      <c r="I653" s="85">
        <f>'01_원자료'!P650*'03_가중치민감도'!$B$9+'01_원자료'!Q650*'03_가중치민감도'!$C$9+'01_원자료'!R650*'03_가중치민감도'!$D$9</f>
        <v/>
      </c>
      <c r="J653" s="85">
        <f>'01_원자료'!P650*'03_가중치민감도'!$B$10+'01_원자료'!Q650*'03_가중치민감도'!$C$10+'01_원자료'!R650*'03_가중치민감도'!$D$10</f>
        <v/>
      </c>
      <c r="K653" s="99">
        <f>COUNTIF($E$5:$E$979,"&lt;"&amp;E653)+(COUNTIF($E$5:$E$979,"="&amp;E653)+1)/2</f>
        <v/>
      </c>
      <c r="L653" s="99">
        <f>COUNTIF($F$5:$F$979,"&lt;"&amp;F653)+(COUNTIF($F$5:$F$979,"="&amp;F653)+1)/2</f>
        <v/>
      </c>
      <c r="M653" s="99">
        <f>COUNTIF($G$5:$G$979,"&lt;"&amp;G653)+(COUNTIF($G$5:$G$979,"="&amp;G653)+1)/2</f>
        <v/>
      </c>
      <c r="N653" s="99">
        <f>COUNTIF($H$5:$H$979,"&lt;"&amp;H653)+(COUNTIF($H$5:$H$979,"="&amp;H653)+1)/2</f>
        <v/>
      </c>
      <c r="O653" s="99">
        <f>COUNTIF($I$5:$I$979,"&lt;"&amp;I653)+(COUNTIF($I$5:$I$979,"="&amp;I653)+1)/2</f>
        <v/>
      </c>
      <c r="P653" s="99">
        <f>COUNTIF($J$5:$J$979,"&lt;"&amp;J653)+(COUNTIF($J$5:$J$979,"="&amp;J653)+1)/2</f>
        <v/>
      </c>
    </row>
    <row r="654" ht="15" customHeight="1" s="68">
      <c r="A654" s="70">
        <f>'01_원자료'!A651</f>
        <v/>
      </c>
      <c r="B654" s="70">
        <f>'01_원자료'!B651</f>
        <v/>
      </c>
      <c r="C654" s="70">
        <f>'01_원자료'!C651</f>
        <v/>
      </c>
      <c r="E654" s="85">
        <f>'01_원자료'!P651*'03_가중치민감도'!$B$5+'01_원자료'!Q651*'03_가중치민감도'!$C$5+'01_원자료'!R651*'03_가중치민감도'!$D$5</f>
        <v/>
      </c>
      <c r="F654" s="85">
        <f>'01_원자료'!P651*'03_가중치민감도'!$B$6+'01_원자료'!Q651*'03_가중치민감도'!$C$6+'01_원자료'!R651*'03_가중치민감도'!$D$6</f>
        <v/>
      </c>
      <c r="G654" s="85">
        <f>'01_원자료'!P651*'03_가중치민감도'!$B$7+'01_원자료'!Q651*'03_가중치민감도'!$C$7+'01_원자료'!R651*'03_가중치민감도'!$D$7</f>
        <v/>
      </c>
      <c r="H654" s="85">
        <f>'01_원자료'!P651*'03_가중치민감도'!$B$8+'01_원자료'!Q651*'03_가중치민감도'!$C$8+'01_원자료'!R651*'03_가중치민감도'!$D$8</f>
        <v/>
      </c>
      <c r="I654" s="85">
        <f>'01_원자료'!P651*'03_가중치민감도'!$B$9+'01_원자료'!Q651*'03_가중치민감도'!$C$9+'01_원자료'!R651*'03_가중치민감도'!$D$9</f>
        <v/>
      </c>
      <c r="J654" s="85">
        <f>'01_원자료'!P651*'03_가중치민감도'!$B$10+'01_원자료'!Q651*'03_가중치민감도'!$C$10+'01_원자료'!R651*'03_가중치민감도'!$D$10</f>
        <v/>
      </c>
      <c r="K654" s="99">
        <f>COUNTIF($E$5:$E$979,"&lt;"&amp;E654)+(COUNTIF($E$5:$E$979,"="&amp;E654)+1)/2</f>
        <v/>
      </c>
      <c r="L654" s="99">
        <f>COUNTIF($F$5:$F$979,"&lt;"&amp;F654)+(COUNTIF($F$5:$F$979,"="&amp;F654)+1)/2</f>
        <v/>
      </c>
      <c r="M654" s="99">
        <f>COUNTIF($G$5:$G$979,"&lt;"&amp;G654)+(COUNTIF($G$5:$G$979,"="&amp;G654)+1)/2</f>
        <v/>
      </c>
      <c r="N654" s="99">
        <f>COUNTIF($H$5:$H$979,"&lt;"&amp;H654)+(COUNTIF($H$5:$H$979,"="&amp;H654)+1)/2</f>
        <v/>
      </c>
      <c r="O654" s="99">
        <f>COUNTIF($I$5:$I$979,"&lt;"&amp;I654)+(COUNTIF($I$5:$I$979,"="&amp;I654)+1)/2</f>
        <v/>
      </c>
      <c r="P654" s="99">
        <f>COUNTIF($J$5:$J$979,"&lt;"&amp;J654)+(COUNTIF($J$5:$J$979,"="&amp;J654)+1)/2</f>
        <v/>
      </c>
    </row>
    <row r="655" ht="15" customHeight="1" s="68">
      <c r="A655" s="70">
        <f>'01_원자료'!A652</f>
        <v/>
      </c>
      <c r="B655" s="70">
        <f>'01_원자료'!B652</f>
        <v/>
      </c>
      <c r="C655" s="70">
        <f>'01_원자료'!C652</f>
        <v/>
      </c>
      <c r="E655" s="85">
        <f>'01_원자료'!P652*'03_가중치민감도'!$B$5+'01_원자료'!Q652*'03_가중치민감도'!$C$5+'01_원자료'!R652*'03_가중치민감도'!$D$5</f>
        <v/>
      </c>
      <c r="F655" s="85">
        <f>'01_원자료'!P652*'03_가중치민감도'!$B$6+'01_원자료'!Q652*'03_가중치민감도'!$C$6+'01_원자료'!R652*'03_가중치민감도'!$D$6</f>
        <v/>
      </c>
      <c r="G655" s="85">
        <f>'01_원자료'!P652*'03_가중치민감도'!$B$7+'01_원자료'!Q652*'03_가중치민감도'!$C$7+'01_원자료'!R652*'03_가중치민감도'!$D$7</f>
        <v/>
      </c>
      <c r="H655" s="85">
        <f>'01_원자료'!P652*'03_가중치민감도'!$B$8+'01_원자료'!Q652*'03_가중치민감도'!$C$8+'01_원자료'!R652*'03_가중치민감도'!$D$8</f>
        <v/>
      </c>
      <c r="I655" s="85">
        <f>'01_원자료'!P652*'03_가중치민감도'!$B$9+'01_원자료'!Q652*'03_가중치민감도'!$C$9+'01_원자료'!R652*'03_가중치민감도'!$D$9</f>
        <v/>
      </c>
      <c r="J655" s="85">
        <f>'01_원자료'!P652*'03_가중치민감도'!$B$10+'01_원자료'!Q652*'03_가중치민감도'!$C$10+'01_원자료'!R652*'03_가중치민감도'!$D$10</f>
        <v/>
      </c>
      <c r="K655" s="99">
        <f>COUNTIF($E$5:$E$979,"&lt;"&amp;E655)+(COUNTIF($E$5:$E$979,"="&amp;E655)+1)/2</f>
        <v/>
      </c>
      <c r="L655" s="99">
        <f>COUNTIF($F$5:$F$979,"&lt;"&amp;F655)+(COUNTIF($F$5:$F$979,"="&amp;F655)+1)/2</f>
        <v/>
      </c>
      <c r="M655" s="99">
        <f>COUNTIF($G$5:$G$979,"&lt;"&amp;G655)+(COUNTIF($G$5:$G$979,"="&amp;G655)+1)/2</f>
        <v/>
      </c>
      <c r="N655" s="99">
        <f>COUNTIF($H$5:$H$979,"&lt;"&amp;H655)+(COUNTIF($H$5:$H$979,"="&amp;H655)+1)/2</f>
        <v/>
      </c>
      <c r="O655" s="99">
        <f>COUNTIF($I$5:$I$979,"&lt;"&amp;I655)+(COUNTIF($I$5:$I$979,"="&amp;I655)+1)/2</f>
        <v/>
      </c>
      <c r="P655" s="99">
        <f>COUNTIF($J$5:$J$979,"&lt;"&amp;J655)+(COUNTIF($J$5:$J$979,"="&amp;J655)+1)/2</f>
        <v/>
      </c>
    </row>
    <row r="656" ht="15" customHeight="1" s="68">
      <c r="A656" s="70">
        <f>'01_원자료'!A653</f>
        <v/>
      </c>
      <c r="B656" s="70">
        <f>'01_원자료'!B653</f>
        <v/>
      </c>
      <c r="C656" s="70">
        <f>'01_원자료'!C653</f>
        <v/>
      </c>
      <c r="E656" s="85">
        <f>'01_원자료'!P653*'03_가중치민감도'!$B$5+'01_원자료'!Q653*'03_가중치민감도'!$C$5+'01_원자료'!R653*'03_가중치민감도'!$D$5</f>
        <v/>
      </c>
      <c r="F656" s="85">
        <f>'01_원자료'!P653*'03_가중치민감도'!$B$6+'01_원자료'!Q653*'03_가중치민감도'!$C$6+'01_원자료'!R653*'03_가중치민감도'!$D$6</f>
        <v/>
      </c>
      <c r="G656" s="85">
        <f>'01_원자료'!P653*'03_가중치민감도'!$B$7+'01_원자료'!Q653*'03_가중치민감도'!$C$7+'01_원자료'!R653*'03_가중치민감도'!$D$7</f>
        <v/>
      </c>
      <c r="H656" s="85">
        <f>'01_원자료'!P653*'03_가중치민감도'!$B$8+'01_원자료'!Q653*'03_가중치민감도'!$C$8+'01_원자료'!R653*'03_가중치민감도'!$D$8</f>
        <v/>
      </c>
      <c r="I656" s="85">
        <f>'01_원자료'!P653*'03_가중치민감도'!$B$9+'01_원자료'!Q653*'03_가중치민감도'!$C$9+'01_원자료'!R653*'03_가중치민감도'!$D$9</f>
        <v/>
      </c>
      <c r="J656" s="85">
        <f>'01_원자료'!P653*'03_가중치민감도'!$B$10+'01_원자료'!Q653*'03_가중치민감도'!$C$10+'01_원자료'!R653*'03_가중치민감도'!$D$10</f>
        <v/>
      </c>
      <c r="K656" s="99">
        <f>COUNTIF($E$5:$E$979,"&lt;"&amp;E656)+(COUNTIF($E$5:$E$979,"="&amp;E656)+1)/2</f>
        <v/>
      </c>
      <c r="L656" s="99">
        <f>COUNTIF($F$5:$F$979,"&lt;"&amp;F656)+(COUNTIF($F$5:$F$979,"="&amp;F656)+1)/2</f>
        <v/>
      </c>
      <c r="M656" s="99">
        <f>COUNTIF($G$5:$G$979,"&lt;"&amp;G656)+(COUNTIF($G$5:$G$979,"="&amp;G656)+1)/2</f>
        <v/>
      </c>
      <c r="N656" s="99">
        <f>COUNTIF($H$5:$H$979,"&lt;"&amp;H656)+(COUNTIF($H$5:$H$979,"="&amp;H656)+1)/2</f>
        <v/>
      </c>
      <c r="O656" s="99">
        <f>COUNTIF($I$5:$I$979,"&lt;"&amp;I656)+(COUNTIF($I$5:$I$979,"="&amp;I656)+1)/2</f>
        <v/>
      </c>
      <c r="P656" s="99">
        <f>COUNTIF($J$5:$J$979,"&lt;"&amp;J656)+(COUNTIF($J$5:$J$979,"="&amp;J656)+1)/2</f>
        <v/>
      </c>
    </row>
    <row r="657" ht="15" customHeight="1" s="68">
      <c r="A657" s="70">
        <f>'01_원자료'!A654</f>
        <v/>
      </c>
      <c r="B657" s="70">
        <f>'01_원자료'!B654</f>
        <v/>
      </c>
      <c r="C657" s="70">
        <f>'01_원자료'!C654</f>
        <v/>
      </c>
      <c r="E657" s="85">
        <f>'01_원자료'!P654*'03_가중치민감도'!$B$5+'01_원자료'!Q654*'03_가중치민감도'!$C$5+'01_원자료'!R654*'03_가중치민감도'!$D$5</f>
        <v/>
      </c>
      <c r="F657" s="85">
        <f>'01_원자료'!P654*'03_가중치민감도'!$B$6+'01_원자료'!Q654*'03_가중치민감도'!$C$6+'01_원자료'!R654*'03_가중치민감도'!$D$6</f>
        <v/>
      </c>
      <c r="G657" s="85">
        <f>'01_원자료'!P654*'03_가중치민감도'!$B$7+'01_원자료'!Q654*'03_가중치민감도'!$C$7+'01_원자료'!R654*'03_가중치민감도'!$D$7</f>
        <v/>
      </c>
      <c r="H657" s="85">
        <f>'01_원자료'!P654*'03_가중치민감도'!$B$8+'01_원자료'!Q654*'03_가중치민감도'!$C$8+'01_원자료'!R654*'03_가중치민감도'!$D$8</f>
        <v/>
      </c>
      <c r="I657" s="85">
        <f>'01_원자료'!P654*'03_가중치민감도'!$B$9+'01_원자료'!Q654*'03_가중치민감도'!$C$9+'01_원자료'!R654*'03_가중치민감도'!$D$9</f>
        <v/>
      </c>
      <c r="J657" s="85">
        <f>'01_원자료'!P654*'03_가중치민감도'!$B$10+'01_원자료'!Q654*'03_가중치민감도'!$C$10+'01_원자료'!R654*'03_가중치민감도'!$D$10</f>
        <v/>
      </c>
      <c r="K657" s="99">
        <f>COUNTIF($E$5:$E$979,"&lt;"&amp;E657)+(COUNTIF($E$5:$E$979,"="&amp;E657)+1)/2</f>
        <v/>
      </c>
      <c r="L657" s="99">
        <f>COUNTIF($F$5:$F$979,"&lt;"&amp;F657)+(COUNTIF($F$5:$F$979,"="&amp;F657)+1)/2</f>
        <v/>
      </c>
      <c r="M657" s="99">
        <f>COUNTIF($G$5:$G$979,"&lt;"&amp;G657)+(COUNTIF($G$5:$G$979,"="&amp;G657)+1)/2</f>
        <v/>
      </c>
      <c r="N657" s="99">
        <f>COUNTIF($H$5:$H$979,"&lt;"&amp;H657)+(COUNTIF($H$5:$H$979,"="&amp;H657)+1)/2</f>
        <v/>
      </c>
      <c r="O657" s="99">
        <f>COUNTIF($I$5:$I$979,"&lt;"&amp;I657)+(COUNTIF($I$5:$I$979,"="&amp;I657)+1)/2</f>
        <v/>
      </c>
      <c r="P657" s="99">
        <f>COUNTIF($J$5:$J$979,"&lt;"&amp;J657)+(COUNTIF($J$5:$J$979,"="&amp;J657)+1)/2</f>
        <v/>
      </c>
    </row>
    <row r="658" ht="15" customHeight="1" s="68">
      <c r="A658" s="70">
        <f>'01_원자료'!A655</f>
        <v/>
      </c>
      <c r="B658" s="70">
        <f>'01_원자료'!B655</f>
        <v/>
      </c>
      <c r="C658" s="70">
        <f>'01_원자료'!C655</f>
        <v/>
      </c>
      <c r="E658" s="85">
        <f>'01_원자료'!P655*'03_가중치민감도'!$B$5+'01_원자료'!Q655*'03_가중치민감도'!$C$5+'01_원자료'!R655*'03_가중치민감도'!$D$5</f>
        <v/>
      </c>
      <c r="F658" s="85">
        <f>'01_원자료'!P655*'03_가중치민감도'!$B$6+'01_원자료'!Q655*'03_가중치민감도'!$C$6+'01_원자료'!R655*'03_가중치민감도'!$D$6</f>
        <v/>
      </c>
      <c r="G658" s="85">
        <f>'01_원자료'!P655*'03_가중치민감도'!$B$7+'01_원자료'!Q655*'03_가중치민감도'!$C$7+'01_원자료'!R655*'03_가중치민감도'!$D$7</f>
        <v/>
      </c>
      <c r="H658" s="85">
        <f>'01_원자료'!P655*'03_가중치민감도'!$B$8+'01_원자료'!Q655*'03_가중치민감도'!$C$8+'01_원자료'!R655*'03_가중치민감도'!$D$8</f>
        <v/>
      </c>
      <c r="I658" s="85">
        <f>'01_원자료'!P655*'03_가중치민감도'!$B$9+'01_원자료'!Q655*'03_가중치민감도'!$C$9+'01_원자료'!R655*'03_가중치민감도'!$D$9</f>
        <v/>
      </c>
      <c r="J658" s="85">
        <f>'01_원자료'!P655*'03_가중치민감도'!$B$10+'01_원자료'!Q655*'03_가중치민감도'!$C$10+'01_원자료'!R655*'03_가중치민감도'!$D$10</f>
        <v/>
      </c>
      <c r="K658" s="99">
        <f>COUNTIF($E$5:$E$979,"&lt;"&amp;E658)+(COUNTIF($E$5:$E$979,"="&amp;E658)+1)/2</f>
        <v/>
      </c>
      <c r="L658" s="99">
        <f>COUNTIF($F$5:$F$979,"&lt;"&amp;F658)+(COUNTIF($F$5:$F$979,"="&amp;F658)+1)/2</f>
        <v/>
      </c>
      <c r="M658" s="99">
        <f>COUNTIF($G$5:$G$979,"&lt;"&amp;G658)+(COUNTIF($G$5:$G$979,"="&amp;G658)+1)/2</f>
        <v/>
      </c>
      <c r="N658" s="99">
        <f>COUNTIF($H$5:$H$979,"&lt;"&amp;H658)+(COUNTIF($H$5:$H$979,"="&amp;H658)+1)/2</f>
        <v/>
      </c>
      <c r="O658" s="99">
        <f>COUNTIF($I$5:$I$979,"&lt;"&amp;I658)+(COUNTIF($I$5:$I$979,"="&amp;I658)+1)/2</f>
        <v/>
      </c>
      <c r="P658" s="99">
        <f>COUNTIF($J$5:$J$979,"&lt;"&amp;J658)+(COUNTIF($J$5:$J$979,"="&amp;J658)+1)/2</f>
        <v/>
      </c>
    </row>
    <row r="659" ht="15" customHeight="1" s="68">
      <c r="A659" s="70">
        <f>'01_원자료'!A656</f>
        <v/>
      </c>
      <c r="B659" s="70">
        <f>'01_원자료'!B656</f>
        <v/>
      </c>
      <c r="C659" s="70">
        <f>'01_원자료'!C656</f>
        <v/>
      </c>
      <c r="E659" s="85">
        <f>'01_원자료'!P656*'03_가중치민감도'!$B$5+'01_원자료'!Q656*'03_가중치민감도'!$C$5+'01_원자료'!R656*'03_가중치민감도'!$D$5</f>
        <v/>
      </c>
      <c r="F659" s="85">
        <f>'01_원자료'!P656*'03_가중치민감도'!$B$6+'01_원자료'!Q656*'03_가중치민감도'!$C$6+'01_원자료'!R656*'03_가중치민감도'!$D$6</f>
        <v/>
      </c>
      <c r="G659" s="85">
        <f>'01_원자료'!P656*'03_가중치민감도'!$B$7+'01_원자료'!Q656*'03_가중치민감도'!$C$7+'01_원자료'!R656*'03_가중치민감도'!$D$7</f>
        <v/>
      </c>
      <c r="H659" s="85">
        <f>'01_원자료'!P656*'03_가중치민감도'!$B$8+'01_원자료'!Q656*'03_가중치민감도'!$C$8+'01_원자료'!R656*'03_가중치민감도'!$D$8</f>
        <v/>
      </c>
      <c r="I659" s="85">
        <f>'01_원자료'!P656*'03_가중치민감도'!$B$9+'01_원자료'!Q656*'03_가중치민감도'!$C$9+'01_원자료'!R656*'03_가중치민감도'!$D$9</f>
        <v/>
      </c>
      <c r="J659" s="85">
        <f>'01_원자료'!P656*'03_가중치민감도'!$B$10+'01_원자료'!Q656*'03_가중치민감도'!$C$10+'01_원자료'!R656*'03_가중치민감도'!$D$10</f>
        <v/>
      </c>
      <c r="K659" s="99">
        <f>COUNTIF($E$5:$E$979,"&lt;"&amp;E659)+(COUNTIF($E$5:$E$979,"="&amp;E659)+1)/2</f>
        <v/>
      </c>
      <c r="L659" s="99">
        <f>COUNTIF($F$5:$F$979,"&lt;"&amp;F659)+(COUNTIF($F$5:$F$979,"="&amp;F659)+1)/2</f>
        <v/>
      </c>
      <c r="M659" s="99">
        <f>COUNTIF($G$5:$G$979,"&lt;"&amp;G659)+(COUNTIF($G$5:$G$979,"="&amp;G659)+1)/2</f>
        <v/>
      </c>
      <c r="N659" s="99">
        <f>COUNTIF($H$5:$H$979,"&lt;"&amp;H659)+(COUNTIF($H$5:$H$979,"="&amp;H659)+1)/2</f>
        <v/>
      </c>
      <c r="O659" s="99">
        <f>COUNTIF($I$5:$I$979,"&lt;"&amp;I659)+(COUNTIF($I$5:$I$979,"="&amp;I659)+1)/2</f>
        <v/>
      </c>
      <c r="P659" s="99">
        <f>COUNTIF($J$5:$J$979,"&lt;"&amp;J659)+(COUNTIF($J$5:$J$979,"="&amp;J659)+1)/2</f>
        <v/>
      </c>
    </row>
    <row r="660" ht="15" customHeight="1" s="68">
      <c r="A660" s="70">
        <f>'01_원자료'!A657</f>
        <v/>
      </c>
      <c r="B660" s="70">
        <f>'01_원자료'!B657</f>
        <v/>
      </c>
      <c r="C660" s="70">
        <f>'01_원자료'!C657</f>
        <v/>
      </c>
      <c r="E660" s="85">
        <f>'01_원자료'!P657*'03_가중치민감도'!$B$5+'01_원자료'!Q657*'03_가중치민감도'!$C$5+'01_원자료'!R657*'03_가중치민감도'!$D$5</f>
        <v/>
      </c>
      <c r="F660" s="85">
        <f>'01_원자료'!P657*'03_가중치민감도'!$B$6+'01_원자료'!Q657*'03_가중치민감도'!$C$6+'01_원자료'!R657*'03_가중치민감도'!$D$6</f>
        <v/>
      </c>
      <c r="G660" s="85">
        <f>'01_원자료'!P657*'03_가중치민감도'!$B$7+'01_원자료'!Q657*'03_가중치민감도'!$C$7+'01_원자료'!R657*'03_가중치민감도'!$D$7</f>
        <v/>
      </c>
      <c r="H660" s="85">
        <f>'01_원자료'!P657*'03_가중치민감도'!$B$8+'01_원자료'!Q657*'03_가중치민감도'!$C$8+'01_원자료'!R657*'03_가중치민감도'!$D$8</f>
        <v/>
      </c>
      <c r="I660" s="85">
        <f>'01_원자료'!P657*'03_가중치민감도'!$B$9+'01_원자료'!Q657*'03_가중치민감도'!$C$9+'01_원자료'!R657*'03_가중치민감도'!$D$9</f>
        <v/>
      </c>
      <c r="J660" s="85">
        <f>'01_원자료'!P657*'03_가중치민감도'!$B$10+'01_원자료'!Q657*'03_가중치민감도'!$C$10+'01_원자료'!R657*'03_가중치민감도'!$D$10</f>
        <v/>
      </c>
      <c r="K660" s="99">
        <f>COUNTIF($E$5:$E$979,"&lt;"&amp;E660)+(COUNTIF($E$5:$E$979,"="&amp;E660)+1)/2</f>
        <v/>
      </c>
      <c r="L660" s="99">
        <f>COUNTIF($F$5:$F$979,"&lt;"&amp;F660)+(COUNTIF($F$5:$F$979,"="&amp;F660)+1)/2</f>
        <v/>
      </c>
      <c r="M660" s="99">
        <f>COUNTIF($G$5:$G$979,"&lt;"&amp;G660)+(COUNTIF($G$5:$G$979,"="&amp;G660)+1)/2</f>
        <v/>
      </c>
      <c r="N660" s="99">
        <f>COUNTIF($H$5:$H$979,"&lt;"&amp;H660)+(COUNTIF($H$5:$H$979,"="&amp;H660)+1)/2</f>
        <v/>
      </c>
      <c r="O660" s="99">
        <f>COUNTIF($I$5:$I$979,"&lt;"&amp;I660)+(COUNTIF($I$5:$I$979,"="&amp;I660)+1)/2</f>
        <v/>
      </c>
      <c r="P660" s="99">
        <f>COUNTIF($J$5:$J$979,"&lt;"&amp;J660)+(COUNTIF($J$5:$J$979,"="&amp;J660)+1)/2</f>
        <v/>
      </c>
    </row>
    <row r="661" ht="15" customHeight="1" s="68">
      <c r="A661" s="70">
        <f>'01_원자료'!A658</f>
        <v/>
      </c>
      <c r="B661" s="70">
        <f>'01_원자료'!B658</f>
        <v/>
      </c>
      <c r="C661" s="70">
        <f>'01_원자료'!C658</f>
        <v/>
      </c>
      <c r="E661" s="85">
        <f>'01_원자료'!P658*'03_가중치민감도'!$B$5+'01_원자료'!Q658*'03_가중치민감도'!$C$5+'01_원자료'!R658*'03_가중치민감도'!$D$5</f>
        <v/>
      </c>
      <c r="F661" s="85">
        <f>'01_원자료'!P658*'03_가중치민감도'!$B$6+'01_원자료'!Q658*'03_가중치민감도'!$C$6+'01_원자료'!R658*'03_가중치민감도'!$D$6</f>
        <v/>
      </c>
      <c r="G661" s="85">
        <f>'01_원자료'!P658*'03_가중치민감도'!$B$7+'01_원자료'!Q658*'03_가중치민감도'!$C$7+'01_원자료'!R658*'03_가중치민감도'!$D$7</f>
        <v/>
      </c>
      <c r="H661" s="85">
        <f>'01_원자료'!P658*'03_가중치민감도'!$B$8+'01_원자료'!Q658*'03_가중치민감도'!$C$8+'01_원자료'!R658*'03_가중치민감도'!$D$8</f>
        <v/>
      </c>
      <c r="I661" s="85">
        <f>'01_원자료'!P658*'03_가중치민감도'!$B$9+'01_원자료'!Q658*'03_가중치민감도'!$C$9+'01_원자료'!R658*'03_가중치민감도'!$D$9</f>
        <v/>
      </c>
      <c r="J661" s="85">
        <f>'01_원자료'!P658*'03_가중치민감도'!$B$10+'01_원자료'!Q658*'03_가중치민감도'!$C$10+'01_원자료'!R658*'03_가중치민감도'!$D$10</f>
        <v/>
      </c>
      <c r="K661" s="99">
        <f>COUNTIF($E$5:$E$979,"&lt;"&amp;E661)+(COUNTIF($E$5:$E$979,"="&amp;E661)+1)/2</f>
        <v/>
      </c>
      <c r="L661" s="99">
        <f>COUNTIF($F$5:$F$979,"&lt;"&amp;F661)+(COUNTIF($F$5:$F$979,"="&amp;F661)+1)/2</f>
        <v/>
      </c>
      <c r="M661" s="99">
        <f>COUNTIF($G$5:$G$979,"&lt;"&amp;G661)+(COUNTIF($G$5:$G$979,"="&amp;G661)+1)/2</f>
        <v/>
      </c>
      <c r="N661" s="99">
        <f>COUNTIF($H$5:$H$979,"&lt;"&amp;H661)+(COUNTIF($H$5:$H$979,"="&amp;H661)+1)/2</f>
        <v/>
      </c>
      <c r="O661" s="99">
        <f>COUNTIF($I$5:$I$979,"&lt;"&amp;I661)+(COUNTIF($I$5:$I$979,"="&amp;I661)+1)/2</f>
        <v/>
      </c>
      <c r="P661" s="99">
        <f>COUNTIF($J$5:$J$979,"&lt;"&amp;J661)+(COUNTIF($J$5:$J$979,"="&amp;J661)+1)/2</f>
        <v/>
      </c>
    </row>
    <row r="662" ht="15" customHeight="1" s="68">
      <c r="A662" s="70">
        <f>'01_원자료'!A659</f>
        <v/>
      </c>
      <c r="B662" s="70">
        <f>'01_원자료'!B659</f>
        <v/>
      </c>
      <c r="C662" s="70">
        <f>'01_원자료'!C659</f>
        <v/>
      </c>
      <c r="E662" s="85">
        <f>'01_원자료'!P659*'03_가중치민감도'!$B$5+'01_원자료'!Q659*'03_가중치민감도'!$C$5+'01_원자료'!R659*'03_가중치민감도'!$D$5</f>
        <v/>
      </c>
      <c r="F662" s="85">
        <f>'01_원자료'!P659*'03_가중치민감도'!$B$6+'01_원자료'!Q659*'03_가중치민감도'!$C$6+'01_원자료'!R659*'03_가중치민감도'!$D$6</f>
        <v/>
      </c>
      <c r="G662" s="85">
        <f>'01_원자료'!P659*'03_가중치민감도'!$B$7+'01_원자료'!Q659*'03_가중치민감도'!$C$7+'01_원자료'!R659*'03_가중치민감도'!$D$7</f>
        <v/>
      </c>
      <c r="H662" s="85">
        <f>'01_원자료'!P659*'03_가중치민감도'!$B$8+'01_원자료'!Q659*'03_가중치민감도'!$C$8+'01_원자료'!R659*'03_가중치민감도'!$D$8</f>
        <v/>
      </c>
      <c r="I662" s="85">
        <f>'01_원자료'!P659*'03_가중치민감도'!$B$9+'01_원자료'!Q659*'03_가중치민감도'!$C$9+'01_원자료'!R659*'03_가중치민감도'!$D$9</f>
        <v/>
      </c>
      <c r="J662" s="85">
        <f>'01_원자료'!P659*'03_가중치민감도'!$B$10+'01_원자료'!Q659*'03_가중치민감도'!$C$10+'01_원자료'!R659*'03_가중치민감도'!$D$10</f>
        <v/>
      </c>
      <c r="K662" s="99">
        <f>COUNTIF($E$5:$E$979,"&lt;"&amp;E662)+(COUNTIF($E$5:$E$979,"="&amp;E662)+1)/2</f>
        <v/>
      </c>
      <c r="L662" s="99">
        <f>COUNTIF($F$5:$F$979,"&lt;"&amp;F662)+(COUNTIF($F$5:$F$979,"="&amp;F662)+1)/2</f>
        <v/>
      </c>
      <c r="M662" s="99">
        <f>COUNTIF($G$5:$G$979,"&lt;"&amp;G662)+(COUNTIF($G$5:$G$979,"="&amp;G662)+1)/2</f>
        <v/>
      </c>
      <c r="N662" s="99">
        <f>COUNTIF($H$5:$H$979,"&lt;"&amp;H662)+(COUNTIF($H$5:$H$979,"="&amp;H662)+1)/2</f>
        <v/>
      </c>
      <c r="O662" s="99">
        <f>COUNTIF($I$5:$I$979,"&lt;"&amp;I662)+(COUNTIF($I$5:$I$979,"="&amp;I662)+1)/2</f>
        <v/>
      </c>
      <c r="P662" s="99">
        <f>COUNTIF($J$5:$J$979,"&lt;"&amp;J662)+(COUNTIF($J$5:$J$979,"="&amp;J662)+1)/2</f>
        <v/>
      </c>
    </row>
    <row r="663" ht="15" customHeight="1" s="68">
      <c r="A663" s="70">
        <f>'01_원자료'!A660</f>
        <v/>
      </c>
      <c r="B663" s="70">
        <f>'01_원자료'!B660</f>
        <v/>
      </c>
      <c r="C663" s="70">
        <f>'01_원자료'!C660</f>
        <v/>
      </c>
      <c r="E663" s="85">
        <f>'01_원자료'!P660*'03_가중치민감도'!$B$5+'01_원자료'!Q660*'03_가중치민감도'!$C$5+'01_원자료'!R660*'03_가중치민감도'!$D$5</f>
        <v/>
      </c>
      <c r="F663" s="85">
        <f>'01_원자료'!P660*'03_가중치민감도'!$B$6+'01_원자료'!Q660*'03_가중치민감도'!$C$6+'01_원자료'!R660*'03_가중치민감도'!$D$6</f>
        <v/>
      </c>
      <c r="G663" s="85">
        <f>'01_원자료'!P660*'03_가중치민감도'!$B$7+'01_원자료'!Q660*'03_가중치민감도'!$C$7+'01_원자료'!R660*'03_가중치민감도'!$D$7</f>
        <v/>
      </c>
      <c r="H663" s="85">
        <f>'01_원자료'!P660*'03_가중치민감도'!$B$8+'01_원자료'!Q660*'03_가중치민감도'!$C$8+'01_원자료'!R660*'03_가중치민감도'!$D$8</f>
        <v/>
      </c>
      <c r="I663" s="85">
        <f>'01_원자료'!P660*'03_가중치민감도'!$B$9+'01_원자료'!Q660*'03_가중치민감도'!$C$9+'01_원자료'!R660*'03_가중치민감도'!$D$9</f>
        <v/>
      </c>
      <c r="J663" s="85">
        <f>'01_원자료'!P660*'03_가중치민감도'!$B$10+'01_원자료'!Q660*'03_가중치민감도'!$C$10+'01_원자료'!R660*'03_가중치민감도'!$D$10</f>
        <v/>
      </c>
      <c r="K663" s="99">
        <f>COUNTIF($E$5:$E$979,"&lt;"&amp;E663)+(COUNTIF($E$5:$E$979,"="&amp;E663)+1)/2</f>
        <v/>
      </c>
      <c r="L663" s="99">
        <f>COUNTIF($F$5:$F$979,"&lt;"&amp;F663)+(COUNTIF($F$5:$F$979,"="&amp;F663)+1)/2</f>
        <v/>
      </c>
      <c r="M663" s="99">
        <f>COUNTIF($G$5:$G$979,"&lt;"&amp;G663)+(COUNTIF($G$5:$G$979,"="&amp;G663)+1)/2</f>
        <v/>
      </c>
      <c r="N663" s="99">
        <f>COUNTIF($H$5:$H$979,"&lt;"&amp;H663)+(COUNTIF($H$5:$H$979,"="&amp;H663)+1)/2</f>
        <v/>
      </c>
      <c r="O663" s="99">
        <f>COUNTIF($I$5:$I$979,"&lt;"&amp;I663)+(COUNTIF($I$5:$I$979,"="&amp;I663)+1)/2</f>
        <v/>
      </c>
      <c r="P663" s="99">
        <f>COUNTIF($J$5:$J$979,"&lt;"&amp;J663)+(COUNTIF($J$5:$J$979,"="&amp;J663)+1)/2</f>
        <v/>
      </c>
    </row>
    <row r="664" ht="15" customHeight="1" s="68">
      <c r="A664" s="70">
        <f>'01_원자료'!A661</f>
        <v/>
      </c>
      <c r="B664" s="70">
        <f>'01_원자료'!B661</f>
        <v/>
      </c>
      <c r="C664" s="70">
        <f>'01_원자료'!C661</f>
        <v/>
      </c>
      <c r="E664" s="85">
        <f>'01_원자료'!P661*'03_가중치민감도'!$B$5+'01_원자료'!Q661*'03_가중치민감도'!$C$5+'01_원자료'!R661*'03_가중치민감도'!$D$5</f>
        <v/>
      </c>
      <c r="F664" s="85">
        <f>'01_원자료'!P661*'03_가중치민감도'!$B$6+'01_원자료'!Q661*'03_가중치민감도'!$C$6+'01_원자료'!R661*'03_가중치민감도'!$D$6</f>
        <v/>
      </c>
      <c r="G664" s="85">
        <f>'01_원자료'!P661*'03_가중치민감도'!$B$7+'01_원자료'!Q661*'03_가중치민감도'!$C$7+'01_원자료'!R661*'03_가중치민감도'!$D$7</f>
        <v/>
      </c>
      <c r="H664" s="85">
        <f>'01_원자료'!P661*'03_가중치민감도'!$B$8+'01_원자료'!Q661*'03_가중치민감도'!$C$8+'01_원자료'!R661*'03_가중치민감도'!$D$8</f>
        <v/>
      </c>
      <c r="I664" s="85">
        <f>'01_원자료'!P661*'03_가중치민감도'!$B$9+'01_원자료'!Q661*'03_가중치민감도'!$C$9+'01_원자료'!R661*'03_가중치민감도'!$D$9</f>
        <v/>
      </c>
      <c r="J664" s="85">
        <f>'01_원자료'!P661*'03_가중치민감도'!$B$10+'01_원자료'!Q661*'03_가중치민감도'!$C$10+'01_원자료'!R661*'03_가중치민감도'!$D$10</f>
        <v/>
      </c>
      <c r="K664" s="99">
        <f>COUNTIF($E$5:$E$979,"&lt;"&amp;E664)+(COUNTIF($E$5:$E$979,"="&amp;E664)+1)/2</f>
        <v/>
      </c>
      <c r="L664" s="99">
        <f>COUNTIF($F$5:$F$979,"&lt;"&amp;F664)+(COUNTIF($F$5:$F$979,"="&amp;F664)+1)/2</f>
        <v/>
      </c>
      <c r="M664" s="99">
        <f>COUNTIF($G$5:$G$979,"&lt;"&amp;G664)+(COUNTIF($G$5:$G$979,"="&amp;G664)+1)/2</f>
        <v/>
      </c>
      <c r="N664" s="99">
        <f>COUNTIF($H$5:$H$979,"&lt;"&amp;H664)+(COUNTIF($H$5:$H$979,"="&amp;H664)+1)/2</f>
        <v/>
      </c>
      <c r="O664" s="99">
        <f>COUNTIF($I$5:$I$979,"&lt;"&amp;I664)+(COUNTIF($I$5:$I$979,"="&amp;I664)+1)/2</f>
        <v/>
      </c>
      <c r="P664" s="99">
        <f>COUNTIF($J$5:$J$979,"&lt;"&amp;J664)+(COUNTIF($J$5:$J$979,"="&amp;J664)+1)/2</f>
        <v/>
      </c>
    </row>
    <row r="665" ht="15" customHeight="1" s="68">
      <c r="A665" s="70">
        <f>'01_원자료'!A662</f>
        <v/>
      </c>
      <c r="B665" s="70">
        <f>'01_원자료'!B662</f>
        <v/>
      </c>
      <c r="C665" s="70">
        <f>'01_원자료'!C662</f>
        <v/>
      </c>
      <c r="E665" s="85">
        <f>'01_원자료'!P662*'03_가중치민감도'!$B$5+'01_원자료'!Q662*'03_가중치민감도'!$C$5+'01_원자료'!R662*'03_가중치민감도'!$D$5</f>
        <v/>
      </c>
      <c r="F665" s="85">
        <f>'01_원자료'!P662*'03_가중치민감도'!$B$6+'01_원자료'!Q662*'03_가중치민감도'!$C$6+'01_원자료'!R662*'03_가중치민감도'!$D$6</f>
        <v/>
      </c>
      <c r="G665" s="85">
        <f>'01_원자료'!P662*'03_가중치민감도'!$B$7+'01_원자료'!Q662*'03_가중치민감도'!$C$7+'01_원자료'!R662*'03_가중치민감도'!$D$7</f>
        <v/>
      </c>
      <c r="H665" s="85">
        <f>'01_원자료'!P662*'03_가중치민감도'!$B$8+'01_원자료'!Q662*'03_가중치민감도'!$C$8+'01_원자료'!R662*'03_가중치민감도'!$D$8</f>
        <v/>
      </c>
      <c r="I665" s="85">
        <f>'01_원자료'!P662*'03_가중치민감도'!$B$9+'01_원자료'!Q662*'03_가중치민감도'!$C$9+'01_원자료'!R662*'03_가중치민감도'!$D$9</f>
        <v/>
      </c>
      <c r="J665" s="85">
        <f>'01_원자료'!P662*'03_가중치민감도'!$B$10+'01_원자료'!Q662*'03_가중치민감도'!$C$10+'01_원자료'!R662*'03_가중치민감도'!$D$10</f>
        <v/>
      </c>
      <c r="K665" s="99">
        <f>COUNTIF($E$5:$E$979,"&lt;"&amp;E665)+(COUNTIF($E$5:$E$979,"="&amp;E665)+1)/2</f>
        <v/>
      </c>
      <c r="L665" s="99">
        <f>COUNTIF($F$5:$F$979,"&lt;"&amp;F665)+(COUNTIF($F$5:$F$979,"="&amp;F665)+1)/2</f>
        <v/>
      </c>
      <c r="M665" s="99">
        <f>COUNTIF($G$5:$G$979,"&lt;"&amp;G665)+(COUNTIF($G$5:$G$979,"="&amp;G665)+1)/2</f>
        <v/>
      </c>
      <c r="N665" s="99">
        <f>COUNTIF($H$5:$H$979,"&lt;"&amp;H665)+(COUNTIF($H$5:$H$979,"="&amp;H665)+1)/2</f>
        <v/>
      </c>
      <c r="O665" s="99">
        <f>COUNTIF($I$5:$I$979,"&lt;"&amp;I665)+(COUNTIF($I$5:$I$979,"="&amp;I665)+1)/2</f>
        <v/>
      </c>
      <c r="P665" s="99">
        <f>COUNTIF($J$5:$J$979,"&lt;"&amp;J665)+(COUNTIF($J$5:$J$979,"="&amp;J665)+1)/2</f>
        <v/>
      </c>
    </row>
    <row r="666" ht="15" customHeight="1" s="68">
      <c r="A666" s="70">
        <f>'01_원자료'!A663</f>
        <v/>
      </c>
      <c r="B666" s="70">
        <f>'01_원자료'!B663</f>
        <v/>
      </c>
      <c r="C666" s="70">
        <f>'01_원자료'!C663</f>
        <v/>
      </c>
      <c r="E666" s="85">
        <f>'01_원자료'!P663*'03_가중치민감도'!$B$5+'01_원자료'!Q663*'03_가중치민감도'!$C$5+'01_원자료'!R663*'03_가중치민감도'!$D$5</f>
        <v/>
      </c>
      <c r="F666" s="85">
        <f>'01_원자료'!P663*'03_가중치민감도'!$B$6+'01_원자료'!Q663*'03_가중치민감도'!$C$6+'01_원자료'!R663*'03_가중치민감도'!$D$6</f>
        <v/>
      </c>
      <c r="G666" s="85">
        <f>'01_원자료'!P663*'03_가중치민감도'!$B$7+'01_원자료'!Q663*'03_가중치민감도'!$C$7+'01_원자료'!R663*'03_가중치민감도'!$D$7</f>
        <v/>
      </c>
      <c r="H666" s="85">
        <f>'01_원자료'!P663*'03_가중치민감도'!$B$8+'01_원자료'!Q663*'03_가중치민감도'!$C$8+'01_원자료'!R663*'03_가중치민감도'!$D$8</f>
        <v/>
      </c>
      <c r="I666" s="85">
        <f>'01_원자료'!P663*'03_가중치민감도'!$B$9+'01_원자료'!Q663*'03_가중치민감도'!$C$9+'01_원자료'!R663*'03_가중치민감도'!$D$9</f>
        <v/>
      </c>
      <c r="J666" s="85">
        <f>'01_원자료'!P663*'03_가중치민감도'!$B$10+'01_원자료'!Q663*'03_가중치민감도'!$C$10+'01_원자료'!R663*'03_가중치민감도'!$D$10</f>
        <v/>
      </c>
      <c r="K666" s="99">
        <f>COUNTIF($E$5:$E$979,"&lt;"&amp;E666)+(COUNTIF($E$5:$E$979,"="&amp;E666)+1)/2</f>
        <v/>
      </c>
      <c r="L666" s="99">
        <f>COUNTIF($F$5:$F$979,"&lt;"&amp;F666)+(COUNTIF($F$5:$F$979,"="&amp;F666)+1)/2</f>
        <v/>
      </c>
      <c r="M666" s="99">
        <f>COUNTIF($G$5:$G$979,"&lt;"&amp;G666)+(COUNTIF($G$5:$G$979,"="&amp;G666)+1)/2</f>
        <v/>
      </c>
      <c r="N666" s="99">
        <f>COUNTIF($H$5:$H$979,"&lt;"&amp;H666)+(COUNTIF($H$5:$H$979,"="&amp;H666)+1)/2</f>
        <v/>
      </c>
      <c r="O666" s="99">
        <f>COUNTIF($I$5:$I$979,"&lt;"&amp;I666)+(COUNTIF($I$5:$I$979,"="&amp;I666)+1)/2</f>
        <v/>
      </c>
      <c r="P666" s="99">
        <f>COUNTIF($J$5:$J$979,"&lt;"&amp;J666)+(COUNTIF($J$5:$J$979,"="&amp;J666)+1)/2</f>
        <v/>
      </c>
    </row>
    <row r="667" ht="15" customHeight="1" s="68">
      <c r="A667" s="70">
        <f>'01_원자료'!A664</f>
        <v/>
      </c>
      <c r="B667" s="70">
        <f>'01_원자료'!B664</f>
        <v/>
      </c>
      <c r="C667" s="70">
        <f>'01_원자료'!C664</f>
        <v/>
      </c>
      <c r="E667" s="85">
        <f>'01_원자료'!P664*'03_가중치민감도'!$B$5+'01_원자료'!Q664*'03_가중치민감도'!$C$5+'01_원자료'!R664*'03_가중치민감도'!$D$5</f>
        <v/>
      </c>
      <c r="F667" s="85">
        <f>'01_원자료'!P664*'03_가중치민감도'!$B$6+'01_원자료'!Q664*'03_가중치민감도'!$C$6+'01_원자료'!R664*'03_가중치민감도'!$D$6</f>
        <v/>
      </c>
      <c r="G667" s="85">
        <f>'01_원자료'!P664*'03_가중치민감도'!$B$7+'01_원자료'!Q664*'03_가중치민감도'!$C$7+'01_원자료'!R664*'03_가중치민감도'!$D$7</f>
        <v/>
      </c>
      <c r="H667" s="85">
        <f>'01_원자료'!P664*'03_가중치민감도'!$B$8+'01_원자료'!Q664*'03_가중치민감도'!$C$8+'01_원자료'!R664*'03_가중치민감도'!$D$8</f>
        <v/>
      </c>
      <c r="I667" s="85">
        <f>'01_원자료'!P664*'03_가중치민감도'!$B$9+'01_원자료'!Q664*'03_가중치민감도'!$C$9+'01_원자료'!R664*'03_가중치민감도'!$D$9</f>
        <v/>
      </c>
      <c r="J667" s="85">
        <f>'01_원자료'!P664*'03_가중치민감도'!$B$10+'01_원자료'!Q664*'03_가중치민감도'!$C$10+'01_원자료'!R664*'03_가중치민감도'!$D$10</f>
        <v/>
      </c>
      <c r="K667" s="99">
        <f>COUNTIF($E$5:$E$979,"&lt;"&amp;E667)+(COUNTIF($E$5:$E$979,"="&amp;E667)+1)/2</f>
        <v/>
      </c>
      <c r="L667" s="99">
        <f>COUNTIF($F$5:$F$979,"&lt;"&amp;F667)+(COUNTIF($F$5:$F$979,"="&amp;F667)+1)/2</f>
        <v/>
      </c>
      <c r="M667" s="99">
        <f>COUNTIF($G$5:$G$979,"&lt;"&amp;G667)+(COUNTIF($G$5:$G$979,"="&amp;G667)+1)/2</f>
        <v/>
      </c>
      <c r="N667" s="99">
        <f>COUNTIF($H$5:$H$979,"&lt;"&amp;H667)+(COUNTIF($H$5:$H$979,"="&amp;H667)+1)/2</f>
        <v/>
      </c>
      <c r="O667" s="99">
        <f>COUNTIF($I$5:$I$979,"&lt;"&amp;I667)+(COUNTIF($I$5:$I$979,"="&amp;I667)+1)/2</f>
        <v/>
      </c>
      <c r="P667" s="99">
        <f>COUNTIF($J$5:$J$979,"&lt;"&amp;J667)+(COUNTIF($J$5:$J$979,"="&amp;J667)+1)/2</f>
        <v/>
      </c>
    </row>
    <row r="668" ht="15" customHeight="1" s="68">
      <c r="A668" s="70">
        <f>'01_원자료'!A665</f>
        <v/>
      </c>
      <c r="B668" s="70">
        <f>'01_원자료'!B665</f>
        <v/>
      </c>
      <c r="C668" s="70">
        <f>'01_원자료'!C665</f>
        <v/>
      </c>
      <c r="E668" s="85">
        <f>'01_원자료'!P665*'03_가중치민감도'!$B$5+'01_원자료'!Q665*'03_가중치민감도'!$C$5+'01_원자료'!R665*'03_가중치민감도'!$D$5</f>
        <v/>
      </c>
      <c r="F668" s="85">
        <f>'01_원자료'!P665*'03_가중치민감도'!$B$6+'01_원자료'!Q665*'03_가중치민감도'!$C$6+'01_원자료'!R665*'03_가중치민감도'!$D$6</f>
        <v/>
      </c>
      <c r="G668" s="85">
        <f>'01_원자료'!P665*'03_가중치민감도'!$B$7+'01_원자료'!Q665*'03_가중치민감도'!$C$7+'01_원자료'!R665*'03_가중치민감도'!$D$7</f>
        <v/>
      </c>
      <c r="H668" s="85">
        <f>'01_원자료'!P665*'03_가중치민감도'!$B$8+'01_원자료'!Q665*'03_가중치민감도'!$C$8+'01_원자료'!R665*'03_가중치민감도'!$D$8</f>
        <v/>
      </c>
      <c r="I668" s="85">
        <f>'01_원자료'!P665*'03_가중치민감도'!$B$9+'01_원자료'!Q665*'03_가중치민감도'!$C$9+'01_원자료'!R665*'03_가중치민감도'!$D$9</f>
        <v/>
      </c>
      <c r="J668" s="85">
        <f>'01_원자료'!P665*'03_가중치민감도'!$B$10+'01_원자료'!Q665*'03_가중치민감도'!$C$10+'01_원자료'!R665*'03_가중치민감도'!$D$10</f>
        <v/>
      </c>
      <c r="K668" s="99">
        <f>COUNTIF($E$5:$E$979,"&lt;"&amp;E668)+(COUNTIF($E$5:$E$979,"="&amp;E668)+1)/2</f>
        <v/>
      </c>
      <c r="L668" s="99">
        <f>COUNTIF($F$5:$F$979,"&lt;"&amp;F668)+(COUNTIF($F$5:$F$979,"="&amp;F668)+1)/2</f>
        <v/>
      </c>
      <c r="M668" s="99">
        <f>COUNTIF($G$5:$G$979,"&lt;"&amp;G668)+(COUNTIF($G$5:$G$979,"="&amp;G668)+1)/2</f>
        <v/>
      </c>
      <c r="N668" s="99">
        <f>COUNTIF($H$5:$H$979,"&lt;"&amp;H668)+(COUNTIF($H$5:$H$979,"="&amp;H668)+1)/2</f>
        <v/>
      </c>
      <c r="O668" s="99">
        <f>COUNTIF($I$5:$I$979,"&lt;"&amp;I668)+(COUNTIF($I$5:$I$979,"="&amp;I668)+1)/2</f>
        <v/>
      </c>
      <c r="P668" s="99">
        <f>COUNTIF($J$5:$J$979,"&lt;"&amp;J668)+(COUNTIF($J$5:$J$979,"="&amp;J668)+1)/2</f>
        <v/>
      </c>
    </row>
    <row r="669" ht="15" customHeight="1" s="68">
      <c r="A669" s="70">
        <f>'01_원자료'!A666</f>
        <v/>
      </c>
      <c r="B669" s="70">
        <f>'01_원자료'!B666</f>
        <v/>
      </c>
      <c r="C669" s="70">
        <f>'01_원자료'!C666</f>
        <v/>
      </c>
      <c r="E669" s="85">
        <f>'01_원자료'!P666*'03_가중치민감도'!$B$5+'01_원자료'!Q666*'03_가중치민감도'!$C$5+'01_원자료'!R666*'03_가중치민감도'!$D$5</f>
        <v/>
      </c>
      <c r="F669" s="85">
        <f>'01_원자료'!P666*'03_가중치민감도'!$B$6+'01_원자료'!Q666*'03_가중치민감도'!$C$6+'01_원자료'!R666*'03_가중치민감도'!$D$6</f>
        <v/>
      </c>
      <c r="G669" s="85">
        <f>'01_원자료'!P666*'03_가중치민감도'!$B$7+'01_원자료'!Q666*'03_가중치민감도'!$C$7+'01_원자료'!R666*'03_가중치민감도'!$D$7</f>
        <v/>
      </c>
      <c r="H669" s="85">
        <f>'01_원자료'!P666*'03_가중치민감도'!$B$8+'01_원자료'!Q666*'03_가중치민감도'!$C$8+'01_원자료'!R666*'03_가중치민감도'!$D$8</f>
        <v/>
      </c>
      <c r="I669" s="85">
        <f>'01_원자료'!P666*'03_가중치민감도'!$B$9+'01_원자료'!Q666*'03_가중치민감도'!$C$9+'01_원자료'!R666*'03_가중치민감도'!$D$9</f>
        <v/>
      </c>
      <c r="J669" s="85">
        <f>'01_원자료'!P666*'03_가중치민감도'!$B$10+'01_원자료'!Q666*'03_가중치민감도'!$C$10+'01_원자료'!R666*'03_가중치민감도'!$D$10</f>
        <v/>
      </c>
      <c r="K669" s="99">
        <f>COUNTIF($E$5:$E$979,"&lt;"&amp;E669)+(COUNTIF($E$5:$E$979,"="&amp;E669)+1)/2</f>
        <v/>
      </c>
      <c r="L669" s="99">
        <f>COUNTIF($F$5:$F$979,"&lt;"&amp;F669)+(COUNTIF($F$5:$F$979,"="&amp;F669)+1)/2</f>
        <v/>
      </c>
      <c r="M669" s="99">
        <f>COUNTIF($G$5:$G$979,"&lt;"&amp;G669)+(COUNTIF($G$5:$G$979,"="&amp;G669)+1)/2</f>
        <v/>
      </c>
      <c r="N669" s="99">
        <f>COUNTIF($H$5:$H$979,"&lt;"&amp;H669)+(COUNTIF($H$5:$H$979,"="&amp;H669)+1)/2</f>
        <v/>
      </c>
      <c r="O669" s="99">
        <f>COUNTIF($I$5:$I$979,"&lt;"&amp;I669)+(COUNTIF($I$5:$I$979,"="&amp;I669)+1)/2</f>
        <v/>
      </c>
      <c r="P669" s="99">
        <f>COUNTIF($J$5:$J$979,"&lt;"&amp;J669)+(COUNTIF($J$5:$J$979,"="&amp;J669)+1)/2</f>
        <v/>
      </c>
    </row>
    <row r="670" ht="15" customHeight="1" s="68">
      <c r="A670" s="70">
        <f>'01_원자료'!A667</f>
        <v/>
      </c>
      <c r="B670" s="70">
        <f>'01_원자료'!B667</f>
        <v/>
      </c>
      <c r="C670" s="70">
        <f>'01_원자료'!C667</f>
        <v/>
      </c>
      <c r="E670" s="85">
        <f>'01_원자료'!P667*'03_가중치민감도'!$B$5+'01_원자료'!Q667*'03_가중치민감도'!$C$5+'01_원자료'!R667*'03_가중치민감도'!$D$5</f>
        <v/>
      </c>
      <c r="F670" s="85">
        <f>'01_원자료'!P667*'03_가중치민감도'!$B$6+'01_원자료'!Q667*'03_가중치민감도'!$C$6+'01_원자료'!R667*'03_가중치민감도'!$D$6</f>
        <v/>
      </c>
      <c r="G670" s="85">
        <f>'01_원자료'!P667*'03_가중치민감도'!$B$7+'01_원자료'!Q667*'03_가중치민감도'!$C$7+'01_원자료'!R667*'03_가중치민감도'!$D$7</f>
        <v/>
      </c>
      <c r="H670" s="85">
        <f>'01_원자료'!P667*'03_가중치민감도'!$B$8+'01_원자료'!Q667*'03_가중치민감도'!$C$8+'01_원자료'!R667*'03_가중치민감도'!$D$8</f>
        <v/>
      </c>
      <c r="I670" s="85">
        <f>'01_원자료'!P667*'03_가중치민감도'!$B$9+'01_원자료'!Q667*'03_가중치민감도'!$C$9+'01_원자료'!R667*'03_가중치민감도'!$D$9</f>
        <v/>
      </c>
      <c r="J670" s="85">
        <f>'01_원자료'!P667*'03_가중치민감도'!$B$10+'01_원자료'!Q667*'03_가중치민감도'!$C$10+'01_원자료'!R667*'03_가중치민감도'!$D$10</f>
        <v/>
      </c>
      <c r="K670" s="99">
        <f>COUNTIF($E$5:$E$979,"&lt;"&amp;E670)+(COUNTIF($E$5:$E$979,"="&amp;E670)+1)/2</f>
        <v/>
      </c>
      <c r="L670" s="99">
        <f>COUNTIF($F$5:$F$979,"&lt;"&amp;F670)+(COUNTIF($F$5:$F$979,"="&amp;F670)+1)/2</f>
        <v/>
      </c>
      <c r="M670" s="99">
        <f>COUNTIF($G$5:$G$979,"&lt;"&amp;G670)+(COUNTIF($G$5:$G$979,"="&amp;G670)+1)/2</f>
        <v/>
      </c>
      <c r="N670" s="99">
        <f>COUNTIF($H$5:$H$979,"&lt;"&amp;H670)+(COUNTIF($H$5:$H$979,"="&amp;H670)+1)/2</f>
        <v/>
      </c>
      <c r="O670" s="99">
        <f>COUNTIF($I$5:$I$979,"&lt;"&amp;I670)+(COUNTIF($I$5:$I$979,"="&amp;I670)+1)/2</f>
        <v/>
      </c>
      <c r="P670" s="99">
        <f>COUNTIF($J$5:$J$979,"&lt;"&amp;J670)+(COUNTIF($J$5:$J$979,"="&amp;J670)+1)/2</f>
        <v/>
      </c>
    </row>
    <row r="671" ht="15" customHeight="1" s="68">
      <c r="A671" s="70">
        <f>'01_원자료'!A668</f>
        <v/>
      </c>
      <c r="B671" s="70">
        <f>'01_원자료'!B668</f>
        <v/>
      </c>
      <c r="C671" s="70">
        <f>'01_원자료'!C668</f>
        <v/>
      </c>
      <c r="E671" s="85">
        <f>'01_원자료'!P668*'03_가중치민감도'!$B$5+'01_원자료'!Q668*'03_가중치민감도'!$C$5+'01_원자료'!R668*'03_가중치민감도'!$D$5</f>
        <v/>
      </c>
      <c r="F671" s="85">
        <f>'01_원자료'!P668*'03_가중치민감도'!$B$6+'01_원자료'!Q668*'03_가중치민감도'!$C$6+'01_원자료'!R668*'03_가중치민감도'!$D$6</f>
        <v/>
      </c>
      <c r="G671" s="85">
        <f>'01_원자료'!P668*'03_가중치민감도'!$B$7+'01_원자료'!Q668*'03_가중치민감도'!$C$7+'01_원자료'!R668*'03_가중치민감도'!$D$7</f>
        <v/>
      </c>
      <c r="H671" s="85">
        <f>'01_원자료'!P668*'03_가중치민감도'!$B$8+'01_원자료'!Q668*'03_가중치민감도'!$C$8+'01_원자료'!R668*'03_가중치민감도'!$D$8</f>
        <v/>
      </c>
      <c r="I671" s="85">
        <f>'01_원자료'!P668*'03_가중치민감도'!$B$9+'01_원자료'!Q668*'03_가중치민감도'!$C$9+'01_원자료'!R668*'03_가중치민감도'!$D$9</f>
        <v/>
      </c>
      <c r="J671" s="85">
        <f>'01_원자료'!P668*'03_가중치민감도'!$B$10+'01_원자료'!Q668*'03_가중치민감도'!$C$10+'01_원자료'!R668*'03_가중치민감도'!$D$10</f>
        <v/>
      </c>
      <c r="K671" s="99">
        <f>COUNTIF($E$5:$E$979,"&lt;"&amp;E671)+(COUNTIF($E$5:$E$979,"="&amp;E671)+1)/2</f>
        <v/>
      </c>
      <c r="L671" s="99">
        <f>COUNTIF($F$5:$F$979,"&lt;"&amp;F671)+(COUNTIF($F$5:$F$979,"="&amp;F671)+1)/2</f>
        <v/>
      </c>
      <c r="M671" s="99">
        <f>COUNTIF($G$5:$G$979,"&lt;"&amp;G671)+(COUNTIF($G$5:$G$979,"="&amp;G671)+1)/2</f>
        <v/>
      </c>
      <c r="N671" s="99">
        <f>COUNTIF($H$5:$H$979,"&lt;"&amp;H671)+(COUNTIF($H$5:$H$979,"="&amp;H671)+1)/2</f>
        <v/>
      </c>
      <c r="O671" s="99">
        <f>COUNTIF($I$5:$I$979,"&lt;"&amp;I671)+(COUNTIF($I$5:$I$979,"="&amp;I671)+1)/2</f>
        <v/>
      </c>
      <c r="P671" s="99">
        <f>COUNTIF($J$5:$J$979,"&lt;"&amp;J671)+(COUNTIF($J$5:$J$979,"="&amp;J671)+1)/2</f>
        <v/>
      </c>
    </row>
    <row r="672" ht="15" customHeight="1" s="68">
      <c r="A672" s="70">
        <f>'01_원자료'!A669</f>
        <v/>
      </c>
      <c r="B672" s="70">
        <f>'01_원자료'!B669</f>
        <v/>
      </c>
      <c r="C672" s="70">
        <f>'01_원자료'!C669</f>
        <v/>
      </c>
      <c r="E672" s="85">
        <f>'01_원자료'!P669*'03_가중치민감도'!$B$5+'01_원자료'!Q669*'03_가중치민감도'!$C$5+'01_원자료'!R669*'03_가중치민감도'!$D$5</f>
        <v/>
      </c>
      <c r="F672" s="85">
        <f>'01_원자료'!P669*'03_가중치민감도'!$B$6+'01_원자료'!Q669*'03_가중치민감도'!$C$6+'01_원자료'!R669*'03_가중치민감도'!$D$6</f>
        <v/>
      </c>
      <c r="G672" s="85">
        <f>'01_원자료'!P669*'03_가중치민감도'!$B$7+'01_원자료'!Q669*'03_가중치민감도'!$C$7+'01_원자료'!R669*'03_가중치민감도'!$D$7</f>
        <v/>
      </c>
      <c r="H672" s="85">
        <f>'01_원자료'!P669*'03_가중치민감도'!$B$8+'01_원자료'!Q669*'03_가중치민감도'!$C$8+'01_원자료'!R669*'03_가중치민감도'!$D$8</f>
        <v/>
      </c>
      <c r="I672" s="85">
        <f>'01_원자료'!P669*'03_가중치민감도'!$B$9+'01_원자료'!Q669*'03_가중치민감도'!$C$9+'01_원자료'!R669*'03_가중치민감도'!$D$9</f>
        <v/>
      </c>
      <c r="J672" s="85">
        <f>'01_원자료'!P669*'03_가중치민감도'!$B$10+'01_원자료'!Q669*'03_가중치민감도'!$C$10+'01_원자료'!R669*'03_가중치민감도'!$D$10</f>
        <v/>
      </c>
      <c r="K672" s="99">
        <f>COUNTIF($E$5:$E$979,"&lt;"&amp;E672)+(COUNTIF($E$5:$E$979,"="&amp;E672)+1)/2</f>
        <v/>
      </c>
      <c r="L672" s="99">
        <f>COUNTIF($F$5:$F$979,"&lt;"&amp;F672)+(COUNTIF($F$5:$F$979,"="&amp;F672)+1)/2</f>
        <v/>
      </c>
      <c r="M672" s="99">
        <f>COUNTIF($G$5:$G$979,"&lt;"&amp;G672)+(COUNTIF($G$5:$G$979,"="&amp;G672)+1)/2</f>
        <v/>
      </c>
      <c r="N672" s="99">
        <f>COUNTIF($H$5:$H$979,"&lt;"&amp;H672)+(COUNTIF($H$5:$H$979,"="&amp;H672)+1)/2</f>
        <v/>
      </c>
      <c r="O672" s="99">
        <f>COUNTIF($I$5:$I$979,"&lt;"&amp;I672)+(COUNTIF($I$5:$I$979,"="&amp;I672)+1)/2</f>
        <v/>
      </c>
      <c r="P672" s="99">
        <f>COUNTIF($J$5:$J$979,"&lt;"&amp;J672)+(COUNTIF($J$5:$J$979,"="&amp;J672)+1)/2</f>
        <v/>
      </c>
    </row>
    <row r="673" ht="15" customHeight="1" s="68">
      <c r="A673" s="70">
        <f>'01_원자료'!A670</f>
        <v/>
      </c>
      <c r="B673" s="70">
        <f>'01_원자료'!B670</f>
        <v/>
      </c>
      <c r="C673" s="70">
        <f>'01_원자료'!C670</f>
        <v/>
      </c>
      <c r="E673" s="85">
        <f>'01_원자료'!P670*'03_가중치민감도'!$B$5+'01_원자료'!Q670*'03_가중치민감도'!$C$5+'01_원자료'!R670*'03_가중치민감도'!$D$5</f>
        <v/>
      </c>
      <c r="F673" s="85">
        <f>'01_원자료'!P670*'03_가중치민감도'!$B$6+'01_원자료'!Q670*'03_가중치민감도'!$C$6+'01_원자료'!R670*'03_가중치민감도'!$D$6</f>
        <v/>
      </c>
      <c r="G673" s="85">
        <f>'01_원자료'!P670*'03_가중치민감도'!$B$7+'01_원자료'!Q670*'03_가중치민감도'!$C$7+'01_원자료'!R670*'03_가중치민감도'!$D$7</f>
        <v/>
      </c>
      <c r="H673" s="85">
        <f>'01_원자료'!P670*'03_가중치민감도'!$B$8+'01_원자료'!Q670*'03_가중치민감도'!$C$8+'01_원자료'!R670*'03_가중치민감도'!$D$8</f>
        <v/>
      </c>
      <c r="I673" s="85">
        <f>'01_원자료'!P670*'03_가중치민감도'!$B$9+'01_원자료'!Q670*'03_가중치민감도'!$C$9+'01_원자료'!R670*'03_가중치민감도'!$D$9</f>
        <v/>
      </c>
      <c r="J673" s="85">
        <f>'01_원자료'!P670*'03_가중치민감도'!$B$10+'01_원자료'!Q670*'03_가중치민감도'!$C$10+'01_원자료'!R670*'03_가중치민감도'!$D$10</f>
        <v/>
      </c>
      <c r="K673" s="99">
        <f>COUNTIF($E$5:$E$979,"&lt;"&amp;E673)+(COUNTIF($E$5:$E$979,"="&amp;E673)+1)/2</f>
        <v/>
      </c>
      <c r="L673" s="99">
        <f>COUNTIF($F$5:$F$979,"&lt;"&amp;F673)+(COUNTIF($F$5:$F$979,"="&amp;F673)+1)/2</f>
        <v/>
      </c>
      <c r="M673" s="99">
        <f>COUNTIF($G$5:$G$979,"&lt;"&amp;G673)+(COUNTIF($G$5:$G$979,"="&amp;G673)+1)/2</f>
        <v/>
      </c>
      <c r="N673" s="99">
        <f>COUNTIF($H$5:$H$979,"&lt;"&amp;H673)+(COUNTIF($H$5:$H$979,"="&amp;H673)+1)/2</f>
        <v/>
      </c>
      <c r="O673" s="99">
        <f>COUNTIF($I$5:$I$979,"&lt;"&amp;I673)+(COUNTIF($I$5:$I$979,"="&amp;I673)+1)/2</f>
        <v/>
      </c>
      <c r="P673" s="99">
        <f>COUNTIF($J$5:$J$979,"&lt;"&amp;J673)+(COUNTIF($J$5:$J$979,"="&amp;J673)+1)/2</f>
        <v/>
      </c>
    </row>
    <row r="674" ht="15" customHeight="1" s="68">
      <c r="A674" s="70">
        <f>'01_원자료'!A671</f>
        <v/>
      </c>
      <c r="B674" s="70">
        <f>'01_원자료'!B671</f>
        <v/>
      </c>
      <c r="C674" s="70">
        <f>'01_원자료'!C671</f>
        <v/>
      </c>
      <c r="E674" s="85">
        <f>'01_원자료'!P671*'03_가중치민감도'!$B$5+'01_원자료'!Q671*'03_가중치민감도'!$C$5+'01_원자료'!R671*'03_가중치민감도'!$D$5</f>
        <v/>
      </c>
      <c r="F674" s="85">
        <f>'01_원자료'!P671*'03_가중치민감도'!$B$6+'01_원자료'!Q671*'03_가중치민감도'!$C$6+'01_원자료'!R671*'03_가중치민감도'!$D$6</f>
        <v/>
      </c>
      <c r="G674" s="85">
        <f>'01_원자료'!P671*'03_가중치민감도'!$B$7+'01_원자료'!Q671*'03_가중치민감도'!$C$7+'01_원자료'!R671*'03_가중치민감도'!$D$7</f>
        <v/>
      </c>
      <c r="H674" s="85">
        <f>'01_원자료'!P671*'03_가중치민감도'!$B$8+'01_원자료'!Q671*'03_가중치민감도'!$C$8+'01_원자료'!R671*'03_가중치민감도'!$D$8</f>
        <v/>
      </c>
      <c r="I674" s="85">
        <f>'01_원자료'!P671*'03_가중치민감도'!$B$9+'01_원자료'!Q671*'03_가중치민감도'!$C$9+'01_원자료'!R671*'03_가중치민감도'!$D$9</f>
        <v/>
      </c>
      <c r="J674" s="85">
        <f>'01_원자료'!P671*'03_가중치민감도'!$B$10+'01_원자료'!Q671*'03_가중치민감도'!$C$10+'01_원자료'!R671*'03_가중치민감도'!$D$10</f>
        <v/>
      </c>
      <c r="K674" s="99">
        <f>COUNTIF($E$5:$E$979,"&lt;"&amp;E674)+(COUNTIF($E$5:$E$979,"="&amp;E674)+1)/2</f>
        <v/>
      </c>
      <c r="L674" s="99">
        <f>COUNTIF($F$5:$F$979,"&lt;"&amp;F674)+(COUNTIF($F$5:$F$979,"="&amp;F674)+1)/2</f>
        <v/>
      </c>
      <c r="M674" s="99">
        <f>COUNTIF($G$5:$G$979,"&lt;"&amp;G674)+(COUNTIF($G$5:$G$979,"="&amp;G674)+1)/2</f>
        <v/>
      </c>
      <c r="N674" s="99">
        <f>COUNTIF($H$5:$H$979,"&lt;"&amp;H674)+(COUNTIF($H$5:$H$979,"="&amp;H674)+1)/2</f>
        <v/>
      </c>
      <c r="O674" s="99">
        <f>COUNTIF($I$5:$I$979,"&lt;"&amp;I674)+(COUNTIF($I$5:$I$979,"="&amp;I674)+1)/2</f>
        <v/>
      </c>
      <c r="P674" s="99">
        <f>COUNTIF($J$5:$J$979,"&lt;"&amp;J674)+(COUNTIF($J$5:$J$979,"="&amp;J674)+1)/2</f>
        <v/>
      </c>
    </row>
    <row r="675" ht="15" customHeight="1" s="68">
      <c r="A675" s="70">
        <f>'01_원자료'!A672</f>
        <v/>
      </c>
      <c r="B675" s="70">
        <f>'01_원자료'!B672</f>
        <v/>
      </c>
      <c r="C675" s="70">
        <f>'01_원자료'!C672</f>
        <v/>
      </c>
      <c r="E675" s="85">
        <f>'01_원자료'!P672*'03_가중치민감도'!$B$5+'01_원자료'!Q672*'03_가중치민감도'!$C$5+'01_원자료'!R672*'03_가중치민감도'!$D$5</f>
        <v/>
      </c>
      <c r="F675" s="85">
        <f>'01_원자료'!P672*'03_가중치민감도'!$B$6+'01_원자료'!Q672*'03_가중치민감도'!$C$6+'01_원자료'!R672*'03_가중치민감도'!$D$6</f>
        <v/>
      </c>
      <c r="G675" s="85">
        <f>'01_원자료'!P672*'03_가중치민감도'!$B$7+'01_원자료'!Q672*'03_가중치민감도'!$C$7+'01_원자료'!R672*'03_가중치민감도'!$D$7</f>
        <v/>
      </c>
      <c r="H675" s="85">
        <f>'01_원자료'!P672*'03_가중치민감도'!$B$8+'01_원자료'!Q672*'03_가중치민감도'!$C$8+'01_원자료'!R672*'03_가중치민감도'!$D$8</f>
        <v/>
      </c>
      <c r="I675" s="85">
        <f>'01_원자료'!P672*'03_가중치민감도'!$B$9+'01_원자료'!Q672*'03_가중치민감도'!$C$9+'01_원자료'!R672*'03_가중치민감도'!$D$9</f>
        <v/>
      </c>
      <c r="J675" s="85">
        <f>'01_원자료'!P672*'03_가중치민감도'!$B$10+'01_원자료'!Q672*'03_가중치민감도'!$C$10+'01_원자료'!R672*'03_가중치민감도'!$D$10</f>
        <v/>
      </c>
      <c r="K675" s="99">
        <f>COUNTIF($E$5:$E$979,"&lt;"&amp;E675)+(COUNTIF($E$5:$E$979,"="&amp;E675)+1)/2</f>
        <v/>
      </c>
      <c r="L675" s="99">
        <f>COUNTIF($F$5:$F$979,"&lt;"&amp;F675)+(COUNTIF($F$5:$F$979,"="&amp;F675)+1)/2</f>
        <v/>
      </c>
      <c r="M675" s="99">
        <f>COUNTIF($G$5:$G$979,"&lt;"&amp;G675)+(COUNTIF($G$5:$G$979,"="&amp;G675)+1)/2</f>
        <v/>
      </c>
      <c r="N675" s="99">
        <f>COUNTIF($H$5:$H$979,"&lt;"&amp;H675)+(COUNTIF($H$5:$H$979,"="&amp;H675)+1)/2</f>
        <v/>
      </c>
      <c r="O675" s="99">
        <f>COUNTIF($I$5:$I$979,"&lt;"&amp;I675)+(COUNTIF($I$5:$I$979,"="&amp;I675)+1)/2</f>
        <v/>
      </c>
      <c r="P675" s="99">
        <f>COUNTIF($J$5:$J$979,"&lt;"&amp;J675)+(COUNTIF($J$5:$J$979,"="&amp;J675)+1)/2</f>
        <v/>
      </c>
    </row>
    <row r="676" ht="15" customHeight="1" s="68">
      <c r="A676" s="70">
        <f>'01_원자료'!A673</f>
        <v/>
      </c>
      <c r="B676" s="70">
        <f>'01_원자료'!B673</f>
        <v/>
      </c>
      <c r="C676" s="70">
        <f>'01_원자료'!C673</f>
        <v/>
      </c>
      <c r="E676" s="85">
        <f>'01_원자료'!P673*'03_가중치민감도'!$B$5+'01_원자료'!Q673*'03_가중치민감도'!$C$5+'01_원자료'!R673*'03_가중치민감도'!$D$5</f>
        <v/>
      </c>
      <c r="F676" s="85">
        <f>'01_원자료'!P673*'03_가중치민감도'!$B$6+'01_원자료'!Q673*'03_가중치민감도'!$C$6+'01_원자료'!R673*'03_가중치민감도'!$D$6</f>
        <v/>
      </c>
      <c r="G676" s="85">
        <f>'01_원자료'!P673*'03_가중치민감도'!$B$7+'01_원자료'!Q673*'03_가중치민감도'!$C$7+'01_원자료'!R673*'03_가중치민감도'!$D$7</f>
        <v/>
      </c>
      <c r="H676" s="85">
        <f>'01_원자료'!P673*'03_가중치민감도'!$B$8+'01_원자료'!Q673*'03_가중치민감도'!$C$8+'01_원자료'!R673*'03_가중치민감도'!$D$8</f>
        <v/>
      </c>
      <c r="I676" s="85">
        <f>'01_원자료'!P673*'03_가중치민감도'!$B$9+'01_원자료'!Q673*'03_가중치민감도'!$C$9+'01_원자료'!R673*'03_가중치민감도'!$D$9</f>
        <v/>
      </c>
      <c r="J676" s="85">
        <f>'01_원자료'!P673*'03_가중치민감도'!$B$10+'01_원자료'!Q673*'03_가중치민감도'!$C$10+'01_원자료'!R673*'03_가중치민감도'!$D$10</f>
        <v/>
      </c>
      <c r="K676" s="99">
        <f>COUNTIF($E$5:$E$979,"&lt;"&amp;E676)+(COUNTIF($E$5:$E$979,"="&amp;E676)+1)/2</f>
        <v/>
      </c>
      <c r="L676" s="99">
        <f>COUNTIF($F$5:$F$979,"&lt;"&amp;F676)+(COUNTIF($F$5:$F$979,"="&amp;F676)+1)/2</f>
        <v/>
      </c>
      <c r="M676" s="99">
        <f>COUNTIF($G$5:$G$979,"&lt;"&amp;G676)+(COUNTIF($G$5:$G$979,"="&amp;G676)+1)/2</f>
        <v/>
      </c>
      <c r="N676" s="99">
        <f>COUNTIF($H$5:$H$979,"&lt;"&amp;H676)+(COUNTIF($H$5:$H$979,"="&amp;H676)+1)/2</f>
        <v/>
      </c>
      <c r="O676" s="99">
        <f>COUNTIF($I$5:$I$979,"&lt;"&amp;I676)+(COUNTIF($I$5:$I$979,"="&amp;I676)+1)/2</f>
        <v/>
      </c>
      <c r="P676" s="99">
        <f>COUNTIF($J$5:$J$979,"&lt;"&amp;J676)+(COUNTIF($J$5:$J$979,"="&amp;J676)+1)/2</f>
        <v/>
      </c>
    </row>
    <row r="677" ht="15" customHeight="1" s="68">
      <c r="A677" s="70">
        <f>'01_원자료'!A674</f>
        <v/>
      </c>
      <c r="B677" s="70">
        <f>'01_원자료'!B674</f>
        <v/>
      </c>
      <c r="C677" s="70">
        <f>'01_원자료'!C674</f>
        <v/>
      </c>
      <c r="E677" s="85">
        <f>'01_원자료'!P674*'03_가중치민감도'!$B$5+'01_원자료'!Q674*'03_가중치민감도'!$C$5+'01_원자료'!R674*'03_가중치민감도'!$D$5</f>
        <v/>
      </c>
      <c r="F677" s="85">
        <f>'01_원자료'!P674*'03_가중치민감도'!$B$6+'01_원자료'!Q674*'03_가중치민감도'!$C$6+'01_원자료'!R674*'03_가중치민감도'!$D$6</f>
        <v/>
      </c>
      <c r="G677" s="85">
        <f>'01_원자료'!P674*'03_가중치민감도'!$B$7+'01_원자료'!Q674*'03_가중치민감도'!$C$7+'01_원자료'!R674*'03_가중치민감도'!$D$7</f>
        <v/>
      </c>
      <c r="H677" s="85">
        <f>'01_원자료'!P674*'03_가중치민감도'!$B$8+'01_원자료'!Q674*'03_가중치민감도'!$C$8+'01_원자료'!R674*'03_가중치민감도'!$D$8</f>
        <v/>
      </c>
      <c r="I677" s="85">
        <f>'01_원자료'!P674*'03_가중치민감도'!$B$9+'01_원자료'!Q674*'03_가중치민감도'!$C$9+'01_원자료'!R674*'03_가중치민감도'!$D$9</f>
        <v/>
      </c>
      <c r="J677" s="85">
        <f>'01_원자료'!P674*'03_가중치민감도'!$B$10+'01_원자료'!Q674*'03_가중치민감도'!$C$10+'01_원자료'!R674*'03_가중치민감도'!$D$10</f>
        <v/>
      </c>
      <c r="K677" s="99">
        <f>COUNTIF($E$5:$E$979,"&lt;"&amp;E677)+(COUNTIF($E$5:$E$979,"="&amp;E677)+1)/2</f>
        <v/>
      </c>
      <c r="L677" s="99">
        <f>COUNTIF($F$5:$F$979,"&lt;"&amp;F677)+(COUNTIF($F$5:$F$979,"="&amp;F677)+1)/2</f>
        <v/>
      </c>
      <c r="M677" s="99">
        <f>COUNTIF($G$5:$G$979,"&lt;"&amp;G677)+(COUNTIF($G$5:$G$979,"="&amp;G677)+1)/2</f>
        <v/>
      </c>
      <c r="N677" s="99">
        <f>COUNTIF($H$5:$H$979,"&lt;"&amp;H677)+(COUNTIF($H$5:$H$979,"="&amp;H677)+1)/2</f>
        <v/>
      </c>
      <c r="O677" s="99">
        <f>COUNTIF($I$5:$I$979,"&lt;"&amp;I677)+(COUNTIF($I$5:$I$979,"="&amp;I677)+1)/2</f>
        <v/>
      </c>
      <c r="P677" s="99">
        <f>COUNTIF($J$5:$J$979,"&lt;"&amp;J677)+(COUNTIF($J$5:$J$979,"="&amp;J677)+1)/2</f>
        <v/>
      </c>
    </row>
    <row r="678" ht="15" customHeight="1" s="68">
      <c r="A678" s="70">
        <f>'01_원자료'!A675</f>
        <v/>
      </c>
      <c r="B678" s="70">
        <f>'01_원자료'!B675</f>
        <v/>
      </c>
      <c r="C678" s="70">
        <f>'01_원자료'!C675</f>
        <v/>
      </c>
      <c r="E678" s="85">
        <f>'01_원자료'!P675*'03_가중치민감도'!$B$5+'01_원자료'!Q675*'03_가중치민감도'!$C$5+'01_원자료'!R675*'03_가중치민감도'!$D$5</f>
        <v/>
      </c>
      <c r="F678" s="85">
        <f>'01_원자료'!P675*'03_가중치민감도'!$B$6+'01_원자료'!Q675*'03_가중치민감도'!$C$6+'01_원자료'!R675*'03_가중치민감도'!$D$6</f>
        <v/>
      </c>
      <c r="G678" s="85">
        <f>'01_원자료'!P675*'03_가중치민감도'!$B$7+'01_원자료'!Q675*'03_가중치민감도'!$C$7+'01_원자료'!R675*'03_가중치민감도'!$D$7</f>
        <v/>
      </c>
      <c r="H678" s="85">
        <f>'01_원자료'!P675*'03_가중치민감도'!$B$8+'01_원자료'!Q675*'03_가중치민감도'!$C$8+'01_원자료'!R675*'03_가중치민감도'!$D$8</f>
        <v/>
      </c>
      <c r="I678" s="85">
        <f>'01_원자료'!P675*'03_가중치민감도'!$B$9+'01_원자료'!Q675*'03_가중치민감도'!$C$9+'01_원자료'!R675*'03_가중치민감도'!$D$9</f>
        <v/>
      </c>
      <c r="J678" s="85">
        <f>'01_원자료'!P675*'03_가중치민감도'!$B$10+'01_원자료'!Q675*'03_가중치민감도'!$C$10+'01_원자료'!R675*'03_가중치민감도'!$D$10</f>
        <v/>
      </c>
      <c r="K678" s="99">
        <f>COUNTIF($E$5:$E$979,"&lt;"&amp;E678)+(COUNTIF($E$5:$E$979,"="&amp;E678)+1)/2</f>
        <v/>
      </c>
      <c r="L678" s="99">
        <f>COUNTIF($F$5:$F$979,"&lt;"&amp;F678)+(COUNTIF($F$5:$F$979,"="&amp;F678)+1)/2</f>
        <v/>
      </c>
      <c r="M678" s="99">
        <f>COUNTIF($G$5:$G$979,"&lt;"&amp;G678)+(COUNTIF($G$5:$G$979,"="&amp;G678)+1)/2</f>
        <v/>
      </c>
      <c r="N678" s="99">
        <f>COUNTIF($H$5:$H$979,"&lt;"&amp;H678)+(COUNTIF($H$5:$H$979,"="&amp;H678)+1)/2</f>
        <v/>
      </c>
      <c r="O678" s="99">
        <f>COUNTIF($I$5:$I$979,"&lt;"&amp;I678)+(COUNTIF($I$5:$I$979,"="&amp;I678)+1)/2</f>
        <v/>
      </c>
      <c r="P678" s="99">
        <f>COUNTIF($J$5:$J$979,"&lt;"&amp;J678)+(COUNTIF($J$5:$J$979,"="&amp;J678)+1)/2</f>
        <v/>
      </c>
    </row>
    <row r="679" ht="15" customHeight="1" s="68">
      <c r="A679" s="70">
        <f>'01_원자료'!A676</f>
        <v/>
      </c>
      <c r="B679" s="70">
        <f>'01_원자료'!B676</f>
        <v/>
      </c>
      <c r="C679" s="70">
        <f>'01_원자료'!C676</f>
        <v/>
      </c>
      <c r="E679" s="85">
        <f>'01_원자료'!P676*'03_가중치민감도'!$B$5+'01_원자료'!Q676*'03_가중치민감도'!$C$5+'01_원자료'!R676*'03_가중치민감도'!$D$5</f>
        <v/>
      </c>
      <c r="F679" s="85">
        <f>'01_원자료'!P676*'03_가중치민감도'!$B$6+'01_원자료'!Q676*'03_가중치민감도'!$C$6+'01_원자료'!R676*'03_가중치민감도'!$D$6</f>
        <v/>
      </c>
      <c r="G679" s="85">
        <f>'01_원자료'!P676*'03_가중치민감도'!$B$7+'01_원자료'!Q676*'03_가중치민감도'!$C$7+'01_원자료'!R676*'03_가중치민감도'!$D$7</f>
        <v/>
      </c>
      <c r="H679" s="85">
        <f>'01_원자료'!P676*'03_가중치민감도'!$B$8+'01_원자료'!Q676*'03_가중치민감도'!$C$8+'01_원자료'!R676*'03_가중치민감도'!$D$8</f>
        <v/>
      </c>
      <c r="I679" s="85">
        <f>'01_원자료'!P676*'03_가중치민감도'!$B$9+'01_원자료'!Q676*'03_가중치민감도'!$C$9+'01_원자료'!R676*'03_가중치민감도'!$D$9</f>
        <v/>
      </c>
      <c r="J679" s="85">
        <f>'01_원자료'!P676*'03_가중치민감도'!$B$10+'01_원자료'!Q676*'03_가중치민감도'!$C$10+'01_원자료'!R676*'03_가중치민감도'!$D$10</f>
        <v/>
      </c>
      <c r="K679" s="99">
        <f>COUNTIF($E$5:$E$979,"&lt;"&amp;E679)+(COUNTIF($E$5:$E$979,"="&amp;E679)+1)/2</f>
        <v/>
      </c>
      <c r="L679" s="99">
        <f>COUNTIF($F$5:$F$979,"&lt;"&amp;F679)+(COUNTIF($F$5:$F$979,"="&amp;F679)+1)/2</f>
        <v/>
      </c>
      <c r="M679" s="99">
        <f>COUNTIF($G$5:$G$979,"&lt;"&amp;G679)+(COUNTIF($G$5:$G$979,"="&amp;G679)+1)/2</f>
        <v/>
      </c>
      <c r="N679" s="99">
        <f>COUNTIF($H$5:$H$979,"&lt;"&amp;H679)+(COUNTIF($H$5:$H$979,"="&amp;H679)+1)/2</f>
        <v/>
      </c>
      <c r="O679" s="99">
        <f>COUNTIF($I$5:$I$979,"&lt;"&amp;I679)+(COUNTIF($I$5:$I$979,"="&amp;I679)+1)/2</f>
        <v/>
      </c>
      <c r="P679" s="99">
        <f>COUNTIF($J$5:$J$979,"&lt;"&amp;J679)+(COUNTIF($J$5:$J$979,"="&amp;J679)+1)/2</f>
        <v/>
      </c>
    </row>
    <row r="680" ht="15" customHeight="1" s="68">
      <c r="A680" s="70">
        <f>'01_원자료'!A677</f>
        <v/>
      </c>
      <c r="B680" s="70">
        <f>'01_원자료'!B677</f>
        <v/>
      </c>
      <c r="C680" s="70">
        <f>'01_원자료'!C677</f>
        <v/>
      </c>
      <c r="E680" s="85">
        <f>'01_원자료'!P677*'03_가중치민감도'!$B$5+'01_원자료'!Q677*'03_가중치민감도'!$C$5+'01_원자료'!R677*'03_가중치민감도'!$D$5</f>
        <v/>
      </c>
      <c r="F680" s="85">
        <f>'01_원자료'!P677*'03_가중치민감도'!$B$6+'01_원자료'!Q677*'03_가중치민감도'!$C$6+'01_원자료'!R677*'03_가중치민감도'!$D$6</f>
        <v/>
      </c>
      <c r="G680" s="85">
        <f>'01_원자료'!P677*'03_가중치민감도'!$B$7+'01_원자료'!Q677*'03_가중치민감도'!$C$7+'01_원자료'!R677*'03_가중치민감도'!$D$7</f>
        <v/>
      </c>
      <c r="H680" s="85">
        <f>'01_원자료'!P677*'03_가중치민감도'!$B$8+'01_원자료'!Q677*'03_가중치민감도'!$C$8+'01_원자료'!R677*'03_가중치민감도'!$D$8</f>
        <v/>
      </c>
      <c r="I680" s="85">
        <f>'01_원자료'!P677*'03_가중치민감도'!$B$9+'01_원자료'!Q677*'03_가중치민감도'!$C$9+'01_원자료'!R677*'03_가중치민감도'!$D$9</f>
        <v/>
      </c>
      <c r="J680" s="85">
        <f>'01_원자료'!P677*'03_가중치민감도'!$B$10+'01_원자료'!Q677*'03_가중치민감도'!$C$10+'01_원자료'!R677*'03_가중치민감도'!$D$10</f>
        <v/>
      </c>
      <c r="K680" s="99">
        <f>COUNTIF($E$5:$E$979,"&lt;"&amp;E680)+(COUNTIF($E$5:$E$979,"="&amp;E680)+1)/2</f>
        <v/>
      </c>
      <c r="L680" s="99">
        <f>COUNTIF($F$5:$F$979,"&lt;"&amp;F680)+(COUNTIF($F$5:$F$979,"="&amp;F680)+1)/2</f>
        <v/>
      </c>
      <c r="M680" s="99">
        <f>COUNTIF($G$5:$G$979,"&lt;"&amp;G680)+(COUNTIF($G$5:$G$979,"="&amp;G680)+1)/2</f>
        <v/>
      </c>
      <c r="N680" s="99">
        <f>COUNTIF($H$5:$H$979,"&lt;"&amp;H680)+(COUNTIF($H$5:$H$979,"="&amp;H680)+1)/2</f>
        <v/>
      </c>
      <c r="O680" s="99">
        <f>COUNTIF($I$5:$I$979,"&lt;"&amp;I680)+(COUNTIF($I$5:$I$979,"="&amp;I680)+1)/2</f>
        <v/>
      </c>
      <c r="P680" s="99">
        <f>COUNTIF($J$5:$J$979,"&lt;"&amp;J680)+(COUNTIF($J$5:$J$979,"="&amp;J680)+1)/2</f>
        <v/>
      </c>
    </row>
    <row r="681" ht="15" customHeight="1" s="68">
      <c r="A681" s="70">
        <f>'01_원자료'!A678</f>
        <v/>
      </c>
      <c r="B681" s="70">
        <f>'01_원자료'!B678</f>
        <v/>
      </c>
      <c r="C681" s="70">
        <f>'01_원자료'!C678</f>
        <v/>
      </c>
      <c r="E681" s="85">
        <f>'01_원자료'!P678*'03_가중치민감도'!$B$5+'01_원자료'!Q678*'03_가중치민감도'!$C$5+'01_원자료'!R678*'03_가중치민감도'!$D$5</f>
        <v/>
      </c>
      <c r="F681" s="85">
        <f>'01_원자료'!P678*'03_가중치민감도'!$B$6+'01_원자료'!Q678*'03_가중치민감도'!$C$6+'01_원자료'!R678*'03_가중치민감도'!$D$6</f>
        <v/>
      </c>
      <c r="G681" s="85">
        <f>'01_원자료'!P678*'03_가중치민감도'!$B$7+'01_원자료'!Q678*'03_가중치민감도'!$C$7+'01_원자료'!R678*'03_가중치민감도'!$D$7</f>
        <v/>
      </c>
      <c r="H681" s="85">
        <f>'01_원자료'!P678*'03_가중치민감도'!$B$8+'01_원자료'!Q678*'03_가중치민감도'!$C$8+'01_원자료'!R678*'03_가중치민감도'!$D$8</f>
        <v/>
      </c>
      <c r="I681" s="85">
        <f>'01_원자료'!P678*'03_가중치민감도'!$B$9+'01_원자료'!Q678*'03_가중치민감도'!$C$9+'01_원자료'!R678*'03_가중치민감도'!$D$9</f>
        <v/>
      </c>
      <c r="J681" s="85">
        <f>'01_원자료'!P678*'03_가중치민감도'!$B$10+'01_원자료'!Q678*'03_가중치민감도'!$C$10+'01_원자료'!R678*'03_가중치민감도'!$D$10</f>
        <v/>
      </c>
      <c r="K681" s="99">
        <f>COUNTIF($E$5:$E$979,"&lt;"&amp;E681)+(COUNTIF($E$5:$E$979,"="&amp;E681)+1)/2</f>
        <v/>
      </c>
      <c r="L681" s="99">
        <f>COUNTIF($F$5:$F$979,"&lt;"&amp;F681)+(COUNTIF($F$5:$F$979,"="&amp;F681)+1)/2</f>
        <v/>
      </c>
      <c r="M681" s="99">
        <f>COUNTIF($G$5:$G$979,"&lt;"&amp;G681)+(COUNTIF($G$5:$G$979,"="&amp;G681)+1)/2</f>
        <v/>
      </c>
      <c r="N681" s="99">
        <f>COUNTIF($H$5:$H$979,"&lt;"&amp;H681)+(COUNTIF($H$5:$H$979,"="&amp;H681)+1)/2</f>
        <v/>
      </c>
      <c r="O681" s="99">
        <f>COUNTIF($I$5:$I$979,"&lt;"&amp;I681)+(COUNTIF($I$5:$I$979,"="&amp;I681)+1)/2</f>
        <v/>
      </c>
      <c r="P681" s="99">
        <f>COUNTIF($J$5:$J$979,"&lt;"&amp;J681)+(COUNTIF($J$5:$J$979,"="&amp;J681)+1)/2</f>
        <v/>
      </c>
    </row>
    <row r="682" ht="15" customHeight="1" s="68">
      <c r="A682" s="70">
        <f>'01_원자료'!A679</f>
        <v/>
      </c>
      <c r="B682" s="70">
        <f>'01_원자료'!B679</f>
        <v/>
      </c>
      <c r="C682" s="70">
        <f>'01_원자료'!C679</f>
        <v/>
      </c>
      <c r="E682" s="85">
        <f>'01_원자료'!P679*'03_가중치민감도'!$B$5+'01_원자료'!Q679*'03_가중치민감도'!$C$5+'01_원자료'!R679*'03_가중치민감도'!$D$5</f>
        <v/>
      </c>
      <c r="F682" s="85">
        <f>'01_원자료'!P679*'03_가중치민감도'!$B$6+'01_원자료'!Q679*'03_가중치민감도'!$C$6+'01_원자료'!R679*'03_가중치민감도'!$D$6</f>
        <v/>
      </c>
      <c r="G682" s="85">
        <f>'01_원자료'!P679*'03_가중치민감도'!$B$7+'01_원자료'!Q679*'03_가중치민감도'!$C$7+'01_원자료'!R679*'03_가중치민감도'!$D$7</f>
        <v/>
      </c>
      <c r="H682" s="85">
        <f>'01_원자료'!P679*'03_가중치민감도'!$B$8+'01_원자료'!Q679*'03_가중치민감도'!$C$8+'01_원자료'!R679*'03_가중치민감도'!$D$8</f>
        <v/>
      </c>
      <c r="I682" s="85">
        <f>'01_원자료'!P679*'03_가중치민감도'!$B$9+'01_원자료'!Q679*'03_가중치민감도'!$C$9+'01_원자료'!R679*'03_가중치민감도'!$D$9</f>
        <v/>
      </c>
      <c r="J682" s="85">
        <f>'01_원자료'!P679*'03_가중치민감도'!$B$10+'01_원자료'!Q679*'03_가중치민감도'!$C$10+'01_원자료'!R679*'03_가중치민감도'!$D$10</f>
        <v/>
      </c>
      <c r="K682" s="99">
        <f>COUNTIF($E$5:$E$979,"&lt;"&amp;E682)+(COUNTIF($E$5:$E$979,"="&amp;E682)+1)/2</f>
        <v/>
      </c>
      <c r="L682" s="99">
        <f>COUNTIF($F$5:$F$979,"&lt;"&amp;F682)+(COUNTIF($F$5:$F$979,"="&amp;F682)+1)/2</f>
        <v/>
      </c>
      <c r="M682" s="99">
        <f>COUNTIF($G$5:$G$979,"&lt;"&amp;G682)+(COUNTIF($G$5:$G$979,"="&amp;G682)+1)/2</f>
        <v/>
      </c>
      <c r="N682" s="99">
        <f>COUNTIF($H$5:$H$979,"&lt;"&amp;H682)+(COUNTIF($H$5:$H$979,"="&amp;H682)+1)/2</f>
        <v/>
      </c>
      <c r="O682" s="99">
        <f>COUNTIF($I$5:$I$979,"&lt;"&amp;I682)+(COUNTIF($I$5:$I$979,"="&amp;I682)+1)/2</f>
        <v/>
      </c>
      <c r="P682" s="99">
        <f>COUNTIF($J$5:$J$979,"&lt;"&amp;J682)+(COUNTIF($J$5:$J$979,"="&amp;J682)+1)/2</f>
        <v/>
      </c>
    </row>
    <row r="683" ht="15" customHeight="1" s="68">
      <c r="A683" s="70">
        <f>'01_원자료'!A680</f>
        <v/>
      </c>
      <c r="B683" s="70">
        <f>'01_원자료'!B680</f>
        <v/>
      </c>
      <c r="C683" s="70">
        <f>'01_원자료'!C680</f>
        <v/>
      </c>
      <c r="E683" s="85">
        <f>'01_원자료'!P680*'03_가중치민감도'!$B$5+'01_원자료'!Q680*'03_가중치민감도'!$C$5+'01_원자료'!R680*'03_가중치민감도'!$D$5</f>
        <v/>
      </c>
      <c r="F683" s="85">
        <f>'01_원자료'!P680*'03_가중치민감도'!$B$6+'01_원자료'!Q680*'03_가중치민감도'!$C$6+'01_원자료'!R680*'03_가중치민감도'!$D$6</f>
        <v/>
      </c>
      <c r="G683" s="85">
        <f>'01_원자료'!P680*'03_가중치민감도'!$B$7+'01_원자료'!Q680*'03_가중치민감도'!$C$7+'01_원자료'!R680*'03_가중치민감도'!$D$7</f>
        <v/>
      </c>
      <c r="H683" s="85">
        <f>'01_원자료'!P680*'03_가중치민감도'!$B$8+'01_원자료'!Q680*'03_가중치민감도'!$C$8+'01_원자료'!R680*'03_가중치민감도'!$D$8</f>
        <v/>
      </c>
      <c r="I683" s="85">
        <f>'01_원자료'!P680*'03_가중치민감도'!$B$9+'01_원자료'!Q680*'03_가중치민감도'!$C$9+'01_원자료'!R680*'03_가중치민감도'!$D$9</f>
        <v/>
      </c>
      <c r="J683" s="85">
        <f>'01_원자료'!P680*'03_가중치민감도'!$B$10+'01_원자료'!Q680*'03_가중치민감도'!$C$10+'01_원자료'!R680*'03_가중치민감도'!$D$10</f>
        <v/>
      </c>
      <c r="K683" s="99">
        <f>COUNTIF($E$5:$E$979,"&lt;"&amp;E683)+(COUNTIF($E$5:$E$979,"="&amp;E683)+1)/2</f>
        <v/>
      </c>
      <c r="L683" s="99">
        <f>COUNTIF($F$5:$F$979,"&lt;"&amp;F683)+(COUNTIF($F$5:$F$979,"="&amp;F683)+1)/2</f>
        <v/>
      </c>
      <c r="M683" s="99">
        <f>COUNTIF($G$5:$G$979,"&lt;"&amp;G683)+(COUNTIF($G$5:$G$979,"="&amp;G683)+1)/2</f>
        <v/>
      </c>
      <c r="N683" s="99">
        <f>COUNTIF($H$5:$H$979,"&lt;"&amp;H683)+(COUNTIF($H$5:$H$979,"="&amp;H683)+1)/2</f>
        <v/>
      </c>
      <c r="O683" s="99">
        <f>COUNTIF($I$5:$I$979,"&lt;"&amp;I683)+(COUNTIF($I$5:$I$979,"="&amp;I683)+1)/2</f>
        <v/>
      </c>
      <c r="P683" s="99">
        <f>COUNTIF($J$5:$J$979,"&lt;"&amp;J683)+(COUNTIF($J$5:$J$979,"="&amp;J683)+1)/2</f>
        <v/>
      </c>
    </row>
    <row r="684" ht="15" customHeight="1" s="68">
      <c r="A684" s="70">
        <f>'01_원자료'!A681</f>
        <v/>
      </c>
      <c r="B684" s="70">
        <f>'01_원자료'!B681</f>
        <v/>
      </c>
      <c r="C684" s="70">
        <f>'01_원자료'!C681</f>
        <v/>
      </c>
      <c r="E684" s="85">
        <f>'01_원자료'!P681*'03_가중치민감도'!$B$5+'01_원자료'!Q681*'03_가중치민감도'!$C$5+'01_원자료'!R681*'03_가중치민감도'!$D$5</f>
        <v/>
      </c>
      <c r="F684" s="85">
        <f>'01_원자료'!P681*'03_가중치민감도'!$B$6+'01_원자료'!Q681*'03_가중치민감도'!$C$6+'01_원자료'!R681*'03_가중치민감도'!$D$6</f>
        <v/>
      </c>
      <c r="G684" s="85">
        <f>'01_원자료'!P681*'03_가중치민감도'!$B$7+'01_원자료'!Q681*'03_가중치민감도'!$C$7+'01_원자료'!R681*'03_가중치민감도'!$D$7</f>
        <v/>
      </c>
      <c r="H684" s="85">
        <f>'01_원자료'!P681*'03_가중치민감도'!$B$8+'01_원자료'!Q681*'03_가중치민감도'!$C$8+'01_원자료'!R681*'03_가중치민감도'!$D$8</f>
        <v/>
      </c>
      <c r="I684" s="85">
        <f>'01_원자료'!P681*'03_가중치민감도'!$B$9+'01_원자료'!Q681*'03_가중치민감도'!$C$9+'01_원자료'!R681*'03_가중치민감도'!$D$9</f>
        <v/>
      </c>
      <c r="J684" s="85">
        <f>'01_원자료'!P681*'03_가중치민감도'!$B$10+'01_원자료'!Q681*'03_가중치민감도'!$C$10+'01_원자료'!R681*'03_가중치민감도'!$D$10</f>
        <v/>
      </c>
      <c r="K684" s="99">
        <f>COUNTIF($E$5:$E$979,"&lt;"&amp;E684)+(COUNTIF($E$5:$E$979,"="&amp;E684)+1)/2</f>
        <v/>
      </c>
      <c r="L684" s="99">
        <f>COUNTIF($F$5:$F$979,"&lt;"&amp;F684)+(COUNTIF($F$5:$F$979,"="&amp;F684)+1)/2</f>
        <v/>
      </c>
      <c r="M684" s="99">
        <f>COUNTIF($G$5:$G$979,"&lt;"&amp;G684)+(COUNTIF($G$5:$G$979,"="&amp;G684)+1)/2</f>
        <v/>
      </c>
      <c r="N684" s="99">
        <f>COUNTIF($H$5:$H$979,"&lt;"&amp;H684)+(COUNTIF($H$5:$H$979,"="&amp;H684)+1)/2</f>
        <v/>
      </c>
      <c r="O684" s="99">
        <f>COUNTIF($I$5:$I$979,"&lt;"&amp;I684)+(COUNTIF($I$5:$I$979,"="&amp;I684)+1)/2</f>
        <v/>
      </c>
      <c r="P684" s="99">
        <f>COUNTIF($J$5:$J$979,"&lt;"&amp;J684)+(COUNTIF($J$5:$J$979,"="&amp;J684)+1)/2</f>
        <v/>
      </c>
    </row>
    <row r="685" ht="15" customHeight="1" s="68">
      <c r="A685" s="70">
        <f>'01_원자료'!A682</f>
        <v/>
      </c>
      <c r="B685" s="70">
        <f>'01_원자료'!B682</f>
        <v/>
      </c>
      <c r="C685" s="70">
        <f>'01_원자료'!C682</f>
        <v/>
      </c>
      <c r="E685" s="85">
        <f>'01_원자료'!P682*'03_가중치민감도'!$B$5+'01_원자료'!Q682*'03_가중치민감도'!$C$5+'01_원자료'!R682*'03_가중치민감도'!$D$5</f>
        <v/>
      </c>
      <c r="F685" s="85">
        <f>'01_원자료'!P682*'03_가중치민감도'!$B$6+'01_원자료'!Q682*'03_가중치민감도'!$C$6+'01_원자료'!R682*'03_가중치민감도'!$D$6</f>
        <v/>
      </c>
      <c r="G685" s="85">
        <f>'01_원자료'!P682*'03_가중치민감도'!$B$7+'01_원자료'!Q682*'03_가중치민감도'!$C$7+'01_원자료'!R682*'03_가중치민감도'!$D$7</f>
        <v/>
      </c>
      <c r="H685" s="85">
        <f>'01_원자료'!P682*'03_가중치민감도'!$B$8+'01_원자료'!Q682*'03_가중치민감도'!$C$8+'01_원자료'!R682*'03_가중치민감도'!$D$8</f>
        <v/>
      </c>
      <c r="I685" s="85">
        <f>'01_원자료'!P682*'03_가중치민감도'!$B$9+'01_원자료'!Q682*'03_가중치민감도'!$C$9+'01_원자료'!R682*'03_가중치민감도'!$D$9</f>
        <v/>
      </c>
      <c r="J685" s="85">
        <f>'01_원자료'!P682*'03_가중치민감도'!$B$10+'01_원자료'!Q682*'03_가중치민감도'!$C$10+'01_원자료'!R682*'03_가중치민감도'!$D$10</f>
        <v/>
      </c>
      <c r="K685" s="99">
        <f>COUNTIF($E$5:$E$979,"&lt;"&amp;E685)+(COUNTIF($E$5:$E$979,"="&amp;E685)+1)/2</f>
        <v/>
      </c>
      <c r="L685" s="99">
        <f>COUNTIF($F$5:$F$979,"&lt;"&amp;F685)+(COUNTIF($F$5:$F$979,"="&amp;F685)+1)/2</f>
        <v/>
      </c>
      <c r="M685" s="99">
        <f>COUNTIF($G$5:$G$979,"&lt;"&amp;G685)+(COUNTIF($G$5:$G$979,"="&amp;G685)+1)/2</f>
        <v/>
      </c>
      <c r="N685" s="99">
        <f>COUNTIF($H$5:$H$979,"&lt;"&amp;H685)+(COUNTIF($H$5:$H$979,"="&amp;H685)+1)/2</f>
        <v/>
      </c>
      <c r="O685" s="99">
        <f>COUNTIF($I$5:$I$979,"&lt;"&amp;I685)+(COUNTIF($I$5:$I$979,"="&amp;I685)+1)/2</f>
        <v/>
      </c>
      <c r="P685" s="99">
        <f>COUNTIF($J$5:$J$979,"&lt;"&amp;J685)+(COUNTIF($J$5:$J$979,"="&amp;J685)+1)/2</f>
        <v/>
      </c>
    </row>
    <row r="686" ht="15" customHeight="1" s="68">
      <c r="A686" s="70">
        <f>'01_원자료'!A683</f>
        <v/>
      </c>
      <c r="B686" s="70">
        <f>'01_원자료'!B683</f>
        <v/>
      </c>
      <c r="C686" s="70">
        <f>'01_원자료'!C683</f>
        <v/>
      </c>
      <c r="E686" s="85">
        <f>'01_원자료'!P683*'03_가중치민감도'!$B$5+'01_원자료'!Q683*'03_가중치민감도'!$C$5+'01_원자료'!R683*'03_가중치민감도'!$D$5</f>
        <v/>
      </c>
      <c r="F686" s="85">
        <f>'01_원자료'!P683*'03_가중치민감도'!$B$6+'01_원자료'!Q683*'03_가중치민감도'!$C$6+'01_원자료'!R683*'03_가중치민감도'!$D$6</f>
        <v/>
      </c>
      <c r="G686" s="85">
        <f>'01_원자료'!P683*'03_가중치민감도'!$B$7+'01_원자료'!Q683*'03_가중치민감도'!$C$7+'01_원자료'!R683*'03_가중치민감도'!$D$7</f>
        <v/>
      </c>
      <c r="H686" s="85">
        <f>'01_원자료'!P683*'03_가중치민감도'!$B$8+'01_원자료'!Q683*'03_가중치민감도'!$C$8+'01_원자료'!R683*'03_가중치민감도'!$D$8</f>
        <v/>
      </c>
      <c r="I686" s="85">
        <f>'01_원자료'!P683*'03_가중치민감도'!$B$9+'01_원자료'!Q683*'03_가중치민감도'!$C$9+'01_원자료'!R683*'03_가중치민감도'!$D$9</f>
        <v/>
      </c>
      <c r="J686" s="85">
        <f>'01_원자료'!P683*'03_가중치민감도'!$B$10+'01_원자료'!Q683*'03_가중치민감도'!$C$10+'01_원자료'!R683*'03_가중치민감도'!$D$10</f>
        <v/>
      </c>
      <c r="K686" s="99">
        <f>COUNTIF($E$5:$E$979,"&lt;"&amp;E686)+(COUNTIF($E$5:$E$979,"="&amp;E686)+1)/2</f>
        <v/>
      </c>
      <c r="L686" s="99">
        <f>COUNTIF($F$5:$F$979,"&lt;"&amp;F686)+(COUNTIF($F$5:$F$979,"="&amp;F686)+1)/2</f>
        <v/>
      </c>
      <c r="M686" s="99">
        <f>COUNTIF($G$5:$G$979,"&lt;"&amp;G686)+(COUNTIF($G$5:$G$979,"="&amp;G686)+1)/2</f>
        <v/>
      </c>
      <c r="N686" s="99">
        <f>COUNTIF($H$5:$H$979,"&lt;"&amp;H686)+(COUNTIF($H$5:$H$979,"="&amp;H686)+1)/2</f>
        <v/>
      </c>
      <c r="O686" s="99">
        <f>COUNTIF($I$5:$I$979,"&lt;"&amp;I686)+(COUNTIF($I$5:$I$979,"="&amp;I686)+1)/2</f>
        <v/>
      </c>
      <c r="P686" s="99">
        <f>COUNTIF($J$5:$J$979,"&lt;"&amp;J686)+(COUNTIF($J$5:$J$979,"="&amp;J686)+1)/2</f>
        <v/>
      </c>
    </row>
    <row r="687" ht="15" customHeight="1" s="68">
      <c r="A687" s="70">
        <f>'01_원자료'!A684</f>
        <v/>
      </c>
      <c r="B687" s="70">
        <f>'01_원자료'!B684</f>
        <v/>
      </c>
      <c r="C687" s="70">
        <f>'01_원자료'!C684</f>
        <v/>
      </c>
      <c r="E687" s="85">
        <f>'01_원자료'!P684*'03_가중치민감도'!$B$5+'01_원자료'!Q684*'03_가중치민감도'!$C$5+'01_원자료'!R684*'03_가중치민감도'!$D$5</f>
        <v/>
      </c>
      <c r="F687" s="85">
        <f>'01_원자료'!P684*'03_가중치민감도'!$B$6+'01_원자료'!Q684*'03_가중치민감도'!$C$6+'01_원자료'!R684*'03_가중치민감도'!$D$6</f>
        <v/>
      </c>
      <c r="G687" s="85">
        <f>'01_원자료'!P684*'03_가중치민감도'!$B$7+'01_원자료'!Q684*'03_가중치민감도'!$C$7+'01_원자료'!R684*'03_가중치민감도'!$D$7</f>
        <v/>
      </c>
      <c r="H687" s="85">
        <f>'01_원자료'!P684*'03_가중치민감도'!$B$8+'01_원자료'!Q684*'03_가중치민감도'!$C$8+'01_원자료'!R684*'03_가중치민감도'!$D$8</f>
        <v/>
      </c>
      <c r="I687" s="85">
        <f>'01_원자료'!P684*'03_가중치민감도'!$B$9+'01_원자료'!Q684*'03_가중치민감도'!$C$9+'01_원자료'!R684*'03_가중치민감도'!$D$9</f>
        <v/>
      </c>
      <c r="J687" s="85">
        <f>'01_원자료'!P684*'03_가중치민감도'!$B$10+'01_원자료'!Q684*'03_가중치민감도'!$C$10+'01_원자료'!R684*'03_가중치민감도'!$D$10</f>
        <v/>
      </c>
      <c r="K687" s="99">
        <f>COUNTIF($E$5:$E$979,"&lt;"&amp;E687)+(COUNTIF($E$5:$E$979,"="&amp;E687)+1)/2</f>
        <v/>
      </c>
      <c r="L687" s="99">
        <f>COUNTIF($F$5:$F$979,"&lt;"&amp;F687)+(COUNTIF($F$5:$F$979,"="&amp;F687)+1)/2</f>
        <v/>
      </c>
      <c r="M687" s="99">
        <f>COUNTIF($G$5:$G$979,"&lt;"&amp;G687)+(COUNTIF($G$5:$G$979,"="&amp;G687)+1)/2</f>
        <v/>
      </c>
      <c r="N687" s="99">
        <f>COUNTIF($H$5:$H$979,"&lt;"&amp;H687)+(COUNTIF($H$5:$H$979,"="&amp;H687)+1)/2</f>
        <v/>
      </c>
      <c r="O687" s="99">
        <f>COUNTIF($I$5:$I$979,"&lt;"&amp;I687)+(COUNTIF($I$5:$I$979,"="&amp;I687)+1)/2</f>
        <v/>
      </c>
      <c r="P687" s="99">
        <f>COUNTIF($J$5:$J$979,"&lt;"&amp;J687)+(COUNTIF($J$5:$J$979,"="&amp;J687)+1)/2</f>
        <v/>
      </c>
    </row>
    <row r="688" ht="15" customHeight="1" s="68">
      <c r="A688" s="70">
        <f>'01_원자료'!A685</f>
        <v/>
      </c>
      <c r="B688" s="70">
        <f>'01_원자료'!B685</f>
        <v/>
      </c>
      <c r="C688" s="70">
        <f>'01_원자료'!C685</f>
        <v/>
      </c>
      <c r="E688" s="85">
        <f>'01_원자료'!P685*'03_가중치민감도'!$B$5+'01_원자료'!Q685*'03_가중치민감도'!$C$5+'01_원자료'!R685*'03_가중치민감도'!$D$5</f>
        <v/>
      </c>
      <c r="F688" s="85">
        <f>'01_원자료'!P685*'03_가중치민감도'!$B$6+'01_원자료'!Q685*'03_가중치민감도'!$C$6+'01_원자료'!R685*'03_가중치민감도'!$D$6</f>
        <v/>
      </c>
      <c r="G688" s="85">
        <f>'01_원자료'!P685*'03_가중치민감도'!$B$7+'01_원자료'!Q685*'03_가중치민감도'!$C$7+'01_원자료'!R685*'03_가중치민감도'!$D$7</f>
        <v/>
      </c>
      <c r="H688" s="85">
        <f>'01_원자료'!P685*'03_가중치민감도'!$B$8+'01_원자료'!Q685*'03_가중치민감도'!$C$8+'01_원자료'!R685*'03_가중치민감도'!$D$8</f>
        <v/>
      </c>
      <c r="I688" s="85">
        <f>'01_원자료'!P685*'03_가중치민감도'!$B$9+'01_원자료'!Q685*'03_가중치민감도'!$C$9+'01_원자료'!R685*'03_가중치민감도'!$D$9</f>
        <v/>
      </c>
      <c r="J688" s="85">
        <f>'01_원자료'!P685*'03_가중치민감도'!$B$10+'01_원자료'!Q685*'03_가중치민감도'!$C$10+'01_원자료'!R685*'03_가중치민감도'!$D$10</f>
        <v/>
      </c>
      <c r="K688" s="99">
        <f>COUNTIF($E$5:$E$979,"&lt;"&amp;E688)+(COUNTIF($E$5:$E$979,"="&amp;E688)+1)/2</f>
        <v/>
      </c>
      <c r="L688" s="99">
        <f>COUNTIF($F$5:$F$979,"&lt;"&amp;F688)+(COUNTIF($F$5:$F$979,"="&amp;F688)+1)/2</f>
        <v/>
      </c>
      <c r="M688" s="99">
        <f>COUNTIF($G$5:$G$979,"&lt;"&amp;G688)+(COUNTIF($G$5:$G$979,"="&amp;G688)+1)/2</f>
        <v/>
      </c>
      <c r="N688" s="99">
        <f>COUNTIF($H$5:$H$979,"&lt;"&amp;H688)+(COUNTIF($H$5:$H$979,"="&amp;H688)+1)/2</f>
        <v/>
      </c>
      <c r="O688" s="99">
        <f>COUNTIF($I$5:$I$979,"&lt;"&amp;I688)+(COUNTIF($I$5:$I$979,"="&amp;I688)+1)/2</f>
        <v/>
      </c>
      <c r="P688" s="99">
        <f>COUNTIF($J$5:$J$979,"&lt;"&amp;J688)+(COUNTIF($J$5:$J$979,"="&amp;J688)+1)/2</f>
        <v/>
      </c>
    </row>
    <row r="689" ht="15" customHeight="1" s="68">
      <c r="A689" s="70">
        <f>'01_원자료'!A686</f>
        <v/>
      </c>
      <c r="B689" s="70">
        <f>'01_원자료'!B686</f>
        <v/>
      </c>
      <c r="C689" s="70">
        <f>'01_원자료'!C686</f>
        <v/>
      </c>
      <c r="E689" s="85">
        <f>'01_원자료'!P686*'03_가중치민감도'!$B$5+'01_원자료'!Q686*'03_가중치민감도'!$C$5+'01_원자료'!R686*'03_가중치민감도'!$D$5</f>
        <v/>
      </c>
      <c r="F689" s="85">
        <f>'01_원자료'!P686*'03_가중치민감도'!$B$6+'01_원자료'!Q686*'03_가중치민감도'!$C$6+'01_원자료'!R686*'03_가중치민감도'!$D$6</f>
        <v/>
      </c>
      <c r="G689" s="85">
        <f>'01_원자료'!P686*'03_가중치민감도'!$B$7+'01_원자료'!Q686*'03_가중치민감도'!$C$7+'01_원자료'!R686*'03_가중치민감도'!$D$7</f>
        <v/>
      </c>
      <c r="H689" s="85">
        <f>'01_원자료'!P686*'03_가중치민감도'!$B$8+'01_원자료'!Q686*'03_가중치민감도'!$C$8+'01_원자료'!R686*'03_가중치민감도'!$D$8</f>
        <v/>
      </c>
      <c r="I689" s="85">
        <f>'01_원자료'!P686*'03_가중치민감도'!$B$9+'01_원자료'!Q686*'03_가중치민감도'!$C$9+'01_원자료'!R686*'03_가중치민감도'!$D$9</f>
        <v/>
      </c>
      <c r="J689" s="85">
        <f>'01_원자료'!P686*'03_가중치민감도'!$B$10+'01_원자료'!Q686*'03_가중치민감도'!$C$10+'01_원자료'!R686*'03_가중치민감도'!$D$10</f>
        <v/>
      </c>
      <c r="K689" s="99">
        <f>COUNTIF($E$5:$E$979,"&lt;"&amp;E689)+(COUNTIF($E$5:$E$979,"="&amp;E689)+1)/2</f>
        <v/>
      </c>
      <c r="L689" s="99">
        <f>COUNTIF($F$5:$F$979,"&lt;"&amp;F689)+(COUNTIF($F$5:$F$979,"="&amp;F689)+1)/2</f>
        <v/>
      </c>
      <c r="M689" s="99">
        <f>COUNTIF($G$5:$G$979,"&lt;"&amp;G689)+(COUNTIF($G$5:$G$979,"="&amp;G689)+1)/2</f>
        <v/>
      </c>
      <c r="N689" s="99">
        <f>COUNTIF($H$5:$H$979,"&lt;"&amp;H689)+(COUNTIF($H$5:$H$979,"="&amp;H689)+1)/2</f>
        <v/>
      </c>
      <c r="O689" s="99">
        <f>COUNTIF($I$5:$I$979,"&lt;"&amp;I689)+(COUNTIF($I$5:$I$979,"="&amp;I689)+1)/2</f>
        <v/>
      </c>
      <c r="P689" s="99">
        <f>COUNTIF($J$5:$J$979,"&lt;"&amp;J689)+(COUNTIF($J$5:$J$979,"="&amp;J689)+1)/2</f>
        <v/>
      </c>
    </row>
    <row r="690" ht="15" customHeight="1" s="68">
      <c r="A690" s="70">
        <f>'01_원자료'!A687</f>
        <v/>
      </c>
      <c r="B690" s="70">
        <f>'01_원자료'!B687</f>
        <v/>
      </c>
      <c r="C690" s="70">
        <f>'01_원자료'!C687</f>
        <v/>
      </c>
      <c r="E690" s="85">
        <f>'01_원자료'!P687*'03_가중치민감도'!$B$5+'01_원자료'!Q687*'03_가중치민감도'!$C$5+'01_원자료'!R687*'03_가중치민감도'!$D$5</f>
        <v/>
      </c>
      <c r="F690" s="85">
        <f>'01_원자료'!P687*'03_가중치민감도'!$B$6+'01_원자료'!Q687*'03_가중치민감도'!$C$6+'01_원자료'!R687*'03_가중치민감도'!$D$6</f>
        <v/>
      </c>
      <c r="G690" s="85">
        <f>'01_원자료'!P687*'03_가중치민감도'!$B$7+'01_원자료'!Q687*'03_가중치민감도'!$C$7+'01_원자료'!R687*'03_가중치민감도'!$D$7</f>
        <v/>
      </c>
      <c r="H690" s="85">
        <f>'01_원자료'!P687*'03_가중치민감도'!$B$8+'01_원자료'!Q687*'03_가중치민감도'!$C$8+'01_원자료'!R687*'03_가중치민감도'!$D$8</f>
        <v/>
      </c>
      <c r="I690" s="85">
        <f>'01_원자료'!P687*'03_가중치민감도'!$B$9+'01_원자료'!Q687*'03_가중치민감도'!$C$9+'01_원자료'!R687*'03_가중치민감도'!$D$9</f>
        <v/>
      </c>
      <c r="J690" s="85">
        <f>'01_원자료'!P687*'03_가중치민감도'!$B$10+'01_원자료'!Q687*'03_가중치민감도'!$C$10+'01_원자료'!R687*'03_가중치민감도'!$D$10</f>
        <v/>
      </c>
      <c r="K690" s="99">
        <f>COUNTIF($E$5:$E$979,"&lt;"&amp;E690)+(COUNTIF($E$5:$E$979,"="&amp;E690)+1)/2</f>
        <v/>
      </c>
      <c r="L690" s="99">
        <f>COUNTIF($F$5:$F$979,"&lt;"&amp;F690)+(COUNTIF($F$5:$F$979,"="&amp;F690)+1)/2</f>
        <v/>
      </c>
      <c r="M690" s="99">
        <f>COUNTIF($G$5:$G$979,"&lt;"&amp;G690)+(COUNTIF($G$5:$G$979,"="&amp;G690)+1)/2</f>
        <v/>
      </c>
      <c r="N690" s="99">
        <f>COUNTIF($H$5:$H$979,"&lt;"&amp;H690)+(COUNTIF($H$5:$H$979,"="&amp;H690)+1)/2</f>
        <v/>
      </c>
      <c r="O690" s="99">
        <f>COUNTIF($I$5:$I$979,"&lt;"&amp;I690)+(COUNTIF($I$5:$I$979,"="&amp;I690)+1)/2</f>
        <v/>
      </c>
      <c r="P690" s="99">
        <f>COUNTIF($J$5:$J$979,"&lt;"&amp;J690)+(COUNTIF($J$5:$J$979,"="&amp;J690)+1)/2</f>
        <v/>
      </c>
    </row>
    <row r="691" ht="15" customHeight="1" s="68">
      <c r="A691" s="70">
        <f>'01_원자료'!A688</f>
        <v/>
      </c>
      <c r="B691" s="70">
        <f>'01_원자료'!B688</f>
        <v/>
      </c>
      <c r="C691" s="70">
        <f>'01_원자료'!C688</f>
        <v/>
      </c>
      <c r="E691" s="85">
        <f>'01_원자료'!P688*'03_가중치민감도'!$B$5+'01_원자료'!Q688*'03_가중치민감도'!$C$5+'01_원자료'!R688*'03_가중치민감도'!$D$5</f>
        <v/>
      </c>
      <c r="F691" s="85">
        <f>'01_원자료'!P688*'03_가중치민감도'!$B$6+'01_원자료'!Q688*'03_가중치민감도'!$C$6+'01_원자료'!R688*'03_가중치민감도'!$D$6</f>
        <v/>
      </c>
      <c r="G691" s="85">
        <f>'01_원자료'!P688*'03_가중치민감도'!$B$7+'01_원자료'!Q688*'03_가중치민감도'!$C$7+'01_원자료'!R688*'03_가중치민감도'!$D$7</f>
        <v/>
      </c>
      <c r="H691" s="85">
        <f>'01_원자료'!P688*'03_가중치민감도'!$B$8+'01_원자료'!Q688*'03_가중치민감도'!$C$8+'01_원자료'!R688*'03_가중치민감도'!$D$8</f>
        <v/>
      </c>
      <c r="I691" s="85">
        <f>'01_원자료'!P688*'03_가중치민감도'!$B$9+'01_원자료'!Q688*'03_가중치민감도'!$C$9+'01_원자료'!R688*'03_가중치민감도'!$D$9</f>
        <v/>
      </c>
      <c r="J691" s="85">
        <f>'01_원자료'!P688*'03_가중치민감도'!$B$10+'01_원자료'!Q688*'03_가중치민감도'!$C$10+'01_원자료'!R688*'03_가중치민감도'!$D$10</f>
        <v/>
      </c>
      <c r="K691" s="99">
        <f>COUNTIF($E$5:$E$979,"&lt;"&amp;E691)+(COUNTIF($E$5:$E$979,"="&amp;E691)+1)/2</f>
        <v/>
      </c>
      <c r="L691" s="99">
        <f>COUNTIF($F$5:$F$979,"&lt;"&amp;F691)+(COUNTIF($F$5:$F$979,"="&amp;F691)+1)/2</f>
        <v/>
      </c>
      <c r="M691" s="99">
        <f>COUNTIF($G$5:$G$979,"&lt;"&amp;G691)+(COUNTIF($G$5:$G$979,"="&amp;G691)+1)/2</f>
        <v/>
      </c>
      <c r="N691" s="99">
        <f>COUNTIF($H$5:$H$979,"&lt;"&amp;H691)+(COUNTIF($H$5:$H$979,"="&amp;H691)+1)/2</f>
        <v/>
      </c>
      <c r="O691" s="99">
        <f>COUNTIF($I$5:$I$979,"&lt;"&amp;I691)+(COUNTIF($I$5:$I$979,"="&amp;I691)+1)/2</f>
        <v/>
      </c>
      <c r="P691" s="99">
        <f>COUNTIF($J$5:$J$979,"&lt;"&amp;J691)+(COUNTIF($J$5:$J$979,"="&amp;J691)+1)/2</f>
        <v/>
      </c>
    </row>
    <row r="692" ht="15" customHeight="1" s="68">
      <c r="A692" s="70">
        <f>'01_원자료'!A689</f>
        <v/>
      </c>
      <c r="B692" s="70">
        <f>'01_원자료'!B689</f>
        <v/>
      </c>
      <c r="C692" s="70">
        <f>'01_원자료'!C689</f>
        <v/>
      </c>
      <c r="E692" s="85">
        <f>'01_원자료'!P689*'03_가중치민감도'!$B$5+'01_원자료'!Q689*'03_가중치민감도'!$C$5+'01_원자료'!R689*'03_가중치민감도'!$D$5</f>
        <v/>
      </c>
      <c r="F692" s="85">
        <f>'01_원자료'!P689*'03_가중치민감도'!$B$6+'01_원자료'!Q689*'03_가중치민감도'!$C$6+'01_원자료'!R689*'03_가중치민감도'!$D$6</f>
        <v/>
      </c>
      <c r="G692" s="85">
        <f>'01_원자료'!P689*'03_가중치민감도'!$B$7+'01_원자료'!Q689*'03_가중치민감도'!$C$7+'01_원자료'!R689*'03_가중치민감도'!$D$7</f>
        <v/>
      </c>
      <c r="H692" s="85">
        <f>'01_원자료'!P689*'03_가중치민감도'!$B$8+'01_원자료'!Q689*'03_가중치민감도'!$C$8+'01_원자료'!R689*'03_가중치민감도'!$D$8</f>
        <v/>
      </c>
      <c r="I692" s="85">
        <f>'01_원자료'!P689*'03_가중치민감도'!$B$9+'01_원자료'!Q689*'03_가중치민감도'!$C$9+'01_원자료'!R689*'03_가중치민감도'!$D$9</f>
        <v/>
      </c>
      <c r="J692" s="85">
        <f>'01_원자료'!P689*'03_가중치민감도'!$B$10+'01_원자료'!Q689*'03_가중치민감도'!$C$10+'01_원자료'!R689*'03_가중치민감도'!$D$10</f>
        <v/>
      </c>
      <c r="K692" s="99">
        <f>COUNTIF($E$5:$E$979,"&lt;"&amp;E692)+(COUNTIF($E$5:$E$979,"="&amp;E692)+1)/2</f>
        <v/>
      </c>
      <c r="L692" s="99">
        <f>COUNTIF($F$5:$F$979,"&lt;"&amp;F692)+(COUNTIF($F$5:$F$979,"="&amp;F692)+1)/2</f>
        <v/>
      </c>
      <c r="M692" s="99">
        <f>COUNTIF($G$5:$G$979,"&lt;"&amp;G692)+(COUNTIF($G$5:$G$979,"="&amp;G692)+1)/2</f>
        <v/>
      </c>
      <c r="N692" s="99">
        <f>COUNTIF($H$5:$H$979,"&lt;"&amp;H692)+(COUNTIF($H$5:$H$979,"="&amp;H692)+1)/2</f>
        <v/>
      </c>
      <c r="O692" s="99">
        <f>COUNTIF($I$5:$I$979,"&lt;"&amp;I692)+(COUNTIF($I$5:$I$979,"="&amp;I692)+1)/2</f>
        <v/>
      </c>
      <c r="P692" s="99">
        <f>COUNTIF($J$5:$J$979,"&lt;"&amp;J692)+(COUNTIF($J$5:$J$979,"="&amp;J692)+1)/2</f>
        <v/>
      </c>
    </row>
    <row r="693" ht="15" customHeight="1" s="68">
      <c r="A693" s="70">
        <f>'01_원자료'!A690</f>
        <v/>
      </c>
      <c r="B693" s="70">
        <f>'01_원자료'!B690</f>
        <v/>
      </c>
      <c r="C693" s="70">
        <f>'01_원자료'!C690</f>
        <v/>
      </c>
      <c r="E693" s="85">
        <f>'01_원자료'!P690*'03_가중치민감도'!$B$5+'01_원자료'!Q690*'03_가중치민감도'!$C$5+'01_원자료'!R690*'03_가중치민감도'!$D$5</f>
        <v/>
      </c>
      <c r="F693" s="85">
        <f>'01_원자료'!P690*'03_가중치민감도'!$B$6+'01_원자료'!Q690*'03_가중치민감도'!$C$6+'01_원자료'!R690*'03_가중치민감도'!$D$6</f>
        <v/>
      </c>
      <c r="G693" s="85">
        <f>'01_원자료'!P690*'03_가중치민감도'!$B$7+'01_원자료'!Q690*'03_가중치민감도'!$C$7+'01_원자료'!R690*'03_가중치민감도'!$D$7</f>
        <v/>
      </c>
      <c r="H693" s="85">
        <f>'01_원자료'!P690*'03_가중치민감도'!$B$8+'01_원자료'!Q690*'03_가중치민감도'!$C$8+'01_원자료'!R690*'03_가중치민감도'!$D$8</f>
        <v/>
      </c>
      <c r="I693" s="85">
        <f>'01_원자료'!P690*'03_가중치민감도'!$B$9+'01_원자료'!Q690*'03_가중치민감도'!$C$9+'01_원자료'!R690*'03_가중치민감도'!$D$9</f>
        <v/>
      </c>
      <c r="J693" s="85">
        <f>'01_원자료'!P690*'03_가중치민감도'!$B$10+'01_원자료'!Q690*'03_가중치민감도'!$C$10+'01_원자료'!R690*'03_가중치민감도'!$D$10</f>
        <v/>
      </c>
      <c r="K693" s="99">
        <f>COUNTIF($E$5:$E$979,"&lt;"&amp;E693)+(COUNTIF($E$5:$E$979,"="&amp;E693)+1)/2</f>
        <v/>
      </c>
      <c r="L693" s="99">
        <f>COUNTIF($F$5:$F$979,"&lt;"&amp;F693)+(COUNTIF($F$5:$F$979,"="&amp;F693)+1)/2</f>
        <v/>
      </c>
      <c r="M693" s="99">
        <f>COUNTIF($G$5:$G$979,"&lt;"&amp;G693)+(COUNTIF($G$5:$G$979,"="&amp;G693)+1)/2</f>
        <v/>
      </c>
      <c r="N693" s="99">
        <f>COUNTIF($H$5:$H$979,"&lt;"&amp;H693)+(COUNTIF($H$5:$H$979,"="&amp;H693)+1)/2</f>
        <v/>
      </c>
      <c r="O693" s="99">
        <f>COUNTIF($I$5:$I$979,"&lt;"&amp;I693)+(COUNTIF($I$5:$I$979,"="&amp;I693)+1)/2</f>
        <v/>
      </c>
      <c r="P693" s="99">
        <f>COUNTIF($J$5:$J$979,"&lt;"&amp;J693)+(COUNTIF($J$5:$J$979,"="&amp;J693)+1)/2</f>
        <v/>
      </c>
    </row>
    <row r="694" ht="15" customHeight="1" s="68">
      <c r="A694" s="70">
        <f>'01_원자료'!A691</f>
        <v/>
      </c>
      <c r="B694" s="70">
        <f>'01_원자료'!B691</f>
        <v/>
      </c>
      <c r="C694" s="70">
        <f>'01_원자료'!C691</f>
        <v/>
      </c>
      <c r="E694" s="85">
        <f>'01_원자료'!P691*'03_가중치민감도'!$B$5+'01_원자료'!Q691*'03_가중치민감도'!$C$5+'01_원자료'!R691*'03_가중치민감도'!$D$5</f>
        <v/>
      </c>
      <c r="F694" s="85">
        <f>'01_원자료'!P691*'03_가중치민감도'!$B$6+'01_원자료'!Q691*'03_가중치민감도'!$C$6+'01_원자료'!R691*'03_가중치민감도'!$D$6</f>
        <v/>
      </c>
      <c r="G694" s="85">
        <f>'01_원자료'!P691*'03_가중치민감도'!$B$7+'01_원자료'!Q691*'03_가중치민감도'!$C$7+'01_원자료'!R691*'03_가중치민감도'!$D$7</f>
        <v/>
      </c>
      <c r="H694" s="85">
        <f>'01_원자료'!P691*'03_가중치민감도'!$B$8+'01_원자료'!Q691*'03_가중치민감도'!$C$8+'01_원자료'!R691*'03_가중치민감도'!$D$8</f>
        <v/>
      </c>
      <c r="I694" s="85">
        <f>'01_원자료'!P691*'03_가중치민감도'!$B$9+'01_원자료'!Q691*'03_가중치민감도'!$C$9+'01_원자료'!R691*'03_가중치민감도'!$D$9</f>
        <v/>
      </c>
      <c r="J694" s="85">
        <f>'01_원자료'!P691*'03_가중치민감도'!$B$10+'01_원자료'!Q691*'03_가중치민감도'!$C$10+'01_원자료'!R691*'03_가중치민감도'!$D$10</f>
        <v/>
      </c>
      <c r="K694" s="99">
        <f>COUNTIF($E$5:$E$979,"&lt;"&amp;E694)+(COUNTIF($E$5:$E$979,"="&amp;E694)+1)/2</f>
        <v/>
      </c>
      <c r="L694" s="99">
        <f>COUNTIF($F$5:$F$979,"&lt;"&amp;F694)+(COUNTIF($F$5:$F$979,"="&amp;F694)+1)/2</f>
        <v/>
      </c>
      <c r="M694" s="99">
        <f>COUNTIF($G$5:$G$979,"&lt;"&amp;G694)+(COUNTIF($G$5:$G$979,"="&amp;G694)+1)/2</f>
        <v/>
      </c>
      <c r="N694" s="99">
        <f>COUNTIF($H$5:$H$979,"&lt;"&amp;H694)+(COUNTIF($H$5:$H$979,"="&amp;H694)+1)/2</f>
        <v/>
      </c>
      <c r="O694" s="99">
        <f>COUNTIF($I$5:$I$979,"&lt;"&amp;I694)+(COUNTIF($I$5:$I$979,"="&amp;I694)+1)/2</f>
        <v/>
      </c>
      <c r="P694" s="99">
        <f>COUNTIF($J$5:$J$979,"&lt;"&amp;J694)+(COUNTIF($J$5:$J$979,"="&amp;J694)+1)/2</f>
        <v/>
      </c>
    </row>
    <row r="695" ht="15" customHeight="1" s="68">
      <c r="A695" s="70">
        <f>'01_원자료'!A692</f>
        <v/>
      </c>
      <c r="B695" s="70">
        <f>'01_원자료'!B692</f>
        <v/>
      </c>
      <c r="C695" s="70">
        <f>'01_원자료'!C692</f>
        <v/>
      </c>
      <c r="E695" s="85">
        <f>'01_원자료'!P692*'03_가중치민감도'!$B$5+'01_원자료'!Q692*'03_가중치민감도'!$C$5+'01_원자료'!R692*'03_가중치민감도'!$D$5</f>
        <v/>
      </c>
      <c r="F695" s="85">
        <f>'01_원자료'!P692*'03_가중치민감도'!$B$6+'01_원자료'!Q692*'03_가중치민감도'!$C$6+'01_원자료'!R692*'03_가중치민감도'!$D$6</f>
        <v/>
      </c>
      <c r="G695" s="85">
        <f>'01_원자료'!P692*'03_가중치민감도'!$B$7+'01_원자료'!Q692*'03_가중치민감도'!$C$7+'01_원자료'!R692*'03_가중치민감도'!$D$7</f>
        <v/>
      </c>
      <c r="H695" s="85">
        <f>'01_원자료'!P692*'03_가중치민감도'!$B$8+'01_원자료'!Q692*'03_가중치민감도'!$C$8+'01_원자료'!R692*'03_가중치민감도'!$D$8</f>
        <v/>
      </c>
      <c r="I695" s="85">
        <f>'01_원자료'!P692*'03_가중치민감도'!$B$9+'01_원자료'!Q692*'03_가중치민감도'!$C$9+'01_원자료'!R692*'03_가중치민감도'!$D$9</f>
        <v/>
      </c>
      <c r="J695" s="85">
        <f>'01_원자료'!P692*'03_가중치민감도'!$B$10+'01_원자료'!Q692*'03_가중치민감도'!$C$10+'01_원자료'!R692*'03_가중치민감도'!$D$10</f>
        <v/>
      </c>
      <c r="K695" s="99">
        <f>COUNTIF($E$5:$E$979,"&lt;"&amp;E695)+(COUNTIF($E$5:$E$979,"="&amp;E695)+1)/2</f>
        <v/>
      </c>
      <c r="L695" s="99">
        <f>COUNTIF($F$5:$F$979,"&lt;"&amp;F695)+(COUNTIF($F$5:$F$979,"="&amp;F695)+1)/2</f>
        <v/>
      </c>
      <c r="M695" s="99">
        <f>COUNTIF($G$5:$G$979,"&lt;"&amp;G695)+(COUNTIF($G$5:$G$979,"="&amp;G695)+1)/2</f>
        <v/>
      </c>
      <c r="N695" s="99">
        <f>COUNTIF($H$5:$H$979,"&lt;"&amp;H695)+(COUNTIF($H$5:$H$979,"="&amp;H695)+1)/2</f>
        <v/>
      </c>
      <c r="O695" s="99">
        <f>COUNTIF($I$5:$I$979,"&lt;"&amp;I695)+(COUNTIF($I$5:$I$979,"="&amp;I695)+1)/2</f>
        <v/>
      </c>
      <c r="P695" s="99">
        <f>COUNTIF($J$5:$J$979,"&lt;"&amp;J695)+(COUNTIF($J$5:$J$979,"="&amp;J695)+1)/2</f>
        <v/>
      </c>
    </row>
    <row r="696" ht="15" customHeight="1" s="68">
      <c r="A696" s="70">
        <f>'01_원자료'!A693</f>
        <v/>
      </c>
      <c r="B696" s="70">
        <f>'01_원자료'!B693</f>
        <v/>
      </c>
      <c r="C696" s="70">
        <f>'01_원자료'!C693</f>
        <v/>
      </c>
      <c r="E696" s="85">
        <f>'01_원자료'!P693*'03_가중치민감도'!$B$5+'01_원자료'!Q693*'03_가중치민감도'!$C$5+'01_원자료'!R693*'03_가중치민감도'!$D$5</f>
        <v/>
      </c>
      <c r="F696" s="85">
        <f>'01_원자료'!P693*'03_가중치민감도'!$B$6+'01_원자료'!Q693*'03_가중치민감도'!$C$6+'01_원자료'!R693*'03_가중치민감도'!$D$6</f>
        <v/>
      </c>
      <c r="G696" s="85">
        <f>'01_원자료'!P693*'03_가중치민감도'!$B$7+'01_원자료'!Q693*'03_가중치민감도'!$C$7+'01_원자료'!R693*'03_가중치민감도'!$D$7</f>
        <v/>
      </c>
      <c r="H696" s="85">
        <f>'01_원자료'!P693*'03_가중치민감도'!$B$8+'01_원자료'!Q693*'03_가중치민감도'!$C$8+'01_원자료'!R693*'03_가중치민감도'!$D$8</f>
        <v/>
      </c>
      <c r="I696" s="85">
        <f>'01_원자료'!P693*'03_가중치민감도'!$B$9+'01_원자료'!Q693*'03_가중치민감도'!$C$9+'01_원자료'!R693*'03_가중치민감도'!$D$9</f>
        <v/>
      </c>
      <c r="J696" s="85">
        <f>'01_원자료'!P693*'03_가중치민감도'!$B$10+'01_원자료'!Q693*'03_가중치민감도'!$C$10+'01_원자료'!R693*'03_가중치민감도'!$D$10</f>
        <v/>
      </c>
      <c r="K696" s="99">
        <f>COUNTIF($E$5:$E$979,"&lt;"&amp;E696)+(COUNTIF($E$5:$E$979,"="&amp;E696)+1)/2</f>
        <v/>
      </c>
      <c r="L696" s="99">
        <f>COUNTIF($F$5:$F$979,"&lt;"&amp;F696)+(COUNTIF($F$5:$F$979,"="&amp;F696)+1)/2</f>
        <v/>
      </c>
      <c r="M696" s="99">
        <f>COUNTIF($G$5:$G$979,"&lt;"&amp;G696)+(COUNTIF($G$5:$G$979,"="&amp;G696)+1)/2</f>
        <v/>
      </c>
      <c r="N696" s="99">
        <f>COUNTIF($H$5:$H$979,"&lt;"&amp;H696)+(COUNTIF($H$5:$H$979,"="&amp;H696)+1)/2</f>
        <v/>
      </c>
      <c r="O696" s="99">
        <f>COUNTIF($I$5:$I$979,"&lt;"&amp;I696)+(COUNTIF($I$5:$I$979,"="&amp;I696)+1)/2</f>
        <v/>
      </c>
      <c r="P696" s="99">
        <f>COUNTIF($J$5:$J$979,"&lt;"&amp;J696)+(COUNTIF($J$5:$J$979,"="&amp;J696)+1)/2</f>
        <v/>
      </c>
    </row>
    <row r="697" ht="15" customHeight="1" s="68">
      <c r="A697" s="70">
        <f>'01_원자료'!A694</f>
        <v/>
      </c>
      <c r="B697" s="70">
        <f>'01_원자료'!B694</f>
        <v/>
      </c>
      <c r="C697" s="70">
        <f>'01_원자료'!C694</f>
        <v/>
      </c>
      <c r="E697" s="85">
        <f>'01_원자료'!P694*'03_가중치민감도'!$B$5+'01_원자료'!Q694*'03_가중치민감도'!$C$5+'01_원자료'!R694*'03_가중치민감도'!$D$5</f>
        <v/>
      </c>
      <c r="F697" s="85">
        <f>'01_원자료'!P694*'03_가중치민감도'!$B$6+'01_원자료'!Q694*'03_가중치민감도'!$C$6+'01_원자료'!R694*'03_가중치민감도'!$D$6</f>
        <v/>
      </c>
      <c r="G697" s="85">
        <f>'01_원자료'!P694*'03_가중치민감도'!$B$7+'01_원자료'!Q694*'03_가중치민감도'!$C$7+'01_원자료'!R694*'03_가중치민감도'!$D$7</f>
        <v/>
      </c>
      <c r="H697" s="85">
        <f>'01_원자료'!P694*'03_가중치민감도'!$B$8+'01_원자료'!Q694*'03_가중치민감도'!$C$8+'01_원자료'!R694*'03_가중치민감도'!$D$8</f>
        <v/>
      </c>
      <c r="I697" s="85">
        <f>'01_원자료'!P694*'03_가중치민감도'!$B$9+'01_원자료'!Q694*'03_가중치민감도'!$C$9+'01_원자료'!R694*'03_가중치민감도'!$D$9</f>
        <v/>
      </c>
      <c r="J697" s="85">
        <f>'01_원자료'!P694*'03_가중치민감도'!$B$10+'01_원자료'!Q694*'03_가중치민감도'!$C$10+'01_원자료'!R694*'03_가중치민감도'!$D$10</f>
        <v/>
      </c>
      <c r="K697" s="99">
        <f>COUNTIF($E$5:$E$979,"&lt;"&amp;E697)+(COUNTIF($E$5:$E$979,"="&amp;E697)+1)/2</f>
        <v/>
      </c>
      <c r="L697" s="99">
        <f>COUNTIF($F$5:$F$979,"&lt;"&amp;F697)+(COUNTIF($F$5:$F$979,"="&amp;F697)+1)/2</f>
        <v/>
      </c>
      <c r="M697" s="99">
        <f>COUNTIF($G$5:$G$979,"&lt;"&amp;G697)+(COUNTIF($G$5:$G$979,"="&amp;G697)+1)/2</f>
        <v/>
      </c>
      <c r="N697" s="99">
        <f>COUNTIF($H$5:$H$979,"&lt;"&amp;H697)+(COUNTIF($H$5:$H$979,"="&amp;H697)+1)/2</f>
        <v/>
      </c>
      <c r="O697" s="99">
        <f>COUNTIF($I$5:$I$979,"&lt;"&amp;I697)+(COUNTIF($I$5:$I$979,"="&amp;I697)+1)/2</f>
        <v/>
      </c>
      <c r="P697" s="99">
        <f>COUNTIF($J$5:$J$979,"&lt;"&amp;J697)+(COUNTIF($J$5:$J$979,"="&amp;J697)+1)/2</f>
        <v/>
      </c>
    </row>
    <row r="698" ht="15" customHeight="1" s="68">
      <c r="A698" s="70">
        <f>'01_원자료'!A695</f>
        <v/>
      </c>
      <c r="B698" s="70">
        <f>'01_원자료'!B695</f>
        <v/>
      </c>
      <c r="C698" s="70">
        <f>'01_원자료'!C695</f>
        <v/>
      </c>
      <c r="E698" s="85">
        <f>'01_원자료'!P695*'03_가중치민감도'!$B$5+'01_원자료'!Q695*'03_가중치민감도'!$C$5+'01_원자료'!R695*'03_가중치민감도'!$D$5</f>
        <v/>
      </c>
      <c r="F698" s="85">
        <f>'01_원자료'!P695*'03_가중치민감도'!$B$6+'01_원자료'!Q695*'03_가중치민감도'!$C$6+'01_원자료'!R695*'03_가중치민감도'!$D$6</f>
        <v/>
      </c>
      <c r="G698" s="85">
        <f>'01_원자료'!P695*'03_가중치민감도'!$B$7+'01_원자료'!Q695*'03_가중치민감도'!$C$7+'01_원자료'!R695*'03_가중치민감도'!$D$7</f>
        <v/>
      </c>
      <c r="H698" s="85">
        <f>'01_원자료'!P695*'03_가중치민감도'!$B$8+'01_원자료'!Q695*'03_가중치민감도'!$C$8+'01_원자료'!R695*'03_가중치민감도'!$D$8</f>
        <v/>
      </c>
      <c r="I698" s="85">
        <f>'01_원자료'!P695*'03_가중치민감도'!$B$9+'01_원자료'!Q695*'03_가중치민감도'!$C$9+'01_원자료'!R695*'03_가중치민감도'!$D$9</f>
        <v/>
      </c>
      <c r="J698" s="85">
        <f>'01_원자료'!P695*'03_가중치민감도'!$B$10+'01_원자료'!Q695*'03_가중치민감도'!$C$10+'01_원자료'!R695*'03_가중치민감도'!$D$10</f>
        <v/>
      </c>
      <c r="K698" s="99">
        <f>COUNTIF($E$5:$E$979,"&lt;"&amp;E698)+(COUNTIF($E$5:$E$979,"="&amp;E698)+1)/2</f>
        <v/>
      </c>
      <c r="L698" s="99">
        <f>COUNTIF($F$5:$F$979,"&lt;"&amp;F698)+(COUNTIF($F$5:$F$979,"="&amp;F698)+1)/2</f>
        <v/>
      </c>
      <c r="M698" s="99">
        <f>COUNTIF($G$5:$G$979,"&lt;"&amp;G698)+(COUNTIF($G$5:$G$979,"="&amp;G698)+1)/2</f>
        <v/>
      </c>
      <c r="N698" s="99">
        <f>COUNTIF($H$5:$H$979,"&lt;"&amp;H698)+(COUNTIF($H$5:$H$979,"="&amp;H698)+1)/2</f>
        <v/>
      </c>
      <c r="O698" s="99">
        <f>COUNTIF($I$5:$I$979,"&lt;"&amp;I698)+(COUNTIF($I$5:$I$979,"="&amp;I698)+1)/2</f>
        <v/>
      </c>
      <c r="P698" s="99">
        <f>COUNTIF($J$5:$J$979,"&lt;"&amp;J698)+(COUNTIF($J$5:$J$979,"="&amp;J698)+1)/2</f>
        <v/>
      </c>
    </row>
    <row r="699" ht="15" customHeight="1" s="68">
      <c r="A699" s="70">
        <f>'01_원자료'!A696</f>
        <v/>
      </c>
      <c r="B699" s="70">
        <f>'01_원자료'!B696</f>
        <v/>
      </c>
      <c r="C699" s="70">
        <f>'01_원자료'!C696</f>
        <v/>
      </c>
      <c r="E699" s="85">
        <f>'01_원자료'!P696*'03_가중치민감도'!$B$5+'01_원자료'!Q696*'03_가중치민감도'!$C$5+'01_원자료'!R696*'03_가중치민감도'!$D$5</f>
        <v/>
      </c>
      <c r="F699" s="85">
        <f>'01_원자료'!P696*'03_가중치민감도'!$B$6+'01_원자료'!Q696*'03_가중치민감도'!$C$6+'01_원자료'!R696*'03_가중치민감도'!$D$6</f>
        <v/>
      </c>
      <c r="G699" s="85">
        <f>'01_원자료'!P696*'03_가중치민감도'!$B$7+'01_원자료'!Q696*'03_가중치민감도'!$C$7+'01_원자료'!R696*'03_가중치민감도'!$D$7</f>
        <v/>
      </c>
      <c r="H699" s="85">
        <f>'01_원자료'!P696*'03_가중치민감도'!$B$8+'01_원자료'!Q696*'03_가중치민감도'!$C$8+'01_원자료'!R696*'03_가중치민감도'!$D$8</f>
        <v/>
      </c>
      <c r="I699" s="85">
        <f>'01_원자료'!P696*'03_가중치민감도'!$B$9+'01_원자료'!Q696*'03_가중치민감도'!$C$9+'01_원자료'!R696*'03_가중치민감도'!$D$9</f>
        <v/>
      </c>
      <c r="J699" s="85">
        <f>'01_원자료'!P696*'03_가중치민감도'!$B$10+'01_원자료'!Q696*'03_가중치민감도'!$C$10+'01_원자료'!R696*'03_가중치민감도'!$D$10</f>
        <v/>
      </c>
      <c r="K699" s="99">
        <f>COUNTIF($E$5:$E$979,"&lt;"&amp;E699)+(COUNTIF($E$5:$E$979,"="&amp;E699)+1)/2</f>
        <v/>
      </c>
      <c r="L699" s="99">
        <f>COUNTIF($F$5:$F$979,"&lt;"&amp;F699)+(COUNTIF($F$5:$F$979,"="&amp;F699)+1)/2</f>
        <v/>
      </c>
      <c r="M699" s="99">
        <f>COUNTIF($G$5:$G$979,"&lt;"&amp;G699)+(COUNTIF($G$5:$G$979,"="&amp;G699)+1)/2</f>
        <v/>
      </c>
      <c r="N699" s="99">
        <f>COUNTIF($H$5:$H$979,"&lt;"&amp;H699)+(COUNTIF($H$5:$H$979,"="&amp;H699)+1)/2</f>
        <v/>
      </c>
      <c r="O699" s="99">
        <f>COUNTIF($I$5:$I$979,"&lt;"&amp;I699)+(COUNTIF($I$5:$I$979,"="&amp;I699)+1)/2</f>
        <v/>
      </c>
      <c r="P699" s="99">
        <f>COUNTIF($J$5:$J$979,"&lt;"&amp;J699)+(COUNTIF($J$5:$J$979,"="&amp;J699)+1)/2</f>
        <v/>
      </c>
    </row>
    <row r="700" ht="15" customHeight="1" s="68">
      <c r="A700" s="70">
        <f>'01_원자료'!A697</f>
        <v/>
      </c>
      <c r="B700" s="70">
        <f>'01_원자료'!B697</f>
        <v/>
      </c>
      <c r="C700" s="70">
        <f>'01_원자료'!C697</f>
        <v/>
      </c>
      <c r="E700" s="85">
        <f>'01_원자료'!P697*'03_가중치민감도'!$B$5+'01_원자료'!Q697*'03_가중치민감도'!$C$5+'01_원자료'!R697*'03_가중치민감도'!$D$5</f>
        <v/>
      </c>
      <c r="F700" s="85">
        <f>'01_원자료'!P697*'03_가중치민감도'!$B$6+'01_원자료'!Q697*'03_가중치민감도'!$C$6+'01_원자료'!R697*'03_가중치민감도'!$D$6</f>
        <v/>
      </c>
      <c r="G700" s="85">
        <f>'01_원자료'!P697*'03_가중치민감도'!$B$7+'01_원자료'!Q697*'03_가중치민감도'!$C$7+'01_원자료'!R697*'03_가중치민감도'!$D$7</f>
        <v/>
      </c>
      <c r="H700" s="85">
        <f>'01_원자료'!P697*'03_가중치민감도'!$B$8+'01_원자료'!Q697*'03_가중치민감도'!$C$8+'01_원자료'!R697*'03_가중치민감도'!$D$8</f>
        <v/>
      </c>
      <c r="I700" s="85">
        <f>'01_원자료'!P697*'03_가중치민감도'!$B$9+'01_원자료'!Q697*'03_가중치민감도'!$C$9+'01_원자료'!R697*'03_가중치민감도'!$D$9</f>
        <v/>
      </c>
      <c r="J700" s="85">
        <f>'01_원자료'!P697*'03_가중치민감도'!$B$10+'01_원자료'!Q697*'03_가중치민감도'!$C$10+'01_원자료'!R697*'03_가중치민감도'!$D$10</f>
        <v/>
      </c>
      <c r="K700" s="99">
        <f>COUNTIF($E$5:$E$979,"&lt;"&amp;E700)+(COUNTIF($E$5:$E$979,"="&amp;E700)+1)/2</f>
        <v/>
      </c>
      <c r="L700" s="99">
        <f>COUNTIF($F$5:$F$979,"&lt;"&amp;F700)+(COUNTIF($F$5:$F$979,"="&amp;F700)+1)/2</f>
        <v/>
      </c>
      <c r="M700" s="99">
        <f>COUNTIF($G$5:$G$979,"&lt;"&amp;G700)+(COUNTIF($G$5:$G$979,"="&amp;G700)+1)/2</f>
        <v/>
      </c>
      <c r="N700" s="99">
        <f>COUNTIF($H$5:$H$979,"&lt;"&amp;H700)+(COUNTIF($H$5:$H$979,"="&amp;H700)+1)/2</f>
        <v/>
      </c>
      <c r="O700" s="99">
        <f>COUNTIF($I$5:$I$979,"&lt;"&amp;I700)+(COUNTIF($I$5:$I$979,"="&amp;I700)+1)/2</f>
        <v/>
      </c>
      <c r="P700" s="99">
        <f>COUNTIF($J$5:$J$979,"&lt;"&amp;J700)+(COUNTIF($J$5:$J$979,"="&amp;J700)+1)/2</f>
        <v/>
      </c>
    </row>
    <row r="701" ht="15" customHeight="1" s="68">
      <c r="A701" s="70">
        <f>'01_원자료'!A698</f>
        <v/>
      </c>
      <c r="B701" s="70">
        <f>'01_원자료'!B698</f>
        <v/>
      </c>
      <c r="C701" s="70">
        <f>'01_원자료'!C698</f>
        <v/>
      </c>
      <c r="E701" s="85">
        <f>'01_원자료'!P698*'03_가중치민감도'!$B$5+'01_원자료'!Q698*'03_가중치민감도'!$C$5+'01_원자료'!R698*'03_가중치민감도'!$D$5</f>
        <v/>
      </c>
      <c r="F701" s="85">
        <f>'01_원자료'!P698*'03_가중치민감도'!$B$6+'01_원자료'!Q698*'03_가중치민감도'!$C$6+'01_원자료'!R698*'03_가중치민감도'!$D$6</f>
        <v/>
      </c>
      <c r="G701" s="85">
        <f>'01_원자료'!P698*'03_가중치민감도'!$B$7+'01_원자료'!Q698*'03_가중치민감도'!$C$7+'01_원자료'!R698*'03_가중치민감도'!$D$7</f>
        <v/>
      </c>
      <c r="H701" s="85">
        <f>'01_원자료'!P698*'03_가중치민감도'!$B$8+'01_원자료'!Q698*'03_가중치민감도'!$C$8+'01_원자료'!R698*'03_가중치민감도'!$D$8</f>
        <v/>
      </c>
      <c r="I701" s="85">
        <f>'01_원자료'!P698*'03_가중치민감도'!$B$9+'01_원자료'!Q698*'03_가중치민감도'!$C$9+'01_원자료'!R698*'03_가중치민감도'!$D$9</f>
        <v/>
      </c>
      <c r="J701" s="85">
        <f>'01_원자료'!P698*'03_가중치민감도'!$B$10+'01_원자료'!Q698*'03_가중치민감도'!$C$10+'01_원자료'!R698*'03_가중치민감도'!$D$10</f>
        <v/>
      </c>
      <c r="K701" s="99">
        <f>COUNTIF($E$5:$E$979,"&lt;"&amp;E701)+(COUNTIF($E$5:$E$979,"="&amp;E701)+1)/2</f>
        <v/>
      </c>
      <c r="L701" s="99">
        <f>COUNTIF($F$5:$F$979,"&lt;"&amp;F701)+(COUNTIF($F$5:$F$979,"="&amp;F701)+1)/2</f>
        <v/>
      </c>
      <c r="M701" s="99">
        <f>COUNTIF($G$5:$G$979,"&lt;"&amp;G701)+(COUNTIF($G$5:$G$979,"="&amp;G701)+1)/2</f>
        <v/>
      </c>
      <c r="N701" s="99">
        <f>COUNTIF($H$5:$H$979,"&lt;"&amp;H701)+(COUNTIF($H$5:$H$979,"="&amp;H701)+1)/2</f>
        <v/>
      </c>
      <c r="O701" s="99">
        <f>COUNTIF($I$5:$I$979,"&lt;"&amp;I701)+(COUNTIF($I$5:$I$979,"="&amp;I701)+1)/2</f>
        <v/>
      </c>
      <c r="P701" s="99">
        <f>COUNTIF($J$5:$J$979,"&lt;"&amp;J701)+(COUNTIF($J$5:$J$979,"="&amp;J701)+1)/2</f>
        <v/>
      </c>
    </row>
    <row r="702" ht="15" customHeight="1" s="68">
      <c r="A702" s="70">
        <f>'01_원자료'!A699</f>
        <v/>
      </c>
      <c r="B702" s="70">
        <f>'01_원자료'!B699</f>
        <v/>
      </c>
      <c r="C702" s="70">
        <f>'01_원자료'!C699</f>
        <v/>
      </c>
      <c r="E702" s="85">
        <f>'01_원자료'!P699*'03_가중치민감도'!$B$5+'01_원자료'!Q699*'03_가중치민감도'!$C$5+'01_원자료'!R699*'03_가중치민감도'!$D$5</f>
        <v/>
      </c>
      <c r="F702" s="85">
        <f>'01_원자료'!P699*'03_가중치민감도'!$B$6+'01_원자료'!Q699*'03_가중치민감도'!$C$6+'01_원자료'!R699*'03_가중치민감도'!$D$6</f>
        <v/>
      </c>
      <c r="G702" s="85">
        <f>'01_원자료'!P699*'03_가중치민감도'!$B$7+'01_원자료'!Q699*'03_가중치민감도'!$C$7+'01_원자료'!R699*'03_가중치민감도'!$D$7</f>
        <v/>
      </c>
      <c r="H702" s="85">
        <f>'01_원자료'!P699*'03_가중치민감도'!$B$8+'01_원자료'!Q699*'03_가중치민감도'!$C$8+'01_원자료'!R699*'03_가중치민감도'!$D$8</f>
        <v/>
      </c>
      <c r="I702" s="85">
        <f>'01_원자료'!P699*'03_가중치민감도'!$B$9+'01_원자료'!Q699*'03_가중치민감도'!$C$9+'01_원자료'!R699*'03_가중치민감도'!$D$9</f>
        <v/>
      </c>
      <c r="J702" s="85">
        <f>'01_원자료'!P699*'03_가중치민감도'!$B$10+'01_원자료'!Q699*'03_가중치민감도'!$C$10+'01_원자료'!R699*'03_가중치민감도'!$D$10</f>
        <v/>
      </c>
      <c r="K702" s="99">
        <f>COUNTIF($E$5:$E$979,"&lt;"&amp;E702)+(COUNTIF($E$5:$E$979,"="&amp;E702)+1)/2</f>
        <v/>
      </c>
      <c r="L702" s="99">
        <f>COUNTIF($F$5:$F$979,"&lt;"&amp;F702)+(COUNTIF($F$5:$F$979,"="&amp;F702)+1)/2</f>
        <v/>
      </c>
      <c r="M702" s="99">
        <f>COUNTIF($G$5:$G$979,"&lt;"&amp;G702)+(COUNTIF($G$5:$G$979,"="&amp;G702)+1)/2</f>
        <v/>
      </c>
      <c r="N702" s="99">
        <f>COUNTIF($H$5:$H$979,"&lt;"&amp;H702)+(COUNTIF($H$5:$H$979,"="&amp;H702)+1)/2</f>
        <v/>
      </c>
      <c r="O702" s="99">
        <f>COUNTIF($I$5:$I$979,"&lt;"&amp;I702)+(COUNTIF($I$5:$I$979,"="&amp;I702)+1)/2</f>
        <v/>
      </c>
      <c r="P702" s="99">
        <f>COUNTIF($J$5:$J$979,"&lt;"&amp;J702)+(COUNTIF($J$5:$J$979,"="&amp;J702)+1)/2</f>
        <v/>
      </c>
    </row>
    <row r="703" ht="15" customHeight="1" s="68">
      <c r="A703" s="70">
        <f>'01_원자료'!A700</f>
        <v/>
      </c>
      <c r="B703" s="70">
        <f>'01_원자료'!B700</f>
        <v/>
      </c>
      <c r="C703" s="70">
        <f>'01_원자료'!C700</f>
        <v/>
      </c>
      <c r="E703" s="85">
        <f>'01_원자료'!P700*'03_가중치민감도'!$B$5+'01_원자료'!Q700*'03_가중치민감도'!$C$5+'01_원자료'!R700*'03_가중치민감도'!$D$5</f>
        <v/>
      </c>
      <c r="F703" s="85">
        <f>'01_원자료'!P700*'03_가중치민감도'!$B$6+'01_원자료'!Q700*'03_가중치민감도'!$C$6+'01_원자료'!R700*'03_가중치민감도'!$D$6</f>
        <v/>
      </c>
      <c r="G703" s="85">
        <f>'01_원자료'!P700*'03_가중치민감도'!$B$7+'01_원자료'!Q700*'03_가중치민감도'!$C$7+'01_원자료'!R700*'03_가중치민감도'!$D$7</f>
        <v/>
      </c>
      <c r="H703" s="85">
        <f>'01_원자료'!P700*'03_가중치민감도'!$B$8+'01_원자료'!Q700*'03_가중치민감도'!$C$8+'01_원자료'!R700*'03_가중치민감도'!$D$8</f>
        <v/>
      </c>
      <c r="I703" s="85">
        <f>'01_원자료'!P700*'03_가중치민감도'!$B$9+'01_원자료'!Q700*'03_가중치민감도'!$C$9+'01_원자료'!R700*'03_가중치민감도'!$D$9</f>
        <v/>
      </c>
      <c r="J703" s="85">
        <f>'01_원자료'!P700*'03_가중치민감도'!$B$10+'01_원자료'!Q700*'03_가중치민감도'!$C$10+'01_원자료'!R700*'03_가중치민감도'!$D$10</f>
        <v/>
      </c>
      <c r="K703" s="99">
        <f>COUNTIF($E$5:$E$979,"&lt;"&amp;E703)+(COUNTIF($E$5:$E$979,"="&amp;E703)+1)/2</f>
        <v/>
      </c>
      <c r="L703" s="99">
        <f>COUNTIF($F$5:$F$979,"&lt;"&amp;F703)+(COUNTIF($F$5:$F$979,"="&amp;F703)+1)/2</f>
        <v/>
      </c>
      <c r="M703" s="99">
        <f>COUNTIF($G$5:$G$979,"&lt;"&amp;G703)+(COUNTIF($G$5:$G$979,"="&amp;G703)+1)/2</f>
        <v/>
      </c>
      <c r="N703" s="99">
        <f>COUNTIF($H$5:$H$979,"&lt;"&amp;H703)+(COUNTIF($H$5:$H$979,"="&amp;H703)+1)/2</f>
        <v/>
      </c>
      <c r="O703" s="99">
        <f>COUNTIF($I$5:$I$979,"&lt;"&amp;I703)+(COUNTIF($I$5:$I$979,"="&amp;I703)+1)/2</f>
        <v/>
      </c>
      <c r="P703" s="99">
        <f>COUNTIF($J$5:$J$979,"&lt;"&amp;J703)+(COUNTIF($J$5:$J$979,"="&amp;J703)+1)/2</f>
        <v/>
      </c>
    </row>
    <row r="704" ht="15" customHeight="1" s="68">
      <c r="A704" s="70">
        <f>'01_원자료'!A701</f>
        <v/>
      </c>
      <c r="B704" s="70">
        <f>'01_원자료'!B701</f>
        <v/>
      </c>
      <c r="C704" s="70">
        <f>'01_원자료'!C701</f>
        <v/>
      </c>
      <c r="E704" s="85">
        <f>'01_원자료'!P701*'03_가중치민감도'!$B$5+'01_원자료'!Q701*'03_가중치민감도'!$C$5+'01_원자료'!R701*'03_가중치민감도'!$D$5</f>
        <v/>
      </c>
      <c r="F704" s="85">
        <f>'01_원자료'!P701*'03_가중치민감도'!$B$6+'01_원자료'!Q701*'03_가중치민감도'!$C$6+'01_원자료'!R701*'03_가중치민감도'!$D$6</f>
        <v/>
      </c>
      <c r="G704" s="85">
        <f>'01_원자료'!P701*'03_가중치민감도'!$B$7+'01_원자료'!Q701*'03_가중치민감도'!$C$7+'01_원자료'!R701*'03_가중치민감도'!$D$7</f>
        <v/>
      </c>
      <c r="H704" s="85">
        <f>'01_원자료'!P701*'03_가중치민감도'!$B$8+'01_원자료'!Q701*'03_가중치민감도'!$C$8+'01_원자료'!R701*'03_가중치민감도'!$D$8</f>
        <v/>
      </c>
      <c r="I704" s="85">
        <f>'01_원자료'!P701*'03_가중치민감도'!$B$9+'01_원자료'!Q701*'03_가중치민감도'!$C$9+'01_원자료'!R701*'03_가중치민감도'!$D$9</f>
        <v/>
      </c>
      <c r="J704" s="85">
        <f>'01_원자료'!P701*'03_가중치민감도'!$B$10+'01_원자료'!Q701*'03_가중치민감도'!$C$10+'01_원자료'!R701*'03_가중치민감도'!$D$10</f>
        <v/>
      </c>
      <c r="K704" s="99">
        <f>COUNTIF($E$5:$E$979,"&lt;"&amp;E704)+(COUNTIF($E$5:$E$979,"="&amp;E704)+1)/2</f>
        <v/>
      </c>
      <c r="L704" s="99">
        <f>COUNTIF($F$5:$F$979,"&lt;"&amp;F704)+(COUNTIF($F$5:$F$979,"="&amp;F704)+1)/2</f>
        <v/>
      </c>
      <c r="M704" s="99">
        <f>COUNTIF($G$5:$G$979,"&lt;"&amp;G704)+(COUNTIF($G$5:$G$979,"="&amp;G704)+1)/2</f>
        <v/>
      </c>
      <c r="N704" s="99">
        <f>COUNTIF($H$5:$H$979,"&lt;"&amp;H704)+(COUNTIF($H$5:$H$979,"="&amp;H704)+1)/2</f>
        <v/>
      </c>
      <c r="O704" s="99">
        <f>COUNTIF($I$5:$I$979,"&lt;"&amp;I704)+(COUNTIF($I$5:$I$979,"="&amp;I704)+1)/2</f>
        <v/>
      </c>
      <c r="P704" s="99">
        <f>COUNTIF($J$5:$J$979,"&lt;"&amp;J704)+(COUNTIF($J$5:$J$979,"="&amp;J704)+1)/2</f>
        <v/>
      </c>
    </row>
    <row r="705" ht="15" customHeight="1" s="68">
      <c r="A705" s="70">
        <f>'01_원자료'!A702</f>
        <v/>
      </c>
      <c r="B705" s="70">
        <f>'01_원자료'!B702</f>
        <v/>
      </c>
      <c r="C705" s="70">
        <f>'01_원자료'!C702</f>
        <v/>
      </c>
      <c r="E705" s="85">
        <f>'01_원자료'!P702*'03_가중치민감도'!$B$5+'01_원자료'!Q702*'03_가중치민감도'!$C$5+'01_원자료'!R702*'03_가중치민감도'!$D$5</f>
        <v/>
      </c>
      <c r="F705" s="85">
        <f>'01_원자료'!P702*'03_가중치민감도'!$B$6+'01_원자료'!Q702*'03_가중치민감도'!$C$6+'01_원자료'!R702*'03_가중치민감도'!$D$6</f>
        <v/>
      </c>
      <c r="G705" s="85">
        <f>'01_원자료'!P702*'03_가중치민감도'!$B$7+'01_원자료'!Q702*'03_가중치민감도'!$C$7+'01_원자료'!R702*'03_가중치민감도'!$D$7</f>
        <v/>
      </c>
      <c r="H705" s="85">
        <f>'01_원자료'!P702*'03_가중치민감도'!$B$8+'01_원자료'!Q702*'03_가중치민감도'!$C$8+'01_원자료'!R702*'03_가중치민감도'!$D$8</f>
        <v/>
      </c>
      <c r="I705" s="85">
        <f>'01_원자료'!P702*'03_가중치민감도'!$B$9+'01_원자료'!Q702*'03_가중치민감도'!$C$9+'01_원자료'!R702*'03_가중치민감도'!$D$9</f>
        <v/>
      </c>
      <c r="J705" s="85">
        <f>'01_원자료'!P702*'03_가중치민감도'!$B$10+'01_원자료'!Q702*'03_가중치민감도'!$C$10+'01_원자료'!R702*'03_가중치민감도'!$D$10</f>
        <v/>
      </c>
      <c r="K705" s="99">
        <f>COUNTIF($E$5:$E$979,"&lt;"&amp;E705)+(COUNTIF($E$5:$E$979,"="&amp;E705)+1)/2</f>
        <v/>
      </c>
      <c r="L705" s="99">
        <f>COUNTIF($F$5:$F$979,"&lt;"&amp;F705)+(COUNTIF($F$5:$F$979,"="&amp;F705)+1)/2</f>
        <v/>
      </c>
      <c r="M705" s="99">
        <f>COUNTIF($G$5:$G$979,"&lt;"&amp;G705)+(COUNTIF($G$5:$G$979,"="&amp;G705)+1)/2</f>
        <v/>
      </c>
      <c r="N705" s="99">
        <f>COUNTIF($H$5:$H$979,"&lt;"&amp;H705)+(COUNTIF($H$5:$H$979,"="&amp;H705)+1)/2</f>
        <v/>
      </c>
      <c r="O705" s="99">
        <f>COUNTIF($I$5:$I$979,"&lt;"&amp;I705)+(COUNTIF($I$5:$I$979,"="&amp;I705)+1)/2</f>
        <v/>
      </c>
      <c r="P705" s="99">
        <f>COUNTIF($J$5:$J$979,"&lt;"&amp;J705)+(COUNTIF($J$5:$J$979,"="&amp;J705)+1)/2</f>
        <v/>
      </c>
    </row>
    <row r="706" ht="15" customHeight="1" s="68">
      <c r="A706" s="70">
        <f>'01_원자료'!A703</f>
        <v/>
      </c>
      <c r="B706" s="70">
        <f>'01_원자료'!B703</f>
        <v/>
      </c>
      <c r="C706" s="70">
        <f>'01_원자료'!C703</f>
        <v/>
      </c>
      <c r="E706" s="85">
        <f>'01_원자료'!P703*'03_가중치민감도'!$B$5+'01_원자료'!Q703*'03_가중치민감도'!$C$5+'01_원자료'!R703*'03_가중치민감도'!$D$5</f>
        <v/>
      </c>
      <c r="F706" s="85">
        <f>'01_원자료'!P703*'03_가중치민감도'!$B$6+'01_원자료'!Q703*'03_가중치민감도'!$C$6+'01_원자료'!R703*'03_가중치민감도'!$D$6</f>
        <v/>
      </c>
      <c r="G706" s="85">
        <f>'01_원자료'!P703*'03_가중치민감도'!$B$7+'01_원자료'!Q703*'03_가중치민감도'!$C$7+'01_원자료'!R703*'03_가중치민감도'!$D$7</f>
        <v/>
      </c>
      <c r="H706" s="85">
        <f>'01_원자료'!P703*'03_가중치민감도'!$B$8+'01_원자료'!Q703*'03_가중치민감도'!$C$8+'01_원자료'!R703*'03_가중치민감도'!$D$8</f>
        <v/>
      </c>
      <c r="I706" s="85">
        <f>'01_원자료'!P703*'03_가중치민감도'!$B$9+'01_원자료'!Q703*'03_가중치민감도'!$C$9+'01_원자료'!R703*'03_가중치민감도'!$D$9</f>
        <v/>
      </c>
      <c r="J706" s="85">
        <f>'01_원자료'!P703*'03_가중치민감도'!$B$10+'01_원자료'!Q703*'03_가중치민감도'!$C$10+'01_원자료'!R703*'03_가중치민감도'!$D$10</f>
        <v/>
      </c>
      <c r="K706" s="99">
        <f>COUNTIF($E$5:$E$979,"&lt;"&amp;E706)+(COUNTIF($E$5:$E$979,"="&amp;E706)+1)/2</f>
        <v/>
      </c>
      <c r="L706" s="99">
        <f>COUNTIF($F$5:$F$979,"&lt;"&amp;F706)+(COUNTIF($F$5:$F$979,"="&amp;F706)+1)/2</f>
        <v/>
      </c>
      <c r="M706" s="99">
        <f>COUNTIF($G$5:$G$979,"&lt;"&amp;G706)+(COUNTIF($G$5:$G$979,"="&amp;G706)+1)/2</f>
        <v/>
      </c>
      <c r="N706" s="99">
        <f>COUNTIF($H$5:$H$979,"&lt;"&amp;H706)+(COUNTIF($H$5:$H$979,"="&amp;H706)+1)/2</f>
        <v/>
      </c>
      <c r="O706" s="99">
        <f>COUNTIF($I$5:$I$979,"&lt;"&amp;I706)+(COUNTIF($I$5:$I$979,"="&amp;I706)+1)/2</f>
        <v/>
      </c>
      <c r="P706" s="99">
        <f>COUNTIF($J$5:$J$979,"&lt;"&amp;J706)+(COUNTIF($J$5:$J$979,"="&amp;J706)+1)/2</f>
        <v/>
      </c>
    </row>
    <row r="707" ht="15" customHeight="1" s="68">
      <c r="A707" s="70">
        <f>'01_원자료'!A704</f>
        <v/>
      </c>
      <c r="B707" s="70">
        <f>'01_원자료'!B704</f>
        <v/>
      </c>
      <c r="C707" s="70">
        <f>'01_원자료'!C704</f>
        <v/>
      </c>
      <c r="E707" s="85">
        <f>'01_원자료'!P704*'03_가중치민감도'!$B$5+'01_원자료'!Q704*'03_가중치민감도'!$C$5+'01_원자료'!R704*'03_가중치민감도'!$D$5</f>
        <v/>
      </c>
      <c r="F707" s="85">
        <f>'01_원자료'!P704*'03_가중치민감도'!$B$6+'01_원자료'!Q704*'03_가중치민감도'!$C$6+'01_원자료'!R704*'03_가중치민감도'!$D$6</f>
        <v/>
      </c>
      <c r="G707" s="85">
        <f>'01_원자료'!P704*'03_가중치민감도'!$B$7+'01_원자료'!Q704*'03_가중치민감도'!$C$7+'01_원자료'!R704*'03_가중치민감도'!$D$7</f>
        <v/>
      </c>
      <c r="H707" s="85">
        <f>'01_원자료'!P704*'03_가중치민감도'!$B$8+'01_원자료'!Q704*'03_가중치민감도'!$C$8+'01_원자료'!R704*'03_가중치민감도'!$D$8</f>
        <v/>
      </c>
      <c r="I707" s="85">
        <f>'01_원자료'!P704*'03_가중치민감도'!$B$9+'01_원자료'!Q704*'03_가중치민감도'!$C$9+'01_원자료'!R704*'03_가중치민감도'!$D$9</f>
        <v/>
      </c>
      <c r="J707" s="85">
        <f>'01_원자료'!P704*'03_가중치민감도'!$B$10+'01_원자료'!Q704*'03_가중치민감도'!$C$10+'01_원자료'!R704*'03_가중치민감도'!$D$10</f>
        <v/>
      </c>
      <c r="K707" s="99">
        <f>COUNTIF($E$5:$E$979,"&lt;"&amp;E707)+(COUNTIF($E$5:$E$979,"="&amp;E707)+1)/2</f>
        <v/>
      </c>
      <c r="L707" s="99">
        <f>COUNTIF($F$5:$F$979,"&lt;"&amp;F707)+(COUNTIF($F$5:$F$979,"="&amp;F707)+1)/2</f>
        <v/>
      </c>
      <c r="M707" s="99">
        <f>COUNTIF($G$5:$G$979,"&lt;"&amp;G707)+(COUNTIF($G$5:$G$979,"="&amp;G707)+1)/2</f>
        <v/>
      </c>
      <c r="N707" s="99">
        <f>COUNTIF($H$5:$H$979,"&lt;"&amp;H707)+(COUNTIF($H$5:$H$979,"="&amp;H707)+1)/2</f>
        <v/>
      </c>
      <c r="O707" s="99">
        <f>COUNTIF($I$5:$I$979,"&lt;"&amp;I707)+(COUNTIF($I$5:$I$979,"="&amp;I707)+1)/2</f>
        <v/>
      </c>
      <c r="P707" s="99">
        <f>COUNTIF($J$5:$J$979,"&lt;"&amp;J707)+(COUNTIF($J$5:$J$979,"="&amp;J707)+1)/2</f>
        <v/>
      </c>
    </row>
    <row r="708" ht="15" customHeight="1" s="68">
      <c r="A708" s="70">
        <f>'01_원자료'!A705</f>
        <v/>
      </c>
      <c r="B708" s="70">
        <f>'01_원자료'!B705</f>
        <v/>
      </c>
      <c r="C708" s="70">
        <f>'01_원자료'!C705</f>
        <v/>
      </c>
      <c r="E708" s="85">
        <f>'01_원자료'!P705*'03_가중치민감도'!$B$5+'01_원자료'!Q705*'03_가중치민감도'!$C$5+'01_원자료'!R705*'03_가중치민감도'!$D$5</f>
        <v/>
      </c>
      <c r="F708" s="85">
        <f>'01_원자료'!P705*'03_가중치민감도'!$B$6+'01_원자료'!Q705*'03_가중치민감도'!$C$6+'01_원자료'!R705*'03_가중치민감도'!$D$6</f>
        <v/>
      </c>
      <c r="G708" s="85">
        <f>'01_원자료'!P705*'03_가중치민감도'!$B$7+'01_원자료'!Q705*'03_가중치민감도'!$C$7+'01_원자료'!R705*'03_가중치민감도'!$D$7</f>
        <v/>
      </c>
      <c r="H708" s="85">
        <f>'01_원자료'!P705*'03_가중치민감도'!$B$8+'01_원자료'!Q705*'03_가중치민감도'!$C$8+'01_원자료'!R705*'03_가중치민감도'!$D$8</f>
        <v/>
      </c>
      <c r="I708" s="85">
        <f>'01_원자료'!P705*'03_가중치민감도'!$B$9+'01_원자료'!Q705*'03_가중치민감도'!$C$9+'01_원자료'!R705*'03_가중치민감도'!$D$9</f>
        <v/>
      </c>
      <c r="J708" s="85">
        <f>'01_원자료'!P705*'03_가중치민감도'!$B$10+'01_원자료'!Q705*'03_가중치민감도'!$C$10+'01_원자료'!R705*'03_가중치민감도'!$D$10</f>
        <v/>
      </c>
      <c r="K708" s="99">
        <f>COUNTIF($E$5:$E$979,"&lt;"&amp;E708)+(COUNTIF($E$5:$E$979,"="&amp;E708)+1)/2</f>
        <v/>
      </c>
      <c r="L708" s="99">
        <f>COUNTIF($F$5:$F$979,"&lt;"&amp;F708)+(COUNTIF($F$5:$F$979,"="&amp;F708)+1)/2</f>
        <v/>
      </c>
      <c r="M708" s="99">
        <f>COUNTIF($G$5:$G$979,"&lt;"&amp;G708)+(COUNTIF($G$5:$G$979,"="&amp;G708)+1)/2</f>
        <v/>
      </c>
      <c r="N708" s="99">
        <f>COUNTIF($H$5:$H$979,"&lt;"&amp;H708)+(COUNTIF($H$5:$H$979,"="&amp;H708)+1)/2</f>
        <v/>
      </c>
      <c r="O708" s="99">
        <f>COUNTIF($I$5:$I$979,"&lt;"&amp;I708)+(COUNTIF($I$5:$I$979,"="&amp;I708)+1)/2</f>
        <v/>
      </c>
      <c r="P708" s="99">
        <f>COUNTIF($J$5:$J$979,"&lt;"&amp;J708)+(COUNTIF($J$5:$J$979,"="&amp;J708)+1)/2</f>
        <v/>
      </c>
    </row>
    <row r="709" ht="15" customHeight="1" s="68">
      <c r="A709" s="70">
        <f>'01_원자료'!A706</f>
        <v/>
      </c>
      <c r="B709" s="70">
        <f>'01_원자료'!B706</f>
        <v/>
      </c>
      <c r="C709" s="70">
        <f>'01_원자료'!C706</f>
        <v/>
      </c>
      <c r="E709" s="85">
        <f>'01_원자료'!P706*'03_가중치민감도'!$B$5+'01_원자료'!Q706*'03_가중치민감도'!$C$5+'01_원자료'!R706*'03_가중치민감도'!$D$5</f>
        <v/>
      </c>
      <c r="F709" s="85">
        <f>'01_원자료'!P706*'03_가중치민감도'!$B$6+'01_원자료'!Q706*'03_가중치민감도'!$C$6+'01_원자료'!R706*'03_가중치민감도'!$D$6</f>
        <v/>
      </c>
      <c r="G709" s="85">
        <f>'01_원자료'!P706*'03_가중치민감도'!$B$7+'01_원자료'!Q706*'03_가중치민감도'!$C$7+'01_원자료'!R706*'03_가중치민감도'!$D$7</f>
        <v/>
      </c>
      <c r="H709" s="85">
        <f>'01_원자료'!P706*'03_가중치민감도'!$B$8+'01_원자료'!Q706*'03_가중치민감도'!$C$8+'01_원자료'!R706*'03_가중치민감도'!$D$8</f>
        <v/>
      </c>
      <c r="I709" s="85">
        <f>'01_원자료'!P706*'03_가중치민감도'!$B$9+'01_원자료'!Q706*'03_가중치민감도'!$C$9+'01_원자료'!R706*'03_가중치민감도'!$D$9</f>
        <v/>
      </c>
      <c r="J709" s="85">
        <f>'01_원자료'!P706*'03_가중치민감도'!$B$10+'01_원자료'!Q706*'03_가중치민감도'!$C$10+'01_원자료'!R706*'03_가중치민감도'!$D$10</f>
        <v/>
      </c>
      <c r="K709" s="99">
        <f>COUNTIF($E$5:$E$979,"&lt;"&amp;E709)+(COUNTIF($E$5:$E$979,"="&amp;E709)+1)/2</f>
        <v/>
      </c>
      <c r="L709" s="99">
        <f>COUNTIF($F$5:$F$979,"&lt;"&amp;F709)+(COUNTIF($F$5:$F$979,"="&amp;F709)+1)/2</f>
        <v/>
      </c>
      <c r="M709" s="99">
        <f>COUNTIF($G$5:$G$979,"&lt;"&amp;G709)+(COUNTIF($G$5:$G$979,"="&amp;G709)+1)/2</f>
        <v/>
      </c>
      <c r="N709" s="99">
        <f>COUNTIF($H$5:$H$979,"&lt;"&amp;H709)+(COUNTIF($H$5:$H$979,"="&amp;H709)+1)/2</f>
        <v/>
      </c>
      <c r="O709" s="99">
        <f>COUNTIF($I$5:$I$979,"&lt;"&amp;I709)+(COUNTIF($I$5:$I$979,"="&amp;I709)+1)/2</f>
        <v/>
      </c>
      <c r="P709" s="99">
        <f>COUNTIF($J$5:$J$979,"&lt;"&amp;J709)+(COUNTIF($J$5:$J$979,"="&amp;J709)+1)/2</f>
        <v/>
      </c>
    </row>
    <row r="710" ht="15" customHeight="1" s="68">
      <c r="A710" s="70">
        <f>'01_원자료'!A707</f>
        <v/>
      </c>
      <c r="B710" s="70">
        <f>'01_원자료'!B707</f>
        <v/>
      </c>
      <c r="C710" s="70">
        <f>'01_원자료'!C707</f>
        <v/>
      </c>
      <c r="E710" s="85">
        <f>'01_원자료'!P707*'03_가중치민감도'!$B$5+'01_원자료'!Q707*'03_가중치민감도'!$C$5+'01_원자료'!R707*'03_가중치민감도'!$D$5</f>
        <v/>
      </c>
      <c r="F710" s="85">
        <f>'01_원자료'!P707*'03_가중치민감도'!$B$6+'01_원자료'!Q707*'03_가중치민감도'!$C$6+'01_원자료'!R707*'03_가중치민감도'!$D$6</f>
        <v/>
      </c>
      <c r="G710" s="85">
        <f>'01_원자료'!P707*'03_가중치민감도'!$B$7+'01_원자료'!Q707*'03_가중치민감도'!$C$7+'01_원자료'!R707*'03_가중치민감도'!$D$7</f>
        <v/>
      </c>
      <c r="H710" s="85">
        <f>'01_원자료'!P707*'03_가중치민감도'!$B$8+'01_원자료'!Q707*'03_가중치민감도'!$C$8+'01_원자료'!R707*'03_가중치민감도'!$D$8</f>
        <v/>
      </c>
      <c r="I710" s="85">
        <f>'01_원자료'!P707*'03_가중치민감도'!$B$9+'01_원자료'!Q707*'03_가중치민감도'!$C$9+'01_원자료'!R707*'03_가중치민감도'!$D$9</f>
        <v/>
      </c>
      <c r="J710" s="85">
        <f>'01_원자료'!P707*'03_가중치민감도'!$B$10+'01_원자료'!Q707*'03_가중치민감도'!$C$10+'01_원자료'!R707*'03_가중치민감도'!$D$10</f>
        <v/>
      </c>
      <c r="K710" s="99">
        <f>COUNTIF($E$5:$E$979,"&lt;"&amp;E710)+(COUNTIF($E$5:$E$979,"="&amp;E710)+1)/2</f>
        <v/>
      </c>
      <c r="L710" s="99">
        <f>COUNTIF($F$5:$F$979,"&lt;"&amp;F710)+(COUNTIF($F$5:$F$979,"="&amp;F710)+1)/2</f>
        <v/>
      </c>
      <c r="M710" s="99">
        <f>COUNTIF($G$5:$G$979,"&lt;"&amp;G710)+(COUNTIF($G$5:$G$979,"="&amp;G710)+1)/2</f>
        <v/>
      </c>
      <c r="N710" s="99">
        <f>COUNTIF($H$5:$H$979,"&lt;"&amp;H710)+(COUNTIF($H$5:$H$979,"="&amp;H710)+1)/2</f>
        <v/>
      </c>
      <c r="O710" s="99">
        <f>COUNTIF($I$5:$I$979,"&lt;"&amp;I710)+(COUNTIF($I$5:$I$979,"="&amp;I710)+1)/2</f>
        <v/>
      </c>
      <c r="P710" s="99">
        <f>COUNTIF($J$5:$J$979,"&lt;"&amp;J710)+(COUNTIF($J$5:$J$979,"="&amp;J710)+1)/2</f>
        <v/>
      </c>
    </row>
    <row r="711" ht="15" customHeight="1" s="68">
      <c r="A711" s="70">
        <f>'01_원자료'!A708</f>
        <v/>
      </c>
      <c r="B711" s="70">
        <f>'01_원자료'!B708</f>
        <v/>
      </c>
      <c r="C711" s="70">
        <f>'01_원자료'!C708</f>
        <v/>
      </c>
      <c r="E711" s="85">
        <f>'01_원자료'!P708*'03_가중치민감도'!$B$5+'01_원자료'!Q708*'03_가중치민감도'!$C$5+'01_원자료'!R708*'03_가중치민감도'!$D$5</f>
        <v/>
      </c>
      <c r="F711" s="85">
        <f>'01_원자료'!P708*'03_가중치민감도'!$B$6+'01_원자료'!Q708*'03_가중치민감도'!$C$6+'01_원자료'!R708*'03_가중치민감도'!$D$6</f>
        <v/>
      </c>
      <c r="G711" s="85">
        <f>'01_원자료'!P708*'03_가중치민감도'!$B$7+'01_원자료'!Q708*'03_가중치민감도'!$C$7+'01_원자료'!R708*'03_가중치민감도'!$D$7</f>
        <v/>
      </c>
      <c r="H711" s="85">
        <f>'01_원자료'!P708*'03_가중치민감도'!$B$8+'01_원자료'!Q708*'03_가중치민감도'!$C$8+'01_원자료'!R708*'03_가중치민감도'!$D$8</f>
        <v/>
      </c>
      <c r="I711" s="85">
        <f>'01_원자료'!P708*'03_가중치민감도'!$B$9+'01_원자료'!Q708*'03_가중치민감도'!$C$9+'01_원자료'!R708*'03_가중치민감도'!$D$9</f>
        <v/>
      </c>
      <c r="J711" s="85">
        <f>'01_원자료'!P708*'03_가중치민감도'!$B$10+'01_원자료'!Q708*'03_가중치민감도'!$C$10+'01_원자료'!R708*'03_가중치민감도'!$D$10</f>
        <v/>
      </c>
      <c r="K711" s="99">
        <f>COUNTIF($E$5:$E$979,"&lt;"&amp;E711)+(COUNTIF($E$5:$E$979,"="&amp;E711)+1)/2</f>
        <v/>
      </c>
      <c r="L711" s="99">
        <f>COUNTIF($F$5:$F$979,"&lt;"&amp;F711)+(COUNTIF($F$5:$F$979,"="&amp;F711)+1)/2</f>
        <v/>
      </c>
      <c r="M711" s="99">
        <f>COUNTIF($G$5:$G$979,"&lt;"&amp;G711)+(COUNTIF($G$5:$G$979,"="&amp;G711)+1)/2</f>
        <v/>
      </c>
      <c r="N711" s="99">
        <f>COUNTIF($H$5:$H$979,"&lt;"&amp;H711)+(COUNTIF($H$5:$H$979,"="&amp;H711)+1)/2</f>
        <v/>
      </c>
      <c r="O711" s="99">
        <f>COUNTIF($I$5:$I$979,"&lt;"&amp;I711)+(COUNTIF($I$5:$I$979,"="&amp;I711)+1)/2</f>
        <v/>
      </c>
      <c r="P711" s="99">
        <f>COUNTIF($J$5:$J$979,"&lt;"&amp;J711)+(COUNTIF($J$5:$J$979,"="&amp;J711)+1)/2</f>
        <v/>
      </c>
    </row>
    <row r="712" ht="15" customHeight="1" s="68">
      <c r="A712" s="70">
        <f>'01_원자료'!A709</f>
        <v/>
      </c>
      <c r="B712" s="70">
        <f>'01_원자료'!B709</f>
        <v/>
      </c>
      <c r="C712" s="70">
        <f>'01_원자료'!C709</f>
        <v/>
      </c>
      <c r="E712" s="85">
        <f>'01_원자료'!P709*'03_가중치민감도'!$B$5+'01_원자료'!Q709*'03_가중치민감도'!$C$5+'01_원자료'!R709*'03_가중치민감도'!$D$5</f>
        <v/>
      </c>
      <c r="F712" s="85">
        <f>'01_원자료'!P709*'03_가중치민감도'!$B$6+'01_원자료'!Q709*'03_가중치민감도'!$C$6+'01_원자료'!R709*'03_가중치민감도'!$D$6</f>
        <v/>
      </c>
      <c r="G712" s="85">
        <f>'01_원자료'!P709*'03_가중치민감도'!$B$7+'01_원자료'!Q709*'03_가중치민감도'!$C$7+'01_원자료'!R709*'03_가중치민감도'!$D$7</f>
        <v/>
      </c>
      <c r="H712" s="85">
        <f>'01_원자료'!P709*'03_가중치민감도'!$B$8+'01_원자료'!Q709*'03_가중치민감도'!$C$8+'01_원자료'!R709*'03_가중치민감도'!$D$8</f>
        <v/>
      </c>
      <c r="I712" s="85">
        <f>'01_원자료'!P709*'03_가중치민감도'!$B$9+'01_원자료'!Q709*'03_가중치민감도'!$C$9+'01_원자료'!R709*'03_가중치민감도'!$D$9</f>
        <v/>
      </c>
      <c r="J712" s="85">
        <f>'01_원자료'!P709*'03_가중치민감도'!$B$10+'01_원자료'!Q709*'03_가중치민감도'!$C$10+'01_원자료'!R709*'03_가중치민감도'!$D$10</f>
        <v/>
      </c>
      <c r="K712" s="99">
        <f>COUNTIF($E$5:$E$979,"&lt;"&amp;E712)+(COUNTIF($E$5:$E$979,"="&amp;E712)+1)/2</f>
        <v/>
      </c>
      <c r="L712" s="99">
        <f>COUNTIF($F$5:$F$979,"&lt;"&amp;F712)+(COUNTIF($F$5:$F$979,"="&amp;F712)+1)/2</f>
        <v/>
      </c>
      <c r="M712" s="99">
        <f>COUNTIF($G$5:$G$979,"&lt;"&amp;G712)+(COUNTIF($G$5:$G$979,"="&amp;G712)+1)/2</f>
        <v/>
      </c>
      <c r="N712" s="99">
        <f>COUNTIF($H$5:$H$979,"&lt;"&amp;H712)+(COUNTIF($H$5:$H$979,"="&amp;H712)+1)/2</f>
        <v/>
      </c>
      <c r="O712" s="99">
        <f>COUNTIF($I$5:$I$979,"&lt;"&amp;I712)+(COUNTIF($I$5:$I$979,"="&amp;I712)+1)/2</f>
        <v/>
      </c>
      <c r="P712" s="99">
        <f>COUNTIF($J$5:$J$979,"&lt;"&amp;J712)+(COUNTIF($J$5:$J$979,"="&amp;J712)+1)/2</f>
        <v/>
      </c>
    </row>
    <row r="713" ht="15" customHeight="1" s="68">
      <c r="A713" s="70">
        <f>'01_원자료'!A710</f>
        <v/>
      </c>
      <c r="B713" s="70">
        <f>'01_원자료'!B710</f>
        <v/>
      </c>
      <c r="C713" s="70">
        <f>'01_원자료'!C710</f>
        <v/>
      </c>
      <c r="E713" s="85">
        <f>'01_원자료'!P710*'03_가중치민감도'!$B$5+'01_원자료'!Q710*'03_가중치민감도'!$C$5+'01_원자료'!R710*'03_가중치민감도'!$D$5</f>
        <v/>
      </c>
      <c r="F713" s="85">
        <f>'01_원자료'!P710*'03_가중치민감도'!$B$6+'01_원자료'!Q710*'03_가중치민감도'!$C$6+'01_원자료'!R710*'03_가중치민감도'!$D$6</f>
        <v/>
      </c>
      <c r="G713" s="85">
        <f>'01_원자료'!P710*'03_가중치민감도'!$B$7+'01_원자료'!Q710*'03_가중치민감도'!$C$7+'01_원자료'!R710*'03_가중치민감도'!$D$7</f>
        <v/>
      </c>
      <c r="H713" s="85">
        <f>'01_원자료'!P710*'03_가중치민감도'!$B$8+'01_원자료'!Q710*'03_가중치민감도'!$C$8+'01_원자료'!R710*'03_가중치민감도'!$D$8</f>
        <v/>
      </c>
      <c r="I713" s="85">
        <f>'01_원자료'!P710*'03_가중치민감도'!$B$9+'01_원자료'!Q710*'03_가중치민감도'!$C$9+'01_원자료'!R710*'03_가중치민감도'!$D$9</f>
        <v/>
      </c>
      <c r="J713" s="85">
        <f>'01_원자료'!P710*'03_가중치민감도'!$B$10+'01_원자료'!Q710*'03_가중치민감도'!$C$10+'01_원자료'!R710*'03_가중치민감도'!$D$10</f>
        <v/>
      </c>
      <c r="K713" s="99">
        <f>COUNTIF($E$5:$E$979,"&lt;"&amp;E713)+(COUNTIF($E$5:$E$979,"="&amp;E713)+1)/2</f>
        <v/>
      </c>
      <c r="L713" s="99">
        <f>COUNTIF($F$5:$F$979,"&lt;"&amp;F713)+(COUNTIF($F$5:$F$979,"="&amp;F713)+1)/2</f>
        <v/>
      </c>
      <c r="M713" s="99">
        <f>COUNTIF($G$5:$G$979,"&lt;"&amp;G713)+(COUNTIF($G$5:$G$979,"="&amp;G713)+1)/2</f>
        <v/>
      </c>
      <c r="N713" s="99">
        <f>COUNTIF($H$5:$H$979,"&lt;"&amp;H713)+(COUNTIF($H$5:$H$979,"="&amp;H713)+1)/2</f>
        <v/>
      </c>
      <c r="O713" s="99">
        <f>COUNTIF($I$5:$I$979,"&lt;"&amp;I713)+(COUNTIF($I$5:$I$979,"="&amp;I713)+1)/2</f>
        <v/>
      </c>
      <c r="P713" s="99">
        <f>COUNTIF($J$5:$J$979,"&lt;"&amp;J713)+(COUNTIF($J$5:$J$979,"="&amp;J713)+1)/2</f>
        <v/>
      </c>
    </row>
    <row r="714" ht="15" customHeight="1" s="68">
      <c r="A714" s="70">
        <f>'01_원자료'!A711</f>
        <v/>
      </c>
      <c r="B714" s="70">
        <f>'01_원자료'!B711</f>
        <v/>
      </c>
      <c r="C714" s="70">
        <f>'01_원자료'!C711</f>
        <v/>
      </c>
      <c r="E714" s="85">
        <f>'01_원자료'!P711*'03_가중치민감도'!$B$5+'01_원자료'!Q711*'03_가중치민감도'!$C$5+'01_원자료'!R711*'03_가중치민감도'!$D$5</f>
        <v/>
      </c>
      <c r="F714" s="85">
        <f>'01_원자료'!P711*'03_가중치민감도'!$B$6+'01_원자료'!Q711*'03_가중치민감도'!$C$6+'01_원자료'!R711*'03_가중치민감도'!$D$6</f>
        <v/>
      </c>
      <c r="G714" s="85">
        <f>'01_원자료'!P711*'03_가중치민감도'!$B$7+'01_원자료'!Q711*'03_가중치민감도'!$C$7+'01_원자료'!R711*'03_가중치민감도'!$D$7</f>
        <v/>
      </c>
      <c r="H714" s="85">
        <f>'01_원자료'!P711*'03_가중치민감도'!$B$8+'01_원자료'!Q711*'03_가중치민감도'!$C$8+'01_원자료'!R711*'03_가중치민감도'!$D$8</f>
        <v/>
      </c>
      <c r="I714" s="85">
        <f>'01_원자료'!P711*'03_가중치민감도'!$B$9+'01_원자료'!Q711*'03_가중치민감도'!$C$9+'01_원자료'!R711*'03_가중치민감도'!$D$9</f>
        <v/>
      </c>
      <c r="J714" s="85">
        <f>'01_원자료'!P711*'03_가중치민감도'!$B$10+'01_원자료'!Q711*'03_가중치민감도'!$C$10+'01_원자료'!R711*'03_가중치민감도'!$D$10</f>
        <v/>
      </c>
      <c r="K714" s="99">
        <f>COUNTIF($E$5:$E$979,"&lt;"&amp;E714)+(COUNTIF($E$5:$E$979,"="&amp;E714)+1)/2</f>
        <v/>
      </c>
      <c r="L714" s="99">
        <f>COUNTIF($F$5:$F$979,"&lt;"&amp;F714)+(COUNTIF($F$5:$F$979,"="&amp;F714)+1)/2</f>
        <v/>
      </c>
      <c r="M714" s="99">
        <f>COUNTIF($G$5:$G$979,"&lt;"&amp;G714)+(COUNTIF($G$5:$G$979,"="&amp;G714)+1)/2</f>
        <v/>
      </c>
      <c r="N714" s="99">
        <f>COUNTIF($H$5:$H$979,"&lt;"&amp;H714)+(COUNTIF($H$5:$H$979,"="&amp;H714)+1)/2</f>
        <v/>
      </c>
      <c r="O714" s="99">
        <f>COUNTIF($I$5:$I$979,"&lt;"&amp;I714)+(COUNTIF($I$5:$I$979,"="&amp;I714)+1)/2</f>
        <v/>
      </c>
      <c r="P714" s="99">
        <f>COUNTIF($J$5:$J$979,"&lt;"&amp;J714)+(COUNTIF($J$5:$J$979,"="&amp;J714)+1)/2</f>
        <v/>
      </c>
    </row>
    <row r="715" ht="15" customHeight="1" s="68">
      <c r="A715" s="70">
        <f>'01_원자료'!A712</f>
        <v/>
      </c>
      <c r="B715" s="70">
        <f>'01_원자료'!B712</f>
        <v/>
      </c>
      <c r="C715" s="70">
        <f>'01_원자료'!C712</f>
        <v/>
      </c>
      <c r="E715" s="85">
        <f>'01_원자료'!P712*'03_가중치민감도'!$B$5+'01_원자료'!Q712*'03_가중치민감도'!$C$5+'01_원자료'!R712*'03_가중치민감도'!$D$5</f>
        <v/>
      </c>
      <c r="F715" s="85">
        <f>'01_원자료'!P712*'03_가중치민감도'!$B$6+'01_원자료'!Q712*'03_가중치민감도'!$C$6+'01_원자료'!R712*'03_가중치민감도'!$D$6</f>
        <v/>
      </c>
      <c r="G715" s="85">
        <f>'01_원자료'!P712*'03_가중치민감도'!$B$7+'01_원자료'!Q712*'03_가중치민감도'!$C$7+'01_원자료'!R712*'03_가중치민감도'!$D$7</f>
        <v/>
      </c>
      <c r="H715" s="85">
        <f>'01_원자료'!P712*'03_가중치민감도'!$B$8+'01_원자료'!Q712*'03_가중치민감도'!$C$8+'01_원자료'!R712*'03_가중치민감도'!$D$8</f>
        <v/>
      </c>
      <c r="I715" s="85">
        <f>'01_원자료'!P712*'03_가중치민감도'!$B$9+'01_원자료'!Q712*'03_가중치민감도'!$C$9+'01_원자료'!R712*'03_가중치민감도'!$D$9</f>
        <v/>
      </c>
      <c r="J715" s="85">
        <f>'01_원자료'!P712*'03_가중치민감도'!$B$10+'01_원자료'!Q712*'03_가중치민감도'!$C$10+'01_원자료'!R712*'03_가중치민감도'!$D$10</f>
        <v/>
      </c>
      <c r="K715" s="99">
        <f>COUNTIF($E$5:$E$979,"&lt;"&amp;E715)+(COUNTIF($E$5:$E$979,"="&amp;E715)+1)/2</f>
        <v/>
      </c>
      <c r="L715" s="99">
        <f>COUNTIF($F$5:$F$979,"&lt;"&amp;F715)+(COUNTIF($F$5:$F$979,"="&amp;F715)+1)/2</f>
        <v/>
      </c>
      <c r="M715" s="99">
        <f>COUNTIF($G$5:$G$979,"&lt;"&amp;G715)+(COUNTIF($G$5:$G$979,"="&amp;G715)+1)/2</f>
        <v/>
      </c>
      <c r="N715" s="99">
        <f>COUNTIF($H$5:$H$979,"&lt;"&amp;H715)+(COUNTIF($H$5:$H$979,"="&amp;H715)+1)/2</f>
        <v/>
      </c>
      <c r="O715" s="99">
        <f>COUNTIF($I$5:$I$979,"&lt;"&amp;I715)+(COUNTIF($I$5:$I$979,"="&amp;I715)+1)/2</f>
        <v/>
      </c>
      <c r="P715" s="99">
        <f>COUNTIF($J$5:$J$979,"&lt;"&amp;J715)+(COUNTIF($J$5:$J$979,"="&amp;J715)+1)/2</f>
        <v/>
      </c>
    </row>
    <row r="716" ht="15" customHeight="1" s="68">
      <c r="A716" s="70">
        <f>'01_원자료'!A713</f>
        <v/>
      </c>
      <c r="B716" s="70">
        <f>'01_원자료'!B713</f>
        <v/>
      </c>
      <c r="C716" s="70">
        <f>'01_원자료'!C713</f>
        <v/>
      </c>
      <c r="E716" s="85">
        <f>'01_원자료'!P713*'03_가중치민감도'!$B$5+'01_원자료'!Q713*'03_가중치민감도'!$C$5+'01_원자료'!R713*'03_가중치민감도'!$D$5</f>
        <v/>
      </c>
      <c r="F716" s="85">
        <f>'01_원자료'!P713*'03_가중치민감도'!$B$6+'01_원자료'!Q713*'03_가중치민감도'!$C$6+'01_원자료'!R713*'03_가중치민감도'!$D$6</f>
        <v/>
      </c>
      <c r="G716" s="85">
        <f>'01_원자료'!P713*'03_가중치민감도'!$B$7+'01_원자료'!Q713*'03_가중치민감도'!$C$7+'01_원자료'!R713*'03_가중치민감도'!$D$7</f>
        <v/>
      </c>
      <c r="H716" s="85">
        <f>'01_원자료'!P713*'03_가중치민감도'!$B$8+'01_원자료'!Q713*'03_가중치민감도'!$C$8+'01_원자료'!R713*'03_가중치민감도'!$D$8</f>
        <v/>
      </c>
      <c r="I716" s="85">
        <f>'01_원자료'!P713*'03_가중치민감도'!$B$9+'01_원자료'!Q713*'03_가중치민감도'!$C$9+'01_원자료'!R713*'03_가중치민감도'!$D$9</f>
        <v/>
      </c>
      <c r="J716" s="85">
        <f>'01_원자료'!P713*'03_가중치민감도'!$B$10+'01_원자료'!Q713*'03_가중치민감도'!$C$10+'01_원자료'!R713*'03_가중치민감도'!$D$10</f>
        <v/>
      </c>
      <c r="K716" s="99">
        <f>COUNTIF($E$5:$E$979,"&lt;"&amp;E716)+(COUNTIF($E$5:$E$979,"="&amp;E716)+1)/2</f>
        <v/>
      </c>
      <c r="L716" s="99">
        <f>COUNTIF($F$5:$F$979,"&lt;"&amp;F716)+(COUNTIF($F$5:$F$979,"="&amp;F716)+1)/2</f>
        <v/>
      </c>
      <c r="M716" s="99">
        <f>COUNTIF($G$5:$G$979,"&lt;"&amp;G716)+(COUNTIF($G$5:$G$979,"="&amp;G716)+1)/2</f>
        <v/>
      </c>
      <c r="N716" s="99">
        <f>COUNTIF($H$5:$H$979,"&lt;"&amp;H716)+(COUNTIF($H$5:$H$979,"="&amp;H716)+1)/2</f>
        <v/>
      </c>
      <c r="O716" s="99">
        <f>COUNTIF($I$5:$I$979,"&lt;"&amp;I716)+(COUNTIF($I$5:$I$979,"="&amp;I716)+1)/2</f>
        <v/>
      </c>
      <c r="P716" s="99">
        <f>COUNTIF($J$5:$J$979,"&lt;"&amp;J716)+(COUNTIF($J$5:$J$979,"="&amp;J716)+1)/2</f>
        <v/>
      </c>
    </row>
    <row r="717" ht="15" customHeight="1" s="68">
      <c r="A717" s="70">
        <f>'01_원자료'!A714</f>
        <v/>
      </c>
      <c r="B717" s="70">
        <f>'01_원자료'!B714</f>
        <v/>
      </c>
      <c r="C717" s="70">
        <f>'01_원자료'!C714</f>
        <v/>
      </c>
      <c r="E717" s="85">
        <f>'01_원자료'!P714*'03_가중치민감도'!$B$5+'01_원자료'!Q714*'03_가중치민감도'!$C$5+'01_원자료'!R714*'03_가중치민감도'!$D$5</f>
        <v/>
      </c>
      <c r="F717" s="85">
        <f>'01_원자료'!P714*'03_가중치민감도'!$B$6+'01_원자료'!Q714*'03_가중치민감도'!$C$6+'01_원자료'!R714*'03_가중치민감도'!$D$6</f>
        <v/>
      </c>
      <c r="G717" s="85">
        <f>'01_원자료'!P714*'03_가중치민감도'!$B$7+'01_원자료'!Q714*'03_가중치민감도'!$C$7+'01_원자료'!R714*'03_가중치민감도'!$D$7</f>
        <v/>
      </c>
      <c r="H717" s="85">
        <f>'01_원자료'!P714*'03_가중치민감도'!$B$8+'01_원자료'!Q714*'03_가중치민감도'!$C$8+'01_원자료'!R714*'03_가중치민감도'!$D$8</f>
        <v/>
      </c>
      <c r="I717" s="85">
        <f>'01_원자료'!P714*'03_가중치민감도'!$B$9+'01_원자료'!Q714*'03_가중치민감도'!$C$9+'01_원자료'!R714*'03_가중치민감도'!$D$9</f>
        <v/>
      </c>
      <c r="J717" s="85">
        <f>'01_원자료'!P714*'03_가중치민감도'!$B$10+'01_원자료'!Q714*'03_가중치민감도'!$C$10+'01_원자료'!R714*'03_가중치민감도'!$D$10</f>
        <v/>
      </c>
      <c r="K717" s="99">
        <f>COUNTIF($E$5:$E$979,"&lt;"&amp;E717)+(COUNTIF($E$5:$E$979,"="&amp;E717)+1)/2</f>
        <v/>
      </c>
      <c r="L717" s="99">
        <f>COUNTIF($F$5:$F$979,"&lt;"&amp;F717)+(COUNTIF($F$5:$F$979,"="&amp;F717)+1)/2</f>
        <v/>
      </c>
      <c r="M717" s="99">
        <f>COUNTIF($G$5:$G$979,"&lt;"&amp;G717)+(COUNTIF($G$5:$G$979,"="&amp;G717)+1)/2</f>
        <v/>
      </c>
      <c r="N717" s="99">
        <f>COUNTIF($H$5:$H$979,"&lt;"&amp;H717)+(COUNTIF($H$5:$H$979,"="&amp;H717)+1)/2</f>
        <v/>
      </c>
      <c r="O717" s="99">
        <f>COUNTIF($I$5:$I$979,"&lt;"&amp;I717)+(COUNTIF($I$5:$I$979,"="&amp;I717)+1)/2</f>
        <v/>
      </c>
      <c r="P717" s="99">
        <f>COUNTIF($J$5:$J$979,"&lt;"&amp;J717)+(COUNTIF($J$5:$J$979,"="&amp;J717)+1)/2</f>
        <v/>
      </c>
    </row>
    <row r="718" ht="15" customHeight="1" s="68">
      <c r="A718" s="70">
        <f>'01_원자료'!A715</f>
        <v/>
      </c>
      <c r="B718" s="70">
        <f>'01_원자료'!B715</f>
        <v/>
      </c>
      <c r="C718" s="70">
        <f>'01_원자료'!C715</f>
        <v/>
      </c>
      <c r="E718" s="85">
        <f>'01_원자료'!P715*'03_가중치민감도'!$B$5+'01_원자료'!Q715*'03_가중치민감도'!$C$5+'01_원자료'!R715*'03_가중치민감도'!$D$5</f>
        <v/>
      </c>
      <c r="F718" s="85">
        <f>'01_원자료'!P715*'03_가중치민감도'!$B$6+'01_원자료'!Q715*'03_가중치민감도'!$C$6+'01_원자료'!R715*'03_가중치민감도'!$D$6</f>
        <v/>
      </c>
      <c r="G718" s="85">
        <f>'01_원자료'!P715*'03_가중치민감도'!$B$7+'01_원자료'!Q715*'03_가중치민감도'!$C$7+'01_원자료'!R715*'03_가중치민감도'!$D$7</f>
        <v/>
      </c>
      <c r="H718" s="85">
        <f>'01_원자료'!P715*'03_가중치민감도'!$B$8+'01_원자료'!Q715*'03_가중치민감도'!$C$8+'01_원자료'!R715*'03_가중치민감도'!$D$8</f>
        <v/>
      </c>
      <c r="I718" s="85">
        <f>'01_원자료'!P715*'03_가중치민감도'!$B$9+'01_원자료'!Q715*'03_가중치민감도'!$C$9+'01_원자료'!R715*'03_가중치민감도'!$D$9</f>
        <v/>
      </c>
      <c r="J718" s="85">
        <f>'01_원자료'!P715*'03_가중치민감도'!$B$10+'01_원자료'!Q715*'03_가중치민감도'!$C$10+'01_원자료'!R715*'03_가중치민감도'!$D$10</f>
        <v/>
      </c>
      <c r="K718" s="99">
        <f>COUNTIF($E$5:$E$979,"&lt;"&amp;E718)+(COUNTIF($E$5:$E$979,"="&amp;E718)+1)/2</f>
        <v/>
      </c>
      <c r="L718" s="99">
        <f>COUNTIF($F$5:$F$979,"&lt;"&amp;F718)+(COUNTIF($F$5:$F$979,"="&amp;F718)+1)/2</f>
        <v/>
      </c>
      <c r="M718" s="99">
        <f>COUNTIF($G$5:$G$979,"&lt;"&amp;G718)+(COUNTIF($G$5:$G$979,"="&amp;G718)+1)/2</f>
        <v/>
      </c>
      <c r="N718" s="99">
        <f>COUNTIF($H$5:$H$979,"&lt;"&amp;H718)+(COUNTIF($H$5:$H$979,"="&amp;H718)+1)/2</f>
        <v/>
      </c>
      <c r="O718" s="99">
        <f>COUNTIF($I$5:$I$979,"&lt;"&amp;I718)+(COUNTIF($I$5:$I$979,"="&amp;I718)+1)/2</f>
        <v/>
      </c>
      <c r="P718" s="99">
        <f>COUNTIF($J$5:$J$979,"&lt;"&amp;J718)+(COUNTIF($J$5:$J$979,"="&amp;J718)+1)/2</f>
        <v/>
      </c>
    </row>
    <row r="719" ht="15" customHeight="1" s="68">
      <c r="A719" s="70">
        <f>'01_원자료'!A716</f>
        <v/>
      </c>
      <c r="B719" s="70">
        <f>'01_원자료'!B716</f>
        <v/>
      </c>
      <c r="C719" s="70">
        <f>'01_원자료'!C716</f>
        <v/>
      </c>
      <c r="E719" s="85">
        <f>'01_원자료'!P716*'03_가중치민감도'!$B$5+'01_원자료'!Q716*'03_가중치민감도'!$C$5+'01_원자료'!R716*'03_가중치민감도'!$D$5</f>
        <v/>
      </c>
      <c r="F719" s="85">
        <f>'01_원자료'!P716*'03_가중치민감도'!$B$6+'01_원자료'!Q716*'03_가중치민감도'!$C$6+'01_원자료'!R716*'03_가중치민감도'!$D$6</f>
        <v/>
      </c>
      <c r="G719" s="85">
        <f>'01_원자료'!P716*'03_가중치민감도'!$B$7+'01_원자료'!Q716*'03_가중치민감도'!$C$7+'01_원자료'!R716*'03_가중치민감도'!$D$7</f>
        <v/>
      </c>
      <c r="H719" s="85">
        <f>'01_원자료'!P716*'03_가중치민감도'!$B$8+'01_원자료'!Q716*'03_가중치민감도'!$C$8+'01_원자료'!R716*'03_가중치민감도'!$D$8</f>
        <v/>
      </c>
      <c r="I719" s="85">
        <f>'01_원자료'!P716*'03_가중치민감도'!$B$9+'01_원자료'!Q716*'03_가중치민감도'!$C$9+'01_원자료'!R716*'03_가중치민감도'!$D$9</f>
        <v/>
      </c>
      <c r="J719" s="85">
        <f>'01_원자료'!P716*'03_가중치민감도'!$B$10+'01_원자료'!Q716*'03_가중치민감도'!$C$10+'01_원자료'!R716*'03_가중치민감도'!$D$10</f>
        <v/>
      </c>
      <c r="K719" s="99">
        <f>COUNTIF($E$5:$E$979,"&lt;"&amp;E719)+(COUNTIF($E$5:$E$979,"="&amp;E719)+1)/2</f>
        <v/>
      </c>
      <c r="L719" s="99">
        <f>COUNTIF($F$5:$F$979,"&lt;"&amp;F719)+(COUNTIF($F$5:$F$979,"="&amp;F719)+1)/2</f>
        <v/>
      </c>
      <c r="M719" s="99">
        <f>COUNTIF($G$5:$G$979,"&lt;"&amp;G719)+(COUNTIF($G$5:$G$979,"="&amp;G719)+1)/2</f>
        <v/>
      </c>
      <c r="N719" s="99">
        <f>COUNTIF($H$5:$H$979,"&lt;"&amp;H719)+(COUNTIF($H$5:$H$979,"="&amp;H719)+1)/2</f>
        <v/>
      </c>
      <c r="O719" s="99">
        <f>COUNTIF($I$5:$I$979,"&lt;"&amp;I719)+(COUNTIF($I$5:$I$979,"="&amp;I719)+1)/2</f>
        <v/>
      </c>
      <c r="P719" s="99">
        <f>COUNTIF($J$5:$J$979,"&lt;"&amp;J719)+(COUNTIF($J$5:$J$979,"="&amp;J719)+1)/2</f>
        <v/>
      </c>
    </row>
    <row r="720" ht="15" customHeight="1" s="68">
      <c r="A720" s="70">
        <f>'01_원자료'!A717</f>
        <v/>
      </c>
      <c r="B720" s="70">
        <f>'01_원자료'!B717</f>
        <v/>
      </c>
      <c r="C720" s="70">
        <f>'01_원자료'!C717</f>
        <v/>
      </c>
      <c r="E720" s="85">
        <f>'01_원자료'!P717*'03_가중치민감도'!$B$5+'01_원자료'!Q717*'03_가중치민감도'!$C$5+'01_원자료'!R717*'03_가중치민감도'!$D$5</f>
        <v/>
      </c>
      <c r="F720" s="85">
        <f>'01_원자료'!P717*'03_가중치민감도'!$B$6+'01_원자료'!Q717*'03_가중치민감도'!$C$6+'01_원자료'!R717*'03_가중치민감도'!$D$6</f>
        <v/>
      </c>
      <c r="G720" s="85">
        <f>'01_원자료'!P717*'03_가중치민감도'!$B$7+'01_원자료'!Q717*'03_가중치민감도'!$C$7+'01_원자료'!R717*'03_가중치민감도'!$D$7</f>
        <v/>
      </c>
      <c r="H720" s="85">
        <f>'01_원자료'!P717*'03_가중치민감도'!$B$8+'01_원자료'!Q717*'03_가중치민감도'!$C$8+'01_원자료'!R717*'03_가중치민감도'!$D$8</f>
        <v/>
      </c>
      <c r="I720" s="85">
        <f>'01_원자료'!P717*'03_가중치민감도'!$B$9+'01_원자료'!Q717*'03_가중치민감도'!$C$9+'01_원자료'!R717*'03_가중치민감도'!$D$9</f>
        <v/>
      </c>
      <c r="J720" s="85">
        <f>'01_원자료'!P717*'03_가중치민감도'!$B$10+'01_원자료'!Q717*'03_가중치민감도'!$C$10+'01_원자료'!R717*'03_가중치민감도'!$D$10</f>
        <v/>
      </c>
      <c r="K720" s="99">
        <f>COUNTIF($E$5:$E$979,"&lt;"&amp;E720)+(COUNTIF($E$5:$E$979,"="&amp;E720)+1)/2</f>
        <v/>
      </c>
      <c r="L720" s="99">
        <f>COUNTIF($F$5:$F$979,"&lt;"&amp;F720)+(COUNTIF($F$5:$F$979,"="&amp;F720)+1)/2</f>
        <v/>
      </c>
      <c r="M720" s="99">
        <f>COUNTIF($G$5:$G$979,"&lt;"&amp;G720)+(COUNTIF($G$5:$G$979,"="&amp;G720)+1)/2</f>
        <v/>
      </c>
      <c r="N720" s="99">
        <f>COUNTIF($H$5:$H$979,"&lt;"&amp;H720)+(COUNTIF($H$5:$H$979,"="&amp;H720)+1)/2</f>
        <v/>
      </c>
      <c r="O720" s="99">
        <f>COUNTIF($I$5:$I$979,"&lt;"&amp;I720)+(COUNTIF($I$5:$I$979,"="&amp;I720)+1)/2</f>
        <v/>
      </c>
      <c r="P720" s="99">
        <f>COUNTIF($J$5:$J$979,"&lt;"&amp;J720)+(COUNTIF($J$5:$J$979,"="&amp;J720)+1)/2</f>
        <v/>
      </c>
    </row>
    <row r="721" ht="15" customHeight="1" s="68">
      <c r="A721" s="70">
        <f>'01_원자료'!A718</f>
        <v/>
      </c>
      <c r="B721" s="70">
        <f>'01_원자료'!B718</f>
        <v/>
      </c>
      <c r="C721" s="70">
        <f>'01_원자료'!C718</f>
        <v/>
      </c>
      <c r="E721" s="85">
        <f>'01_원자료'!P718*'03_가중치민감도'!$B$5+'01_원자료'!Q718*'03_가중치민감도'!$C$5+'01_원자료'!R718*'03_가중치민감도'!$D$5</f>
        <v/>
      </c>
      <c r="F721" s="85">
        <f>'01_원자료'!P718*'03_가중치민감도'!$B$6+'01_원자료'!Q718*'03_가중치민감도'!$C$6+'01_원자료'!R718*'03_가중치민감도'!$D$6</f>
        <v/>
      </c>
      <c r="G721" s="85">
        <f>'01_원자료'!P718*'03_가중치민감도'!$B$7+'01_원자료'!Q718*'03_가중치민감도'!$C$7+'01_원자료'!R718*'03_가중치민감도'!$D$7</f>
        <v/>
      </c>
      <c r="H721" s="85">
        <f>'01_원자료'!P718*'03_가중치민감도'!$B$8+'01_원자료'!Q718*'03_가중치민감도'!$C$8+'01_원자료'!R718*'03_가중치민감도'!$D$8</f>
        <v/>
      </c>
      <c r="I721" s="85">
        <f>'01_원자료'!P718*'03_가중치민감도'!$B$9+'01_원자료'!Q718*'03_가중치민감도'!$C$9+'01_원자료'!R718*'03_가중치민감도'!$D$9</f>
        <v/>
      </c>
      <c r="J721" s="85">
        <f>'01_원자료'!P718*'03_가중치민감도'!$B$10+'01_원자료'!Q718*'03_가중치민감도'!$C$10+'01_원자료'!R718*'03_가중치민감도'!$D$10</f>
        <v/>
      </c>
      <c r="K721" s="99">
        <f>COUNTIF($E$5:$E$979,"&lt;"&amp;E721)+(COUNTIF($E$5:$E$979,"="&amp;E721)+1)/2</f>
        <v/>
      </c>
      <c r="L721" s="99">
        <f>COUNTIF($F$5:$F$979,"&lt;"&amp;F721)+(COUNTIF($F$5:$F$979,"="&amp;F721)+1)/2</f>
        <v/>
      </c>
      <c r="M721" s="99">
        <f>COUNTIF($G$5:$G$979,"&lt;"&amp;G721)+(COUNTIF($G$5:$G$979,"="&amp;G721)+1)/2</f>
        <v/>
      </c>
      <c r="N721" s="99">
        <f>COUNTIF($H$5:$H$979,"&lt;"&amp;H721)+(COUNTIF($H$5:$H$979,"="&amp;H721)+1)/2</f>
        <v/>
      </c>
      <c r="O721" s="99">
        <f>COUNTIF($I$5:$I$979,"&lt;"&amp;I721)+(COUNTIF($I$5:$I$979,"="&amp;I721)+1)/2</f>
        <v/>
      </c>
      <c r="P721" s="99">
        <f>COUNTIF($J$5:$J$979,"&lt;"&amp;J721)+(COUNTIF($J$5:$J$979,"="&amp;J721)+1)/2</f>
        <v/>
      </c>
    </row>
    <row r="722" ht="15" customHeight="1" s="68">
      <c r="A722" s="70">
        <f>'01_원자료'!A719</f>
        <v/>
      </c>
      <c r="B722" s="70">
        <f>'01_원자료'!B719</f>
        <v/>
      </c>
      <c r="C722" s="70">
        <f>'01_원자료'!C719</f>
        <v/>
      </c>
      <c r="E722" s="85">
        <f>'01_원자료'!P719*'03_가중치민감도'!$B$5+'01_원자료'!Q719*'03_가중치민감도'!$C$5+'01_원자료'!R719*'03_가중치민감도'!$D$5</f>
        <v/>
      </c>
      <c r="F722" s="85">
        <f>'01_원자료'!P719*'03_가중치민감도'!$B$6+'01_원자료'!Q719*'03_가중치민감도'!$C$6+'01_원자료'!R719*'03_가중치민감도'!$D$6</f>
        <v/>
      </c>
      <c r="G722" s="85">
        <f>'01_원자료'!P719*'03_가중치민감도'!$B$7+'01_원자료'!Q719*'03_가중치민감도'!$C$7+'01_원자료'!R719*'03_가중치민감도'!$D$7</f>
        <v/>
      </c>
      <c r="H722" s="85">
        <f>'01_원자료'!P719*'03_가중치민감도'!$B$8+'01_원자료'!Q719*'03_가중치민감도'!$C$8+'01_원자료'!R719*'03_가중치민감도'!$D$8</f>
        <v/>
      </c>
      <c r="I722" s="85">
        <f>'01_원자료'!P719*'03_가중치민감도'!$B$9+'01_원자료'!Q719*'03_가중치민감도'!$C$9+'01_원자료'!R719*'03_가중치민감도'!$D$9</f>
        <v/>
      </c>
      <c r="J722" s="85">
        <f>'01_원자료'!P719*'03_가중치민감도'!$B$10+'01_원자료'!Q719*'03_가중치민감도'!$C$10+'01_원자료'!R719*'03_가중치민감도'!$D$10</f>
        <v/>
      </c>
      <c r="K722" s="99">
        <f>COUNTIF($E$5:$E$979,"&lt;"&amp;E722)+(COUNTIF($E$5:$E$979,"="&amp;E722)+1)/2</f>
        <v/>
      </c>
      <c r="L722" s="99">
        <f>COUNTIF($F$5:$F$979,"&lt;"&amp;F722)+(COUNTIF($F$5:$F$979,"="&amp;F722)+1)/2</f>
        <v/>
      </c>
      <c r="M722" s="99">
        <f>COUNTIF($G$5:$G$979,"&lt;"&amp;G722)+(COUNTIF($G$5:$G$979,"="&amp;G722)+1)/2</f>
        <v/>
      </c>
      <c r="N722" s="99">
        <f>COUNTIF($H$5:$H$979,"&lt;"&amp;H722)+(COUNTIF($H$5:$H$979,"="&amp;H722)+1)/2</f>
        <v/>
      </c>
      <c r="O722" s="99">
        <f>COUNTIF($I$5:$I$979,"&lt;"&amp;I722)+(COUNTIF($I$5:$I$979,"="&amp;I722)+1)/2</f>
        <v/>
      </c>
      <c r="P722" s="99">
        <f>COUNTIF($J$5:$J$979,"&lt;"&amp;J722)+(COUNTIF($J$5:$J$979,"="&amp;J722)+1)/2</f>
        <v/>
      </c>
    </row>
    <row r="723" ht="15" customHeight="1" s="68">
      <c r="A723" s="70">
        <f>'01_원자료'!A720</f>
        <v/>
      </c>
      <c r="B723" s="70">
        <f>'01_원자료'!B720</f>
        <v/>
      </c>
      <c r="C723" s="70">
        <f>'01_원자료'!C720</f>
        <v/>
      </c>
      <c r="E723" s="85">
        <f>'01_원자료'!P720*'03_가중치민감도'!$B$5+'01_원자료'!Q720*'03_가중치민감도'!$C$5+'01_원자료'!R720*'03_가중치민감도'!$D$5</f>
        <v/>
      </c>
      <c r="F723" s="85">
        <f>'01_원자료'!P720*'03_가중치민감도'!$B$6+'01_원자료'!Q720*'03_가중치민감도'!$C$6+'01_원자료'!R720*'03_가중치민감도'!$D$6</f>
        <v/>
      </c>
      <c r="G723" s="85">
        <f>'01_원자료'!P720*'03_가중치민감도'!$B$7+'01_원자료'!Q720*'03_가중치민감도'!$C$7+'01_원자료'!R720*'03_가중치민감도'!$D$7</f>
        <v/>
      </c>
      <c r="H723" s="85">
        <f>'01_원자료'!P720*'03_가중치민감도'!$B$8+'01_원자료'!Q720*'03_가중치민감도'!$C$8+'01_원자료'!R720*'03_가중치민감도'!$D$8</f>
        <v/>
      </c>
      <c r="I723" s="85">
        <f>'01_원자료'!P720*'03_가중치민감도'!$B$9+'01_원자료'!Q720*'03_가중치민감도'!$C$9+'01_원자료'!R720*'03_가중치민감도'!$D$9</f>
        <v/>
      </c>
      <c r="J723" s="85">
        <f>'01_원자료'!P720*'03_가중치민감도'!$B$10+'01_원자료'!Q720*'03_가중치민감도'!$C$10+'01_원자료'!R720*'03_가중치민감도'!$D$10</f>
        <v/>
      </c>
      <c r="K723" s="99">
        <f>COUNTIF($E$5:$E$979,"&lt;"&amp;E723)+(COUNTIF($E$5:$E$979,"="&amp;E723)+1)/2</f>
        <v/>
      </c>
      <c r="L723" s="99">
        <f>COUNTIF($F$5:$F$979,"&lt;"&amp;F723)+(COUNTIF($F$5:$F$979,"="&amp;F723)+1)/2</f>
        <v/>
      </c>
      <c r="M723" s="99">
        <f>COUNTIF($G$5:$G$979,"&lt;"&amp;G723)+(COUNTIF($G$5:$G$979,"="&amp;G723)+1)/2</f>
        <v/>
      </c>
      <c r="N723" s="99">
        <f>COUNTIF($H$5:$H$979,"&lt;"&amp;H723)+(COUNTIF($H$5:$H$979,"="&amp;H723)+1)/2</f>
        <v/>
      </c>
      <c r="O723" s="99">
        <f>COUNTIF($I$5:$I$979,"&lt;"&amp;I723)+(COUNTIF($I$5:$I$979,"="&amp;I723)+1)/2</f>
        <v/>
      </c>
      <c r="P723" s="99">
        <f>COUNTIF($J$5:$J$979,"&lt;"&amp;J723)+(COUNTIF($J$5:$J$979,"="&amp;J723)+1)/2</f>
        <v/>
      </c>
    </row>
    <row r="724" ht="15" customHeight="1" s="68">
      <c r="A724" s="70">
        <f>'01_원자료'!A721</f>
        <v/>
      </c>
      <c r="B724" s="70">
        <f>'01_원자료'!B721</f>
        <v/>
      </c>
      <c r="C724" s="70">
        <f>'01_원자료'!C721</f>
        <v/>
      </c>
      <c r="E724" s="85">
        <f>'01_원자료'!P721*'03_가중치민감도'!$B$5+'01_원자료'!Q721*'03_가중치민감도'!$C$5+'01_원자료'!R721*'03_가중치민감도'!$D$5</f>
        <v/>
      </c>
      <c r="F724" s="85">
        <f>'01_원자료'!P721*'03_가중치민감도'!$B$6+'01_원자료'!Q721*'03_가중치민감도'!$C$6+'01_원자료'!R721*'03_가중치민감도'!$D$6</f>
        <v/>
      </c>
      <c r="G724" s="85">
        <f>'01_원자료'!P721*'03_가중치민감도'!$B$7+'01_원자료'!Q721*'03_가중치민감도'!$C$7+'01_원자료'!R721*'03_가중치민감도'!$D$7</f>
        <v/>
      </c>
      <c r="H724" s="85">
        <f>'01_원자료'!P721*'03_가중치민감도'!$B$8+'01_원자료'!Q721*'03_가중치민감도'!$C$8+'01_원자료'!R721*'03_가중치민감도'!$D$8</f>
        <v/>
      </c>
      <c r="I724" s="85">
        <f>'01_원자료'!P721*'03_가중치민감도'!$B$9+'01_원자료'!Q721*'03_가중치민감도'!$C$9+'01_원자료'!R721*'03_가중치민감도'!$D$9</f>
        <v/>
      </c>
      <c r="J724" s="85">
        <f>'01_원자료'!P721*'03_가중치민감도'!$B$10+'01_원자료'!Q721*'03_가중치민감도'!$C$10+'01_원자료'!R721*'03_가중치민감도'!$D$10</f>
        <v/>
      </c>
      <c r="K724" s="99">
        <f>COUNTIF($E$5:$E$979,"&lt;"&amp;E724)+(COUNTIF($E$5:$E$979,"="&amp;E724)+1)/2</f>
        <v/>
      </c>
      <c r="L724" s="99">
        <f>COUNTIF($F$5:$F$979,"&lt;"&amp;F724)+(COUNTIF($F$5:$F$979,"="&amp;F724)+1)/2</f>
        <v/>
      </c>
      <c r="M724" s="99">
        <f>COUNTIF($G$5:$G$979,"&lt;"&amp;G724)+(COUNTIF($G$5:$G$979,"="&amp;G724)+1)/2</f>
        <v/>
      </c>
      <c r="N724" s="99">
        <f>COUNTIF($H$5:$H$979,"&lt;"&amp;H724)+(COUNTIF($H$5:$H$979,"="&amp;H724)+1)/2</f>
        <v/>
      </c>
      <c r="O724" s="99">
        <f>COUNTIF($I$5:$I$979,"&lt;"&amp;I724)+(COUNTIF($I$5:$I$979,"="&amp;I724)+1)/2</f>
        <v/>
      </c>
      <c r="P724" s="99">
        <f>COUNTIF($J$5:$J$979,"&lt;"&amp;J724)+(COUNTIF($J$5:$J$979,"="&amp;J724)+1)/2</f>
        <v/>
      </c>
    </row>
    <row r="725" ht="15" customHeight="1" s="68">
      <c r="A725" s="70">
        <f>'01_원자료'!A722</f>
        <v/>
      </c>
      <c r="B725" s="70">
        <f>'01_원자료'!B722</f>
        <v/>
      </c>
      <c r="C725" s="70">
        <f>'01_원자료'!C722</f>
        <v/>
      </c>
      <c r="E725" s="85">
        <f>'01_원자료'!P722*'03_가중치민감도'!$B$5+'01_원자료'!Q722*'03_가중치민감도'!$C$5+'01_원자료'!R722*'03_가중치민감도'!$D$5</f>
        <v/>
      </c>
      <c r="F725" s="85">
        <f>'01_원자료'!P722*'03_가중치민감도'!$B$6+'01_원자료'!Q722*'03_가중치민감도'!$C$6+'01_원자료'!R722*'03_가중치민감도'!$D$6</f>
        <v/>
      </c>
      <c r="G725" s="85">
        <f>'01_원자료'!P722*'03_가중치민감도'!$B$7+'01_원자료'!Q722*'03_가중치민감도'!$C$7+'01_원자료'!R722*'03_가중치민감도'!$D$7</f>
        <v/>
      </c>
      <c r="H725" s="85">
        <f>'01_원자료'!P722*'03_가중치민감도'!$B$8+'01_원자료'!Q722*'03_가중치민감도'!$C$8+'01_원자료'!R722*'03_가중치민감도'!$D$8</f>
        <v/>
      </c>
      <c r="I725" s="85">
        <f>'01_원자료'!P722*'03_가중치민감도'!$B$9+'01_원자료'!Q722*'03_가중치민감도'!$C$9+'01_원자료'!R722*'03_가중치민감도'!$D$9</f>
        <v/>
      </c>
      <c r="J725" s="85">
        <f>'01_원자료'!P722*'03_가중치민감도'!$B$10+'01_원자료'!Q722*'03_가중치민감도'!$C$10+'01_원자료'!R722*'03_가중치민감도'!$D$10</f>
        <v/>
      </c>
      <c r="K725" s="99">
        <f>COUNTIF($E$5:$E$979,"&lt;"&amp;E725)+(COUNTIF($E$5:$E$979,"="&amp;E725)+1)/2</f>
        <v/>
      </c>
      <c r="L725" s="99">
        <f>COUNTIF($F$5:$F$979,"&lt;"&amp;F725)+(COUNTIF($F$5:$F$979,"="&amp;F725)+1)/2</f>
        <v/>
      </c>
      <c r="M725" s="99">
        <f>COUNTIF($G$5:$G$979,"&lt;"&amp;G725)+(COUNTIF($G$5:$G$979,"="&amp;G725)+1)/2</f>
        <v/>
      </c>
      <c r="N725" s="99">
        <f>COUNTIF($H$5:$H$979,"&lt;"&amp;H725)+(COUNTIF($H$5:$H$979,"="&amp;H725)+1)/2</f>
        <v/>
      </c>
      <c r="O725" s="99">
        <f>COUNTIF($I$5:$I$979,"&lt;"&amp;I725)+(COUNTIF($I$5:$I$979,"="&amp;I725)+1)/2</f>
        <v/>
      </c>
      <c r="P725" s="99">
        <f>COUNTIF($J$5:$J$979,"&lt;"&amp;J725)+(COUNTIF($J$5:$J$979,"="&amp;J725)+1)/2</f>
        <v/>
      </c>
    </row>
    <row r="726" ht="15" customHeight="1" s="68">
      <c r="A726" s="70">
        <f>'01_원자료'!A723</f>
        <v/>
      </c>
      <c r="B726" s="70">
        <f>'01_원자료'!B723</f>
        <v/>
      </c>
      <c r="C726" s="70">
        <f>'01_원자료'!C723</f>
        <v/>
      </c>
      <c r="E726" s="85">
        <f>'01_원자료'!P723*'03_가중치민감도'!$B$5+'01_원자료'!Q723*'03_가중치민감도'!$C$5+'01_원자료'!R723*'03_가중치민감도'!$D$5</f>
        <v/>
      </c>
      <c r="F726" s="85">
        <f>'01_원자료'!P723*'03_가중치민감도'!$B$6+'01_원자료'!Q723*'03_가중치민감도'!$C$6+'01_원자료'!R723*'03_가중치민감도'!$D$6</f>
        <v/>
      </c>
      <c r="G726" s="85">
        <f>'01_원자료'!P723*'03_가중치민감도'!$B$7+'01_원자료'!Q723*'03_가중치민감도'!$C$7+'01_원자료'!R723*'03_가중치민감도'!$D$7</f>
        <v/>
      </c>
      <c r="H726" s="85">
        <f>'01_원자료'!P723*'03_가중치민감도'!$B$8+'01_원자료'!Q723*'03_가중치민감도'!$C$8+'01_원자료'!R723*'03_가중치민감도'!$D$8</f>
        <v/>
      </c>
      <c r="I726" s="85">
        <f>'01_원자료'!P723*'03_가중치민감도'!$B$9+'01_원자료'!Q723*'03_가중치민감도'!$C$9+'01_원자료'!R723*'03_가중치민감도'!$D$9</f>
        <v/>
      </c>
      <c r="J726" s="85">
        <f>'01_원자료'!P723*'03_가중치민감도'!$B$10+'01_원자료'!Q723*'03_가중치민감도'!$C$10+'01_원자료'!R723*'03_가중치민감도'!$D$10</f>
        <v/>
      </c>
      <c r="K726" s="99">
        <f>COUNTIF($E$5:$E$979,"&lt;"&amp;E726)+(COUNTIF($E$5:$E$979,"="&amp;E726)+1)/2</f>
        <v/>
      </c>
      <c r="L726" s="99">
        <f>COUNTIF($F$5:$F$979,"&lt;"&amp;F726)+(COUNTIF($F$5:$F$979,"="&amp;F726)+1)/2</f>
        <v/>
      </c>
      <c r="M726" s="99">
        <f>COUNTIF($G$5:$G$979,"&lt;"&amp;G726)+(COUNTIF($G$5:$G$979,"="&amp;G726)+1)/2</f>
        <v/>
      </c>
      <c r="N726" s="99">
        <f>COUNTIF($H$5:$H$979,"&lt;"&amp;H726)+(COUNTIF($H$5:$H$979,"="&amp;H726)+1)/2</f>
        <v/>
      </c>
      <c r="O726" s="99">
        <f>COUNTIF($I$5:$I$979,"&lt;"&amp;I726)+(COUNTIF($I$5:$I$979,"="&amp;I726)+1)/2</f>
        <v/>
      </c>
      <c r="P726" s="99">
        <f>COUNTIF($J$5:$J$979,"&lt;"&amp;J726)+(COUNTIF($J$5:$J$979,"="&amp;J726)+1)/2</f>
        <v/>
      </c>
    </row>
    <row r="727" ht="15" customHeight="1" s="68">
      <c r="A727" s="70">
        <f>'01_원자료'!A724</f>
        <v/>
      </c>
      <c r="B727" s="70">
        <f>'01_원자료'!B724</f>
        <v/>
      </c>
      <c r="C727" s="70">
        <f>'01_원자료'!C724</f>
        <v/>
      </c>
      <c r="E727" s="85">
        <f>'01_원자료'!P724*'03_가중치민감도'!$B$5+'01_원자료'!Q724*'03_가중치민감도'!$C$5+'01_원자료'!R724*'03_가중치민감도'!$D$5</f>
        <v/>
      </c>
      <c r="F727" s="85">
        <f>'01_원자료'!P724*'03_가중치민감도'!$B$6+'01_원자료'!Q724*'03_가중치민감도'!$C$6+'01_원자료'!R724*'03_가중치민감도'!$D$6</f>
        <v/>
      </c>
      <c r="G727" s="85">
        <f>'01_원자료'!P724*'03_가중치민감도'!$B$7+'01_원자료'!Q724*'03_가중치민감도'!$C$7+'01_원자료'!R724*'03_가중치민감도'!$D$7</f>
        <v/>
      </c>
      <c r="H727" s="85">
        <f>'01_원자료'!P724*'03_가중치민감도'!$B$8+'01_원자료'!Q724*'03_가중치민감도'!$C$8+'01_원자료'!R724*'03_가중치민감도'!$D$8</f>
        <v/>
      </c>
      <c r="I727" s="85">
        <f>'01_원자료'!P724*'03_가중치민감도'!$B$9+'01_원자료'!Q724*'03_가중치민감도'!$C$9+'01_원자료'!R724*'03_가중치민감도'!$D$9</f>
        <v/>
      </c>
      <c r="J727" s="85">
        <f>'01_원자료'!P724*'03_가중치민감도'!$B$10+'01_원자료'!Q724*'03_가중치민감도'!$C$10+'01_원자료'!R724*'03_가중치민감도'!$D$10</f>
        <v/>
      </c>
      <c r="K727" s="99">
        <f>COUNTIF($E$5:$E$979,"&lt;"&amp;E727)+(COUNTIF($E$5:$E$979,"="&amp;E727)+1)/2</f>
        <v/>
      </c>
      <c r="L727" s="99">
        <f>COUNTIF($F$5:$F$979,"&lt;"&amp;F727)+(COUNTIF($F$5:$F$979,"="&amp;F727)+1)/2</f>
        <v/>
      </c>
      <c r="M727" s="99">
        <f>COUNTIF($G$5:$G$979,"&lt;"&amp;G727)+(COUNTIF($G$5:$G$979,"="&amp;G727)+1)/2</f>
        <v/>
      </c>
      <c r="N727" s="99">
        <f>COUNTIF($H$5:$H$979,"&lt;"&amp;H727)+(COUNTIF($H$5:$H$979,"="&amp;H727)+1)/2</f>
        <v/>
      </c>
      <c r="O727" s="99">
        <f>COUNTIF($I$5:$I$979,"&lt;"&amp;I727)+(COUNTIF($I$5:$I$979,"="&amp;I727)+1)/2</f>
        <v/>
      </c>
      <c r="P727" s="99">
        <f>COUNTIF($J$5:$J$979,"&lt;"&amp;J727)+(COUNTIF($J$5:$J$979,"="&amp;J727)+1)/2</f>
        <v/>
      </c>
    </row>
    <row r="728" ht="15" customHeight="1" s="68">
      <c r="A728" s="70">
        <f>'01_원자료'!A725</f>
        <v/>
      </c>
      <c r="B728" s="70">
        <f>'01_원자료'!B725</f>
        <v/>
      </c>
      <c r="C728" s="70">
        <f>'01_원자료'!C725</f>
        <v/>
      </c>
      <c r="E728" s="85">
        <f>'01_원자료'!P725*'03_가중치민감도'!$B$5+'01_원자료'!Q725*'03_가중치민감도'!$C$5+'01_원자료'!R725*'03_가중치민감도'!$D$5</f>
        <v/>
      </c>
      <c r="F728" s="85">
        <f>'01_원자료'!P725*'03_가중치민감도'!$B$6+'01_원자료'!Q725*'03_가중치민감도'!$C$6+'01_원자료'!R725*'03_가중치민감도'!$D$6</f>
        <v/>
      </c>
      <c r="G728" s="85">
        <f>'01_원자료'!P725*'03_가중치민감도'!$B$7+'01_원자료'!Q725*'03_가중치민감도'!$C$7+'01_원자료'!R725*'03_가중치민감도'!$D$7</f>
        <v/>
      </c>
      <c r="H728" s="85">
        <f>'01_원자료'!P725*'03_가중치민감도'!$B$8+'01_원자료'!Q725*'03_가중치민감도'!$C$8+'01_원자료'!R725*'03_가중치민감도'!$D$8</f>
        <v/>
      </c>
      <c r="I728" s="85">
        <f>'01_원자료'!P725*'03_가중치민감도'!$B$9+'01_원자료'!Q725*'03_가중치민감도'!$C$9+'01_원자료'!R725*'03_가중치민감도'!$D$9</f>
        <v/>
      </c>
      <c r="J728" s="85">
        <f>'01_원자료'!P725*'03_가중치민감도'!$B$10+'01_원자료'!Q725*'03_가중치민감도'!$C$10+'01_원자료'!R725*'03_가중치민감도'!$D$10</f>
        <v/>
      </c>
      <c r="K728" s="99">
        <f>COUNTIF($E$5:$E$979,"&lt;"&amp;E728)+(COUNTIF($E$5:$E$979,"="&amp;E728)+1)/2</f>
        <v/>
      </c>
      <c r="L728" s="99">
        <f>COUNTIF($F$5:$F$979,"&lt;"&amp;F728)+(COUNTIF($F$5:$F$979,"="&amp;F728)+1)/2</f>
        <v/>
      </c>
      <c r="M728" s="99">
        <f>COUNTIF($G$5:$G$979,"&lt;"&amp;G728)+(COUNTIF($G$5:$G$979,"="&amp;G728)+1)/2</f>
        <v/>
      </c>
      <c r="N728" s="99">
        <f>COUNTIF($H$5:$H$979,"&lt;"&amp;H728)+(COUNTIF($H$5:$H$979,"="&amp;H728)+1)/2</f>
        <v/>
      </c>
      <c r="O728" s="99">
        <f>COUNTIF($I$5:$I$979,"&lt;"&amp;I728)+(COUNTIF($I$5:$I$979,"="&amp;I728)+1)/2</f>
        <v/>
      </c>
      <c r="P728" s="99">
        <f>COUNTIF($J$5:$J$979,"&lt;"&amp;J728)+(COUNTIF($J$5:$J$979,"="&amp;J728)+1)/2</f>
        <v/>
      </c>
    </row>
    <row r="729" ht="15" customHeight="1" s="68">
      <c r="A729" s="70">
        <f>'01_원자료'!A726</f>
        <v/>
      </c>
      <c r="B729" s="70">
        <f>'01_원자료'!B726</f>
        <v/>
      </c>
      <c r="C729" s="70">
        <f>'01_원자료'!C726</f>
        <v/>
      </c>
      <c r="E729" s="85">
        <f>'01_원자료'!P726*'03_가중치민감도'!$B$5+'01_원자료'!Q726*'03_가중치민감도'!$C$5+'01_원자료'!R726*'03_가중치민감도'!$D$5</f>
        <v/>
      </c>
      <c r="F729" s="85">
        <f>'01_원자료'!P726*'03_가중치민감도'!$B$6+'01_원자료'!Q726*'03_가중치민감도'!$C$6+'01_원자료'!R726*'03_가중치민감도'!$D$6</f>
        <v/>
      </c>
      <c r="G729" s="85">
        <f>'01_원자료'!P726*'03_가중치민감도'!$B$7+'01_원자료'!Q726*'03_가중치민감도'!$C$7+'01_원자료'!R726*'03_가중치민감도'!$D$7</f>
        <v/>
      </c>
      <c r="H729" s="85">
        <f>'01_원자료'!P726*'03_가중치민감도'!$B$8+'01_원자료'!Q726*'03_가중치민감도'!$C$8+'01_원자료'!R726*'03_가중치민감도'!$D$8</f>
        <v/>
      </c>
      <c r="I729" s="85">
        <f>'01_원자료'!P726*'03_가중치민감도'!$B$9+'01_원자료'!Q726*'03_가중치민감도'!$C$9+'01_원자료'!R726*'03_가중치민감도'!$D$9</f>
        <v/>
      </c>
      <c r="J729" s="85">
        <f>'01_원자료'!P726*'03_가중치민감도'!$B$10+'01_원자료'!Q726*'03_가중치민감도'!$C$10+'01_원자료'!R726*'03_가중치민감도'!$D$10</f>
        <v/>
      </c>
      <c r="K729" s="99">
        <f>COUNTIF($E$5:$E$979,"&lt;"&amp;E729)+(COUNTIF($E$5:$E$979,"="&amp;E729)+1)/2</f>
        <v/>
      </c>
      <c r="L729" s="99">
        <f>COUNTIF($F$5:$F$979,"&lt;"&amp;F729)+(COUNTIF($F$5:$F$979,"="&amp;F729)+1)/2</f>
        <v/>
      </c>
      <c r="M729" s="99">
        <f>COUNTIF($G$5:$G$979,"&lt;"&amp;G729)+(COUNTIF($G$5:$G$979,"="&amp;G729)+1)/2</f>
        <v/>
      </c>
      <c r="N729" s="99">
        <f>COUNTIF($H$5:$H$979,"&lt;"&amp;H729)+(COUNTIF($H$5:$H$979,"="&amp;H729)+1)/2</f>
        <v/>
      </c>
      <c r="O729" s="99">
        <f>COUNTIF($I$5:$I$979,"&lt;"&amp;I729)+(COUNTIF($I$5:$I$979,"="&amp;I729)+1)/2</f>
        <v/>
      </c>
      <c r="P729" s="99">
        <f>COUNTIF($J$5:$J$979,"&lt;"&amp;J729)+(COUNTIF($J$5:$J$979,"="&amp;J729)+1)/2</f>
        <v/>
      </c>
    </row>
    <row r="730" ht="15" customHeight="1" s="68">
      <c r="A730" s="70">
        <f>'01_원자료'!A727</f>
        <v/>
      </c>
      <c r="B730" s="70">
        <f>'01_원자료'!B727</f>
        <v/>
      </c>
      <c r="C730" s="70">
        <f>'01_원자료'!C727</f>
        <v/>
      </c>
      <c r="E730" s="85">
        <f>'01_원자료'!P727*'03_가중치민감도'!$B$5+'01_원자료'!Q727*'03_가중치민감도'!$C$5+'01_원자료'!R727*'03_가중치민감도'!$D$5</f>
        <v/>
      </c>
      <c r="F730" s="85">
        <f>'01_원자료'!P727*'03_가중치민감도'!$B$6+'01_원자료'!Q727*'03_가중치민감도'!$C$6+'01_원자료'!R727*'03_가중치민감도'!$D$6</f>
        <v/>
      </c>
      <c r="G730" s="85">
        <f>'01_원자료'!P727*'03_가중치민감도'!$B$7+'01_원자료'!Q727*'03_가중치민감도'!$C$7+'01_원자료'!R727*'03_가중치민감도'!$D$7</f>
        <v/>
      </c>
      <c r="H730" s="85">
        <f>'01_원자료'!P727*'03_가중치민감도'!$B$8+'01_원자료'!Q727*'03_가중치민감도'!$C$8+'01_원자료'!R727*'03_가중치민감도'!$D$8</f>
        <v/>
      </c>
      <c r="I730" s="85">
        <f>'01_원자료'!P727*'03_가중치민감도'!$B$9+'01_원자료'!Q727*'03_가중치민감도'!$C$9+'01_원자료'!R727*'03_가중치민감도'!$D$9</f>
        <v/>
      </c>
      <c r="J730" s="85">
        <f>'01_원자료'!P727*'03_가중치민감도'!$B$10+'01_원자료'!Q727*'03_가중치민감도'!$C$10+'01_원자료'!R727*'03_가중치민감도'!$D$10</f>
        <v/>
      </c>
      <c r="K730" s="99">
        <f>COUNTIF($E$5:$E$979,"&lt;"&amp;E730)+(COUNTIF($E$5:$E$979,"="&amp;E730)+1)/2</f>
        <v/>
      </c>
      <c r="L730" s="99">
        <f>COUNTIF($F$5:$F$979,"&lt;"&amp;F730)+(COUNTIF($F$5:$F$979,"="&amp;F730)+1)/2</f>
        <v/>
      </c>
      <c r="M730" s="99">
        <f>COUNTIF($G$5:$G$979,"&lt;"&amp;G730)+(COUNTIF($G$5:$G$979,"="&amp;G730)+1)/2</f>
        <v/>
      </c>
      <c r="N730" s="99">
        <f>COUNTIF($H$5:$H$979,"&lt;"&amp;H730)+(COUNTIF($H$5:$H$979,"="&amp;H730)+1)/2</f>
        <v/>
      </c>
      <c r="O730" s="99">
        <f>COUNTIF($I$5:$I$979,"&lt;"&amp;I730)+(COUNTIF($I$5:$I$979,"="&amp;I730)+1)/2</f>
        <v/>
      </c>
      <c r="P730" s="99">
        <f>COUNTIF($J$5:$J$979,"&lt;"&amp;J730)+(COUNTIF($J$5:$J$979,"="&amp;J730)+1)/2</f>
        <v/>
      </c>
    </row>
    <row r="731" ht="15" customHeight="1" s="68">
      <c r="A731" s="70">
        <f>'01_원자료'!A728</f>
        <v/>
      </c>
      <c r="B731" s="70">
        <f>'01_원자료'!B728</f>
        <v/>
      </c>
      <c r="C731" s="70">
        <f>'01_원자료'!C728</f>
        <v/>
      </c>
      <c r="E731" s="85">
        <f>'01_원자료'!P728*'03_가중치민감도'!$B$5+'01_원자료'!Q728*'03_가중치민감도'!$C$5+'01_원자료'!R728*'03_가중치민감도'!$D$5</f>
        <v/>
      </c>
      <c r="F731" s="85">
        <f>'01_원자료'!P728*'03_가중치민감도'!$B$6+'01_원자료'!Q728*'03_가중치민감도'!$C$6+'01_원자료'!R728*'03_가중치민감도'!$D$6</f>
        <v/>
      </c>
      <c r="G731" s="85">
        <f>'01_원자료'!P728*'03_가중치민감도'!$B$7+'01_원자료'!Q728*'03_가중치민감도'!$C$7+'01_원자료'!R728*'03_가중치민감도'!$D$7</f>
        <v/>
      </c>
      <c r="H731" s="85">
        <f>'01_원자료'!P728*'03_가중치민감도'!$B$8+'01_원자료'!Q728*'03_가중치민감도'!$C$8+'01_원자료'!R728*'03_가중치민감도'!$D$8</f>
        <v/>
      </c>
      <c r="I731" s="85">
        <f>'01_원자료'!P728*'03_가중치민감도'!$B$9+'01_원자료'!Q728*'03_가중치민감도'!$C$9+'01_원자료'!R728*'03_가중치민감도'!$D$9</f>
        <v/>
      </c>
      <c r="J731" s="85">
        <f>'01_원자료'!P728*'03_가중치민감도'!$B$10+'01_원자료'!Q728*'03_가중치민감도'!$C$10+'01_원자료'!R728*'03_가중치민감도'!$D$10</f>
        <v/>
      </c>
      <c r="K731" s="99">
        <f>COUNTIF($E$5:$E$979,"&lt;"&amp;E731)+(COUNTIF($E$5:$E$979,"="&amp;E731)+1)/2</f>
        <v/>
      </c>
      <c r="L731" s="99">
        <f>COUNTIF($F$5:$F$979,"&lt;"&amp;F731)+(COUNTIF($F$5:$F$979,"="&amp;F731)+1)/2</f>
        <v/>
      </c>
      <c r="M731" s="99">
        <f>COUNTIF($G$5:$G$979,"&lt;"&amp;G731)+(COUNTIF($G$5:$G$979,"="&amp;G731)+1)/2</f>
        <v/>
      </c>
      <c r="N731" s="99">
        <f>COUNTIF($H$5:$H$979,"&lt;"&amp;H731)+(COUNTIF($H$5:$H$979,"="&amp;H731)+1)/2</f>
        <v/>
      </c>
      <c r="O731" s="99">
        <f>COUNTIF($I$5:$I$979,"&lt;"&amp;I731)+(COUNTIF($I$5:$I$979,"="&amp;I731)+1)/2</f>
        <v/>
      </c>
      <c r="P731" s="99">
        <f>COUNTIF($J$5:$J$979,"&lt;"&amp;J731)+(COUNTIF($J$5:$J$979,"="&amp;J731)+1)/2</f>
        <v/>
      </c>
    </row>
    <row r="732" ht="15" customHeight="1" s="68">
      <c r="A732" s="70">
        <f>'01_원자료'!A729</f>
        <v/>
      </c>
      <c r="B732" s="70">
        <f>'01_원자료'!B729</f>
        <v/>
      </c>
      <c r="C732" s="70">
        <f>'01_원자료'!C729</f>
        <v/>
      </c>
      <c r="E732" s="85">
        <f>'01_원자료'!P729*'03_가중치민감도'!$B$5+'01_원자료'!Q729*'03_가중치민감도'!$C$5+'01_원자료'!R729*'03_가중치민감도'!$D$5</f>
        <v/>
      </c>
      <c r="F732" s="85">
        <f>'01_원자료'!P729*'03_가중치민감도'!$B$6+'01_원자료'!Q729*'03_가중치민감도'!$C$6+'01_원자료'!R729*'03_가중치민감도'!$D$6</f>
        <v/>
      </c>
      <c r="G732" s="85">
        <f>'01_원자료'!P729*'03_가중치민감도'!$B$7+'01_원자료'!Q729*'03_가중치민감도'!$C$7+'01_원자료'!R729*'03_가중치민감도'!$D$7</f>
        <v/>
      </c>
      <c r="H732" s="85">
        <f>'01_원자료'!P729*'03_가중치민감도'!$B$8+'01_원자료'!Q729*'03_가중치민감도'!$C$8+'01_원자료'!R729*'03_가중치민감도'!$D$8</f>
        <v/>
      </c>
      <c r="I732" s="85">
        <f>'01_원자료'!P729*'03_가중치민감도'!$B$9+'01_원자료'!Q729*'03_가중치민감도'!$C$9+'01_원자료'!R729*'03_가중치민감도'!$D$9</f>
        <v/>
      </c>
      <c r="J732" s="85">
        <f>'01_원자료'!P729*'03_가중치민감도'!$B$10+'01_원자료'!Q729*'03_가중치민감도'!$C$10+'01_원자료'!R729*'03_가중치민감도'!$D$10</f>
        <v/>
      </c>
      <c r="K732" s="99">
        <f>COUNTIF($E$5:$E$979,"&lt;"&amp;E732)+(COUNTIF($E$5:$E$979,"="&amp;E732)+1)/2</f>
        <v/>
      </c>
      <c r="L732" s="99">
        <f>COUNTIF($F$5:$F$979,"&lt;"&amp;F732)+(COUNTIF($F$5:$F$979,"="&amp;F732)+1)/2</f>
        <v/>
      </c>
      <c r="M732" s="99">
        <f>COUNTIF($G$5:$G$979,"&lt;"&amp;G732)+(COUNTIF($G$5:$G$979,"="&amp;G732)+1)/2</f>
        <v/>
      </c>
      <c r="N732" s="99">
        <f>COUNTIF($H$5:$H$979,"&lt;"&amp;H732)+(COUNTIF($H$5:$H$979,"="&amp;H732)+1)/2</f>
        <v/>
      </c>
      <c r="O732" s="99">
        <f>COUNTIF($I$5:$I$979,"&lt;"&amp;I732)+(COUNTIF($I$5:$I$979,"="&amp;I732)+1)/2</f>
        <v/>
      </c>
      <c r="P732" s="99">
        <f>COUNTIF($J$5:$J$979,"&lt;"&amp;J732)+(COUNTIF($J$5:$J$979,"="&amp;J732)+1)/2</f>
        <v/>
      </c>
    </row>
    <row r="733" ht="15" customHeight="1" s="68">
      <c r="A733" s="70">
        <f>'01_원자료'!A730</f>
        <v/>
      </c>
      <c r="B733" s="70">
        <f>'01_원자료'!B730</f>
        <v/>
      </c>
      <c r="C733" s="70">
        <f>'01_원자료'!C730</f>
        <v/>
      </c>
      <c r="E733" s="85">
        <f>'01_원자료'!P730*'03_가중치민감도'!$B$5+'01_원자료'!Q730*'03_가중치민감도'!$C$5+'01_원자료'!R730*'03_가중치민감도'!$D$5</f>
        <v/>
      </c>
      <c r="F733" s="85">
        <f>'01_원자료'!P730*'03_가중치민감도'!$B$6+'01_원자료'!Q730*'03_가중치민감도'!$C$6+'01_원자료'!R730*'03_가중치민감도'!$D$6</f>
        <v/>
      </c>
      <c r="G733" s="85">
        <f>'01_원자료'!P730*'03_가중치민감도'!$B$7+'01_원자료'!Q730*'03_가중치민감도'!$C$7+'01_원자료'!R730*'03_가중치민감도'!$D$7</f>
        <v/>
      </c>
      <c r="H733" s="85">
        <f>'01_원자료'!P730*'03_가중치민감도'!$B$8+'01_원자료'!Q730*'03_가중치민감도'!$C$8+'01_원자료'!R730*'03_가중치민감도'!$D$8</f>
        <v/>
      </c>
      <c r="I733" s="85">
        <f>'01_원자료'!P730*'03_가중치민감도'!$B$9+'01_원자료'!Q730*'03_가중치민감도'!$C$9+'01_원자료'!R730*'03_가중치민감도'!$D$9</f>
        <v/>
      </c>
      <c r="J733" s="85">
        <f>'01_원자료'!P730*'03_가중치민감도'!$B$10+'01_원자료'!Q730*'03_가중치민감도'!$C$10+'01_원자료'!R730*'03_가중치민감도'!$D$10</f>
        <v/>
      </c>
      <c r="K733" s="99">
        <f>COUNTIF($E$5:$E$979,"&lt;"&amp;E733)+(COUNTIF($E$5:$E$979,"="&amp;E733)+1)/2</f>
        <v/>
      </c>
      <c r="L733" s="99">
        <f>COUNTIF($F$5:$F$979,"&lt;"&amp;F733)+(COUNTIF($F$5:$F$979,"="&amp;F733)+1)/2</f>
        <v/>
      </c>
      <c r="M733" s="99">
        <f>COUNTIF($G$5:$G$979,"&lt;"&amp;G733)+(COUNTIF($G$5:$G$979,"="&amp;G733)+1)/2</f>
        <v/>
      </c>
      <c r="N733" s="99">
        <f>COUNTIF($H$5:$H$979,"&lt;"&amp;H733)+(COUNTIF($H$5:$H$979,"="&amp;H733)+1)/2</f>
        <v/>
      </c>
      <c r="O733" s="99">
        <f>COUNTIF($I$5:$I$979,"&lt;"&amp;I733)+(COUNTIF($I$5:$I$979,"="&amp;I733)+1)/2</f>
        <v/>
      </c>
      <c r="P733" s="99">
        <f>COUNTIF($J$5:$J$979,"&lt;"&amp;J733)+(COUNTIF($J$5:$J$979,"="&amp;J733)+1)/2</f>
        <v/>
      </c>
    </row>
    <row r="734" ht="15" customHeight="1" s="68">
      <c r="A734" s="70">
        <f>'01_원자료'!A731</f>
        <v/>
      </c>
      <c r="B734" s="70">
        <f>'01_원자료'!B731</f>
        <v/>
      </c>
      <c r="C734" s="70">
        <f>'01_원자료'!C731</f>
        <v/>
      </c>
      <c r="E734" s="85">
        <f>'01_원자료'!P731*'03_가중치민감도'!$B$5+'01_원자료'!Q731*'03_가중치민감도'!$C$5+'01_원자료'!R731*'03_가중치민감도'!$D$5</f>
        <v/>
      </c>
      <c r="F734" s="85">
        <f>'01_원자료'!P731*'03_가중치민감도'!$B$6+'01_원자료'!Q731*'03_가중치민감도'!$C$6+'01_원자료'!R731*'03_가중치민감도'!$D$6</f>
        <v/>
      </c>
      <c r="G734" s="85">
        <f>'01_원자료'!P731*'03_가중치민감도'!$B$7+'01_원자료'!Q731*'03_가중치민감도'!$C$7+'01_원자료'!R731*'03_가중치민감도'!$D$7</f>
        <v/>
      </c>
      <c r="H734" s="85">
        <f>'01_원자료'!P731*'03_가중치민감도'!$B$8+'01_원자료'!Q731*'03_가중치민감도'!$C$8+'01_원자료'!R731*'03_가중치민감도'!$D$8</f>
        <v/>
      </c>
      <c r="I734" s="85">
        <f>'01_원자료'!P731*'03_가중치민감도'!$B$9+'01_원자료'!Q731*'03_가중치민감도'!$C$9+'01_원자료'!R731*'03_가중치민감도'!$D$9</f>
        <v/>
      </c>
      <c r="J734" s="85">
        <f>'01_원자료'!P731*'03_가중치민감도'!$B$10+'01_원자료'!Q731*'03_가중치민감도'!$C$10+'01_원자료'!R731*'03_가중치민감도'!$D$10</f>
        <v/>
      </c>
      <c r="K734" s="99">
        <f>COUNTIF($E$5:$E$979,"&lt;"&amp;E734)+(COUNTIF($E$5:$E$979,"="&amp;E734)+1)/2</f>
        <v/>
      </c>
      <c r="L734" s="99">
        <f>COUNTIF($F$5:$F$979,"&lt;"&amp;F734)+(COUNTIF($F$5:$F$979,"="&amp;F734)+1)/2</f>
        <v/>
      </c>
      <c r="M734" s="99">
        <f>COUNTIF($G$5:$G$979,"&lt;"&amp;G734)+(COUNTIF($G$5:$G$979,"="&amp;G734)+1)/2</f>
        <v/>
      </c>
      <c r="N734" s="99">
        <f>COUNTIF($H$5:$H$979,"&lt;"&amp;H734)+(COUNTIF($H$5:$H$979,"="&amp;H734)+1)/2</f>
        <v/>
      </c>
      <c r="O734" s="99">
        <f>COUNTIF($I$5:$I$979,"&lt;"&amp;I734)+(COUNTIF($I$5:$I$979,"="&amp;I734)+1)/2</f>
        <v/>
      </c>
      <c r="P734" s="99">
        <f>COUNTIF($J$5:$J$979,"&lt;"&amp;J734)+(COUNTIF($J$5:$J$979,"="&amp;J734)+1)/2</f>
        <v/>
      </c>
    </row>
    <row r="735" ht="15" customHeight="1" s="68">
      <c r="A735" s="70">
        <f>'01_원자료'!A732</f>
        <v/>
      </c>
      <c r="B735" s="70">
        <f>'01_원자료'!B732</f>
        <v/>
      </c>
      <c r="C735" s="70">
        <f>'01_원자료'!C732</f>
        <v/>
      </c>
      <c r="E735" s="85">
        <f>'01_원자료'!P732*'03_가중치민감도'!$B$5+'01_원자료'!Q732*'03_가중치민감도'!$C$5+'01_원자료'!R732*'03_가중치민감도'!$D$5</f>
        <v/>
      </c>
      <c r="F735" s="85">
        <f>'01_원자료'!P732*'03_가중치민감도'!$B$6+'01_원자료'!Q732*'03_가중치민감도'!$C$6+'01_원자료'!R732*'03_가중치민감도'!$D$6</f>
        <v/>
      </c>
      <c r="G735" s="85">
        <f>'01_원자료'!P732*'03_가중치민감도'!$B$7+'01_원자료'!Q732*'03_가중치민감도'!$C$7+'01_원자료'!R732*'03_가중치민감도'!$D$7</f>
        <v/>
      </c>
      <c r="H735" s="85">
        <f>'01_원자료'!P732*'03_가중치민감도'!$B$8+'01_원자료'!Q732*'03_가중치민감도'!$C$8+'01_원자료'!R732*'03_가중치민감도'!$D$8</f>
        <v/>
      </c>
      <c r="I735" s="85">
        <f>'01_원자료'!P732*'03_가중치민감도'!$B$9+'01_원자료'!Q732*'03_가중치민감도'!$C$9+'01_원자료'!R732*'03_가중치민감도'!$D$9</f>
        <v/>
      </c>
      <c r="J735" s="85">
        <f>'01_원자료'!P732*'03_가중치민감도'!$B$10+'01_원자료'!Q732*'03_가중치민감도'!$C$10+'01_원자료'!R732*'03_가중치민감도'!$D$10</f>
        <v/>
      </c>
      <c r="K735" s="99">
        <f>COUNTIF($E$5:$E$979,"&lt;"&amp;E735)+(COUNTIF($E$5:$E$979,"="&amp;E735)+1)/2</f>
        <v/>
      </c>
      <c r="L735" s="99">
        <f>COUNTIF($F$5:$F$979,"&lt;"&amp;F735)+(COUNTIF($F$5:$F$979,"="&amp;F735)+1)/2</f>
        <v/>
      </c>
      <c r="M735" s="99">
        <f>COUNTIF($G$5:$G$979,"&lt;"&amp;G735)+(COUNTIF($G$5:$G$979,"="&amp;G735)+1)/2</f>
        <v/>
      </c>
      <c r="N735" s="99">
        <f>COUNTIF($H$5:$H$979,"&lt;"&amp;H735)+(COUNTIF($H$5:$H$979,"="&amp;H735)+1)/2</f>
        <v/>
      </c>
      <c r="O735" s="99">
        <f>COUNTIF($I$5:$I$979,"&lt;"&amp;I735)+(COUNTIF($I$5:$I$979,"="&amp;I735)+1)/2</f>
        <v/>
      </c>
      <c r="P735" s="99">
        <f>COUNTIF($J$5:$J$979,"&lt;"&amp;J735)+(COUNTIF($J$5:$J$979,"="&amp;J735)+1)/2</f>
        <v/>
      </c>
    </row>
    <row r="736" ht="15" customHeight="1" s="68">
      <c r="A736" s="70">
        <f>'01_원자료'!A733</f>
        <v/>
      </c>
      <c r="B736" s="70">
        <f>'01_원자료'!B733</f>
        <v/>
      </c>
      <c r="C736" s="70">
        <f>'01_원자료'!C733</f>
        <v/>
      </c>
      <c r="E736" s="85">
        <f>'01_원자료'!P733*'03_가중치민감도'!$B$5+'01_원자료'!Q733*'03_가중치민감도'!$C$5+'01_원자료'!R733*'03_가중치민감도'!$D$5</f>
        <v/>
      </c>
      <c r="F736" s="85">
        <f>'01_원자료'!P733*'03_가중치민감도'!$B$6+'01_원자료'!Q733*'03_가중치민감도'!$C$6+'01_원자료'!R733*'03_가중치민감도'!$D$6</f>
        <v/>
      </c>
      <c r="G736" s="85">
        <f>'01_원자료'!P733*'03_가중치민감도'!$B$7+'01_원자료'!Q733*'03_가중치민감도'!$C$7+'01_원자료'!R733*'03_가중치민감도'!$D$7</f>
        <v/>
      </c>
      <c r="H736" s="85">
        <f>'01_원자료'!P733*'03_가중치민감도'!$B$8+'01_원자료'!Q733*'03_가중치민감도'!$C$8+'01_원자료'!R733*'03_가중치민감도'!$D$8</f>
        <v/>
      </c>
      <c r="I736" s="85">
        <f>'01_원자료'!P733*'03_가중치민감도'!$B$9+'01_원자료'!Q733*'03_가중치민감도'!$C$9+'01_원자료'!R733*'03_가중치민감도'!$D$9</f>
        <v/>
      </c>
      <c r="J736" s="85">
        <f>'01_원자료'!P733*'03_가중치민감도'!$B$10+'01_원자료'!Q733*'03_가중치민감도'!$C$10+'01_원자료'!R733*'03_가중치민감도'!$D$10</f>
        <v/>
      </c>
      <c r="K736" s="99">
        <f>COUNTIF($E$5:$E$979,"&lt;"&amp;E736)+(COUNTIF($E$5:$E$979,"="&amp;E736)+1)/2</f>
        <v/>
      </c>
      <c r="L736" s="99">
        <f>COUNTIF($F$5:$F$979,"&lt;"&amp;F736)+(COUNTIF($F$5:$F$979,"="&amp;F736)+1)/2</f>
        <v/>
      </c>
      <c r="M736" s="99">
        <f>COUNTIF($G$5:$G$979,"&lt;"&amp;G736)+(COUNTIF($G$5:$G$979,"="&amp;G736)+1)/2</f>
        <v/>
      </c>
      <c r="N736" s="99">
        <f>COUNTIF($H$5:$H$979,"&lt;"&amp;H736)+(COUNTIF($H$5:$H$979,"="&amp;H736)+1)/2</f>
        <v/>
      </c>
      <c r="O736" s="99">
        <f>COUNTIF($I$5:$I$979,"&lt;"&amp;I736)+(COUNTIF($I$5:$I$979,"="&amp;I736)+1)/2</f>
        <v/>
      </c>
      <c r="P736" s="99">
        <f>COUNTIF($J$5:$J$979,"&lt;"&amp;J736)+(COUNTIF($J$5:$J$979,"="&amp;J736)+1)/2</f>
        <v/>
      </c>
    </row>
    <row r="737" ht="15" customHeight="1" s="68">
      <c r="A737" s="70">
        <f>'01_원자료'!A734</f>
        <v/>
      </c>
      <c r="B737" s="70">
        <f>'01_원자료'!B734</f>
        <v/>
      </c>
      <c r="C737" s="70">
        <f>'01_원자료'!C734</f>
        <v/>
      </c>
      <c r="E737" s="85">
        <f>'01_원자료'!P734*'03_가중치민감도'!$B$5+'01_원자료'!Q734*'03_가중치민감도'!$C$5+'01_원자료'!R734*'03_가중치민감도'!$D$5</f>
        <v/>
      </c>
      <c r="F737" s="85">
        <f>'01_원자료'!P734*'03_가중치민감도'!$B$6+'01_원자료'!Q734*'03_가중치민감도'!$C$6+'01_원자료'!R734*'03_가중치민감도'!$D$6</f>
        <v/>
      </c>
      <c r="G737" s="85">
        <f>'01_원자료'!P734*'03_가중치민감도'!$B$7+'01_원자료'!Q734*'03_가중치민감도'!$C$7+'01_원자료'!R734*'03_가중치민감도'!$D$7</f>
        <v/>
      </c>
      <c r="H737" s="85">
        <f>'01_원자료'!P734*'03_가중치민감도'!$B$8+'01_원자료'!Q734*'03_가중치민감도'!$C$8+'01_원자료'!R734*'03_가중치민감도'!$D$8</f>
        <v/>
      </c>
      <c r="I737" s="85">
        <f>'01_원자료'!P734*'03_가중치민감도'!$B$9+'01_원자료'!Q734*'03_가중치민감도'!$C$9+'01_원자료'!R734*'03_가중치민감도'!$D$9</f>
        <v/>
      </c>
      <c r="J737" s="85">
        <f>'01_원자료'!P734*'03_가중치민감도'!$B$10+'01_원자료'!Q734*'03_가중치민감도'!$C$10+'01_원자료'!R734*'03_가중치민감도'!$D$10</f>
        <v/>
      </c>
      <c r="K737" s="99">
        <f>COUNTIF($E$5:$E$979,"&lt;"&amp;E737)+(COUNTIF($E$5:$E$979,"="&amp;E737)+1)/2</f>
        <v/>
      </c>
      <c r="L737" s="99">
        <f>COUNTIF($F$5:$F$979,"&lt;"&amp;F737)+(COUNTIF($F$5:$F$979,"="&amp;F737)+1)/2</f>
        <v/>
      </c>
      <c r="M737" s="99">
        <f>COUNTIF($G$5:$G$979,"&lt;"&amp;G737)+(COUNTIF($G$5:$G$979,"="&amp;G737)+1)/2</f>
        <v/>
      </c>
      <c r="N737" s="99">
        <f>COUNTIF($H$5:$H$979,"&lt;"&amp;H737)+(COUNTIF($H$5:$H$979,"="&amp;H737)+1)/2</f>
        <v/>
      </c>
      <c r="O737" s="99">
        <f>COUNTIF($I$5:$I$979,"&lt;"&amp;I737)+(COUNTIF($I$5:$I$979,"="&amp;I737)+1)/2</f>
        <v/>
      </c>
      <c r="P737" s="99">
        <f>COUNTIF($J$5:$J$979,"&lt;"&amp;J737)+(COUNTIF($J$5:$J$979,"="&amp;J737)+1)/2</f>
        <v/>
      </c>
    </row>
    <row r="738" ht="15" customHeight="1" s="68">
      <c r="A738" s="70">
        <f>'01_원자료'!A735</f>
        <v/>
      </c>
      <c r="B738" s="70">
        <f>'01_원자료'!B735</f>
        <v/>
      </c>
      <c r="C738" s="70">
        <f>'01_원자료'!C735</f>
        <v/>
      </c>
      <c r="E738" s="85">
        <f>'01_원자료'!P735*'03_가중치민감도'!$B$5+'01_원자료'!Q735*'03_가중치민감도'!$C$5+'01_원자료'!R735*'03_가중치민감도'!$D$5</f>
        <v/>
      </c>
      <c r="F738" s="85">
        <f>'01_원자료'!P735*'03_가중치민감도'!$B$6+'01_원자료'!Q735*'03_가중치민감도'!$C$6+'01_원자료'!R735*'03_가중치민감도'!$D$6</f>
        <v/>
      </c>
      <c r="G738" s="85">
        <f>'01_원자료'!P735*'03_가중치민감도'!$B$7+'01_원자료'!Q735*'03_가중치민감도'!$C$7+'01_원자료'!R735*'03_가중치민감도'!$D$7</f>
        <v/>
      </c>
      <c r="H738" s="85">
        <f>'01_원자료'!P735*'03_가중치민감도'!$B$8+'01_원자료'!Q735*'03_가중치민감도'!$C$8+'01_원자료'!R735*'03_가중치민감도'!$D$8</f>
        <v/>
      </c>
      <c r="I738" s="85">
        <f>'01_원자료'!P735*'03_가중치민감도'!$B$9+'01_원자료'!Q735*'03_가중치민감도'!$C$9+'01_원자료'!R735*'03_가중치민감도'!$D$9</f>
        <v/>
      </c>
      <c r="J738" s="85">
        <f>'01_원자료'!P735*'03_가중치민감도'!$B$10+'01_원자료'!Q735*'03_가중치민감도'!$C$10+'01_원자료'!R735*'03_가중치민감도'!$D$10</f>
        <v/>
      </c>
      <c r="K738" s="99">
        <f>COUNTIF($E$5:$E$979,"&lt;"&amp;E738)+(COUNTIF($E$5:$E$979,"="&amp;E738)+1)/2</f>
        <v/>
      </c>
      <c r="L738" s="99">
        <f>COUNTIF($F$5:$F$979,"&lt;"&amp;F738)+(COUNTIF($F$5:$F$979,"="&amp;F738)+1)/2</f>
        <v/>
      </c>
      <c r="M738" s="99">
        <f>COUNTIF($G$5:$G$979,"&lt;"&amp;G738)+(COUNTIF($G$5:$G$979,"="&amp;G738)+1)/2</f>
        <v/>
      </c>
      <c r="N738" s="99">
        <f>COUNTIF($H$5:$H$979,"&lt;"&amp;H738)+(COUNTIF($H$5:$H$979,"="&amp;H738)+1)/2</f>
        <v/>
      </c>
      <c r="O738" s="99">
        <f>COUNTIF($I$5:$I$979,"&lt;"&amp;I738)+(COUNTIF($I$5:$I$979,"="&amp;I738)+1)/2</f>
        <v/>
      </c>
      <c r="P738" s="99">
        <f>COUNTIF($J$5:$J$979,"&lt;"&amp;J738)+(COUNTIF($J$5:$J$979,"="&amp;J738)+1)/2</f>
        <v/>
      </c>
    </row>
    <row r="739" ht="15" customHeight="1" s="68">
      <c r="A739" s="70">
        <f>'01_원자료'!A736</f>
        <v/>
      </c>
      <c r="B739" s="70">
        <f>'01_원자료'!B736</f>
        <v/>
      </c>
      <c r="C739" s="70">
        <f>'01_원자료'!C736</f>
        <v/>
      </c>
      <c r="E739" s="85">
        <f>'01_원자료'!P736*'03_가중치민감도'!$B$5+'01_원자료'!Q736*'03_가중치민감도'!$C$5+'01_원자료'!R736*'03_가중치민감도'!$D$5</f>
        <v/>
      </c>
      <c r="F739" s="85">
        <f>'01_원자료'!P736*'03_가중치민감도'!$B$6+'01_원자료'!Q736*'03_가중치민감도'!$C$6+'01_원자료'!R736*'03_가중치민감도'!$D$6</f>
        <v/>
      </c>
      <c r="G739" s="85">
        <f>'01_원자료'!P736*'03_가중치민감도'!$B$7+'01_원자료'!Q736*'03_가중치민감도'!$C$7+'01_원자료'!R736*'03_가중치민감도'!$D$7</f>
        <v/>
      </c>
      <c r="H739" s="85">
        <f>'01_원자료'!P736*'03_가중치민감도'!$B$8+'01_원자료'!Q736*'03_가중치민감도'!$C$8+'01_원자료'!R736*'03_가중치민감도'!$D$8</f>
        <v/>
      </c>
      <c r="I739" s="85">
        <f>'01_원자료'!P736*'03_가중치민감도'!$B$9+'01_원자료'!Q736*'03_가중치민감도'!$C$9+'01_원자료'!R736*'03_가중치민감도'!$D$9</f>
        <v/>
      </c>
      <c r="J739" s="85">
        <f>'01_원자료'!P736*'03_가중치민감도'!$B$10+'01_원자료'!Q736*'03_가중치민감도'!$C$10+'01_원자료'!R736*'03_가중치민감도'!$D$10</f>
        <v/>
      </c>
      <c r="K739" s="99">
        <f>COUNTIF($E$5:$E$979,"&lt;"&amp;E739)+(COUNTIF($E$5:$E$979,"="&amp;E739)+1)/2</f>
        <v/>
      </c>
      <c r="L739" s="99">
        <f>COUNTIF($F$5:$F$979,"&lt;"&amp;F739)+(COUNTIF($F$5:$F$979,"="&amp;F739)+1)/2</f>
        <v/>
      </c>
      <c r="M739" s="99">
        <f>COUNTIF($G$5:$G$979,"&lt;"&amp;G739)+(COUNTIF($G$5:$G$979,"="&amp;G739)+1)/2</f>
        <v/>
      </c>
      <c r="N739" s="99">
        <f>COUNTIF($H$5:$H$979,"&lt;"&amp;H739)+(COUNTIF($H$5:$H$979,"="&amp;H739)+1)/2</f>
        <v/>
      </c>
      <c r="O739" s="99">
        <f>COUNTIF($I$5:$I$979,"&lt;"&amp;I739)+(COUNTIF($I$5:$I$979,"="&amp;I739)+1)/2</f>
        <v/>
      </c>
      <c r="P739" s="99">
        <f>COUNTIF($J$5:$J$979,"&lt;"&amp;J739)+(COUNTIF($J$5:$J$979,"="&amp;J739)+1)/2</f>
        <v/>
      </c>
    </row>
    <row r="740" ht="15" customHeight="1" s="68">
      <c r="A740" s="70">
        <f>'01_원자료'!A737</f>
        <v/>
      </c>
      <c r="B740" s="70">
        <f>'01_원자료'!B737</f>
        <v/>
      </c>
      <c r="C740" s="70">
        <f>'01_원자료'!C737</f>
        <v/>
      </c>
      <c r="E740" s="85">
        <f>'01_원자료'!P737*'03_가중치민감도'!$B$5+'01_원자료'!Q737*'03_가중치민감도'!$C$5+'01_원자료'!R737*'03_가중치민감도'!$D$5</f>
        <v/>
      </c>
      <c r="F740" s="85">
        <f>'01_원자료'!P737*'03_가중치민감도'!$B$6+'01_원자료'!Q737*'03_가중치민감도'!$C$6+'01_원자료'!R737*'03_가중치민감도'!$D$6</f>
        <v/>
      </c>
      <c r="G740" s="85">
        <f>'01_원자료'!P737*'03_가중치민감도'!$B$7+'01_원자료'!Q737*'03_가중치민감도'!$C$7+'01_원자료'!R737*'03_가중치민감도'!$D$7</f>
        <v/>
      </c>
      <c r="H740" s="85">
        <f>'01_원자료'!P737*'03_가중치민감도'!$B$8+'01_원자료'!Q737*'03_가중치민감도'!$C$8+'01_원자료'!R737*'03_가중치민감도'!$D$8</f>
        <v/>
      </c>
      <c r="I740" s="85">
        <f>'01_원자료'!P737*'03_가중치민감도'!$B$9+'01_원자료'!Q737*'03_가중치민감도'!$C$9+'01_원자료'!R737*'03_가중치민감도'!$D$9</f>
        <v/>
      </c>
      <c r="J740" s="85">
        <f>'01_원자료'!P737*'03_가중치민감도'!$B$10+'01_원자료'!Q737*'03_가중치민감도'!$C$10+'01_원자료'!R737*'03_가중치민감도'!$D$10</f>
        <v/>
      </c>
      <c r="K740" s="99">
        <f>COUNTIF($E$5:$E$979,"&lt;"&amp;E740)+(COUNTIF($E$5:$E$979,"="&amp;E740)+1)/2</f>
        <v/>
      </c>
      <c r="L740" s="99">
        <f>COUNTIF($F$5:$F$979,"&lt;"&amp;F740)+(COUNTIF($F$5:$F$979,"="&amp;F740)+1)/2</f>
        <v/>
      </c>
      <c r="M740" s="99">
        <f>COUNTIF($G$5:$G$979,"&lt;"&amp;G740)+(COUNTIF($G$5:$G$979,"="&amp;G740)+1)/2</f>
        <v/>
      </c>
      <c r="N740" s="99">
        <f>COUNTIF($H$5:$H$979,"&lt;"&amp;H740)+(COUNTIF($H$5:$H$979,"="&amp;H740)+1)/2</f>
        <v/>
      </c>
      <c r="O740" s="99">
        <f>COUNTIF($I$5:$I$979,"&lt;"&amp;I740)+(COUNTIF($I$5:$I$979,"="&amp;I740)+1)/2</f>
        <v/>
      </c>
      <c r="P740" s="99">
        <f>COUNTIF($J$5:$J$979,"&lt;"&amp;J740)+(COUNTIF($J$5:$J$979,"="&amp;J740)+1)/2</f>
        <v/>
      </c>
    </row>
    <row r="741" ht="15" customHeight="1" s="68">
      <c r="A741" s="70">
        <f>'01_원자료'!A738</f>
        <v/>
      </c>
      <c r="B741" s="70">
        <f>'01_원자료'!B738</f>
        <v/>
      </c>
      <c r="C741" s="70">
        <f>'01_원자료'!C738</f>
        <v/>
      </c>
      <c r="E741" s="85">
        <f>'01_원자료'!P738*'03_가중치민감도'!$B$5+'01_원자료'!Q738*'03_가중치민감도'!$C$5+'01_원자료'!R738*'03_가중치민감도'!$D$5</f>
        <v/>
      </c>
      <c r="F741" s="85">
        <f>'01_원자료'!P738*'03_가중치민감도'!$B$6+'01_원자료'!Q738*'03_가중치민감도'!$C$6+'01_원자료'!R738*'03_가중치민감도'!$D$6</f>
        <v/>
      </c>
      <c r="G741" s="85">
        <f>'01_원자료'!P738*'03_가중치민감도'!$B$7+'01_원자료'!Q738*'03_가중치민감도'!$C$7+'01_원자료'!R738*'03_가중치민감도'!$D$7</f>
        <v/>
      </c>
      <c r="H741" s="85">
        <f>'01_원자료'!P738*'03_가중치민감도'!$B$8+'01_원자료'!Q738*'03_가중치민감도'!$C$8+'01_원자료'!R738*'03_가중치민감도'!$D$8</f>
        <v/>
      </c>
      <c r="I741" s="85">
        <f>'01_원자료'!P738*'03_가중치민감도'!$B$9+'01_원자료'!Q738*'03_가중치민감도'!$C$9+'01_원자료'!R738*'03_가중치민감도'!$D$9</f>
        <v/>
      </c>
      <c r="J741" s="85">
        <f>'01_원자료'!P738*'03_가중치민감도'!$B$10+'01_원자료'!Q738*'03_가중치민감도'!$C$10+'01_원자료'!R738*'03_가중치민감도'!$D$10</f>
        <v/>
      </c>
      <c r="K741" s="99">
        <f>COUNTIF($E$5:$E$979,"&lt;"&amp;E741)+(COUNTIF($E$5:$E$979,"="&amp;E741)+1)/2</f>
        <v/>
      </c>
      <c r="L741" s="99">
        <f>COUNTIF($F$5:$F$979,"&lt;"&amp;F741)+(COUNTIF($F$5:$F$979,"="&amp;F741)+1)/2</f>
        <v/>
      </c>
      <c r="M741" s="99">
        <f>COUNTIF($G$5:$G$979,"&lt;"&amp;G741)+(COUNTIF($G$5:$G$979,"="&amp;G741)+1)/2</f>
        <v/>
      </c>
      <c r="N741" s="99">
        <f>COUNTIF($H$5:$H$979,"&lt;"&amp;H741)+(COUNTIF($H$5:$H$979,"="&amp;H741)+1)/2</f>
        <v/>
      </c>
      <c r="O741" s="99">
        <f>COUNTIF($I$5:$I$979,"&lt;"&amp;I741)+(COUNTIF($I$5:$I$979,"="&amp;I741)+1)/2</f>
        <v/>
      </c>
      <c r="P741" s="99">
        <f>COUNTIF($J$5:$J$979,"&lt;"&amp;J741)+(COUNTIF($J$5:$J$979,"="&amp;J741)+1)/2</f>
        <v/>
      </c>
    </row>
    <row r="742" ht="15" customHeight="1" s="68">
      <c r="A742" s="70">
        <f>'01_원자료'!A739</f>
        <v/>
      </c>
      <c r="B742" s="70">
        <f>'01_원자료'!B739</f>
        <v/>
      </c>
      <c r="C742" s="70">
        <f>'01_원자료'!C739</f>
        <v/>
      </c>
      <c r="E742" s="85">
        <f>'01_원자료'!P739*'03_가중치민감도'!$B$5+'01_원자료'!Q739*'03_가중치민감도'!$C$5+'01_원자료'!R739*'03_가중치민감도'!$D$5</f>
        <v/>
      </c>
      <c r="F742" s="85">
        <f>'01_원자료'!P739*'03_가중치민감도'!$B$6+'01_원자료'!Q739*'03_가중치민감도'!$C$6+'01_원자료'!R739*'03_가중치민감도'!$D$6</f>
        <v/>
      </c>
      <c r="G742" s="85">
        <f>'01_원자료'!P739*'03_가중치민감도'!$B$7+'01_원자료'!Q739*'03_가중치민감도'!$C$7+'01_원자료'!R739*'03_가중치민감도'!$D$7</f>
        <v/>
      </c>
      <c r="H742" s="85">
        <f>'01_원자료'!P739*'03_가중치민감도'!$B$8+'01_원자료'!Q739*'03_가중치민감도'!$C$8+'01_원자료'!R739*'03_가중치민감도'!$D$8</f>
        <v/>
      </c>
      <c r="I742" s="85">
        <f>'01_원자료'!P739*'03_가중치민감도'!$B$9+'01_원자료'!Q739*'03_가중치민감도'!$C$9+'01_원자료'!R739*'03_가중치민감도'!$D$9</f>
        <v/>
      </c>
      <c r="J742" s="85">
        <f>'01_원자료'!P739*'03_가중치민감도'!$B$10+'01_원자료'!Q739*'03_가중치민감도'!$C$10+'01_원자료'!R739*'03_가중치민감도'!$D$10</f>
        <v/>
      </c>
      <c r="K742" s="99">
        <f>COUNTIF($E$5:$E$979,"&lt;"&amp;E742)+(COUNTIF($E$5:$E$979,"="&amp;E742)+1)/2</f>
        <v/>
      </c>
      <c r="L742" s="99">
        <f>COUNTIF($F$5:$F$979,"&lt;"&amp;F742)+(COUNTIF($F$5:$F$979,"="&amp;F742)+1)/2</f>
        <v/>
      </c>
      <c r="M742" s="99">
        <f>COUNTIF($G$5:$G$979,"&lt;"&amp;G742)+(COUNTIF($G$5:$G$979,"="&amp;G742)+1)/2</f>
        <v/>
      </c>
      <c r="N742" s="99">
        <f>COUNTIF($H$5:$H$979,"&lt;"&amp;H742)+(COUNTIF($H$5:$H$979,"="&amp;H742)+1)/2</f>
        <v/>
      </c>
      <c r="O742" s="99">
        <f>COUNTIF($I$5:$I$979,"&lt;"&amp;I742)+(COUNTIF($I$5:$I$979,"="&amp;I742)+1)/2</f>
        <v/>
      </c>
      <c r="P742" s="99">
        <f>COUNTIF($J$5:$J$979,"&lt;"&amp;J742)+(COUNTIF($J$5:$J$979,"="&amp;J742)+1)/2</f>
        <v/>
      </c>
    </row>
    <row r="743" ht="15" customHeight="1" s="68">
      <c r="A743" s="70">
        <f>'01_원자료'!A740</f>
        <v/>
      </c>
      <c r="B743" s="70">
        <f>'01_원자료'!B740</f>
        <v/>
      </c>
      <c r="C743" s="70">
        <f>'01_원자료'!C740</f>
        <v/>
      </c>
      <c r="E743" s="85">
        <f>'01_원자료'!P740*'03_가중치민감도'!$B$5+'01_원자료'!Q740*'03_가중치민감도'!$C$5+'01_원자료'!R740*'03_가중치민감도'!$D$5</f>
        <v/>
      </c>
      <c r="F743" s="85">
        <f>'01_원자료'!P740*'03_가중치민감도'!$B$6+'01_원자료'!Q740*'03_가중치민감도'!$C$6+'01_원자료'!R740*'03_가중치민감도'!$D$6</f>
        <v/>
      </c>
      <c r="G743" s="85">
        <f>'01_원자료'!P740*'03_가중치민감도'!$B$7+'01_원자료'!Q740*'03_가중치민감도'!$C$7+'01_원자료'!R740*'03_가중치민감도'!$D$7</f>
        <v/>
      </c>
      <c r="H743" s="85">
        <f>'01_원자료'!P740*'03_가중치민감도'!$B$8+'01_원자료'!Q740*'03_가중치민감도'!$C$8+'01_원자료'!R740*'03_가중치민감도'!$D$8</f>
        <v/>
      </c>
      <c r="I743" s="85">
        <f>'01_원자료'!P740*'03_가중치민감도'!$B$9+'01_원자료'!Q740*'03_가중치민감도'!$C$9+'01_원자료'!R740*'03_가중치민감도'!$D$9</f>
        <v/>
      </c>
      <c r="J743" s="85">
        <f>'01_원자료'!P740*'03_가중치민감도'!$B$10+'01_원자료'!Q740*'03_가중치민감도'!$C$10+'01_원자료'!R740*'03_가중치민감도'!$D$10</f>
        <v/>
      </c>
      <c r="K743" s="99">
        <f>COUNTIF($E$5:$E$979,"&lt;"&amp;E743)+(COUNTIF($E$5:$E$979,"="&amp;E743)+1)/2</f>
        <v/>
      </c>
      <c r="L743" s="99">
        <f>COUNTIF($F$5:$F$979,"&lt;"&amp;F743)+(COUNTIF($F$5:$F$979,"="&amp;F743)+1)/2</f>
        <v/>
      </c>
      <c r="M743" s="99">
        <f>COUNTIF($G$5:$G$979,"&lt;"&amp;G743)+(COUNTIF($G$5:$G$979,"="&amp;G743)+1)/2</f>
        <v/>
      </c>
      <c r="N743" s="99">
        <f>COUNTIF($H$5:$H$979,"&lt;"&amp;H743)+(COUNTIF($H$5:$H$979,"="&amp;H743)+1)/2</f>
        <v/>
      </c>
      <c r="O743" s="99">
        <f>COUNTIF($I$5:$I$979,"&lt;"&amp;I743)+(COUNTIF($I$5:$I$979,"="&amp;I743)+1)/2</f>
        <v/>
      </c>
      <c r="P743" s="99">
        <f>COUNTIF($J$5:$J$979,"&lt;"&amp;J743)+(COUNTIF($J$5:$J$979,"="&amp;J743)+1)/2</f>
        <v/>
      </c>
    </row>
    <row r="744" ht="15" customHeight="1" s="68">
      <c r="A744" s="70">
        <f>'01_원자료'!A741</f>
        <v/>
      </c>
      <c r="B744" s="70">
        <f>'01_원자료'!B741</f>
        <v/>
      </c>
      <c r="C744" s="70">
        <f>'01_원자료'!C741</f>
        <v/>
      </c>
      <c r="E744" s="85">
        <f>'01_원자료'!P741*'03_가중치민감도'!$B$5+'01_원자료'!Q741*'03_가중치민감도'!$C$5+'01_원자료'!R741*'03_가중치민감도'!$D$5</f>
        <v/>
      </c>
      <c r="F744" s="85">
        <f>'01_원자료'!P741*'03_가중치민감도'!$B$6+'01_원자료'!Q741*'03_가중치민감도'!$C$6+'01_원자료'!R741*'03_가중치민감도'!$D$6</f>
        <v/>
      </c>
      <c r="G744" s="85">
        <f>'01_원자료'!P741*'03_가중치민감도'!$B$7+'01_원자료'!Q741*'03_가중치민감도'!$C$7+'01_원자료'!R741*'03_가중치민감도'!$D$7</f>
        <v/>
      </c>
      <c r="H744" s="85">
        <f>'01_원자료'!P741*'03_가중치민감도'!$B$8+'01_원자료'!Q741*'03_가중치민감도'!$C$8+'01_원자료'!R741*'03_가중치민감도'!$D$8</f>
        <v/>
      </c>
      <c r="I744" s="85">
        <f>'01_원자료'!P741*'03_가중치민감도'!$B$9+'01_원자료'!Q741*'03_가중치민감도'!$C$9+'01_원자료'!R741*'03_가중치민감도'!$D$9</f>
        <v/>
      </c>
      <c r="J744" s="85">
        <f>'01_원자료'!P741*'03_가중치민감도'!$B$10+'01_원자료'!Q741*'03_가중치민감도'!$C$10+'01_원자료'!R741*'03_가중치민감도'!$D$10</f>
        <v/>
      </c>
      <c r="K744" s="99">
        <f>COUNTIF($E$5:$E$979,"&lt;"&amp;E744)+(COUNTIF($E$5:$E$979,"="&amp;E744)+1)/2</f>
        <v/>
      </c>
      <c r="L744" s="99">
        <f>COUNTIF($F$5:$F$979,"&lt;"&amp;F744)+(COUNTIF($F$5:$F$979,"="&amp;F744)+1)/2</f>
        <v/>
      </c>
      <c r="M744" s="99">
        <f>COUNTIF($G$5:$G$979,"&lt;"&amp;G744)+(COUNTIF($G$5:$G$979,"="&amp;G744)+1)/2</f>
        <v/>
      </c>
      <c r="N744" s="99">
        <f>COUNTIF($H$5:$H$979,"&lt;"&amp;H744)+(COUNTIF($H$5:$H$979,"="&amp;H744)+1)/2</f>
        <v/>
      </c>
      <c r="O744" s="99">
        <f>COUNTIF($I$5:$I$979,"&lt;"&amp;I744)+(COUNTIF($I$5:$I$979,"="&amp;I744)+1)/2</f>
        <v/>
      </c>
      <c r="P744" s="99">
        <f>COUNTIF($J$5:$J$979,"&lt;"&amp;J744)+(COUNTIF($J$5:$J$979,"="&amp;J744)+1)/2</f>
        <v/>
      </c>
    </row>
    <row r="745" ht="15" customHeight="1" s="68">
      <c r="A745" s="70">
        <f>'01_원자료'!A742</f>
        <v/>
      </c>
      <c r="B745" s="70">
        <f>'01_원자료'!B742</f>
        <v/>
      </c>
      <c r="C745" s="70">
        <f>'01_원자료'!C742</f>
        <v/>
      </c>
      <c r="E745" s="85">
        <f>'01_원자료'!P742*'03_가중치민감도'!$B$5+'01_원자료'!Q742*'03_가중치민감도'!$C$5+'01_원자료'!R742*'03_가중치민감도'!$D$5</f>
        <v/>
      </c>
      <c r="F745" s="85">
        <f>'01_원자료'!P742*'03_가중치민감도'!$B$6+'01_원자료'!Q742*'03_가중치민감도'!$C$6+'01_원자료'!R742*'03_가중치민감도'!$D$6</f>
        <v/>
      </c>
      <c r="G745" s="85">
        <f>'01_원자료'!P742*'03_가중치민감도'!$B$7+'01_원자료'!Q742*'03_가중치민감도'!$C$7+'01_원자료'!R742*'03_가중치민감도'!$D$7</f>
        <v/>
      </c>
      <c r="H745" s="85">
        <f>'01_원자료'!P742*'03_가중치민감도'!$B$8+'01_원자료'!Q742*'03_가중치민감도'!$C$8+'01_원자료'!R742*'03_가중치민감도'!$D$8</f>
        <v/>
      </c>
      <c r="I745" s="85">
        <f>'01_원자료'!P742*'03_가중치민감도'!$B$9+'01_원자료'!Q742*'03_가중치민감도'!$C$9+'01_원자료'!R742*'03_가중치민감도'!$D$9</f>
        <v/>
      </c>
      <c r="J745" s="85">
        <f>'01_원자료'!P742*'03_가중치민감도'!$B$10+'01_원자료'!Q742*'03_가중치민감도'!$C$10+'01_원자료'!R742*'03_가중치민감도'!$D$10</f>
        <v/>
      </c>
      <c r="K745" s="99">
        <f>COUNTIF($E$5:$E$979,"&lt;"&amp;E745)+(COUNTIF($E$5:$E$979,"="&amp;E745)+1)/2</f>
        <v/>
      </c>
      <c r="L745" s="99">
        <f>COUNTIF($F$5:$F$979,"&lt;"&amp;F745)+(COUNTIF($F$5:$F$979,"="&amp;F745)+1)/2</f>
        <v/>
      </c>
      <c r="M745" s="99">
        <f>COUNTIF($G$5:$G$979,"&lt;"&amp;G745)+(COUNTIF($G$5:$G$979,"="&amp;G745)+1)/2</f>
        <v/>
      </c>
      <c r="N745" s="99">
        <f>COUNTIF($H$5:$H$979,"&lt;"&amp;H745)+(COUNTIF($H$5:$H$979,"="&amp;H745)+1)/2</f>
        <v/>
      </c>
      <c r="O745" s="99">
        <f>COUNTIF($I$5:$I$979,"&lt;"&amp;I745)+(COUNTIF($I$5:$I$979,"="&amp;I745)+1)/2</f>
        <v/>
      </c>
      <c r="P745" s="99">
        <f>COUNTIF($J$5:$J$979,"&lt;"&amp;J745)+(COUNTIF($J$5:$J$979,"="&amp;J745)+1)/2</f>
        <v/>
      </c>
    </row>
    <row r="746" ht="15" customHeight="1" s="68">
      <c r="A746" s="70">
        <f>'01_원자료'!A743</f>
        <v/>
      </c>
      <c r="B746" s="70">
        <f>'01_원자료'!B743</f>
        <v/>
      </c>
      <c r="C746" s="70">
        <f>'01_원자료'!C743</f>
        <v/>
      </c>
      <c r="E746" s="85">
        <f>'01_원자료'!P743*'03_가중치민감도'!$B$5+'01_원자료'!Q743*'03_가중치민감도'!$C$5+'01_원자료'!R743*'03_가중치민감도'!$D$5</f>
        <v/>
      </c>
      <c r="F746" s="85">
        <f>'01_원자료'!P743*'03_가중치민감도'!$B$6+'01_원자료'!Q743*'03_가중치민감도'!$C$6+'01_원자료'!R743*'03_가중치민감도'!$D$6</f>
        <v/>
      </c>
      <c r="G746" s="85">
        <f>'01_원자료'!P743*'03_가중치민감도'!$B$7+'01_원자료'!Q743*'03_가중치민감도'!$C$7+'01_원자료'!R743*'03_가중치민감도'!$D$7</f>
        <v/>
      </c>
      <c r="H746" s="85">
        <f>'01_원자료'!P743*'03_가중치민감도'!$B$8+'01_원자료'!Q743*'03_가중치민감도'!$C$8+'01_원자료'!R743*'03_가중치민감도'!$D$8</f>
        <v/>
      </c>
      <c r="I746" s="85">
        <f>'01_원자료'!P743*'03_가중치민감도'!$B$9+'01_원자료'!Q743*'03_가중치민감도'!$C$9+'01_원자료'!R743*'03_가중치민감도'!$D$9</f>
        <v/>
      </c>
      <c r="J746" s="85">
        <f>'01_원자료'!P743*'03_가중치민감도'!$B$10+'01_원자료'!Q743*'03_가중치민감도'!$C$10+'01_원자료'!R743*'03_가중치민감도'!$D$10</f>
        <v/>
      </c>
      <c r="K746" s="99">
        <f>COUNTIF($E$5:$E$979,"&lt;"&amp;E746)+(COUNTIF($E$5:$E$979,"="&amp;E746)+1)/2</f>
        <v/>
      </c>
      <c r="L746" s="99">
        <f>COUNTIF($F$5:$F$979,"&lt;"&amp;F746)+(COUNTIF($F$5:$F$979,"="&amp;F746)+1)/2</f>
        <v/>
      </c>
      <c r="M746" s="99">
        <f>COUNTIF($G$5:$G$979,"&lt;"&amp;G746)+(COUNTIF($G$5:$G$979,"="&amp;G746)+1)/2</f>
        <v/>
      </c>
      <c r="N746" s="99">
        <f>COUNTIF($H$5:$H$979,"&lt;"&amp;H746)+(COUNTIF($H$5:$H$979,"="&amp;H746)+1)/2</f>
        <v/>
      </c>
      <c r="O746" s="99">
        <f>COUNTIF($I$5:$I$979,"&lt;"&amp;I746)+(COUNTIF($I$5:$I$979,"="&amp;I746)+1)/2</f>
        <v/>
      </c>
      <c r="P746" s="99">
        <f>COUNTIF($J$5:$J$979,"&lt;"&amp;J746)+(COUNTIF($J$5:$J$979,"="&amp;J746)+1)/2</f>
        <v/>
      </c>
    </row>
    <row r="747" ht="15" customHeight="1" s="68">
      <c r="A747" s="70">
        <f>'01_원자료'!A744</f>
        <v/>
      </c>
      <c r="B747" s="70">
        <f>'01_원자료'!B744</f>
        <v/>
      </c>
      <c r="C747" s="70">
        <f>'01_원자료'!C744</f>
        <v/>
      </c>
      <c r="E747" s="85">
        <f>'01_원자료'!P744*'03_가중치민감도'!$B$5+'01_원자료'!Q744*'03_가중치민감도'!$C$5+'01_원자료'!R744*'03_가중치민감도'!$D$5</f>
        <v/>
      </c>
      <c r="F747" s="85">
        <f>'01_원자료'!P744*'03_가중치민감도'!$B$6+'01_원자료'!Q744*'03_가중치민감도'!$C$6+'01_원자료'!R744*'03_가중치민감도'!$D$6</f>
        <v/>
      </c>
      <c r="G747" s="85">
        <f>'01_원자료'!P744*'03_가중치민감도'!$B$7+'01_원자료'!Q744*'03_가중치민감도'!$C$7+'01_원자료'!R744*'03_가중치민감도'!$D$7</f>
        <v/>
      </c>
      <c r="H747" s="85">
        <f>'01_원자료'!P744*'03_가중치민감도'!$B$8+'01_원자료'!Q744*'03_가중치민감도'!$C$8+'01_원자료'!R744*'03_가중치민감도'!$D$8</f>
        <v/>
      </c>
      <c r="I747" s="85">
        <f>'01_원자료'!P744*'03_가중치민감도'!$B$9+'01_원자료'!Q744*'03_가중치민감도'!$C$9+'01_원자료'!R744*'03_가중치민감도'!$D$9</f>
        <v/>
      </c>
      <c r="J747" s="85">
        <f>'01_원자료'!P744*'03_가중치민감도'!$B$10+'01_원자료'!Q744*'03_가중치민감도'!$C$10+'01_원자료'!R744*'03_가중치민감도'!$D$10</f>
        <v/>
      </c>
      <c r="K747" s="99">
        <f>COUNTIF($E$5:$E$979,"&lt;"&amp;E747)+(COUNTIF($E$5:$E$979,"="&amp;E747)+1)/2</f>
        <v/>
      </c>
      <c r="L747" s="99">
        <f>COUNTIF($F$5:$F$979,"&lt;"&amp;F747)+(COUNTIF($F$5:$F$979,"="&amp;F747)+1)/2</f>
        <v/>
      </c>
      <c r="M747" s="99">
        <f>COUNTIF($G$5:$G$979,"&lt;"&amp;G747)+(COUNTIF($G$5:$G$979,"="&amp;G747)+1)/2</f>
        <v/>
      </c>
      <c r="N747" s="99">
        <f>COUNTIF($H$5:$H$979,"&lt;"&amp;H747)+(COUNTIF($H$5:$H$979,"="&amp;H747)+1)/2</f>
        <v/>
      </c>
      <c r="O747" s="99">
        <f>COUNTIF($I$5:$I$979,"&lt;"&amp;I747)+(COUNTIF($I$5:$I$979,"="&amp;I747)+1)/2</f>
        <v/>
      </c>
      <c r="P747" s="99">
        <f>COUNTIF($J$5:$J$979,"&lt;"&amp;J747)+(COUNTIF($J$5:$J$979,"="&amp;J747)+1)/2</f>
        <v/>
      </c>
    </row>
    <row r="748" ht="15" customHeight="1" s="68">
      <c r="A748" s="70">
        <f>'01_원자료'!A745</f>
        <v/>
      </c>
      <c r="B748" s="70">
        <f>'01_원자료'!B745</f>
        <v/>
      </c>
      <c r="C748" s="70">
        <f>'01_원자료'!C745</f>
        <v/>
      </c>
      <c r="E748" s="85">
        <f>'01_원자료'!P745*'03_가중치민감도'!$B$5+'01_원자료'!Q745*'03_가중치민감도'!$C$5+'01_원자료'!R745*'03_가중치민감도'!$D$5</f>
        <v/>
      </c>
      <c r="F748" s="85">
        <f>'01_원자료'!P745*'03_가중치민감도'!$B$6+'01_원자료'!Q745*'03_가중치민감도'!$C$6+'01_원자료'!R745*'03_가중치민감도'!$D$6</f>
        <v/>
      </c>
      <c r="G748" s="85">
        <f>'01_원자료'!P745*'03_가중치민감도'!$B$7+'01_원자료'!Q745*'03_가중치민감도'!$C$7+'01_원자료'!R745*'03_가중치민감도'!$D$7</f>
        <v/>
      </c>
      <c r="H748" s="85">
        <f>'01_원자료'!P745*'03_가중치민감도'!$B$8+'01_원자료'!Q745*'03_가중치민감도'!$C$8+'01_원자료'!R745*'03_가중치민감도'!$D$8</f>
        <v/>
      </c>
      <c r="I748" s="85">
        <f>'01_원자료'!P745*'03_가중치민감도'!$B$9+'01_원자료'!Q745*'03_가중치민감도'!$C$9+'01_원자료'!R745*'03_가중치민감도'!$D$9</f>
        <v/>
      </c>
      <c r="J748" s="85">
        <f>'01_원자료'!P745*'03_가중치민감도'!$B$10+'01_원자료'!Q745*'03_가중치민감도'!$C$10+'01_원자료'!R745*'03_가중치민감도'!$D$10</f>
        <v/>
      </c>
      <c r="K748" s="99">
        <f>COUNTIF($E$5:$E$979,"&lt;"&amp;E748)+(COUNTIF($E$5:$E$979,"="&amp;E748)+1)/2</f>
        <v/>
      </c>
      <c r="L748" s="99">
        <f>COUNTIF($F$5:$F$979,"&lt;"&amp;F748)+(COUNTIF($F$5:$F$979,"="&amp;F748)+1)/2</f>
        <v/>
      </c>
      <c r="M748" s="99">
        <f>COUNTIF($G$5:$G$979,"&lt;"&amp;G748)+(COUNTIF($G$5:$G$979,"="&amp;G748)+1)/2</f>
        <v/>
      </c>
      <c r="N748" s="99">
        <f>COUNTIF($H$5:$H$979,"&lt;"&amp;H748)+(COUNTIF($H$5:$H$979,"="&amp;H748)+1)/2</f>
        <v/>
      </c>
      <c r="O748" s="99">
        <f>COUNTIF($I$5:$I$979,"&lt;"&amp;I748)+(COUNTIF($I$5:$I$979,"="&amp;I748)+1)/2</f>
        <v/>
      </c>
      <c r="P748" s="99">
        <f>COUNTIF($J$5:$J$979,"&lt;"&amp;J748)+(COUNTIF($J$5:$J$979,"="&amp;J748)+1)/2</f>
        <v/>
      </c>
    </row>
    <row r="749" ht="15" customHeight="1" s="68">
      <c r="A749" s="70">
        <f>'01_원자료'!A746</f>
        <v/>
      </c>
      <c r="B749" s="70">
        <f>'01_원자료'!B746</f>
        <v/>
      </c>
      <c r="C749" s="70">
        <f>'01_원자료'!C746</f>
        <v/>
      </c>
      <c r="E749" s="85">
        <f>'01_원자료'!P746*'03_가중치민감도'!$B$5+'01_원자료'!Q746*'03_가중치민감도'!$C$5+'01_원자료'!R746*'03_가중치민감도'!$D$5</f>
        <v/>
      </c>
      <c r="F749" s="85">
        <f>'01_원자료'!P746*'03_가중치민감도'!$B$6+'01_원자료'!Q746*'03_가중치민감도'!$C$6+'01_원자료'!R746*'03_가중치민감도'!$D$6</f>
        <v/>
      </c>
      <c r="G749" s="85">
        <f>'01_원자료'!P746*'03_가중치민감도'!$B$7+'01_원자료'!Q746*'03_가중치민감도'!$C$7+'01_원자료'!R746*'03_가중치민감도'!$D$7</f>
        <v/>
      </c>
      <c r="H749" s="85">
        <f>'01_원자료'!P746*'03_가중치민감도'!$B$8+'01_원자료'!Q746*'03_가중치민감도'!$C$8+'01_원자료'!R746*'03_가중치민감도'!$D$8</f>
        <v/>
      </c>
      <c r="I749" s="85">
        <f>'01_원자료'!P746*'03_가중치민감도'!$B$9+'01_원자료'!Q746*'03_가중치민감도'!$C$9+'01_원자료'!R746*'03_가중치민감도'!$D$9</f>
        <v/>
      </c>
      <c r="J749" s="85">
        <f>'01_원자료'!P746*'03_가중치민감도'!$B$10+'01_원자료'!Q746*'03_가중치민감도'!$C$10+'01_원자료'!R746*'03_가중치민감도'!$D$10</f>
        <v/>
      </c>
      <c r="K749" s="99">
        <f>COUNTIF($E$5:$E$979,"&lt;"&amp;E749)+(COUNTIF($E$5:$E$979,"="&amp;E749)+1)/2</f>
        <v/>
      </c>
      <c r="L749" s="99">
        <f>COUNTIF($F$5:$F$979,"&lt;"&amp;F749)+(COUNTIF($F$5:$F$979,"="&amp;F749)+1)/2</f>
        <v/>
      </c>
      <c r="M749" s="99">
        <f>COUNTIF($G$5:$G$979,"&lt;"&amp;G749)+(COUNTIF($G$5:$G$979,"="&amp;G749)+1)/2</f>
        <v/>
      </c>
      <c r="N749" s="99">
        <f>COUNTIF($H$5:$H$979,"&lt;"&amp;H749)+(COUNTIF($H$5:$H$979,"="&amp;H749)+1)/2</f>
        <v/>
      </c>
      <c r="O749" s="99">
        <f>COUNTIF($I$5:$I$979,"&lt;"&amp;I749)+(COUNTIF($I$5:$I$979,"="&amp;I749)+1)/2</f>
        <v/>
      </c>
      <c r="P749" s="99">
        <f>COUNTIF($J$5:$J$979,"&lt;"&amp;J749)+(COUNTIF($J$5:$J$979,"="&amp;J749)+1)/2</f>
        <v/>
      </c>
    </row>
    <row r="750" ht="15" customHeight="1" s="68">
      <c r="A750" s="70">
        <f>'01_원자료'!A747</f>
        <v/>
      </c>
      <c r="B750" s="70">
        <f>'01_원자료'!B747</f>
        <v/>
      </c>
      <c r="C750" s="70">
        <f>'01_원자료'!C747</f>
        <v/>
      </c>
      <c r="E750" s="85">
        <f>'01_원자료'!P747*'03_가중치민감도'!$B$5+'01_원자료'!Q747*'03_가중치민감도'!$C$5+'01_원자료'!R747*'03_가중치민감도'!$D$5</f>
        <v/>
      </c>
      <c r="F750" s="85">
        <f>'01_원자료'!P747*'03_가중치민감도'!$B$6+'01_원자료'!Q747*'03_가중치민감도'!$C$6+'01_원자료'!R747*'03_가중치민감도'!$D$6</f>
        <v/>
      </c>
      <c r="G750" s="85">
        <f>'01_원자료'!P747*'03_가중치민감도'!$B$7+'01_원자료'!Q747*'03_가중치민감도'!$C$7+'01_원자료'!R747*'03_가중치민감도'!$D$7</f>
        <v/>
      </c>
      <c r="H750" s="85">
        <f>'01_원자료'!P747*'03_가중치민감도'!$B$8+'01_원자료'!Q747*'03_가중치민감도'!$C$8+'01_원자료'!R747*'03_가중치민감도'!$D$8</f>
        <v/>
      </c>
      <c r="I750" s="85">
        <f>'01_원자료'!P747*'03_가중치민감도'!$B$9+'01_원자료'!Q747*'03_가중치민감도'!$C$9+'01_원자료'!R747*'03_가중치민감도'!$D$9</f>
        <v/>
      </c>
      <c r="J750" s="85">
        <f>'01_원자료'!P747*'03_가중치민감도'!$B$10+'01_원자료'!Q747*'03_가중치민감도'!$C$10+'01_원자료'!R747*'03_가중치민감도'!$D$10</f>
        <v/>
      </c>
      <c r="K750" s="99">
        <f>COUNTIF($E$5:$E$979,"&lt;"&amp;E750)+(COUNTIF($E$5:$E$979,"="&amp;E750)+1)/2</f>
        <v/>
      </c>
      <c r="L750" s="99">
        <f>COUNTIF($F$5:$F$979,"&lt;"&amp;F750)+(COUNTIF($F$5:$F$979,"="&amp;F750)+1)/2</f>
        <v/>
      </c>
      <c r="M750" s="99">
        <f>COUNTIF($G$5:$G$979,"&lt;"&amp;G750)+(COUNTIF($G$5:$G$979,"="&amp;G750)+1)/2</f>
        <v/>
      </c>
      <c r="N750" s="99">
        <f>COUNTIF($H$5:$H$979,"&lt;"&amp;H750)+(COUNTIF($H$5:$H$979,"="&amp;H750)+1)/2</f>
        <v/>
      </c>
      <c r="O750" s="99">
        <f>COUNTIF($I$5:$I$979,"&lt;"&amp;I750)+(COUNTIF($I$5:$I$979,"="&amp;I750)+1)/2</f>
        <v/>
      </c>
      <c r="P750" s="99">
        <f>COUNTIF($J$5:$J$979,"&lt;"&amp;J750)+(COUNTIF($J$5:$J$979,"="&amp;J750)+1)/2</f>
        <v/>
      </c>
    </row>
    <row r="751" ht="15" customHeight="1" s="68">
      <c r="A751" s="70">
        <f>'01_원자료'!A748</f>
        <v/>
      </c>
      <c r="B751" s="70">
        <f>'01_원자료'!B748</f>
        <v/>
      </c>
      <c r="C751" s="70">
        <f>'01_원자료'!C748</f>
        <v/>
      </c>
      <c r="E751" s="85">
        <f>'01_원자료'!P748*'03_가중치민감도'!$B$5+'01_원자료'!Q748*'03_가중치민감도'!$C$5+'01_원자료'!R748*'03_가중치민감도'!$D$5</f>
        <v/>
      </c>
      <c r="F751" s="85">
        <f>'01_원자료'!P748*'03_가중치민감도'!$B$6+'01_원자료'!Q748*'03_가중치민감도'!$C$6+'01_원자료'!R748*'03_가중치민감도'!$D$6</f>
        <v/>
      </c>
      <c r="G751" s="85">
        <f>'01_원자료'!P748*'03_가중치민감도'!$B$7+'01_원자료'!Q748*'03_가중치민감도'!$C$7+'01_원자료'!R748*'03_가중치민감도'!$D$7</f>
        <v/>
      </c>
      <c r="H751" s="85">
        <f>'01_원자료'!P748*'03_가중치민감도'!$B$8+'01_원자료'!Q748*'03_가중치민감도'!$C$8+'01_원자료'!R748*'03_가중치민감도'!$D$8</f>
        <v/>
      </c>
      <c r="I751" s="85">
        <f>'01_원자료'!P748*'03_가중치민감도'!$B$9+'01_원자료'!Q748*'03_가중치민감도'!$C$9+'01_원자료'!R748*'03_가중치민감도'!$D$9</f>
        <v/>
      </c>
      <c r="J751" s="85">
        <f>'01_원자료'!P748*'03_가중치민감도'!$B$10+'01_원자료'!Q748*'03_가중치민감도'!$C$10+'01_원자료'!R748*'03_가중치민감도'!$D$10</f>
        <v/>
      </c>
      <c r="K751" s="99">
        <f>COUNTIF($E$5:$E$979,"&lt;"&amp;E751)+(COUNTIF($E$5:$E$979,"="&amp;E751)+1)/2</f>
        <v/>
      </c>
      <c r="L751" s="99">
        <f>COUNTIF($F$5:$F$979,"&lt;"&amp;F751)+(COUNTIF($F$5:$F$979,"="&amp;F751)+1)/2</f>
        <v/>
      </c>
      <c r="M751" s="99">
        <f>COUNTIF($G$5:$G$979,"&lt;"&amp;G751)+(COUNTIF($G$5:$G$979,"="&amp;G751)+1)/2</f>
        <v/>
      </c>
      <c r="N751" s="99">
        <f>COUNTIF($H$5:$H$979,"&lt;"&amp;H751)+(COUNTIF($H$5:$H$979,"="&amp;H751)+1)/2</f>
        <v/>
      </c>
      <c r="O751" s="99">
        <f>COUNTIF($I$5:$I$979,"&lt;"&amp;I751)+(COUNTIF($I$5:$I$979,"="&amp;I751)+1)/2</f>
        <v/>
      </c>
      <c r="P751" s="99">
        <f>COUNTIF($J$5:$J$979,"&lt;"&amp;J751)+(COUNTIF($J$5:$J$979,"="&amp;J751)+1)/2</f>
        <v/>
      </c>
    </row>
    <row r="752" ht="15" customHeight="1" s="68">
      <c r="A752" s="70">
        <f>'01_원자료'!A749</f>
        <v/>
      </c>
      <c r="B752" s="70">
        <f>'01_원자료'!B749</f>
        <v/>
      </c>
      <c r="C752" s="70">
        <f>'01_원자료'!C749</f>
        <v/>
      </c>
      <c r="E752" s="85">
        <f>'01_원자료'!P749*'03_가중치민감도'!$B$5+'01_원자료'!Q749*'03_가중치민감도'!$C$5+'01_원자료'!R749*'03_가중치민감도'!$D$5</f>
        <v/>
      </c>
      <c r="F752" s="85">
        <f>'01_원자료'!P749*'03_가중치민감도'!$B$6+'01_원자료'!Q749*'03_가중치민감도'!$C$6+'01_원자료'!R749*'03_가중치민감도'!$D$6</f>
        <v/>
      </c>
      <c r="G752" s="85">
        <f>'01_원자료'!P749*'03_가중치민감도'!$B$7+'01_원자료'!Q749*'03_가중치민감도'!$C$7+'01_원자료'!R749*'03_가중치민감도'!$D$7</f>
        <v/>
      </c>
      <c r="H752" s="85">
        <f>'01_원자료'!P749*'03_가중치민감도'!$B$8+'01_원자료'!Q749*'03_가중치민감도'!$C$8+'01_원자료'!R749*'03_가중치민감도'!$D$8</f>
        <v/>
      </c>
      <c r="I752" s="85">
        <f>'01_원자료'!P749*'03_가중치민감도'!$B$9+'01_원자료'!Q749*'03_가중치민감도'!$C$9+'01_원자료'!R749*'03_가중치민감도'!$D$9</f>
        <v/>
      </c>
      <c r="J752" s="85">
        <f>'01_원자료'!P749*'03_가중치민감도'!$B$10+'01_원자료'!Q749*'03_가중치민감도'!$C$10+'01_원자료'!R749*'03_가중치민감도'!$D$10</f>
        <v/>
      </c>
      <c r="K752" s="99">
        <f>COUNTIF($E$5:$E$979,"&lt;"&amp;E752)+(COUNTIF($E$5:$E$979,"="&amp;E752)+1)/2</f>
        <v/>
      </c>
      <c r="L752" s="99">
        <f>COUNTIF($F$5:$F$979,"&lt;"&amp;F752)+(COUNTIF($F$5:$F$979,"="&amp;F752)+1)/2</f>
        <v/>
      </c>
      <c r="M752" s="99">
        <f>COUNTIF($G$5:$G$979,"&lt;"&amp;G752)+(COUNTIF($G$5:$G$979,"="&amp;G752)+1)/2</f>
        <v/>
      </c>
      <c r="N752" s="99">
        <f>COUNTIF($H$5:$H$979,"&lt;"&amp;H752)+(COUNTIF($H$5:$H$979,"="&amp;H752)+1)/2</f>
        <v/>
      </c>
      <c r="O752" s="99">
        <f>COUNTIF($I$5:$I$979,"&lt;"&amp;I752)+(COUNTIF($I$5:$I$979,"="&amp;I752)+1)/2</f>
        <v/>
      </c>
      <c r="P752" s="99">
        <f>COUNTIF($J$5:$J$979,"&lt;"&amp;J752)+(COUNTIF($J$5:$J$979,"="&amp;J752)+1)/2</f>
        <v/>
      </c>
    </row>
    <row r="753" ht="15" customHeight="1" s="68">
      <c r="A753" s="70">
        <f>'01_원자료'!A750</f>
        <v/>
      </c>
      <c r="B753" s="70">
        <f>'01_원자료'!B750</f>
        <v/>
      </c>
      <c r="C753" s="70">
        <f>'01_원자료'!C750</f>
        <v/>
      </c>
      <c r="E753" s="85">
        <f>'01_원자료'!P750*'03_가중치민감도'!$B$5+'01_원자료'!Q750*'03_가중치민감도'!$C$5+'01_원자료'!R750*'03_가중치민감도'!$D$5</f>
        <v/>
      </c>
      <c r="F753" s="85">
        <f>'01_원자료'!P750*'03_가중치민감도'!$B$6+'01_원자료'!Q750*'03_가중치민감도'!$C$6+'01_원자료'!R750*'03_가중치민감도'!$D$6</f>
        <v/>
      </c>
      <c r="G753" s="85">
        <f>'01_원자료'!P750*'03_가중치민감도'!$B$7+'01_원자료'!Q750*'03_가중치민감도'!$C$7+'01_원자료'!R750*'03_가중치민감도'!$D$7</f>
        <v/>
      </c>
      <c r="H753" s="85">
        <f>'01_원자료'!P750*'03_가중치민감도'!$B$8+'01_원자료'!Q750*'03_가중치민감도'!$C$8+'01_원자료'!R750*'03_가중치민감도'!$D$8</f>
        <v/>
      </c>
      <c r="I753" s="85">
        <f>'01_원자료'!P750*'03_가중치민감도'!$B$9+'01_원자료'!Q750*'03_가중치민감도'!$C$9+'01_원자료'!R750*'03_가중치민감도'!$D$9</f>
        <v/>
      </c>
      <c r="J753" s="85">
        <f>'01_원자료'!P750*'03_가중치민감도'!$B$10+'01_원자료'!Q750*'03_가중치민감도'!$C$10+'01_원자료'!R750*'03_가중치민감도'!$D$10</f>
        <v/>
      </c>
      <c r="K753" s="99">
        <f>COUNTIF($E$5:$E$979,"&lt;"&amp;E753)+(COUNTIF($E$5:$E$979,"="&amp;E753)+1)/2</f>
        <v/>
      </c>
      <c r="L753" s="99">
        <f>COUNTIF($F$5:$F$979,"&lt;"&amp;F753)+(COUNTIF($F$5:$F$979,"="&amp;F753)+1)/2</f>
        <v/>
      </c>
      <c r="M753" s="99">
        <f>COUNTIF($G$5:$G$979,"&lt;"&amp;G753)+(COUNTIF($G$5:$G$979,"="&amp;G753)+1)/2</f>
        <v/>
      </c>
      <c r="N753" s="99">
        <f>COUNTIF($H$5:$H$979,"&lt;"&amp;H753)+(COUNTIF($H$5:$H$979,"="&amp;H753)+1)/2</f>
        <v/>
      </c>
      <c r="O753" s="99">
        <f>COUNTIF($I$5:$I$979,"&lt;"&amp;I753)+(COUNTIF($I$5:$I$979,"="&amp;I753)+1)/2</f>
        <v/>
      </c>
      <c r="P753" s="99">
        <f>COUNTIF($J$5:$J$979,"&lt;"&amp;J753)+(COUNTIF($J$5:$J$979,"="&amp;J753)+1)/2</f>
        <v/>
      </c>
    </row>
    <row r="754" ht="15" customHeight="1" s="68">
      <c r="A754" s="70">
        <f>'01_원자료'!A751</f>
        <v/>
      </c>
      <c r="B754" s="70">
        <f>'01_원자료'!B751</f>
        <v/>
      </c>
      <c r="C754" s="70">
        <f>'01_원자료'!C751</f>
        <v/>
      </c>
      <c r="E754" s="85">
        <f>'01_원자료'!P751*'03_가중치민감도'!$B$5+'01_원자료'!Q751*'03_가중치민감도'!$C$5+'01_원자료'!R751*'03_가중치민감도'!$D$5</f>
        <v/>
      </c>
      <c r="F754" s="85">
        <f>'01_원자료'!P751*'03_가중치민감도'!$B$6+'01_원자료'!Q751*'03_가중치민감도'!$C$6+'01_원자료'!R751*'03_가중치민감도'!$D$6</f>
        <v/>
      </c>
      <c r="G754" s="85">
        <f>'01_원자료'!P751*'03_가중치민감도'!$B$7+'01_원자료'!Q751*'03_가중치민감도'!$C$7+'01_원자료'!R751*'03_가중치민감도'!$D$7</f>
        <v/>
      </c>
      <c r="H754" s="85">
        <f>'01_원자료'!P751*'03_가중치민감도'!$B$8+'01_원자료'!Q751*'03_가중치민감도'!$C$8+'01_원자료'!R751*'03_가중치민감도'!$D$8</f>
        <v/>
      </c>
      <c r="I754" s="85">
        <f>'01_원자료'!P751*'03_가중치민감도'!$B$9+'01_원자료'!Q751*'03_가중치민감도'!$C$9+'01_원자료'!R751*'03_가중치민감도'!$D$9</f>
        <v/>
      </c>
      <c r="J754" s="85">
        <f>'01_원자료'!P751*'03_가중치민감도'!$B$10+'01_원자료'!Q751*'03_가중치민감도'!$C$10+'01_원자료'!R751*'03_가중치민감도'!$D$10</f>
        <v/>
      </c>
      <c r="K754" s="99">
        <f>COUNTIF($E$5:$E$979,"&lt;"&amp;E754)+(COUNTIF($E$5:$E$979,"="&amp;E754)+1)/2</f>
        <v/>
      </c>
      <c r="L754" s="99">
        <f>COUNTIF($F$5:$F$979,"&lt;"&amp;F754)+(COUNTIF($F$5:$F$979,"="&amp;F754)+1)/2</f>
        <v/>
      </c>
      <c r="M754" s="99">
        <f>COUNTIF($G$5:$G$979,"&lt;"&amp;G754)+(COUNTIF($G$5:$G$979,"="&amp;G754)+1)/2</f>
        <v/>
      </c>
      <c r="N754" s="99">
        <f>COUNTIF($H$5:$H$979,"&lt;"&amp;H754)+(COUNTIF($H$5:$H$979,"="&amp;H754)+1)/2</f>
        <v/>
      </c>
      <c r="O754" s="99">
        <f>COUNTIF($I$5:$I$979,"&lt;"&amp;I754)+(COUNTIF($I$5:$I$979,"="&amp;I754)+1)/2</f>
        <v/>
      </c>
      <c r="P754" s="99">
        <f>COUNTIF($J$5:$J$979,"&lt;"&amp;J754)+(COUNTIF($J$5:$J$979,"="&amp;J754)+1)/2</f>
        <v/>
      </c>
    </row>
    <row r="755" ht="15" customHeight="1" s="68">
      <c r="A755" s="70">
        <f>'01_원자료'!A752</f>
        <v/>
      </c>
      <c r="B755" s="70">
        <f>'01_원자료'!B752</f>
        <v/>
      </c>
      <c r="C755" s="70">
        <f>'01_원자료'!C752</f>
        <v/>
      </c>
      <c r="E755" s="85">
        <f>'01_원자료'!P752*'03_가중치민감도'!$B$5+'01_원자료'!Q752*'03_가중치민감도'!$C$5+'01_원자료'!R752*'03_가중치민감도'!$D$5</f>
        <v/>
      </c>
      <c r="F755" s="85">
        <f>'01_원자료'!P752*'03_가중치민감도'!$B$6+'01_원자료'!Q752*'03_가중치민감도'!$C$6+'01_원자료'!R752*'03_가중치민감도'!$D$6</f>
        <v/>
      </c>
      <c r="G755" s="85">
        <f>'01_원자료'!P752*'03_가중치민감도'!$B$7+'01_원자료'!Q752*'03_가중치민감도'!$C$7+'01_원자료'!R752*'03_가중치민감도'!$D$7</f>
        <v/>
      </c>
      <c r="H755" s="85">
        <f>'01_원자료'!P752*'03_가중치민감도'!$B$8+'01_원자료'!Q752*'03_가중치민감도'!$C$8+'01_원자료'!R752*'03_가중치민감도'!$D$8</f>
        <v/>
      </c>
      <c r="I755" s="85">
        <f>'01_원자료'!P752*'03_가중치민감도'!$B$9+'01_원자료'!Q752*'03_가중치민감도'!$C$9+'01_원자료'!R752*'03_가중치민감도'!$D$9</f>
        <v/>
      </c>
      <c r="J755" s="85">
        <f>'01_원자료'!P752*'03_가중치민감도'!$B$10+'01_원자료'!Q752*'03_가중치민감도'!$C$10+'01_원자료'!R752*'03_가중치민감도'!$D$10</f>
        <v/>
      </c>
      <c r="K755" s="99">
        <f>COUNTIF($E$5:$E$979,"&lt;"&amp;E755)+(COUNTIF($E$5:$E$979,"="&amp;E755)+1)/2</f>
        <v/>
      </c>
      <c r="L755" s="99">
        <f>COUNTIF($F$5:$F$979,"&lt;"&amp;F755)+(COUNTIF($F$5:$F$979,"="&amp;F755)+1)/2</f>
        <v/>
      </c>
      <c r="M755" s="99">
        <f>COUNTIF($G$5:$G$979,"&lt;"&amp;G755)+(COUNTIF($G$5:$G$979,"="&amp;G755)+1)/2</f>
        <v/>
      </c>
      <c r="N755" s="99">
        <f>COUNTIF($H$5:$H$979,"&lt;"&amp;H755)+(COUNTIF($H$5:$H$979,"="&amp;H755)+1)/2</f>
        <v/>
      </c>
      <c r="O755" s="99">
        <f>COUNTIF($I$5:$I$979,"&lt;"&amp;I755)+(COUNTIF($I$5:$I$979,"="&amp;I755)+1)/2</f>
        <v/>
      </c>
      <c r="P755" s="99">
        <f>COUNTIF($J$5:$J$979,"&lt;"&amp;J755)+(COUNTIF($J$5:$J$979,"="&amp;J755)+1)/2</f>
        <v/>
      </c>
    </row>
    <row r="756" ht="15" customHeight="1" s="68">
      <c r="A756" s="70">
        <f>'01_원자료'!A753</f>
        <v/>
      </c>
      <c r="B756" s="70">
        <f>'01_원자료'!B753</f>
        <v/>
      </c>
      <c r="C756" s="70">
        <f>'01_원자료'!C753</f>
        <v/>
      </c>
      <c r="E756" s="85">
        <f>'01_원자료'!P753*'03_가중치민감도'!$B$5+'01_원자료'!Q753*'03_가중치민감도'!$C$5+'01_원자료'!R753*'03_가중치민감도'!$D$5</f>
        <v/>
      </c>
      <c r="F756" s="85">
        <f>'01_원자료'!P753*'03_가중치민감도'!$B$6+'01_원자료'!Q753*'03_가중치민감도'!$C$6+'01_원자료'!R753*'03_가중치민감도'!$D$6</f>
        <v/>
      </c>
      <c r="G756" s="85">
        <f>'01_원자료'!P753*'03_가중치민감도'!$B$7+'01_원자료'!Q753*'03_가중치민감도'!$C$7+'01_원자료'!R753*'03_가중치민감도'!$D$7</f>
        <v/>
      </c>
      <c r="H756" s="85">
        <f>'01_원자료'!P753*'03_가중치민감도'!$B$8+'01_원자료'!Q753*'03_가중치민감도'!$C$8+'01_원자료'!R753*'03_가중치민감도'!$D$8</f>
        <v/>
      </c>
      <c r="I756" s="85">
        <f>'01_원자료'!P753*'03_가중치민감도'!$B$9+'01_원자료'!Q753*'03_가중치민감도'!$C$9+'01_원자료'!R753*'03_가중치민감도'!$D$9</f>
        <v/>
      </c>
      <c r="J756" s="85">
        <f>'01_원자료'!P753*'03_가중치민감도'!$B$10+'01_원자료'!Q753*'03_가중치민감도'!$C$10+'01_원자료'!R753*'03_가중치민감도'!$D$10</f>
        <v/>
      </c>
      <c r="K756" s="99">
        <f>COUNTIF($E$5:$E$979,"&lt;"&amp;E756)+(COUNTIF($E$5:$E$979,"="&amp;E756)+1)/2</f>
        <v/>
      </c>
      <c r="L756" s="99">
        <f>COUNTIF($F$5:$F$979,"&lt;"&amp;F756)+(COUNTIF($F$5:$F$979,"="&amp;F756)+1)/2</f>
        <v/>
      </c>
      <c r="M756" s="99">
        <f>COUNTIF($G$5:$G$979,"&lt;"&amp;G756)+(COUNTIF($G$5:$G$979,"="&amp;G756)+1)/2</f>
        <v/>
      </c>
      <c r="N756" s="99">
        <f>COUNTIF($H$5:$H$979,"&lt;"&amp;H756)+(COUNTIF($H$5:$H$979,"="&amp;H756)+1)/2</f>
        <v/>
      </c>
      <c r="O756" s="99">
        <f>COUNTIF($I$5:$I$979,"&lt;"&amp;I756)+(COUNTIF($I$5:$I$979,"="&amp;I756)+1)/2</f>
        <v/>
      </c>
      <c r="P756" s="99">
        <f>COUNTIF($J$5:$J$979,"&lt;"&amp;J756)+(COUNTIF($J$5:$J$979,"="&amp;J756)+1)/2</f>
        <v/>
      </c>
    </row>
    <row r="757" ht="15" customHeight="1" s="68">
      <c r="A757" s="70">
        <f>'01_원자료'!A754</f>
        <v/>
      </c>
      <c r="B757" s="70">
        <f>'01_원자료'!B754</f>
        <v/>
      </c>
      <c r="C757" s="70">
        <f>'01_원자료'!C754</f>
        <v/>
      </c>
      <c r="E757" s="85">
        <f>'01_원자료'!P754*'03_가중치민감도'!$B$5+'01_원자료'!Q754*'03_가중치민감도'!$C$5+'01_원자료'!R754*'03_가중치민감도'!$D$5</f>
        <v/>
      </c>
      <c r="F757" s="85">
        <f>'01_원자료'!P754*'03_가중치민감도'!$B$6+'01_원자료'!Q754*'03_가중치민감도'!$C$6+'01_원자료'!R754*'03_가중치민감도'!$D$6</f>
        <v/>
      </c>
      <c r="G757" s="85">
        <f>'01_원자료'!P754*'03_가중치민감도'!$B$7+'01_원자료'!Q754*'03_가중치민감도'!$C$7+'01_원자료'!R754*'03_가중치민감도'!$D$7</f>
        <v/>
      </c>
      <c r="H757" s="85">
        <f>'01_원자료'!P754*'03_가중치민감도'!$B$8+'01_원자료'!Q754*'03_가중치민감도'!$C$8+'01_원자료'!R754*'03_가중치민감도'!$D$8</f>
        <v/>
      </c>
      <c r="I757" s="85">
        <f>'01_원자료'!P754*'03_가중치민감도'!$B$9+'01_원자료'!Q754*'03_가중치민감도'!$C$9+'01_원자료'!R754*'03_가중치민감도'!$D$9</f>
        <v/>
      </c>
      <c r="J757" s="85">
        <f>'01_원자료'!P754*'03_가중치민감도'!$B$10+'01_원자료'!Q754*'03_가중치민감도'!$C$10+'01_원자료'!R754*'03_가중치민감도'!$D$10</f>
        <v/>
      </c>
      <c r="K757" s="99">
        <f>COUNTIF($E$5:$E$979,"&lt;"&amp;E757)+(COUNTIF($E$5:$E$979,"="&amp;E757)+1)/2</f>
        <v/>
      </c>
      <c r="L757" s="99">
        <f>COUNTIF($F$5:$F$979,"&lt;"&amp;F757)+(COUNTIF($F$5:$F$979,"="&amp;F757)+1)/2</f>
        <v/>
      </c>
      <c r="M757" s="99">
        <f>COUNTIF($G$5:$G$979,"&lt;"&amp;G757)+(COUNTIF($G$5:$G$979,"="&amp;G757)+1)/2</f>
        <v/>
      </c>
      <c r="N757" s="99">
        <f>COUNTIF($H$5:$H$979,"&lt;"&amp;H757)+(COUNTIF($H$5:$H$979,"="&amp;H757)+1)/2</f>
        <v/>
      </c>
      <c r="O757" s="99">
        <f>COUNTIF($I$5:$I$979,"&lt;"&amp;I757)+(COUNTIF($I$5:$I$979,"="&amp;I757)+1)/2</f>
        <v/>
      </c>
      <c r="P757" s="99">
        <f>COUNTIF($J$5:$J$979,"&lt;"&amp;J757)+(COUNTIF($J$5:$J$979,"="&amp;J757)+1)/2</f>
        <v/>
      </c>
    </row>
    <row r="758" ht="15" customHeight="1" s="68">
      <c r="A758" s="70">
        <f>'01_원자료'!A755</f>
        <v/>
      </c>
      <c r="B758" s="70">
        <f>'01_원자료'!B755</f>
        <v/>
      </c>
      <c r="C758" s="70">
        <f>'01_원자료'!C755</f>
        <v/>
      </c>
      <c r="E758" s="85">
        <f>'01_원자료'!P755*'03_가중치민감도'!$B$5+'01_원자료'!Q755*'03_가중치민감도'!$C$5+'01_원자료'!R755*'03_가중치민감도'!$D$5</f>
        <v/>
      </c>
      <c r="F758" s="85">
        <f>'01_원자료'!P755*'03_가중치민감도'!$B$6+'01_원자료'!Q755*'03_가중치민감도'!$C$6+'01_원자료'!R755*'03_가중치민감도'!$D$6</f>
        <v/>
      </c>
      <c r="G758" s="85">
        <f>'01_원자료'!P755*'03_가중치민감도'!$B$7+'01_원자료'!Q755*'03_가중치민감도'!$C$7+'01_원자료'!R755*'03_가중치민감도'!$D$7</f>
        <v/>
      </c>
      <c r="H758" s="85">
        <f>'01_원자료'!P755*'03_가중치민감도'!$B$8+'01_원자료'!Q755*'03_가중치민감도'!$C$8+'01_원자료'!R755*'03_가중치민감도'!$D$8</f>
        <v/>
      </c>
      <c r="I758" s="85">
        <f>'01_원자료'!P755*'03_가중치민감도'!$B$9+'01_원자료'!Q755*'03_가중치민감도'!$C$9+'01_원자료'!R755*'03_가중치민감도'!$D$9</f>
        <v/>
      </c>
      <c r="J758" s="85">
        <f>'01_원자료'!P755*'03_가중치민감도'!$B$10+'01_원자료'!Q755*'03_가중치민감도'!$C$10+'01_원자료'!R755*'03_가중치민감도'!$D$10</f>
        <v/>
      </c>
      <c r="K758" s="99">
        <f>COUNTIF($E$5:$E$979,"&lt;"&amp;E758)+(COUNTIF($E$5:$E$979,"="&amp;E758)+1)/2</f>
        <v/>
      </c>
      <c r="L758" s="99">
        <f>COUNTIF($F$5:$F$979,"&lt;"&amp;F758)+(COUNTIF($F$5:$F$979,"="&amp;F758)+1)/2</f>
        <v/>
      </c>
      <c r="M758" s="99">
        <f>COUNTIF($G$5:$G$979,"&lt;"&amp;G758)+(COUNTIF($G$5:$G$979,"="&amp;G758)+1)/2</f>
        <v/>
      </c>
      <c r="N758" s="99">
        <f>COUNTIF($H$5:$H$979,"&lt;"&amp;H758)+(COUNTIF($H$5:$H$979,"="&amp;H758)+1)/2</f>
        <v/>
      </c>
      <c r="O758" s="99">
        <f>COUNTIF($I$5:$I$979,"&lt;"&amp;I758)+(COUNTIF($I$5:$I$979,"="&amp;I758)+1)/2</f>
        <v/>
      </c>
      <c r="P758" s="99">
        <f>COUNTIF($J$5:$J$979,"&lt;"&amp;J758)+(COUNTIF($J$5:$J$979,"="&amp;J758)+1)/2</f>
        <v/>
      </c>
    </row>
    <row r="759" ht="15" customHeight="1" s="68">
      <c r="A759" s="70">
        <f>'01_원자료'!A756</f>
        <v/>
      </c>
      <c r="B759" s="70">
        <f>'01_원자료'!B756</f>
        <v/>
      </c>
      <c r="C759" s="70">
        <f>'01_원자료'!C756</f>
        <v/>
      </c>
      <c r="E759" s="85">
        <f>'01_원자료'!P756*'03_가중치민감도'!$B$5+'01_원자료'!Q756*'03_가중치민감도'!$C$5+'01_원자료'!R756*'03_가중치민감도'!$D$5</f>
        <v/>
      </c>
      <c r="F759" s="85">
        <f>'01_원자료'!P756*'03_가중치민감도'!$B$6+'01_원자료'!Q756*'03_가중치민감도'!$C$6+'01_원자료'!R756*'03_가중치민감도'!$D$6</f>
        <v/>
      </c>
      <c r="G759" s="85">
        <f>'01_원자료'!P756*'03_가중치민감도'!$B$7+'01_원자료'!Q756*'03_가중치민감도'!$C$7+'01_원자료'!R756*'03_가중치민감도'!$D$7</f>
        <v/>
      </c>
      <c r="H759" s="85">
        <f>'01_원자료'!P756*'03_가중치민감도'!$B$8+'01_원자료'!Q756*'03_가중치민감도'!$C$8+'01_원자료'!R756*'03_가중치민감도'!$D$8</f>
        <v/>
      </c>
      <c r="I759" s="85">
        <f>'01_원자료'!P756*'03_가중치민감도'!$B$9+'01_원자료'!Q756*'03_가중치민감도'!$C$9+'01_원자료'!R756*'03_가중치민감도'!$D$9</f>
        <v/>
      </c>
      <c r="J759" s="85">
        <f>'01_원자료'!P756*'03_가중치민감도'!$B$10+'01_원자료'!Q756*'03_가중치민감도'!$C$10+'01_원자료'!R756*'03_가중치민감도'!$D$10</f>
        <v/>
      </c>
      <c r="K759" s="99">
        <f>COUNTIF($E$5:$E$979,"&lt;"&amp;E759)+(COUNTIF($E$5:$E$979,"="&amp;E759)+1)/2</f>
        <v/>
      </c>
      <c r="L759" s="99">
        <f>COUNTIF($F$5:$F$979,"&lt;"&amp;F759)+(COUNTIF($F$5:$F$979,"="&amp;F759)+1)/2</f>
        <v/>
      </c>
      <c r="M759" s="99">
        <f>COUNTIF($G$5:$G$979,"&lt;"&amp;G759)+(COUNTIF($G$5:$G$979,"="&amp;G759)+1)/2</f>
        <v/>
      </c>
      <c r="N759" s="99">
        <f>COUNTIF($H$5:$H$979,"&lt;"&amp;H759)+(COUNTIF($H$5:$H$979,"="&amp;H759)+1)/2</f>
        <v/>
      </c>
      <c r="O759" s="99">
        <f>COUNTIF($I$5:$I$979,"&lt;"&amp;I759)+(COUNTIF($I$5:$I$979,"="&amp;I759)+1)/2</f>
        <v/>
      </c>
      <c r="P759" s="99">
        <f>COUNTIF($J$5:$J$979,"&lt;"&amp;J759)+(COUNTIF($J$5:$J$979,"="&amp;J759)+1)/2</f>
        <v/>
      </c>
    </row>
    <row r="760" ht="15" customHeight="1" s="68">
      <c r="A760" s="70">
        <f>'01_원자료'!A757</f>
        <v/>
      </c>
      <c r="B760" s="70">
        <f>'01_원자료'!B757</f>
        <v/>
      </c>
      <c r="C760" s="70">
        <f>'01_원자료'!C757</f>
        <v/>
      </c>
      <c r="E760" s="85">
        <f>'01_원자료'!P757*'03_가중치민감도'!$B$5+'01_원자료'!Q757*'03_가중치민감도'!$C$5+'01_원자료'!R757*'03_가중치민감도'!$D$5</f>
        <v/>
      </c>
      <c r="F760" s="85">
        <f>'01_원자료'!P757*'03_가중치민감도'!$B$6+'01_원자료'!Q757*'03_가중치민감도'!$C$6+'01_원자료'!R757*'03_가중치민감도'!$D$6</f>
        <v/>
      </c>
      <c r="G760" s="85">
        <f>'01_원자료'!P757*'03_가중치민감도'!$B$7+'01_원자료'!Q757*'03_가중치민감도'!$C$7+'01_원자료'!R757*'03_가중치민감도'!$D$7</f>
        <v/>
      </c>
      <c r="H760" s="85">
        <f>'01_원자료'!P757*'03_가중치민감도'!$B$8+'01_원자료'!Q757*'03_가중치민감도'!$C$8+'01_원자료'!R757*'03_가중치민감도'!$D$8</f>
        <v/>
      </c>
      <c r="I760" s="85">
        <f>'01_원자료'!P757*'03_가중치민감도'!$B$9+'01_원자료'!Q757*'03_가중치민감도'!$C$9+'01_원자료'!R757*'03_가중치민감도'!$D$9</f>
        <v/>
      </c>
      <c r="J760" s="85">
        <f>'01_원자료'!P757*'03_가중치민감도'!$B$10+'01_원자료'!Q757*'03_가중치민감도'!$C$10+'01_원자료'!R757*'03_가중치민감도'!$D$10</f>
        <v/>
      </c>
      <c r="K760" s="99">
        <f>COUNTIF($E$5:$E$979,"&lt;"&amp;E760)+(COUNTIF($E$5:$E$979,"="&amp;E760)+1)/2</f>
        <v/>
      </c>
      <c r="L760" s="99">
        <f>COUNTIF($F$5:$F$979,"&lt;"&amp;F760)+(COUNTIF($F$5:$F$979,"="&amp;F760)+1)/2</f>
        <v/>
      </c>
      <c r="M760" s="99">
        <f>COUNTIF($G$5:$G$979,"&lt;"&amp;G760)+(COUNTIF($G$5:$G$979,"="&amp;G760)+1)/2</f>
        <v/>
      </c>
      <c r="N760" s="99">
        <f>COUNTIF($H$5:$H$979,"&lt;"&amp;H760)+(COUNTIF($H$5:$H$979,"="&amp;H760)+1)/2</f>
        <v/>
      </c>
      <c r="O760" s="99">
        <f>COUNTIF($I$5:$I$979,"&lt;"&amp;I760)+(COUNTIF($I$5:$I$979,"="&amp;I760)+1)/2</f>
        <v/>
      </c>
      <c r="P760" s="99">
        <f>COUNTIF($J$5:$J$979,"&lt;"&amp;J760)+(COUNTIF($J$5:$J$979,"="&amp;J760)+1)/2</f>
        <v/>
      </c>
    </row>
    <row r="761" ht="15" customHeight="1" s="68">
      <c r="A761" s="70">
        <f>'01_원자료'!A758</f>
        <v/>
      </c>
      <c r="B761" s="70">
        <f>'01_원자료'!B758</f>
        <v/>
      </c>
      <c r="C761" s="70">
        <f>'01_원자료'!C758</f>
        <v/>
      </c>
      <c r="E761" s="85">
        <f>'01_원자료'!P758*'03_가중치민감도'!$B$5+'01_원자료'!Q758*'03_가중치민감도'!$C$5+'01_원자료'!R758*'03_가중치민감도'!$D$5</f>
        <v/>
      </c>
      <c r="F761" s="85">
        <f>'01_원자료'!P758*'03_가중치민감도'!$B$6+'01_원자료'!Q758*'03_가중치민감도'!$C$6+'01_원자료'!R758*'03_가중치민감도'!$D$6</f>
        <v/>
      </c>
      <c r="G761" s="85">
        <f>'01_원자료'!P758*'03_가중치민감도'!$B$7+'01_원자료'!Q758*'03_가중치민감도'!$C$7+'01_원자료'!R758*'03_가중치민감도'!$D$7</f>
        <v/>
      </c>
      <c r="H761" s="85">
        <f>'01_원자료'!P758*'03_가중치민감도'!$B$8+'01_원자료'!Q758*'03_가중치민감도'!$C$8+'01_원자료'!R758*'03_가중치민감도'!$D$8</f>
        <v/>
      </c>
      <c r="I761" s="85">
        <f>'01_원자료'!P758*'03_가중치민감도'!$B$9+'01_원자료'!Q758*'03_가중치민감도'!$C$9+'01_원자료'!R758*'03_가중치민감도'!$D$9</f>
        <v/>
      </c>
      <c r="J761" s="85">
        <f>'01_원자료'!P758*'03_가중치민감도'!$B$10+'01_원자료'!Q758*'03_가중치민감도'!$C$10+'01_원자료'!R758*'03_가중치민감도'!$D$10</f>
        <v/>
      </c>
      <c r="K761" s="99">
        <f>COUNTIF($E$5:$E$979,"&lt;"&amp;E761)+(COUNTIF($E$5:$E$979,"="&amp;E761)+1)/2</f>
        <v/>
      </c>
      <c r="L761" s="99">
        <f>COUNTIF($F$5:$F$979,"&lt;"&amp;F761)+(COUNTIF($F$5:$F$979,"="&amp;F761)+1)/2</f>
        <v/>
      </c>
      <c r="M761" s="99">
        <f>COUNTIF($G$5:$G$979,"&lt;"&amp;G761)+(COUNTIF($G$5:$G$979,"="&amp;G761)+1)/2</f>
        <v/>
      </c>
      <c r="N761" s="99">
        <f>COUNTIF($H$5:$H$979,"&lt;"&amp;H761)+(COUNTIF($H$5:$H$979,"="&amp;H761)+1)/2</f>
        <v/>
      </c>
      <c r="O761" s="99">
        <f>COUNTIF($I$5:$I$979,"&lt;"&amp;I761)+(COUNTIF($I$5:$I$979,"="&amp;I761)+1)/2</f>
        <v/>
      </c>
      <c r="P761" s="99">
        <f>COUNTIF($J$5:$J$979,"&lt;"&amp;J761)+(COUNTIF($J$5:$J$979,"="&amp;J761)+1)/2</f>
        <v/>
      </c>
    </row>
    <row r="762" ht="15" customHeight="1" s="68">
      <c r="A762" s="70">
        <f>'01_원자료'!A759</f>
        <v/>
      </c>
      <c r="B762" s="70">
        <f>'01_원자료'!B759</f>
        <v/>
      </c>
      <c r="C762" s="70">
        <f>'01_원자료'!C759</f>
        <v/>
      </c>
      <c r="E762" s="85">
        <f>'01_원자료'!P759*'03_가중치민감도'!$B$5+'01_원자료'!Q759*'03_가중치민감도'!$C$5+'01_원자료'!R759*'03_가중치민감도'!$D$5</f>
        <v/>
      </c>
      <c r="F762" s="85">
        <f>'01_원자료'!P759*'03_가중치민감도'!$B$6+'01_원자료'!Q759*'03_가중치민감도'!$C$6+'01_원자료'!R759*'03_가중치민감도'!$D$6</f>
        <v/>
      </c>
      <c r="G762" s="85">
        <f>'01_원자료'!P759*'03_가중치민감도'!$B$7+'01_원자료'!Q759*'03_가중치민감도'!$C$7+'01_원자료'!R759*'03_가중치민감도'!$D$7</f>
        <v/>
      </c>
      <c r="H762" s="85">
        <f>'01_원자료'!P759*'03_가중치민감도'!$B$8+'01_원자료'!Q759*'03_가중치민감도'!$C$8+'01_원자료'!R759*'03_가중치민감도'!$D$8</f>
        <v/>
      </c>
      <c r="I762" s="85">
        <f>'01_원자료'!P759*'03_가중치민감도'!$B$9+'01_원자료'!Q759*'03_가중치민감도'!$C$9+'01_원자료'!R759*'03_가중치민감도'!$D$9</f>
        <v/>
      </c>
      <c r="J762" s="85">
        <f>'01_원자료'!P759*'03_가중치민감도'!$B$10+'01_원자료'!Q759*'03_가중치민감도'!$C$10+'01_원자료'!R759*'03_가중치민감도'!$D$10</f>
        <v/>
      </c>
      <c r="K762" s="99">
        <f>COUNTIF($E$5:$E$979,"&lt;"&amp;E762)+(COUNTIF($E$5:$E$979,"="&amp;E762)+1)/2</f>
        <v/>
      </c>
      <c r="L762" s="99">
        <f>COUNTIF($F$5:$F$979,"&lt;"&amp;F762)+(COUNTIF($F$5:$F$979,"="&amp;F762)+1)/2</f>
        <v/>
      </c>
      <c r="M762" s="99">
        <f>COUNTIF($G$5:$G$979,"&lt;"&amp;G762)+(COUNTIF($G$5:$G$979,"="&amp;G762)+1)/2</f>
        <v/>
      </c>
      <c r="N762" s="99">
        <f>COUNTIF($H$5:$H$979,"&lt;"&amp;H762)+(COUNTIF($H$5:$H$979,"="&amp;H762)+1)/2</f>
        <v/>
      </c>
      <c r="O762" s="99">
        <f>COUNTIF($I$5:$I$979,"&lt;"&amp;I762)+(COUNTIF($I$5:$I$979,"="&amp;I762)+1)/2</f>
        <v/>
      </c>
      <c r="P762" s="99">
        <f>COUNTIF($J$5:$J$979,"&lt;"&amp;J762)+(COUNTIF($J$5:$J$979,"="&amp;J762)+1)/2</f>
        <v/>
      </c>
    </row>
    <row r="763" ht="15" customHeight="1" s="68">
      <c r="A763" s="70">
        <f>'01_원자료'!A760</f>
        <v/>
      </c>
      <c r="B763" s="70">
        <f>'01_원자료'!B760</f>
        <v/>
      </c>
      <c r="C763" s="70">
        <f>'01_원자료'!C760</f>
        <v/>
      </c>
      <c r="E763" s="85">
        <f>'01_원자료'!P760*'03_가중치민감도'!$B$5+'01_원자료'!Q760*'03_가중치민감도'!$C$5+'01_원자료'!R760*'03_가중치민감도'!$D$5</f>
        <v/>
      </c>
      <c r="F763" s="85">
        <f>'01_원자료'!P760*'03_가중치민감도'!$B$6+'01_원자료'!Q760*'03_가중치민감도'!$C$6+'01_원자료'!R760*'03_가중치민감도'!$D$6</f>
        <v/>
      </c>
      <c r="G763" s="85">
        <f>'01_원자료'!P760*'03_가중치민감도'!$B$7+'01_원자료'!Q760*'03_가중치민감도'!$C$7+'01_원자료'!R760*'03_가중치민감도'!$D$7</f>
        <v/>
      </c>
      <c r="H763" s="85">
        <f>'01_원자료'!P760*'03_가중치민감도'!$B$8+'01_원자료'!Q760*'03_가중치민감도'!$C$8+'01_원자료'!R760*'03_가중치민감도'!$D$8</f>
        <v/>
      </c>
      <c r="I763" s="85">
        <f>'01_원자료'!P760*'03_가중치민감도'!$B$9+'01_원자료'!Q760*'03_가중치민감도'!$C$9+'01_원자료'!R760*'03_가중치민감도'!$D$9</f>
        <v/>
      </c>
      <c r="J763" s="85">
        <f>'01_원자료'!P760*'03_가중치민감도'!$B$10+'01_원자료'!Q760*'03_가중치민감도'!$C$10+'01_원자료'!R760*'03_가중치민감도'!$D$10</f>
        <v/>
      </c>
      <c r="K763" s="99">
        <f>COUNTIF($E$5:$E$979,"&lt;"&amp;E763)+(COUNTIF($E$5:$E$979,"="&amp;E763)+1)/2</f>
        <v/>
      </c>
      <c r="L763" s="99">
        <f>COUNTIF($F$5:$F$979,"&lt;"&amp;F763)+(COUNTIF($F$5:$F$979,"="&amp;F763)+1)/2</f>
        <v/>
      </c>
      <c r="M763" s="99">
        <f>COUNTIF($G$5:$G$979,"&lt;"&amp;G763)+(COUNTIF($G$5:$G$979,"="&amp;G763)+1)/2</f>
        <v/>
      </c>
      <c r="N763" s="99">
        <f>COUNTIF($H$5:$H$979,"&lt;"&amp;H763)+(COUNTIF($H$5:$H$979,"="&amp;H763)+1)/2</f>
        <v/>
      </c>
      <c r="O763" s="99">
        <f>COUNTIF($I$5:$I$979,"&lt;"&amp;I763)+(COUNTIF($I$5:$I$979,"="&amp;I763)+1)/2</f>
        <v/>
      </c>
      <c r="P763" s="99">
        <f>COUNTIF($J$5:$J$979,"&lt;"&amp;J763)+(COUNTIF($J$5:$J$979,"="&amp;J763)+1)/2</f>
        <v/>
      </c>
    </row>
    <row r="764" ht="15" customHeight="1" s="68">
      <c r="A764" s="70">
        <f>'01_원자료'!A761</f>
        <v/>
      </c>
      <c r="B764" s="70">
        <f>'01_원자료'!B761</f>
        <v/>
      </c>
      <c r="C764" s="70">
        <f>'01_원자료'!C761</f>
        <v/>
      </c>
      <c r="E764" s="85">
        <f>'01_원자료'!P761*'03_가중치민감도'!$B$5+'01_원자료'!Q761*'03_가중치민감도'!$C$5+'01_원자료'!R761*'03_가중치민감도'!$D$5</f>
        <v/>
      </c>
      <c r="F764" s="85">
        <f>'01_원자료'!P761*'03_가중치민감도'!$B$6+'01_원자료'!Q761*'03_가중치민감도'!$C$6+'01_원자료'!R761*'03_가중치민감도'!$D$6</f>
        <v/>
      </c>
      <c r="G764" s="85">
        <f>'01_원자료'!P761*'03_가중치민감도'!$B$7+'01_원자료'!Q761*'03_가중치민감도'!$C$7+'01_원자료'!R761*'03_가중치민감도'!$D$7</f>
        <v/>
      </c>
      <c r="H764" s="85">
        <f>'01_원자료'!P761*'03_가중치민감도'!$B$8+'01_원자료'!Q761*'03_가중치민감도'!$C$8+'01_원자료'!R761*'03_가중치민감도'!$D$8</f>
        <v/>
      </c>
      <c r="I764" s="85">
        <f>'01_원자료'!P761*'03_가중치민감도'!$B$9+'01_원자료'!Q761*'03_가중치민감도'!$C$9+'01_원자료'!R761*'03_가중치민감도'!$D$9</f>
        <v/>
      </c>
      <c r="J764" s="85">
        <f>'01_원자료'!P761*'03_가중치민감도'!$B$10+'01_원자료'!Q761*'03_가중치민감도'!$C$10+'01_원자료'!R761*'03_가중치민감도'!$D$10</f>
        <v/>
      </c>
      <c r="K764" s="99">
        <f>COUNTIF($E$5:$E$979,"&lt;"&amp;E764)+(COUNTIF($E$5:$E$979,"="&amp;E764)+1)/2</f>
        <v/>
      </c>
      <c r="L764" s="99">
        <f>COUNTIF($F$5:$F$979,"&lt;"&amp;F764)+(COUNTIF($F$5:$F$979,"="&amp;F764)+1)/2</f>
        <v/>
      </c>
      <c r="M764" s="99">
        <f>COUNTIF($G$5:$G$979,"&lt;"&amp;G764)+(COUNTIF($G$5:$G$979,"="&amp;G764)+1)/2</f>
        <v/>
      </c>
      <c r="N764" s="99">
        <f>COUNTIF($H$5:$H$979,"&lt;"&amp;H764)+(COUNTIF($H$5:$H$979,"="&amp;H764)+1)/2</f>
        <v/>
      </c>
      <c r="O764" s="99">
        <f>COUNTIF($I$5:$I$979,"&lt;"&amp;I764)+(COUNTIF($I$5:$I$979,"="&amp;I764)+1)/2</f>
        <v/>
      </c>
      <c r="P764" s="99">
        <f>COUNTIF($J$5:$J$979,"&lt;"&amp;J764)+(COUNTIF($J$5:$J$979,"="&amp;J764)+1)/2</f>
        <v/>
      </c>
    </row>
    <row r="765" ht="15" customHeight="1" s="68">
      <c r="A765" s="70">
        <f>'01_원자료'!A762</f>
        <v/>
      </c>
      <c r="B765" s="70">
        <f>'01_원자료'!B762</f>
        <v/>
      </c>
      <c r="C765" s="70">
        <f>'01_원자료'!C762</f>
        <v/>
      </c>
      <c r="E765" s="85">
        <f>'01_원자료'!P762*'03_가중치민감도'!$B$5+'01_원자료'!Q762*'03_가중치민감도'!$C$5+'01_원자료'!R762*'03_가중치민감도'!$D$5</f>
        <v/>
      </c>
      <c r="F765" s="85">
        <f>'01_원자료'!P762*'03_가중치민감도'!$B$6+'01_원자료'!Q762*'03_가중치민감도'!$C$6+'01_원자료'!R762*'03_가중치민감도'!$D$6</f>
        <v/>
      </c>
      <c r="G765" s="85">
        <f>'01_원자료'!P762*'03_가중치민감도'!$B$7+'01_원자료'!Q762*'03_가중치민감도'!$C$7+'01_원자료'!R762*'03_가중치민감도'!$D$7</f>
        <v/>
      </c>
      <c r="H765" s="85">
        <f>'01_원자료'!P762*'03_가중치민감도'!$B$8+'01_원자료'!Q762*'03_가중치민감도'!$C$8+'01_원자료'!R762*'03_가중치민감도'!$D$8</f>
        <v/>
      </c>
      <c r="I765" s="85">
        <f>'01_원자료'!P762*'03_가중치민감도'!$B$9+'01_원자료'!Q762*'03_가중치민감도'!$C$9+'01_원자료'!R762*'03_가중치민감도'!$D$9</f>
        <v/>
      </c>
      <c r="J765" s="85">
        <f>'01_원자료'!P762*'03_가중치민감도'!$B$10+'01_원자료'!Q762*'03_가중치민감도'!$C$10+'01_원자료'!R762*'03_가중치민감도'!$D$10</f>
        <v/>
      </c>
      <c r="K765" s="99">
        <f>COUNTIF($E$5:$E$979,"&lt;"&amp;E765)+(COUNTIF($E$5:$E$979,"="&amp;E765)+1)/2</f>
        <v/>
      </c>
      <c r="L765" s="99">
        <f>COUNTIF($F$5:$F$979,"&lt;"&amp;F765)+(COUNTIF($F$5:$F$979,"="&amp;F765)+1)/2</f>
        <v/>
      </c>
      <c r="M765" s="99">
        <f>COUNTIF($G$5:$G$979,"&lt;"&amp;G765)+(COUNTIF($G$5:$G$979,"="&amp;G765)+1)/2</f>
        <v/>
      </c>
      <c r="N765" s="99">
        <f>COUNTIF($H$5:$H$979,"&lt;"&amp;H765)+(COUNTIF($H$5:$H$979,"="&amp;H765)+1)/2</f>
        <v/>
      </c>
      <c r="O765" s="99">
        <f>COUNTIF($I$5:$I$979,"&lt;"&amp;I765)+(COUNTIF($I$5:$I$979,"="&amp;I765)+1)/2</f>
        <v/>
      </c>
      <c r="P765" s="99">
        <f>COUNTIF($J$5:$J$979,"&lt;"&amp;J765)+(COUNTIF($J$5:$J$979,"="&amp;J765)+1)/2</f>
        <v/>
      </c>
    </row>
    <row r="766" ht="15" customHeight="1" s="68">
      <c r="A766" s="70">
        <f>'01_원자료'!A763</f>
        <v/>
      </c>
      <c r="B766" s="70">
        <f>'01_원자료'!B763</f>
        <v/>
      </c>
      <c r="C766" s="70">
        <f>'01_원자료'!C763</f>
        <v/>
      </c>
      <c r="E766" s="85">
        <f>'01_원자료'!P763*'03_가중치민감도'!$B$5+'01_원자료'!Q763*'03_가중치민감도'!$C$5+'01_원자료'!R763*'03_가중치민감도'!$D$5</f>
        <v/>
      </c>
      <c r="F766" s="85">
        <f>'01_원자료'!P763*'03_가중치민감도'!$B$6+'01_원자료'!Q763*'03_가중치민감도'!$C$6+'01_원자료'!R763*'03_가중치민감도'!$D$6</f>
        <v/>
      </c>
      <c r="G766" s="85">
        <f>'01_원자료'!P763*'03_가중치민감도'!$B$7+'01_원자료'!Q763*'03_가중치민감도'!$C$7+'01_원자료'!R763*'03_가중치민감도'!$D$7</f>
        <v/>
      </c>
      <c r="H766" s="85">
        <f>'01_원자료'!P763*'03_가중치민감도'!$B$8+'01_원자료'!Q763*'03_가중치민감도'!$C$8+'01_원자료'!R763*'03_가중치민감도'!$D$8</f>
        <v/>
      </c>
      <c r="I766" s="85">
        <f>'01_원자료'!P763*'03_가중치민감도'!$B$9+'01_원자료'!Q763*'03_가중치민감도'!$C$9+'01_원자료'!R763*'03_가중치민감도'!$D$9</f>
        <v/>
      </c>
      <c r="J766" s="85">
        <f>'01_원자료'!P763*'03_가중치민감도'!$B$10+'01_원자료'!Q763*'03_가중치민감도'!$C$10+'01_원자료'!R763*'03_가중치민감도'!$D$10</f>
        <v/>
      </c>
      <c r="K766" s="99">
        <f>COUNTIF($E$5:$E$979,"&lt;"&amp;E766)+(COUNTIF($E$5:$E$979,"="&amp;E766)+1)/2</f>
        <v/>
      </c>
      <c r="L766" s="99">
        <f>COUNTIF($F$5:$F$979,"&lt;"&amp;F766)+(COUNTIF($F$5:$F$979,"="&amp;F766)+1)/2</f>
        <v/>
      </c>
      <c r="M766" s="99">
        <f>COUNTIF($G$5:$G$979,"&lt;"&amp;G766)+(COUNTIF($G$5:$G$979,"="&amp;G766)+1)/2</f>
        <v/>
      </c>
      <c r="N766" s="99">
        <f>COUNTIF($H$5:$H$979,"&lt;"&amp;H766)+(COUNTIF($H$5:$H$979,"="&amp;H766)+1)/2</f>
        <v/>
      </c>
      <c r="O766" s="99">
        <f>COUNTIF($I$5:$I$979,"&lt;"&amp;I766)+(COUNTIF($I$5:$I$979,"="&amp;I766)+1)/2</f>
        <v/>
      </c>
      <c r="P766" s="99">
        <f>COUNTIF($J$5:$J$979,"&lt;"&amp;J766)+(COUNTIF($J$5:$J$979,"="&amp;J766)+1)/2</f>
        <v/>
      </c>
    </row>
    <row r="767" ht="15" customHeight="1" s="68">
      <c r="A767" s="70">
        <f>'01_원자료'!A764</f>
        <v/>
      </c>
      <c r="B767" s="70">
        <f>'01_원자료'!B764</f>
        <v/>
      </c>
      <c r="C767" s="70">
        <f>'01_원자료'!C764</f>
        <v/>
      </c>
      <c r="E767" s="85">
        <f>'01_원자료'!P764*'03_가중치민감도'!$B$5+'01_원자료'!Q764*'03_가중치민감도'!$C$5+'01_원자료'!R764*'03_가중치민감도'!$D$5</f>
        <v/>
      </c>
      <c r="F767" s="85">
        <f>'01_원자료'!P764*'03_가중치민감도'!$B$6+'01_원자료'!Q764*'03_가중치민감도'!$C$6+'01_원자료'!R764*'03_가중치민감도'!$D$6</f>
        <v/>
      </c>
      <c r="G767" s="85">
        <f>'01_원자료'!P764*'03_가중치민감도'!$B$7+'01_원자료'!Q764*'03_가중치민감도'!$C$7+'01_원자료'!R764*'03_가중치민감도'!$D$7</f>
        <v/>
      </c>
      <c r="H767" s="85">
        <f>'01_원자료'!P764*'03_가중치민감도'!$B$8+'01_원자료'!Q764*'03_가중치민감도'!$C$8+'01_원자료'!R764*'03_가중치민감도'!$D$8</f>
        <v/>
      </c>
      <c r="I767" s="85">
        <f>'01_원자료'!P764*'03_가중치민감도'!$B$9+'01_원자료'!Q764*'03_가중치민감도'!$C$9+'01_원자료'!R764*'03_가중치민감도'!$D$9</f>
        <v/>
      </c>
      <c r="J767" s="85">
        <f>'01_원자료'!P764*'03_가중치민감도'!$B$10+'01_원자료'!Q764*'03_가중치민감도'!$C$10+'01_원자료'!R764*'03_가중치민감도'!$D$10</f>
        <v/>
      </c>
      <c r="K767" s="99">
        <f>COUNTIF($E$5:$E$979,"&lt;"&amp;E767)+(COUNTIF($E$5:$E$979,"="&amp;E767)+1)/2</f>
        <v/>
      </c>
      <c r="L767" s="99">
        <f>COUNTIF($F$5:$F$979,"&lt;"&amp;F767)+(COUNTIF($F$5:$F$979,"="&amp;F767)+1)/2</f>
        <v/>
      </c>
      <c r="M767" s="99">
        <f>COUNTIF($G$5:$G$979,"&lt;"&amp;G767)+(COUNTIF($G$5:$G$979,"="&amp;G767)+1)/2</f>
        <v/>
      </c>
      <c r="N767" s="99">
        <f>COUNTIF($H$5:$H$979,"&lt;"&amp;H767)+(COUNTIF($H$5:$H$979,"="&amp;H767)+1)/2</f>
        <v/>
      </c>
      <c r="O767" s="99">
        <f>COUNTIF($I$5:$I$979,"&lt;"&amp;I767)+(COUNTIF($I$5:$I$979,"="&amp;I767)+1)/2</f>
        <v/>
      </c>
      <c r="P767" s="99">
        <f>COUNTIF($J$5:$J$979,"&lt;"&amp;J767)+(COUNTIF($J$5:$J$979,"="&amp;J767)+1)/2</f>
        <v/>
      </c>
    </row>
    <row r="768" ht="15" customHeight="1" s="68">
      <c r="A768" s="70">
        <f>'01_원자료'!A765</f>
        <v/>
      </c>
      <c r="B768" s="70">
        <f>'01_원자료'!B765</f>
        <v/>
      </c>
      <c r="C768" s="70">
        <f>'01_원자료'!C765</f>
        <v/>
      </c>
      <c r="E768" s="85">
        <f>'01_원자료'!P765*'03_가중치민감도'!$B$5+'01_원자료'!Q765*'03_가중치민감도'!$C$5+'01_원자료'!R765*'03_가중치민감도'!$D$5</f>
        <v/>
      </c>
      <c r="F768" s="85">
        <f>'01_원자료'!P765*'03_가중치민감도'!$B$6+'01_원자료'!Q765*'03_가중치민감도'!$C$6+'01_원자료'!R765*'03_가중치민감도'!$D$6</f>
        <v/>
      </c>
      <c r="G768" s="85">
        <f>'01_원자료'!P765*'03_가중치민감도'!$B$7+'01_원자료'!Q765*'03_가중치민감도'!$C$7+'01_원자료'!R765*'03_가중치민감도'!$D$7</f>
        <v/>
      </c>
      <c r="H768" s="85">
        <f>'01_원자료'!P765*'03_가중치민감도'!$B$8+'01_원자료'!Q765*'03_가중치민감도'!$C$8+'01_원자료'!R765*'03_가중치민감도'!$D$8</f>
        <v/>
      </c>
      <c r="I768" s="85">
        <f>'01_원자료'!P765*'03_가중치민감도'!$B$9+'01_원자료'!Q765*'03_가중치민감도'!$C$9+'01_원자료'!R765*'03_가중치민감도'!$D$9</f>
        <v/>
      </c>
      <c r="J768" s="85">
        <f>'01_원자료'!P765*'03_가중치민감도'!$B$10+'01_원자료'!Q765*'03_가중치민감도'!$C$10+'01_원자료'!R765*'03_가중치민감도'!$D$10</f>
        <v/>
      </c>
      <c r="K768" s="99">
        <f>COUNTIF($E$5:$E$979,"&lt;"&amp;E768)+(COUNTIF($E$5:$E$979,"="&amp;E768)+1)/2</f>
        <v/>
      </c>
      <c r="L768" s="99">
        <f>COUNTIF($F$5:$F$979,"&lt;"&amp;F768)+(COUNTIF($F$5:$F$979,"="&amp;F768)+1)/2</f>
        <v/>
      </c>
      <c r="M768" s="99">
        <f>COUNTIF($G$5:$G$979,"&lt;"&amp;G768)+(COUNTIF($G$5:$G$979,"="&amp;G768)+1)/2</f>
        <v/>
      </c>
      <c r="N768" s="99">
        <f>COUNTIF($H$5:$H$979,"&lt;"&amp;H768)+(COUNTIF($H$5:$H$979,"="&amp;H768)+1)/2</f>
        <v/>
      </c>
      <c r="O768" s="99">
        <f>COUNTIF($I$5:$I$979,"&lt;"&amp;I768)+(COUNTIF($I$5:$I$979,"="&amp;I768)+1)/2</f>
        <v/>
      </c>
      <c r="P768" s="99">
        <f>COUNTIF($J$5:$J$979,"&lt;"&amp;J768)+(COUNTIF($J$5:$J$979,"="&amp;J768)+1)/2</f>
        <v/>
      </c>
    </row>
    <row r="769" ht="15" customHeight="1" s="68">
      <c r="A769" s="70">
        <f>'01_원자료'!A766</f>
        <v/>
      </c>
      <c r="B769" s="70">
        <f>'01_원자료'!B766</f>
        <v/>
      </c>
      <c r="C769" s="70">
        <f>'01_원자료'!C766</f>
        <v/>
      </c>
      <c r="E769" s="85">
        <f>'01_원자료'!P766*'03_가중치민감도'!$B$5+'01_원자료'!Q766*'03_가중치민감도'!$C$5+'01_원자료'!R766*'03_가중치민감도'!$D$5</f>
        <v/>
      </c>
      <c r="F769" s="85">
        <f>'01_원자료'!P766*'03_가중치민감도'!$B$6+'01_원자료'!Q766*'03_가중치민감도'!$C$6+'01_원자료'!R766*'03_가중치민감도'!$D$6</f>
        <v/>
      </c>
      <c r="G769" s="85">
        <f>'01_원자료'!P766*'03_가중치민감도'!$B$7+'01_원자료'!Q766*'03_가중치민감도'!$C$7+'01_원자료'!R766*'03_가중치민감도'!$D$7</f>
        <v/>
      </c>
      <c r="H769" s="85">
        <f>'01_원자료'!P766*'03_가중치민감도'!$B$8+'01_원자료'!Q766*'03_가중치민감도'!$C$8+'01_원자료'!R766*'03_가중치민감도'!$D$8</f>
        <v/>
      </c>
      <c r="I769" s="85">
        <f>'01_원자료'!P766*'03_가중치민감도'!$B$9+'01_원자료'!Q766*'03_가중치민감도'!$C$9+'01_원자료'!R766*'03_가중치민감도'!$D$9</f>
        <v/>
      </c>
      <c r="J769" s="85">
        <f>'01_원자료'!P766*'03_가중치민감도'!$B$10+'01_원자료'!Q766*'03_가중치민감도'!$C$10+'01_원자료'!R766*'03_가중치민감도'!$D$10</f>
        <v/>
      </c>
      <c r="K769" s="99">
        <f>COUNTIF($E$5:$E$979,"&lt;"&amp;E769)+(COUNTIF($E$5:$E$979,"="&amp;E769)+1)/2</f>
        <v/>
      </c>
      <c r="L769" s="99">
        <f>COUNTIF($F$5:$F$979,"&lt;"&amp;F769)+(COUNTIF($F$5:$F$979,"="&amp;F769)+1)/2</f>
        <v/>
      </c>
      <c r="M769" s="99">
        <f>COUNTIF($G$5:$G$979,"&lt;"&amp;G769)+(COUNTIF($G$5:$G$979,"="&amp;G769)+1)/2</f>
        <v/>
      </c>
      <c r="N769" s="99">
        <f>COUNTIF($H$5:$H$979,"&lt;"&amp;H769)+(COUNTIF($H$5:$H$979,"="&amp;H769)+1)/2</f>
        <v/>
      </c>
      <c r="O769" s="99">
        <f>COUNTIF($I$5:$I$979,"&lt;"&amp;I769)+(COUNTIF($I$5:$I$979,"="&amp;I769)+1)/2</f>
        <v/>
      </c>
      <c r="P769" s="99">
        <f>COUNTIF($J$5:$J$979,"&lt;"&amp;J769)+(COUNTIF($J$5:$J$979,"="&amp;J769)+1)/2</f>
        <v/>
      </c>
    </row>
    <row r="770" ht="15" customHeight="1" s="68">
      <c r="A770" s="70">
        <f>'01_원자료'!A767</f>
        <v/>
      </c>
      <c r="B770" s="70">
        <f>'01_원자료'!B767</f>
        <v/>
      </c>
      <c r="C770" s="70">
        <f>'01_원자료'!C767</f>
        <v/>
      </c>
      <c r="E770" s="85">
        <f>'01_원자료'!P767*'03_가중치민감도'!$B$5+'01_원자료'!Q767*'03_가중치민감도'!$C$5+'01_원자료'!R767*'03_가중치민감도'!$D$5</f>
        <v/>
      </c>
      <c r="F770" s="85">
        <f>'01_원자료'!P767*'03_가중치민감도'!$B$6+'01_원자료'!Q767*'03_가중치민감도'!$C$6+'01_원자료'!R767*'03_가중치민감도'!$D$6</f>
        <v/>
      </c>
      <c r="G770" s="85">
        <f>'01_원자료'!P767*'03_가중치민감도'!$B$7+'01_원자료'!Q767*'03_가중치민감도'!$C$7+'01_원자료'!R767*'03_가중치민감도'!$D$7</f>
        <v/>
      </c>
      <c r="H770" s="85">
        <f>'01_원자료'!P767*'03_가중치민감도'!$B$8+'01_원자료'!Q767*'03_가중치민감도'!$C$8+'01_원자료'!R767*'03_가중치민감도'!$D$8</f>
        <v/>
      </c>
      <c r="I770" s="85">
        <f>'01_원자료'!P767*'03_가중치민감도'!$B$9+'01_원자료'!Q767*'03_가중치민감도'!$C$9+'01_원자료'!R767*'03_가중치민감도'!$D$9</f>
        <v/>
      </c>
      <c r="J770" s="85">
        <f>'01_원자료'!P767*'03_가중치민감도'!$B$10+'01_원자료'!Q767*'03_가중치민감도'!$C$10+'01_원자료'!R767*'03_가중치민감도'!$D$10</f>
        <v/>
      </c>
      <c r="K770" s="99">
        <f>COUNTIF($E$5:$E$979,"&lt;"&amp;E770)+(COUNTIF($E$5:$E$979,"="&amp;E770)+1)/2</f>
        <v/>
      </c>
      <c r="L770" s="99">
        <f>COUNTIF($F$5:$F$979,"&lt;"&amp;F770)+(COUNTIF($F$5:$F$979,"="&amp;F770)+1)/2</f>
        <v/>
      </c>
      <c r="M770" s="99">
        <f>COUNTIF($G$5:$G$979,"&lt;"&amp;G770)+(COUNTIF($G$5:$G$979,"="&amp;G770)+1)/2</f>
        <v/>
      </c>
      <c r="N770" s="99">
        <f>COUNTIF($H$5:$H$979,"&lt;"&amp;H770)+(COUNTIF($H$5:$H$979,"="&amp;H770)+1)/2</f>
        <v/>
      </c>
      <c r="O770" s="99">
        <f>COUNTIF($I$5:$I$979,"&lt;"&amp;I770)+(COUNTIF($I$5:$I$979,"="&amp;I770)+1)/2</f>
        <v/>
      </c>
      <c r="P770" s="99">
        <f>COUNTIF($J$5:$J$979,"&lt;"&amp;J770)+(COUNTIF($J$5:$J$979,"="&amp;J770)+1)/2</f>
        <v/>
      </c>
    </row>
    <row r="771" ht="15" customHeight="1" s="68">
      <c r="A771" s="70">
        <f>'01_원자료'!A768</f>
        <v/>
      </c>
      <c r="B771" s="70">
        <f>'01_원자료'!B768</f>
        <v/>
      </c>
      <c r="C771" s="70">
        <f>'01_원자료'!C768</f>
        <v/>
      </c>
      <c r="E771" s="85">
        <f>'01_원자료'!P768*'03_가중치민감도'!$B$5+'01_원자료'!Q768*'03_가중치민감도'!$C$5+'01_원자료'!R768*'03_가중치민감도'!$D$5</f>
        <v/>
      </c>
      <c r="F771" s="85">
        <f>'01_원자료'!P768*'03_가중치민감도'!$B$6+'01_원자료'!Q768*'03_가중치민감도'!$C$6+'01_원자료'!R768*'03_가중치민감도'!$D$6</f>
        <v/>
      </c>
      <c r="G771" s="85">
        <f>'01_원자료'!P768*'03_가중치민감도'!$B$7+'01_원자료'!Q768*'03_가중치민감도'!$C$7+'01_원자료'!R768*'03_가중치민감도'!$D$7</f>
        <v/>
      </c>
      <c r="H771" s="85">
        <f>'01_원자료'!P768*'03_가중치민감도'!$B$8+'01_원자료'!Q768*'03_가중치민감도'!$C$8+'01_원자료'!R768*'03_가중치민감도'!$D$8</f>
        <v/>
      </c>
      <c r="I771" s="85">
        <f>'01_원자료'!P768*'03_가중치민감도'!$B$9+'01_원자료'!Q768*'03_가중치민감도'!$C$9+'01_원자료'!R768*'03_가중치민감도'!$D$9</f>
        <v/>
      </c>
      <c r="J771" s="85">
        <f>'01_원자료'!P768*'03_가중치민감도'!$B$10+'01_원자료'!Q768*'03_가중치민감도'!$C$10+'01_원자료'!R768*'03_가중치민감도'!$D$10</f>
        <v/>
      </c>
      <c r="K771" s="99">
        <f>COUNTIF($E$5:$E$979,"&lt;"&amp;E771)+(COUNTIF($E$5:$E$979,"="&amp;E771)+1)/2</f>
        <v/>
      </c>
      <c r="L771" s="99">
        <f>COUNTIF($F$5:$F$979,"&lt;"&amp;F771)+(COUNTIF($F$5:$F$979,"="&amp;F771)+1)/2</f>
        <v/>
      </c>
      <c r="M771" s="99">
        <f>COUNTIF($G$5:$G$979,"&lt;"&amp;G771)+(COUNTIF($G$5:$G$979,"="&amp;G771)+1)/2</f>
        <v/>
      </c>
      <c r="N771" s="99">
        <f>COUNTIF($H$5:$H$979,"&lt;"&amp;H771)+(COUNTIF($H$5:$H$979,"="&amp;H771)+1)/2</f>
        <v/>
      </c>
      <c r="O771" s="99">
        <f>COUNTIF($I$5:$I$979,"&lt;"&amp;I771)+(COUNTIF($I$5:$I$979,"="&amp;I771)+1)/2</f>
        <v/>
      </c>
      <c r="P771" s="99">
        <f>COUNTIF($J$5:$J$979,"&lt;"&amp;J771)+(COUNTIF($J$5:$J$979,"="&amp;J771)+1)/2</f>
        <v/>
      </c>
    </row>
    <row r="772" ht="15" customHeight="1" s="68">
      <c r="A772" s="70">
        <f>'01_원자료'!A769</f>
        <v/>
      </c>
      <c r="B772" s="70">
        <f>'01_원자료'!B769</f>
        <v/>
      </c>
      <c r="C772" s="70">
        <f>'01_원자료'!C769</f>
        <v/>
      </c>
      <c r="E772" s="85">
        <f>'01_원자료'!P769*'03_가중치민감도'!$B$5+'01_원자료'!Q769*'03_가중치민감도'!$C$5+'01_원자료'!R769*'03_가중치민감도'!$D$5</f>
        <v/>
      </c>
      <c r="F772" s="85">
        <f>'01_원자료'!P769*'03_가중치민감도'!$B$6+'01_원자료'!Q769*'03_가중치민감도'!$C$6+'01_원자료'!R769*'03_가중치민감도'!$D$6</f>
        <v/>
      </c>
      <c r="G772" s="85">
        <f>'01_원자료'!P769*'03_가중치민감도'!$B$7+'01_원자료'!Q769*'03_가중치민감도'!$C$7+'01_원자료'!R769*'03_가중치민감도'!$D$7</f>
        <v/>
      </c>
      <c r="H772" s="85">
        <f>'01_원자료'!P769*'03_가중치민감도'!$B$8+'01_원자료'!Q769*'03_가중치민감도'!$C$8+'01_원자료'!R769*'03_가중치민감도'!$D$8</f>
        <v/>
      </c>
      <c r="I772" s="85">
        <f>'01_원자료'!P769*'03_가중치민감도'!$B$9+'01_원자료'!Q769*'03_가중치민감도'!$C$9+'01_원자료'!R769*'03_가중치민감도'!$D$9</f>
        <v/>
      </c>
      <c r="J772" s="85">
        <f>'01_원자료'!P769*'03_가중치민감도'!$B$10+'01_원자료'!Q769*'03_가중치민감도'!$C$10+'01_원자료'!R769*'03_가중치민감도'!$D$10</f>
        <v/>
      </c>
      <c r="K772" s="99">
        <f>COUNTIF($E$5:$E$979,"&lt;"&amp;E772)+(COUNTIF($E$5:$E$979,"="&amp;E772)+1)/2</f>
        <v/>
      </c>
      <c r="L772" s="99">
        <f>COUNTIF($F$5:$F$979,"&lt;"&amp;F772)+(COUNTIF($F$5:$F$979,"="&amp;F772)+1)/2</f>
        <v/>
      </c>
      <c r="M772" s="99">
        <f>COUNTIF($G$5:$G$979,"&lt;"&amp;G772)+(COUNTIF($G$5:$G$979,"="&amp;G772)+1)/2</f>
        <v/>
      </c>
      <c r="N772" s="99">
        <f>COUNTIF($H$5:$H$979,"&lt;"&amp;H772)+(COUNTIF($H$5:$H$979,"="&amp;H772)+1)/2</f>
        <v/>
      </c>
      <c r="O772" s="99">
        <f>COUNTIF($I$5:$I$979,"&lt;"&amp;I772)+(COUNTIF($I$5:$I$979,"="&amp;I772)+1)/2</f>
        <v/>
      </c>
      <c r="P772" s="99">
        <f>COUNTIF($J$5:$J$979,"&lt;"&amp;J772)+(COUNTIF($J$5:$J$979,"="&amp;J772)+1)/2</f>
        <v/>
      </c>
    </row>
    <row r="773" ht="15" customHeight="1" s="68">
      <c r="A773" s="70">
        <f>'01_원자료'!A770</f>
        <v/>
      </c>
      <c r="B773" s="70">
        <f>'01_원자료'!B770</f>
        <v/>
      </c>
      <c r="C773" s="70">
        <f>'01_원자료'!C770</f>
        <v/>
      </c>
      <c r="E773" s="85">
        <f>'01_원자료'!P770*'03_가중치민감도'!$B$5+'01_원자료'!Q770*'03_가중치민감도'!$C$5+'01_원자료'!R770*'03_가중치민감도'!$D$5</f>
        <v/>
      </c>
      <c r="F773" s="85">
        <f>'01_원자료'!P770*'03_가중치민감도'!$B$6+'01_원자료'!Q770*'03_가중치민감도'!$C$6+'01_원자료'!R770*'03_가중치민감도'!$D$6</f>
        <v/>
      </c>
      <c r="G773" s="85">
        <f>'01_원자료'!P770*'03_가중치민감도'!$B$7+'01_원자료'!Q770*'03_가중치민감도'!$C$7+'01_원자료'!R770*'03_가중치민감도'!$D$7</f>
        <v/>
      </c>
      <c r="H773" s="85">
        <f>'01_원자료'!P770*'03_가중치민감도'!$B$8+'01_원자료'!Q770*'03_가중치민감도'!$C$8+'01_원자료'!R770*'03_가중치민감도'!$D$8</f>
        <v/>
      </c>
      <c r="I773" s="85">
        <f>'01_원자료'!P770*'03_가중치민감도'!$B$9+'01_원자료'!Q770*'03_가중치민감도'!$C$9+'01_원자료'!R770*'03_가중치민감도'!$D$9</f>
        <v/>
      </c>
      <c r="J773" s="85">
        <f>'01_원자료'!P770*'03_가중치민감도'!$B$10+'01_원자료'!Q770*'03_가중치민감도'!$C$10+'01_원자료'!R770*'03_가중치민감도'!$D$10</f>
        <v/>
      </c>
      <c r="K773" s="99">
        <f>COUNTIF($E$5:$E$979,"&lt;"&amp;E773)+(COUNTIF($E$5:$E$979,"="&amp;E773)+1)/2</f>
        <v/>
      </c>
      <c r="L773" s="99">
        <f>COUNTIF($F$5:$F$979,"&lt;"&amp;F773)+(COUNTIF($F$5:$F$979,"="&amp;F773)+1)/2</f>
        <v/>
      </c>
      <c r="M773" s="99">
        <f>COUNTIF($G$5:$G$979,"&lt;"&amp;G773)+(COUNTIF($G$5:$G$979,"="&amp;G773)+1)/2</f>
        <v/>
      </c>
      <c r="N773" s="99">
        <f>COUNTIF($H$5:$H$979,"&lt;"&amp;H773)+(COUNTIF($H$5:$H$979,"="&amp;H773)+1)/2</f>
        <v/>
      </c>
      <c r="O773" s="99">
        <f>COUNTIF($I$5:$I$979,"&lt;"&amp;I773)+(COUNTIF($I$5:$I$979,"="&amp;I773)+1)/2</f>
        <v/>
      </c>
      <c r="P773" s="99">
        <f>COUNTIF($J$5:$J$979,"&lt;"&amp;J773)+(COUNTIF($J$5:$J$979,"="&amp;J773)+1)/2</f>
        <v/>
      </c>
    </row>
    <row r="774" ht="15" customHeight="1" s="68">
      <c r="A774" s="70">
        <f>'01_원자료'!A771</f>
        <v/>
      </c>
      <c r="B774" s="70">
        <f>'01_원자료'!B771</f>
        <v/>
      </c>
      <c r="C774" s="70">
        <f>'01_원자료'!C771</f>
        <v/>
      </c>
      <c r="E774" s="85">
        <f>'01_원자료'!P771*'03_가중치민감도'!$B$5+'01_원자료'!Q771*'03_가중치민감도'!$C$5+'01_원자료'!R771*'03_가중치민감도'!$D$5</f>
        <v/>
      </c>
      <c r="F774" s="85">
        <f>'01_원자료'!P771*'03_가중치민감도'!$B$6+'01_원자료'!Q771*'03_가중치민감도'!$C$6+'01_원자료'!R771*'03_가중치민감도'!$D$6</f>
        <v/>
      </c>
      <c r="G774" s="85">
        <f>'01_원자료'!P771*'03_가중치민감도'!$B$7+'01_원자료'!Q771*'03_가중치민감도'!$C$7+'01_원자료'!R771*'03_가중치민감도'!$D$7</f>
        <v/>
      </c>
      <c r="H774" s="85">
        <f>'01_원자료'!P771*'03_가중치민감도'!$B$8+'01_원자료'!Q771*'03_가중치민감도'!$C$8+'01_원자료'!R771*'03_가중치민감도'!$D$8</f>
        <v/>
      </c>
      <c r="I774" s="85">
        <f>'01_원자료'!P771*'03_가중치민감도'!$B$9+'01_원자료'!Q771*'03_가중치민감도'!$C$9+'01_원자료'!R771*'03_가중치민감도'!$D$9</f>
        <v/>
      </c>
      <c r="J774" s="85">
        <f>'01_원자료'!P771*'03_가중치민감도'!$B$10+'01_원자료'!Q771*'03_가중치민감도'!$C$10+'01_원자료'!R771*'03_가중치민감도'!$D$10</f>
        <v/>
      </c>
      <c r="K774" s="99">
        <f>COUNTIF($E$5:$E$979,"&lt;"&amp;E774)+(COUNTIF($E$5:$E$979,"="&amp;E774)+1)/2</f>
        <v/>
      </c>
      <c r="L774" s="99">
        <f>COUNTIF($F$5:$F$979,"&lt;"&amp;F774)+(COUNTIF($F$5:$F$979,"="&amp;F774)+1)/2</f>
        <v/>
      </c>
      <c r="M774" s="99">
        <f>COUNTIF($G$5:$G$979,"&lt;"&amp;G774)+(COUNTIF($G$5:$G$979,"="&amp;G774)+1)/2</f>
        <v/>
      </c>
      <c r="N774" s="99">
        <f>COUNTIF($H$5:$H$979,"&lt;"&amp;H774)+(COUNTIF($H$5:$H$979,"="&amp;H774)+1)/2</f>
        <v/>
      </c>
      <c r="O774" s="99">
        <f>COUNTIF($I$5:$I$979,"&lt;"&amp;I774)+(COUNTIF($I$5:$I$979,"="&amp;I774)+1)/2</f>
        <v/>
      </c>
      <c r="P774" s="99">
        <f>COUNTIF($J$5:$J$979,"&lt;"&amp;J774)+(COUNTIF($J$5:$J$979,"="&amp;J774)+1)/2</f>
        <v/>
      </c>
    </row>
    <row r="775" ht="15" customHeight="1" s="68">
      <c r="A775" s="70">
        <f>'01_원자료'!A772</f>
        <v/>
      </c>
      <c r="B775" s="70">
        <f>'01_원자료'!B772</f>
        <v/>
      </c>
      <c r="C775" s="70">
        <f>'01_원자료'!C772</f>
        <v/>
      </c>
      <c r="E775" s="85">
        <f>'01_원자료'!P772*'03_가중치민감도'!$B$5+'01_원자료'!Q772*'03_가중치민감도'!$C$5+'01_원자료'!R772*'03_가중치민감도'!$D$5</f>
        <v/>
      </c>
      <c r="F775" s="85">
        <f>'01_원자료'!P772*'03_가중치민감도'!$B$6+'01_원자료'!Q772*'03_가중치민감도'!$C$6+'01_원자료'!R772*'03_가중치민감도'!$D$6</f>
        <v/>
      </c>
      <c r="G775" s="85">
        <f>'01_원자료'!P772*'03_가중치민감도'!$B$7+'01_원자료'!Q772*'03_가중치민감도'!$C$7+'01_원자료'!R772*'03_가중치민감도'!$D$7</f>
        <v/>
      </c>
      <c r="H775" s="85">
        <f>'01_원자료'!P772*'03_가중치민감도'!$B$8+'01_원자료'!Q772*'03_가중치민감도'!$C$8+'01_원자료'!R772*'03_가중치민감도'!$D$8</f>
        <v/>
      </c>
      <c r="I775" s="85">
        <f>'01_원자료'!P772*'03_가중치민감도'!$B$9+'01_원자료'!Q772*'03_가중치민감도'!$C$9+'01_원자료'!R772*'03_가중치민감도'!$D$9</f>
        <v/>
      </c>
      <c r="J775" s="85">
        <f>'01_원자료'!P772*'03_가중치민감도'!$B$10+'01_원자료'!Q772*'03_가중치민감도'!$C$10+'01_원자료'!R772*'03_가중치민감도'!$D$10</f>
        <v/>
      </c>
      <c r="K775" s="99">
        <f>COUNTIF($E$5:$E$979,"&lt;"&amp;E775)+(COUNTIF($E$5:$E$979,"="&amp;E775)+1)/2</f>
        <v/>
      </c>
      <c r="L775" s="99">
        <f>COUNTIF($F$5:$F$979,"&lt;"&amp;F775)+(COUNTIF($F$5:$F$979,"="&amp;F775)+1)/2</f>
        <v/>
      </c>
      <c r="M775" s="99">
        <f>COUNTIF($G$5:$G$979,"&lt;"&amp;G775)+(COUNTIF($G$5:$G$979,"="&amp;G775)+1)/2</f>
        <v/>
      </c>
      <c r="N775" s="99">
        <f>COUNTIF($H$5:$H$979,"&lt;"&amp;H775)+(COUNTIF($H$5:$H$979,"="&amp;H775)+1)/2</f>
        <v/>
      </c>
      <c r="O775" s="99">
        <f>COUNTIF($I$5:$I$979,"&lt;"&amp;I775)+(COUNTIF($I$5:$I$979,"="&amp;I775)+1)/2</f>
        <v/>
      </c>
      <c r="P775" s="99">
        <f>COUNTIF($J$5:$J$979,"&lt;"&amp;J775)+(COUNTIF($J$5:$J$979,"="&amp;J775)+1)/2</f>
        <v/>
      </c>
    </row>
    <row r="776" ht="15" customHeight="1" s="68">
      <c r="A776" s="70">
        <f>'01_원자료'!A773</f>
        <v/>
      </c>
      <c r="B776" s="70">
        <f>'01_원자료'!B773</f>
        <v/>
      </c>
      <c r="C776" s="70">
        <f>'01_원자료'!C773</f>
        <v/>
      </c>
      <c r="E776" s="85">
        <f>'01_원자료'!P773*'03_가중치민감도'!$B$5+'01_원자료'!Q773*'03_가중치민감도'!$C$5+'01_원자료'!R773*'03_가중치민감도'!$D$5</f>
        <v/>
      </c>
      <c r="F776" s="85">
        <f>'01_원자료'!P773*'03_가중치민감도'!$B$6+'01_원자료'!Q773*'03_가중치민감도'!$C$6+'01_원자료'!R773*'03_가중치민감도'!$D$6</f>
        <v/>
      </c>
      <c r="G776" s="85">
        <f>'01_원자료'!P773*'03_가중치민감도'!$B$7+'01_원자료'!Q773*'03_가중치민감도'!$C$7+'01_원자료'!R773*'03_가중치민감도'!$D$7</f>
        <v/>
      </c>
      <c r="H776" s="85">
        <f>'01_원자료'!P773*'03_가중치민감도'!$B$8+'01_원자료'!Q773*'03_가중치민감도'!$C$8+'01_원자료'!R773*'03_가중치민감도'!$D$8</f>
        <v/>
      </c>
      <c r="I776" s="85">
        <f>'01_원자료'!P773*'03_가중치민감도'!$B$9+'01_원자료'!Q773*'03_가중치민감도'!$C$9+'01_원자료'!R773*'03_가중치민감도'!$D$9</f>
        <v/>
      </c>
      <c r="J776" s="85">
        <f>'01_원자료'!P773*'03_가중치민감도'!$B$10+'01_원자료'!Q773*'03_가중치민감도'!$C$10+'01_원자료'!R773*'03_가중치민감도'!$D$10</f>
        <v/>
      </c>
      <c r="K776" s="99">
        <f>COUNTIF($E$5:$E$979,"&lt;"&amp;E776)+(COUNTIF($E$5:$E$979,"="&amp;E776)+1)/2</f>
        <v/>
      </c>
      <c r="L776" s="99">
        <f>COUNTIF($F$5:$F$979,"&lt;"&amp;F776)+(COUNTIF($F$5:$F$979,"="&amp;F776)+1)/2</f>
        <v/>
      </c>
      <c r="M776" s="99">
        <f>COUNTIF($G$5:$G$979,"&lt;"&amp;G776)+(COUNTIF($G$5:$G$979,"="&amp;G776)+1)/2</f>
        <v/>
      </c>
      <c r="N776" s="99">
        <f>COUNTIF($H$5:$H$979,"&lt;"&amp;H776)+(COUNTIF($H$5:$H$979,"="&amp;H776)+1)/2</f>
        <v/>
      </c>
      <c r="O776" s="99">
        <f>COUNTIF($I$5:$I$979,"&lt;"&amp;I776)+(COUNTIF($I$5:$I$979,"="&amp;I776)+1)/2</f>
        <v/>
      </c>
      <c r="P776" s="99">
        <f>COUNTIF($J$5:$J$979,"&lt;"&amp;J776)+(COUNTIF($J$5:$J$979,"="&amp;J776)+1)/2</f>
        <v/>
      </c>
    </row>
    <row r="777" ht="15" customHeight="1" s="68">
      <c r="A777" s="70">
        <f>'01_원자료'!A774</f>
        <v/>
      </c>
      <c r="B777" s="70">
        <f>'01_원자료'!B774</f>
        <v/>
      </c>
      <c r="C777" s="70">
        <f>'01_원자료'!C774</f>
        <v/>
      </c>
      <c r="E777" s="85">
        <f>'01_원자료'!P774*'03_가중치민감도'!$B$5+'01_원자료'!Q774*'03_가중치민감도'!$C$5+'01_원자료'!R774*'03_가중치민감도'!$D$5</f>
        <v/>
      </c>
      <c r="F777" s="85">
        <f>'01_원자료'!P774*'03_가중치민감도'!$B$6+'01_원자료'!Q774*'03_가중치민감도'!$C$6+'01_원자료'!R774*'03_가중치민감도'!$D$6</f>
        <v/>
      </c>
      <c r="G777" s="85">
        <f>'01_원자료'!P774*'03_가중치민감도'!$B$7+'01_원자료'!Q774*'03_가중치민감도'!$C$7+'01_원자료'!R774*'03_가중치민감도'!$D$7</f>
        <v/>
      </c>
      <c r="H777" s="85">
        <f>'01_원자료'!P774*'03_가중치민감도'!$B$8+'01_원자료'!Q774*'03_가중치민감도'!$C$8+'01_원자료'!R774*'03_가중치민감도'!$D$8</f>
        <v/>
      </c>
      <c r="I777" s="85">
        <f>'01_원자료'!P774*'03_가중치민감도'!$B$9+'01_원자료'!Q774*'03_가중치민감도'!$C$9+'01_원자료'!R774*'03_가중치민감도'!$D$9</f>
        <v/>
      </c>
      <c r="J777" s="85">
        <f>'01_원자료'!P774*'03_가중치민감도'!$B$10+'01_원자료'!Q774*'03_가중치민감도'!$C$10+'01_원자료'!R774*'03_가중치민감도'!$D$10</f>
        <v/>
      </c>
      <c r="K777" s="99">
        <f>COUNTIF($E$5:$E$979,"&lt;"&amp;E777)+(COUNTIF($E$5:$E$979,"="&amp;E777)+1)/2</f>
        <v/>
      </c>
      <c r="L777" s="99">
        <f>COUNTIF($F$5:$F$979,"&lt;"&amp;F777)+(COUNTIF($F$5:$F$979,"="&amp;F777)+1)/2</f>
        <v/>
      </c>
      <c r="M777" s="99">
        <f>COUNTIF($G$5:$G$979,"&lt;"&amp;G777)+(COUNTIF($G$5:$G$979,"="&amp;G777)+1)/2</f>
        <v/>
      </c>
      <c r="N777" s="99">
        <f>COUNTIF($H$5:$H$979,"&lt;"&amp;H777)+(COUNTIF($H$5:$H$979,"="&amp;H777)+1)/2</f>
        <v/>
      </c>
      <c r="O777" s="99">
        <f>COUNTIF($I$5:$I$979,"&lt;"&amp;I777)+(COUNTIF($I$5:$I$979,"="&amp;I777)+1)/2</f>
        <v/>
      </c>
      <c r="P777" s="99">
        <f>COUNTIF($J$5:$J$979,"&lt;"&amp;J777)+(COUNTIF($J$5:$J$979,"="&amp;J777)+1)/2</f>
        <v/>
      </c>
    </row>
    <row r="778" ht="15" customHeight="1" s="68">
      <c r="A778" s="70">
        <f>'01_원자료'!A775</f>
        <v/>
      </c>
      <c r="B778" s="70">
        <f>'01_원자료'!B775</f>
        <v/>
      </c>
      <c r="C778" s="70">
        <f>'01_원자료'!C775</f>
        <v/>
      </c>
      <c r="E778" s="85">
        <f>'01_원자료'!P775*'03_가중치민감도'!$B$5+'01_원자료'!Q775*'03_가중치민감도'!$C$5+'01_원자료'!R775*'03_가중치민감도'!$D$5</f>
        <v/>
      </c>
      <c r="F778" s="85">
        <f>'01_원자료'!P775*'03_가중치민감도'!$B$6+'01_원자료'!Q775*'03_가중치민감도'!$C$6+'01_원자료'!R775*'03_가중치민감도'!$D$6</f>
        <v/>
      </c>
      <c r="G778" s="85">
        <f>'01_원자료'!P775*'03_가중치민감도'!$B$7+'01_원자료'!Q775*'03_가중치민감도'!$C$7+'01_원자료'!R775*'03_가중치민감도'!$D$7</f>
        <v/>
      </c>
      <c r="H778" s="85">
        <f>'01_원자료'!P775*'03_가중치민감도'!$B$8+'01_원자료'!Q775*'03_가중치민감도'!$C$8+'01_원자료'!R775*'03_가중치민감도'!$D$8</f>
        <v/>
      </c>
      <c r="I778" s="85">
        <f>'01_원자료'!P775*'03_가중치민감도'!$B$9+'01_원자료'!Q775*'03_가중치민감도'!$C$9+'01_원자료'!R775*'03_가중치민감도'!$D$9</f>
        <v/>
      </c>
      <c r="J778" s="85">
        <f>'01_원자료'!P775*'03_가중치민감도'!$B$10+'01_원자료'!Q775*'03_가중치민감도'!$C$10+'01_원자료'!R775*'03_가중치민감도'!$D$10</f>
        <v/>
      </c>
      <c r="K778" s="99">
        <f>COUNTIF($E$5:$E$979,"&lt;"&amp;E778)+(COUNTIF($E$5:$E$979,"="&amp;E778)+1)/2</f>
        <v/>
      </c>
      <c r="L778" s="99">
        <f>COUNTIF($F$5:$F$979,"&lt;"&amp;F778)+(COUNTIF($F$5:$F$979,"="&amp;F778)+1)/2</f>
        <v/>
      </c>
      <c r="M778" s="99">
        <f>COUNTIF($G$5:$G$979,"&lt;"&amp;G778)+(COUNTIF($G$5:$G$979,"="&amp;G778)+1)/2</f>
        <v/>
      </c>
      <c r="N778" s="99">
        <f>COUNTIF($H$5:$H$979,"&lt;"&amp;H778)+(COUNTIF($H$5:$H$979,"="&amp;H778)+1)/2</f>
        <v/>
      </c>
      <c r="O778" s="99">
        <f>COUNTIF($I$5:$I$979,"&lt;"&amp;I778)+(COUNTIF($I$5:$I$979,"="&amp;I778)+1)/2</f>
        <v/>
      </c>
      <c r="P778" s="99">
        <f>COUNTIF($J$5:$J$979,"&lt;"&amp;J778)+(COUNTIF($J$5:$J$979,"="&amp;J778)+1)/2</f>
        <v/>
      </c>
    </row>
    <row r="779" ht="15" customHeight="1" s="68">
      <c r="A779" s="70">
        <f>'01_원자료'!A776</f>
        <v/>
      </c>
      <c r="B779" s="70">
        <f>'01_원자료'!B776</f>
        <v/>
      </c>
      <c r="C779" s="70">
        <f>'01_원자료'!C776</f>
        <v/>
      </c>
      <c r="E779" s="85">
        <f>'01_원자료'!P776*'03_가중치민감도'!$B$5+'01_원자료'!Q776*'03_가중치민감도'!$C$5+'01_원자료'!R776*'03_가중치민감도'!$D$5</f>
        <v/>
      </c>
      <c r="F779" s="85">
        <f>'01_원자료'!P776*'03_가중치민감도'!$B$6+'01_원자료'!Q776*'03_가중치민감도'!$C$6+'01_원자료'!R776*'03_가중치민감도'!$D$6</f>
        <v/>
      </c>
      <c r="G779" s="85">
        <f>'01_원자료'!P776*'03_가중치민감도'!$B$7+'01_원자료'!Q776*'03_가중치민감도'!$C$7+'01_원자료'!R776*'03_가중치민감도'!$D$7</f>
        <v/>
      </c>
      <c r="H779" s="85">
        <f>'01_원자료'!P776*'03_가중치민감도'!$B$8+'01_원자료'!Q776*'03_가중치민감도'!$C$8+'01_원자료'!R776*'03_가중치민감도'!$D$8</f>
        <v/>
      </c>
      <c r="I779" s="85">
        <f>'01_원자료'!P776*'03_가중치민감도'!$B$9+'01_원자료'!Q776*'03_가중치민감도'!$C$9+'01_원자료'!R776*'03_가중치민감도'!$D$9</f>
        <v/>
      </c>
      <c r="J779" s="85">
        <f>'01_원자료'!P776*'03_가중치민감도'!$B$10+'01_원자료'!Q776*'03_가중치민감도'!$C$10+'01_원자료'!R776*'03_가중치민감도'!$D$10</f>
        <v/>
      </c>
      <c r="K779" s="99">
        <f>COUNTIF($E$5:$E$979,"&lt;"&amp;E779)+(COUNTIF($E$5:$E$979,"="&amp;E779)+1)/2</f>
        <v/>
      </c>
      <c r="L779" s="99">
        <f>COUNTIF($F$5:$F$979,"&lt;"&amp;F779)+(COUNTIF($F$5:$F$979,"="&amp;F779)+1)/2</f>
        <v/>
      </c>
      <c r="M779" s="99">
        <f>COUNTIF($G$5:$G$979,"&lt;"&amp;G779)+(COUNTIF($G$5:$G$979,"="&amp;G779)+1)/2</f>
        <v/>
      </c>
      <c r="N779" s="99">
        <f>COUNTIF($H$5:$H$979,"&lt;"&amp;H779)+(COUNTIF($H$5:$H$979,"="&amp;H779)+1)/2</f>
        <v/>
      </c>
      <c r="O779" s="99">
        <f>COUNTIF($I$5:$I$979,"&lt;"&amp;I779)+(COUNTIF($I$5:$I$979,"="&amp;I779)+1)/2</f>
        <v/>
      </c>
      <c r="P779" s="99">
        <f>COUNTIF($J$5:$J$979,"&lt;"&amp;J779)+(COUNTIF($J$5:$J$979,"="&amp;J779)+1)/2</f>
        <v/>
      </c>
    </row>
    <row r="780" ht="15" customHeight="1" s="68">
      <c r="A780" s="70">
        <f>'01_원자료'!A777</f>
        <v/>
      </c>
      <c r="B780" s="70">
        <f>'01_원자료'!B777</f>
        <v/>
      </c>
      <c r="C780" s="70">
        <f>'01_원자료'!C777</f>
        <v/>
      </c>
      <c r="E780" s="85">
        <f>'01_원자료'!P777*'03_가중치민감도'!$B$5+'01_원자료'!Q777*'03_가중치민감도'!$C$5+'01_원자료'!R777*'03_가중치민감도'!$D$5</f>
        <v/>
      </c>
      <c r="F780" s="85">
        <f>'01_원자료'!P777*'03_가중치민감도'!$B$6+'01_원자료'!Q777*'03_가중치민감도'!$C$6+'01_원자료'!R777*'03_가중치민감도'!$D$6</f>
        <v/>
      </c>
      <c r="G780" s="85">
        <f>'01_원자료'!P777*'03_가중치민감도'!$B$7+'01_원자료'!Q777*'03_가중치민감도'!$C$7+'01_원자료'!R777*'03_가중치민감도'!$D$7</f>
        <v/>
      </c>
      <c r="H780" s="85">
        <f>'01_원자료'!P777*'03_가중치민감도'!$B$8+'01_원자료'!Q777*'03_가중치민감도'!$C$8+'01_원자료'!R777*'03_가중치민감도'!$D$8</f>
        <v/>
      </c>
      <c r="I780" s="85">
        <f>'01_원자료'!P777*'03_가중치민감도'!$B$9+'01_원자료'!Q777*'03_가중치민감도'!$C$9+'01_원자료'!R777*'03_가중치민감도'!$D$9</f>
        <v/>
      </c>
      <c r="J780" s="85">
        <f>'01_원자료'!P777*'03_가중치민감도'!$B$10+'01_원자료'!Q777*'03_가중치민감도'!$C$10+'01_원자료'!R777*'03_가중치민감도'!$D$10</f>
        <v/>
      </c>
      <c r="K780" s="99">
        <f>COUNTIF($E$5:$E$979,"&lt;"&amp;E780)+(COUNTIF($E$5:$E$979,"="&amp;E780)+1)/2</f>
        <v/>
      </c>
      <c r="L780" s="99">
        <f>COUNTIF($F$5:$F$979,"&lt;"&amp;F780)+(COUNTIF($F$5:$F$979,"="&amp;F780)+1)/2</f>
        <v/>
      </c>
      <c r="M780" s="99">
        <f>COUNTIF($G$5:$G$979,"&lt;"&amp;G780)+(COUNTIF($G$5:$G$979,"="&amp;G780)+1)/2</f>
        <v/>
      </c>
      <c r="N780" s="99">
        <f>COUNTIF($H$5:$H$979,"&lt;"&amp;H780)+(COUNTIF($H$5:$H$979,"="&amp;H780)+1)/2</f>
        <v/>
      </c>
      <c r="O780" s="99">
        <f>COUNTIF($I$5:$I$979,"&lt;"&amp;I780)+(COUNTIF($I$5:$I$979,"="&amp;I780)+1)/2</f>
        <v/>
      </c>
      <c r="P780" s="99">
        <f>COUNTIF($J$5:$J$979,"&lt;"&amp;J780)+(COUNTIF($J$5:$J$979,"="&amp;J780)+1)/2</f>
        <v/>
      </c>
    </row>
    <row r="781" ht="15" customHeight="1" s="68">
      <c r="A781" s="70">
        <f>'01_원자료'!A778</f>
        <v/>
      </c>
      <c r="B781" s="70">
        <f>'01_원자료'!B778</f>
        <v/>
      </c>
      <c r="C781" s="70">
        <f>'01_원자료'!C778</f>
        <v/>
      </c>
      <c r="E781" s="85">
        <f>'01_원자료'!P778*'03_가중치민감도'!$B$5+'01_원자료'!Q778*'03_가중치민감도'!$C$5+'01_원자료'!R778*'03_가중치민감도'!$D$5</f>
        <v/>
      </c>
      <c r="F781" s="85">
        <f>'01_원자료'!P778*'03_가중치민감도'!$B$6+'01_원자료'!Q778*'03_가중치민감도'!$C$6+'01_원자료'!R778*'03_가중치민감도'!$D$6</f>
        <v/>
      </c>
      <c r="G781" s="85">
        <f>'01_원자료'!P778*'03_가중치민감도'!$B$7+'01_원자료'!Q778*'03_가중치민감도'!$C$7+'01_원자료'!R778*'03_가중치민감도'!$D$7</f>
        <v/>
      </c>
      <c r="H781" s="85">
        <f>'01_원자료'!P778*'03_가중치민감도'!$B$8+'01_원자료'!Q778*'03_가중치민감도'!$C$8+'01_원자료'!R778*'03_가중치민감도'!$D$8</f>
        <v/>
      </c>
      <c r="I781" s="85">
        <f>'01_원자료'!P778*'03_가중치민감도'!$B$9+'01_원자료'!Q778*'03_가중치민감도'!$C$9+'01_원자료'!R778*'03_가중치민감도'!$D$9</f>
        <v/>
      </c>
      <c r="J781" s="85">
        <f>'01_원자료'!P778*'03_가중치민감도'!$B$10+'01_원자료'!Q778*'03_가중치민감도'!$C$10+'01_원자료'!R778*'03_가중치민감도'!$D$10</f>
        <v/>
      </c>
      <c r="K781" s="99">
        <f>COUNTIF($E$5:$E$979,"&lt;"&amp;E781)+(COUNTIF($E$5:$E$979,"="&amp;E781)+1)/2</f>
        <v/>
      </c>
      <c r="L781" s="99">
        <f>COUNTIF($F$5:$F$979,"&lt;"&amp;F781)+(COUNTIF($F$5:$F$979,"="&amp;F781)+1)/2</f>
        <v/>
      </c>
      <c r="M781" s="99">
        <f>COUNTIF($G$5:$G$979,"&lt;"&amp;G781)+(COUNTIF($G$5:$G$979,"="&amp;G781)+1)/2</f>
        <v/>
      </c>
      <c r="N781" s="99">
        <f>COUNTIF($H$5:$H$979,"&lt;"&amp;H781)+(COUNTIF($H$5:$H$979,"="&amp;H781)+1)/2</f>
        <v/>
      </c>
      <c r="O781" s="99">
        <f>COUNTIF($I$5:$I$979,"&lt;"&amp;I781)+(COUNTIF($I$5:$I$979,"="&amp;I781)+1)/2</f>
        <v/>
      </c>
      <c r="P781" s="99">
        <f>COUNTIF($J$5:$J$979,"&lt;"&amp;J781)+(COUNTIF($J$5:$J$979,"="&amp;J781)+1)/2</f>
        <v/>
      </c>
    </row>
    <row r="782" ht="15" customHeight="1" s="68">
      <c r="A782" s="70">
        <f>'01_원자료'!A779</f>
        <v/>
      </c>
      <c r="B782" s="70">
        <f>'01_원자료'!B779</f>
        <v/>
      </c>
      <c r="C782" s="70">
        <f>'01_원자료'!C779</f>
        <v/>
      </c>
      <c r="E782" s="85">
        <f>'01_원자료'!P779*'03_가중치민감도'!$B$5+'01_원자료'!Q779*'03_가중치민감도'!$C$5+'01_원자료'!R779*'03_가중치민감도'!$D$5</f>
        <v/>
      </c>
      <c r="F782" s="85">
        <f>'01_원자료'!P779*'03_가중치민감도'!$B$6+'01_원자료'!Q779*'03_가중치민감도'!$C$6+'01_원자료'!R779*'03_가중치민감도'!$D$6</f>
        <v/>
      </c>
      <c r="G782" s="85">
        <f>'01_원자료'!P779*'03_가중치민감도'!$B$7+'01_원자료'!Q779*'03_가중치민감도'!$C$7+'01_원자료'!R779*'03_가중치민감도'!$D$7</f>
        <v/>
      </c>
      <c r="H782" s="85">
        <f>'01_원자료'!P779*'03_가중치민감도'!$B$8+'01_원자료'!Q779*'03_가중치민감도'!$C$8+'01_원자료'!R779*'03_가중치민감도'!$D$8</f>
        <v/>
      </c>
      <c r="I782" s="85">
        <f>'01_원자료'!P779*'03_가중치민감도'!$B$9+'01_원자료'!Q779*'03_가중치민감도'!$C$9+'01_원자료'!R779*'03_가중치민감도'!$D$9</f>
        <v/>
      </c>
      <c r="J782" s="85">
        <f>'01_원자료'!P779*'03_가중치민감도'!$B$10+'01_원자료'!Q779*'03_가중치민감도'!$C$10+'01_원자료'!R779*'03_가중치민감도'!$D$10</f>
        <v/>
      </c>
      <c r="K782" s="99">
        <f>COUNTIF($E$5:$E$979,"&lt;"&amp;E782)+(COUNTIF($E$5:$E$979,"="&amp;E782)+1)/2</f>
        <v/>
      </c>
      <c r="L782" s="99">
        <f>COUNTIF($F$5:$F$979,"&lt;"&amp;F782)+(COUNTIF($F$5:$F$979,"="&amp;F782)+1)/2</f>
        <v/>
      </c>
      <c r="M782" s="99">
        <f>COUNTIF($G$5:$G$979,"&lt;"&amp;G782)+(COUNTIF($G$5:$G$979,"="&amp;G782)+1)/2</f>
        <v/>
      </c>
      <c r="N782" s="99">
        <f>COUNTIF($H$5:$H$979,"&lt;"&amp;H782)+(COUNTIF($H$5:$H$979,"="&amp;H782)+1)/2</f>
        <v/>
      </c>
      <c r="O782" s="99">
        <f>COUNTIF($I$5:$I$979,"&lt;"&amp;I782)+(COUNTIF($I$5:$I$979,"="&amp;I782)+1)/2</f>
        <v/>
      </c>
      <c r="P782" s="99">
        <f>COUNTIF($J$5:$J$979,"&lt;"&amp;J782)+(COUNTIF($J$5:$J$979,"="&amp;J782)+1)/2</f>
        <v/>
      </c>
    </row>
    <row r="783" ht="15" customHeight="1" s="68">
      <c r="A783" s="70">
        <f>'01_원자료'!A780</f>
        <v/>
      </c>
      <c r="B783" s="70">
        <f>'01_원자료'!B780</f>
        <v/>
      </c>
      <c r="C783" s="70">
        <f>'01_원자료'!C780</f>
        <v/>
      </c>
      <c r="E783" s="85">
        <f>'01_원자료'!P780*'03_가중치민감도'!$B$5+'01_원자료'!Q780*'03_가중치민감도'!$C$5+'01_원자료'!R780*'03_가중치민감도'!$D$5</f>
        <v/>
      </c>
      <c r="F783" s="85">
        <f>'01_원자료'!P780*'03_가중치민감도'!$B$6+'01_원자료'!Q780*'03_가중치민감도'!$C$6+'01_원자료'!R780*'03_가중치민감도'!$D$6</f>
        <v/>
      </c>
      <c r="G783" s="85">
        <f>'01_원자료'!P780*'03_가중치민감도'!$B$7+'01_원자료'!Q780*'03_가중치민감도'!$C$7+'01_원자료'!R780*'03_가중치민감도'!$D$7</f>
        <v/>
      </c>
      <c r="H783" s="85">
        <f>'01_원자료'!P780*'03_가중치민감도'!$B$8+'01_원자료'!Q780*'03_가중치민감도'!$C$8+'01_원자료'!R780*'03_가중치민감도'!$D$8</f>
        <v/>
      </c>
      <c r="I783" s="85">
        <f>'01_원자료'!P780*'03_가중치민감도'!$B$9+'01_원자료'!Q780*'03_가중치민감도'!$C$9+'01_원자료'!R780*'03_가중치민감도'!$D$9</f>
        <v/>
      </c>
      <c r="J783" s="85">
        <f>'01_원자료'!P780*'03_가중치민감도'!$B$10+'01_원자료'!Q780*'03_가중치민감도'!$C$10+'01_원자료'!R780*'03_가중치민감도'!$D$10</f>
        <v/>
      </c>
      <c r="K783" s="99">
        <f>COUNTIF($E$5:$E$979,"&lt;"&amp;E783)+(COUNTIF($E$5:$E$979,"="&amp;E783)+1)/2</f>
        <v/>
      </c>
      <c r="L783" s="99">
        <f>COUNTIF($F$5:$F$979,"&lt;"&amp;F783)+(COUNTIF($F$5:$F$979,"="&amp;F783)+1)/2</f>
        <v/>
      </c>
      <c r="M783" s="99">
        <f>COUNTIF($G$5:$G$979,"&lt;"&amp;G783)+(COUNTIF($G$5:$G$979,"="&amp;G783)+1)/2</f>
        <v/>
      </c>
      <c r="N783" s="99">
        <f>COUNTIF($H$5:$H$979,"&lt;"&amp;H783)+(COUNTIF($H$5:$H$979,"="&amp;H783)+1)/2</f>
        <v/>
      </c>
      <c r="O783" s="99">
        <f>COUNTIF($I$5:$I$979,"&lt;"&amp;I783)+(COUNTIF($I$5:$I$979,"="&amp;I783)+1)/2</f>
        <v/>
      </c>
      <c r="P783" s="99">
        <f>COUNTIF($J$5:$J$979,"&lt;"&amp;J783)+(COUNTIF($J$5:$J$979,"="&amp;J783)+1)/2</f>
        <v/>
      </c>
    </row>
    <row r="784" ht="15" customHeight="1" s="68">
      <c r="A784" s="70">
        <f>'01_원자료'!A781</f>
        <v/>
      </c>
      <c r="B784" s="70">
        <f>'01_원자료'!B781</f>
        <v/>
      </c>
      <c r="C784" s="70">
        <f>'01_원자료'!C781</f>
        <v/>
      </c>
      <c r="E784" s="85">
        <f>'01_원자료'!P781*'03_가중치민감도'!$B$5+'01_원자료'!Q781*'03_가중치민감도'!$C$5+'01_원자료'!R781*'03_가중치민감도'!$D$5</f>
        <v/>
      </c>
      <c r="F784" s="85">
        <f>'01_원자료'!P781*'03_가중치민감도'!$B$6+'01_원자료'!Q781*'03_가중치민감도'!$C$6+'01_원자료'!R781*'03_가중치민감도'!$D$6</f>
        <v/>
      </c>
      <c r="G784" s="85">
        <f>'01_원자료'!P781*'03_가중치민감도'!$B$7+'01_원자료'!Q781*'03_가중치민감도'!$C$7+'01_원자료'!R781*'03_가중치민감도'!$D$7</f>
        <v/>
      </c>
      <c r="H784" s="85">
        <f>'01_원자료'!P781*'03_가중치민감도'!$B$8+'01_원자료'!Q781*'03_가중치민감도'!$C$8+'01_원자료'!R781*'03_가중치민감도'!$D$8</f>
        <v/>
      </c>
      <c r="I784" s="85">
        <f>'01_원자료'!P781*'03_가중치민감도'!$B$9+'01_원자료'!Q781*'03_가중치민감도'!$C$9+'01_원자료'!R781*'03_가중치민감도'!$D$9</f>
        <v/>
      </c>
      <c r="J784" s="85">
        <f>'01_원자료'!P781*'03_가중치민감도'!$B$10+'01_원자료'!Q781*'03_가중치민감도'!$C$10+'01_원자료'!R781*'03_가중치민감도'!$D$10</f>
        <v/>
      </c>
      <c r="K784" s="99">
        <f>COUNTIF($E$5:$E$979,"&lt;"&amp;E784)+(COUNTIF($E$5:$E$979,"="&amp;E784)+1)/2</f>
        <v/>
      </c>
      <c r="L784" s="99">
        <f>COUNTIF($F$5:$F$979,"&lt;"&amp;F784)+(COUNTIF($F$5:$F$979,"="&amp;F784)+1)/2</f>
        <v/>
      </c>
      <c r="M784" s="99">
        <f>COUNTIF($G$5:$G$979,"&lt;"&amp;G784)+(COUNTIF($G$5:$G$979,"="&amp;G784)+1)/2</f>
        <v/>
      </c>
      <c r="N784" s="99">
        <f>COUNTIF($H$5:$H$979,"&lt;"&amp;H784)+(COUNTIF($H$5:$H$979,"="&amp;H784)+1)/2</f>
        <v/>
      </c>
      <c r="O784" s="99">
        <f>COUNTIF($I$5:$I$979,"&lt;"&amp;I784)+(COUNTIF($I$5:$I$979,"="&amp;I784)+1)/2</f>
        <v/>
      </c>
      <c r="P784" s="99">
        <f>COUNTIF($J$5:$J$979,"&lt;"&amp;J784)+(COUNTIF($J$5:$J$979,"="&amp;J784)+1)/2</f>
        <v/>
      </c>
    </row>
    <row r="785" ht="15" customHeight="1" s="68">
      <c r="A785" s="70">
        <f>'01_원자료'!A782</f>
        <v/>
      </c>
      <c r="B785" s="70">
        <f>'01_원자료'!B782</f>
        <v/>
      </c>
      <c r="C785" s="70">
        <f>'01_원자료'!C782</f>
        <v/>
      </c>
      <c r="E785" s="85">
        <f>'01_원자료'!P782*'03_가중치민감도'!$B$5+'01_원자료'!Q782*'03_가중치민감도'!$C$5+'01_원자료'!R782*'03_가중치민감도'!$D$5</f>
        <v/>
      </c>
      <c r="F785" s="85">
        <f>'01_원자료'!P782*'03_가중치민감도'!$B$6+'01_원자료'!Q782*'03_가중치민감도'!$C$6+'01_원자료'!R782*'03_가중치민감도'!$D$6</f>
        <v/>
      </c>
      <c r="G785" s="85">
        <f>'01_원자료'!P782*'03_가중치민감도'!$B$7+'01_원자료'!Q782*'03_가중치민감도'!$C$7+'01_원자료'!R782*'03_가중치민감도'!$D$7</f>
        <v/>
      </c>
      <c r="H785" s="85">
        <f>'01_원자료'!P782*'03_가중치민감도'!$B$8+'01_원자료'!Q782*'03_가중치민감도'!$C$8+'01_원자료'!R782*'03_가중치민감도'!$D$8</f>
        <v/>
      </c>
      <c r="I785" s="85">
        <f>'01_원자료'!P782*'03_가중치민감도'!$B$9+'01_원자료'!Q782*'03_가중치민감도'!$C$9+'01_원자료'!R782*'03_가중치민감도'!$D$9</f>
        <v/>
      </c>
      <c r="J785" s="85">
        <f>'01_원자료'!P782*'03_가중치민감도'!$B$10+'01_원자료'!Q782*'03_가중치민감도'!$C$10+'01_원자료'!R782*'03_가중치민감도'!$D$10</f>
        <v/>
      </c>
      <c r="K785" s="99">
        <f>COUNTIF($E$5:$E$979,"&lt;"&amp;E785)+(COUNTIF($E$5:$E$979,"="&amp;E785)+1)/2</f>
        <v/>
      </c>
      <c r="L785" s="99">
        <f>COUNTIF($F$5:$F$979,"&lt;"&amp;F785)+(COUNTIF($F$5:$F$979,"="&amp;F785)+1)/2</f>
        <v/>
      </c>
      <c r="M785" s="99">
        <f>COUNTIF($G$5:$G$979,"&lt;"&amp;G785)+(COUNTIF($G$5:$G$979,"="&amp;G785)+1)/2</f>
        <v/>
      </c>
      <c r="N785" s="99">
        <f>COUNTIF($H$5:$H$979,"&lt;"&amp;H785)+(COUNTIF($H$5:$H$979,"="&amp;H785)+1)/2</f>
        <v/>
      </c>
      <c r="O785" s="99">
        <f>COUNTIF($I$5:$I$979,"&lt;"&amp;I785)+(COUNTIF($I$5:$I$979,"="&amp;I785)+1)/2</f>
        <v/>
      </c>
      <c r="P785" s="99">
        <f>COUNTIF($J$5:$J$979,"&lt;"&amp;J785)+(COUNTIF($J$5:$J$979,"="&amp;J785)+1)/2</f>
        <v/>
      </c>
    </row>
    <row r="786" ht="15" customHeight="1" s="68">
      <c r="A786" s="70">
        <f>'01_원자료'!A783</f>
        <v/>
      </c>
      <c r="B786" s="70">
        <f>'01_원자료'!B783</f>
        <v/>
      </c>
      <c r="C786" s="70">
        <f>'01_원자료'!C783</f>
        <v/>
      </c>
      <c r="E786" s="85">
        <f>'01_원자료'!P783*'03_가중치민감도'!$B$5+'01_원자료'!Q783*'03_가중치민감도'!$C$5+'01_원자료'!R783*'03_가중치민감도'!$D$5</f>
        <v/>
      </c>
      <c r="F786" s="85">
        <f>'01_원자료'!P783*'03_가중치민감도'!$B$6+'01_원자료'!Q783*'03_가중치민감도'!$C$6+'01_원자료'!R783*'03_가중치민감도'!$D$6</f>
        <v/>
      </c>
      <c r="G786" s="85">
        <f>'01_원자료'!P783*'03_가중치민감도'!$B$7+'01_원자료'!Q783*'03_가중치민감도'!$C$7+'01_원자료'!R783*'03_가중치민감도'!$D$7</f>
        <v/>
      </c>
      <c r="H786" s="85">
        <f>'01_원자료'!P783*'03_가중치민감도'!$B$8+'01_원자료'!Q783*'03_가중치민감도'!$C$8+'01_원자료'!R783*'03_가중치민감도'!$D$8</f>
        <v/>
      </c>
      <c r="I786" s="85">
        <f>'01_원자료'!P783*'03_가중치민감도'!$B$9+'01_원자료'!Q783*'03_가중치민감도'!$C$9+'01_원자료'!R783*'03_가중치민감도'!$D$9</f>
        <v/>
      </c>
      <c r="J786" s="85">
        <f>'01_원자료'!P783*'03_가중치민감도'!$B$10+'01_원자료'!Q783*'03_가중치민감도'!$C$10+'01_원자료'!R783*'03_가중치민감도'!$D$10</f>
        <v/>
      </c>
      <c r="K786" s="99">
        <f>COUNTIF($E$5:$E$979,"&lt;"&amp;E786)+(COUNTIF($E$5:$E$979,"="&amp;E786)+1)/2</f>
        <v/>
      </c>
      <c r="L786" s="99">
        <f>COUNTIF($F$5:$F$979,"&lt;"&amp;F786)+(COUNTIF($F$5:$F$979,"="&amp;F786)+1)/2</f>
        <v/>
      </c>
      <c r="M786" s="99">
        <f>COUNTIF($G$5:$G$979,"&lt;"&amp;G786)+(COUNTIF($G$5:$G$979,"="&amp;G786)+1)/2</f>
        <v/>
      </c>
      <c r="N786" s="99">
        <f>COUNTIF($H$5:$H$979,"&lt;"&amp;H786)+(COUNTIF($H$5:$H$979,"="&amp;H786)+1)/2</f>
        <v/>
      </c>
      <c r="O786" s="99">
        <f>COUNTIF($I$5:$I$979,"&lt;"&amp;I786)+(COUNTIF($I$5:$I$979,"="&amp;I786)+1)/2</f>
        <v/>
      </c>
      <c r="P786" s="99">
        <f>COUNTIF($J$5:$J$979,"&lt;"&amp;J786)+(COUNTIF($J$5:$J$979,"="&amp;J786)+1)/2</f>
        <v/>
      </c>
    </row>
    <row r="787" ht="15" customHeight="1" s="68">
      <c r="A787" s="70">
        <f>'01_원자료'!A784</f>
        <v/>
      </c>
      <c r="B787" s="70">
        <f>'01_원자료'!B784</f>
        <v/>
      </c>
      <c r="C787" s="70">
        <f>'01_원자료'!C784</f>
        <v/>
      </c>
      <c r="E787" s="85">
        <f>'01_원자료'!P784*'03_가중치민감도'!$B$5+'01_원자료'!Q784*'03_가중치민감도'!$C$5+'01_원자료'!R784*'03_가중치민감도'!$D$5</f>
        <v/>
      </c>
      <c r="F787" s="85">
        <f>'01_원자료'!P784*'03_가중치민감도'!$B$6+'01_원자료'!Q784*'03_가중치민감도'!$C$6+'01_원자료'!R784*'03_가중치민감도'!$D$6</f>
        <v/>
      </c>
      <c r="G787" s="85">
        <f>'01_원자료'!P784*'03_가중치민감도'!$B$7+'01_원자료'!Q784*'03_가중치민감도'!$C$7+'01_원자료'!R784*'03_가중치민감도'!$D$7</f>
        <v/>
      </c>
      <c r="H787" s="85">
        <f>'01_원자료'!P784*'03_가중치민감도'!$B$8+'01_원자료'!Q784*'03_가중치민감도'!$C$8+'01_원자료'!R784*'03_가중치민감도'!$D$8</f>
        <v/>
      </c>
      <c r="I787" s="85">
        <f>'01_원자료'!P784*'03_가중치민감도'!$B$9+'01_원자료'!Q784*'03_가중치민감도'!$C$9+'01_원자료'!R784*'03_가중치민감도'!$D$9</f>
        <v/>
      </c>
      <c r="J787" s="85">
        <f>'01_원자료'!P784*'03_가중치민감도'!$B$10+'01_원자료'!Q784*'03_가중치민감도'!$C$10+'01_원자료'!R784*'03_가중치민감도'!$D$10</f>
        <v/>
      </c>
      <c r="K787" s="99">
        <f>COUNTIF($E$5:$E$979,"&lt;"&amp;E787)+(COUNTIF($E$5:$E$979,"="&amp;E787)+1)/2</f>
        <v/>
      </c>
      <c r="L787" s="99">
        <f>COUNTIF($F$5:$F$979,"&lt;"&amp;F787)+(COUNTIF($F$5:$F$979,"="&amp;F787)+1)/2</f>
        <v/>
      </c>
      <c r="M787" s="99">
        <f>COUNTIF($G$5:$G$979,"&lt;"&amp;G787)+(COUNTIF($G$5:$G$979,"="&amp;G787)+1)/2</f>
        <v/>
      </c>
      <c r="N787" s="99">
        <f>COUNTIF($H$5:$H$979,"&lt;"&amp;H787)+(COUNTIF($H$5:$H$979,"="&amp;H787)+1)/2</f>
        <v/>
      </c>
      <c r="O787" s="99">
        <f>COUNTIF($I$5:$I$979,"&lt;"&amp;I787)+(COUNTIF($I$5:$I$979,"="&amp;I787)+1)/2</f>
        <v/>
      </c>
      <c r="P787" s="99">
        <f>COUNTIF($J$5:$J$979,"&lt;"&amp;J787)+(COUNTIF($J$5:$J$979,"="&amp;J787)+1)/2</f>
        <v/>
      </c>
    </row>
    <row r="788" ht="15" customHeight="1" s="68">
      <c r="A788" s="70">
        <f>'01_원자료'!A785</f>
        <v/>
      </c>
      <c r="B788" s="70">
        <f>'01_원자료'!B785</f>
        <v/>
      </c>
      <c r="C788" s="70">
        <f>'01_원자료'!C785</f>
        <v/>
      </c>
      <c r="E788" s="85">
        <f>'01_원자료'!P785*'03_가중치민감도'!$B$5+'01_원자료'!Q785*'03_가중치민감도'!$C$5+'01_원자료'!R785*'03_가중치민감도'!$D$5</f>
        <v/>
      </c>
      <c r="F788" s="85">
        <f>'01_원자료'!P785*'03_가중치민감도'!$B$6+'01_원자료'!Q785*'03_가중치민감도'!$C$6+'01_원자료'!R785*'03_가중치민감도'!$D$6</f>
        <v/>
      </c>
      <c r="G788" s="85">
        <f>'01_원자료'!P785*'03_가중치민감도'!$B$7+'01_원자료'!Q785*'03_가중치민감도'!$C$7+'01_원자료'!R785*'03_가중치민감도'!$D$7</f>
        <v/>
      </c>
      <c r="H788" s="85">
        <f>'01_원자료'!P785*'03_가중치민감도'!$B$8+'01_원자료'!Q785*'03_가중치민감도'!$C$8+'01_원자료'!R785*'03_가중치민감도'!$D$8</f>
        <v/>
      </c>
      <c r="I788" s="85">
        <f>'01_원자료'!P785*'03_가중치민감도'!$B$9+'01_원자료'!Q785*'03_가중치민감도'!$C$9+'01_원자료'!R785*'03_가중치민감도'!$D$9</f>
        <v/>
      </c>
      <c r="J788" s="85">
        <f>'01_원자료'!P785*'03_가중치민감도'!$B$10+'01_원자료'!Q785*'03_가중치민감도'!$C$10+'01_원자료'!R785*'03_가중치민감도'!$D$10</f>
        <v/>
      </c>
      <c r="K788" s="99">
        <f>COUNTIF($E$5:$E$979,"&lt;"&amp;E788)+(COUNTIF($E$5:$E$979,"="&amp;E788)+1)/2</f>
        <v/>
      </c>
      <c r="L788" s="99">
        <f>COUNTIF($F$5:$F$979,"&lt;"&amp;F788)+(COUNTIF($F$5:$F$979,"="&amp;F788)+1)/2</f>
        <v/>
      </c>
      <c r="M788" s="99">
        <f>COUNTIF($G$5:$G$979,"&lt;"&amp;G788)+(COUNTIF($G$5:$G$979,"="&amp;G788)+1)/2</f>
        <v/>
      </c>
      <c r="N788" s="99">
        <f>COUNTIF($H$5:$H$979,"&lt;"&amp;H788)+(COUNTIF($H$5:$H$979,"="&amp;H788)+1)/2</f>
        <v/>
      </c>
      <c r="O788" s="99">
        <f>COUNTIF($I$5:$I$979,"&lt;"&amp;I788)+(COUNTIF($I$5:$I$979,"="&amp;I788)+1)/2</f>
        <v/>
      </c>
      <c r="P788" s="99">
        <f>COUNTIF($J$5:$J$979,"&lt;"&amp;J788)+(COUNTIF($J$5:$J$979,"="&amp;J788)+1)/2</f>
        <v/>
      </c>
    </row>
    <row r="789" ht="15" customHeight="1" s="68">
      <c r="A789" s="70">
        <f>'01_원자료'!A786</f>
        <v/>
      </c>
      <c r="B789" s="70">
        <f>'01_원자료'!B786</f>
        <v/>
      </c>
      <c r="C789" s="70">
        <f>'01_원자료'!C786</f>
        <v/>
      </c>
      <c r="E789" s="85">
        <f>'01_원자료'!P786*'03_가중치민감도'!$B$5+'01_원자료'!Q786*'03_가중치민감도'!$C$5+'01_원자료'!R786*'03_가중치민감도'!$D$5</f>
        <v/>
      </c>
      <c r="F789" s="85">
        <f>'01_원자료'!P786*'03_가중치민감도'!$B$6+'01_원자료'!Q786*'03_가중치민감도'!$C$6+'01_원자료'!R786*'03_가중치민감도'!$D$6</f>
        <v/>
      </c>
      <c r="G789" s="85">
        <f>'01_원자료'!P786*'03_가중치민감도'!$B$7+'01_원자료'!Q786*'03_가중치민감도'!$C$7+'01_원자료'!R786*'03_가중치민감도'!$D$7</f>
        <v/>
      </c>
      <c r="H789" s="85">
        <f>'01_원자료'!P786*'03_가중치민감도'!$B$8+'01_원자료'!Q786*'03_가중치민감도'!$C$8+'01_원자료'!R786*'03_가중치민감도'!$D$8</f>
        <v/>
      </c>
      <c r="I789" s="85">
        <f>'01_원자료'!P786*'03_가중치민감도'!$B$9+'01_원자료'!Q786*'03_가중치민감도'!$C$9+'01_원자료'!R786*'03_가중치민감도'!$D$9</f>
        <v/>
      </c>
      <c r="J789" s="85">
        <f>'01_원자료'!P786*'03_가중치민감도'!$B$10+'01_원자료'!Q786*'03_가중치민감도'!$C$10+'01_원자료'!R786*'03_가중치민감도'!$D$10</f>
        <v/>
      </c>
      <c r="K789" s="99">
        <f>COUNTIF($E$5:$E$979,"&lt;"&amp;E789)+(COUNTIF($E$5:$E$979,"="&amp;E789)+1)/2</f>
        <v/>
      </c>
      <c r="L789" s="99">
        <f>COUNTIF($F$5:$F$979,"&lt;"&amp;F789)+(COUNTIF($F$5:$F$979,"="&amp;F789)+1)/2</f>
        <v/>
      </c>
      <c r="M789" s="99">
        <f>COUNTIF($G$5:$G$979,"&lt;"&amp;G789)+(COUNTIF($G$5:$G$979,"="&amp;G789)+1)/2</f>
        <v/>
      </c>
      <c r="N789" s="99">
        <f>COUNTIF($H$5:$H$979,"&lt;"&amp;H789)+(COUNTIF($H$5:$H$979,"="&amp;H789)+1)/2</f>
        <v/>
      </c>
      <c r="O789" s="99">
        <f>COUNTIF($I$5:$I$979,"&lt;"&amp;I789)+(COUNTIF($I$5:$I$979,"="&amp;I789)+1)/2</f>
        <v/>
      </c>
      <c r="P789" s="99">
        <f>COUNTIF($J$5:$J$979,"&lt;"&amp;J789)+(COUNTIF($J$5:$J$979,"="&amp;J789)+1)/2</f>
        <v/>
      </c>
    </row>
    <row r="790" ht="15" customHeight="1" s="68">
      <c r="A790" s="70">
        <f>'01_원자료'!A787</f>
        <v/>
      </c>
      <c r="B790" s="70">
        <f>'01_원자료'!B787</f>
        <v/>
      </c>
      <c r="C790" s="70">
        <f>'01_원자료'!C787</f>
        <v/>
      </c>
      <c r="E790" s="85">
        <f>'01_원자료'!P787*'03_가중치민감도'!$B$5+'01_원자료'!Q787*'03_가중치민감도'!$C$5+'01_원자료'!R787*'03_가중치민감도'!$D$5</f>
        <v/>
      </c>
      <c r="F790" s="85">
        <f>'01_원자료'!P787*'03_가중치민감도'!$B$6+'01_원자료'!Q787*'03_가중치민감도'!$C$6+'01_원자료'!R787*'03_가중치민감도'!$D$6</f>
        <v/>
      </c>
      <c r="G790" s="85">
        <f>'01_원자료'!P787*'03_가중치민감도'!$B$7+'01_원자료'!Q787*'03_가중치민감도'!$C$7+'01_원자료'!R787*'03_가중치민감도'!$D$7</f>
        <v/>
      </c>
      <c r="H790" s="85">
        <f>'01_원자료'!P787*'03_가중치민감도'!$B$8+'01_원자료'!Q787*'03_가중치민감도'!$C$8+'01_원자료'!R787*'03_가중치민감도'!$D$8</f>
        <v/>
      </c>
      <c r="I790" s="85">
        <f>'01_원자료'!P787*'03_가중치민감도'!$B$9+'01_원자료'!Q787*'03_가중치민감도'!$C$9+'01_원자료'!R787*'03_가중치민감도'!$D$9</f>
        <v/>
      </c>
      <c r="J790" s="85">
        <f>'01_원자료'!P787*'03_가중치민감도'!$B$10+'01_원자료'!Q787*'03_가중치민감도'!$C$10+'01_원자료'!R787*'03_가중치민감도'!$D$10</f>
        <v/>
      </c>
      <c r="K790" s="99">
        <f>COUNTIF($E$5:$E$979,"&lt;"&amp;E790)+(COUNTIF($E$5:$E$979,"="&amp;E790)+1)/2</f>
        <v/>
      </c>
      <c r="L790" s="99">
        <f>COUNTIF($F$5:$F$979,"&lt;"&amp;F790)+(COUNTIF($F$5:$F$979,"="&amp;F790)+1)/2</f>
        <v/>
      </c>
      <c r="M790" s="99">
        <f>COUNTIF($G$5:$G$979,"&lt;"&amp;G790)+(COUNTIF($G$5:$G$979,"="&amp;G790)+1)/2</f>
        <v/>
      </c>
      <c r="N790" s="99">
        <f>COUNTIF($H$5:$H$979,"&lt;"&amp;H790)+(COUNTIF($H$5:$H$979,"="&amp;H790)+1)/2</f>
        <v/>
      </c>
      <c r="O790" s="99">
        <f>COUNTIF($I$5:$I$979,"&lt;"&amp;I790)+(COUNTIF($I$5:$I$979,"="&amp;I790)+1)/2</f>
        <v/>
      </c>
      <c r="P790" s="99">
        <f>COUNTIF($J$5:$J$979,"&lt;"&amp;J790)+(COUNTIF($J$5:$J$979,"="&amp;J790)+1)/2</f>
        <v/>
      </c>
    </row>
    <row r="791" ht="15" customHeight="1" s="68">
      <c r="A791" s="70">
        <f>'01_원자료'!A788</f>
        <v/>
      </c>
      <c r="B791" s="70">
        <f>'01_원자료'!B788</f>
        <v/>
      </c>
      <c r="C791" s="70">
        <f>'01_원자료'!C788</f>
        <v/>
      </c>
      <c r="E791" s="85">
        <f>'01_원자료'!P788*'03_가중치민감도'!$B$5+'01_원자료'!Q788*'03_가중치민감도'!$C$5+'01_원자료'!R788*'03_가중치민감도'!$D$5</f>
        <v/>
      </c>
      <c r="F791" s="85">
        <f>'01_원자료'!P788*'03_가중치민감도'!$B$6+'01_원자료'!Q788*'03_가중치민감도'!$C$6+'01_원자료'!R788*'03_가중치민감도'!$D$6</f>
        <v/>
      </c>
      <c r="G791" s="85">
        <f>'01_원자료'!P788*'03_가중치민감도'!$B$7+'01_원자료'!Q788*'03_가중치민감도'!$C$7+'01_원자료'!R788*'03_가중치민감도'!$D$7</f>
        <v/>
      </c>
      <c r="H791" s="85">
        <f>'01_원자료'!P788*'03_가중치민감도'!$B$8+'01_원자료'!Q788*'03_가중치민감도'!$C$8+'01_원자료'!R788*'03_가중치민감도'!$D$8</f>
        <v/>
      </c>
      <c r="I791" s="85">
        <f>'01_원자료'!P788*'03_가중치민감도'!$B$9+'01_원자료'!Q788*'03_가중치민감도'!$C$9+'01_원자료'!R788*'03_가중치민감도'!$D$9</f>
        <v/>
      </c>
      <c r="J791" s="85">
        <f>'01_원자료'!P788*'03_가중치민감도'!$B$10+'01_원자료'!Q788*'03_가중치민감도'!$C$10+'01_원자료'!R788*'03_가중치민감도'!$D$10</f>
        <v/>
      </c>
      <c r="K791" s="99">
        <f>COUNTIF($E$5:$E$979,"&lt;"&amp;E791)+(COUNTIF($E$5:$E$979,"="&amp;E791)+1)/2</f>
        <v/>
      </c>
      <c r="L791" s="99">
        <f>COUNTIF($F$5:$F$979,"&lt;"&amp;F791)+(COUNTIF($F$5:$F$979,"="&amp;F791)+1)/2</f>
        <v/>
      </c>
      <c r="M791" s="99">
        <f>COUNTIF($G$5:$G$979,"&lt;"&amp;G791)+(COUNTIF($G$5:$G$979,"="&amp;G791)+1)/2</f>
        <v/>
      </c>
      <c r="N791" s="99">
        <f>COUNTIF($H$5:$H$979,"&lt;"&amp;H791)+(COUNTIF($H$5:$H$979,"="&amp;H791)+1)/2</f>
        <v/>
      </c>
      <c r="O791" s="99">
        <f>COUNTIF($I$5:$I$979,"&lt;"&amp;I791)+(COUNTIF($I$5:$I$979,"="&amp;I791)+1)/2</f>
        <v/>
      </c>
      <c r="P791" s="99">
        <f>COUNTIF($J$5:$J$979,"&lt;"&amp;J791)+(COUNTIF($J$5:$J$979,"="&amp;J791)+1)/2</f>
        <v/>
      </c>
    </row>
    <row r="792" ht="15" customHeight="1" s="68">
      <c r="A792" s="70">
        <f>'01_원자료'!A789</f>
        <v/>
      </c>
      <c r="B792" s="70">
        <f>'01_원자료'!B789</f>
        <v/>
      </c>
      <c r="C792" s="70">
        <f>'01_원자료'!C789</f>
        <v/>
      </c>
      <c r="E792" s="85">
        <f>'01_원자료'!P789*'03_가중치민감도'!$B$5+'01_원자료'!Q789*'03_가중치민감도'!$C$5+'01_원자료'!R789*'03_가중치민감도'!$D$5</f>
        <v/>
      </c>
      <c r="F792" s="85">
        <f>'01_원자료'!P789*'03_가중치민감도'!$B$6+'01_원자료'!Q789*'03_가중치민감도'!$C$6+'01_원자료'!R789*'03_가중치민감도'!$D$6</f>
        <v/>
      </c>
      <c r="G792" s="85">
        <f>'01_원자료'!P789*'03_가중치민감도'!$B$7+'01_원자료'!Q789*'03_가중치민감도'!$C$7+'01_원자료'!R789*'03_가중치민감도'!$D$7</f>
        <v/>
      </c>
      <c r="H792" s="85">
        <f>'01_원자료'!P789*'03_가중치민감도'!$B$8+'01_원자료'!Q789*'03_가중치민감도'!$C$8+'01_원자료'!R789*'03_가중치민감도'!$D$8</f>
        <v/>
      </c>
      <c r="I792" s="85">
        <f>'01_원자료'!P789*'03_가중치민감도'!$B$9+'01_원자료'!Q789*'03_가중치민감도'!$C$9+'01_원자료'!R789*'03_가중치민감도'!$D$9</f>
        <v/>
      </c>
      <c r="J792" s="85">
        <f>'01_원자료'!P789*'03_가중치민감도'!$B$10+'01_원자료'!Q789*'03_가중치민감도'!$C$10+'01_원자료'!R789*'03_가중치민감도'!$D$10</f>
        <v/>
      </c>
      <c r="K792" s="99">
        <f>COUNTIF($E$5:$E$979,"&lt;"&amp;E792)+(COUNTIF($E$5:$E$979,"="&amp;E792)+1)/2</f>
        <v/>
      </c>
      <c r="L792" s="99">
        <f>COUNTIF($F$5:$F$979,"&lt;"&amp;F792)+(COUNTIF($F$5:$F$979,"="&amp;F792)+1)/2</f>
        <v/>
      </c>
      <c r="M792" s="99">
        <f>COUNTIF($G$5:$G$979,"&lt;"&amp;G792)+(COUNTIF($G$5:$G$979,"="&amp;G792)+1)/2</f>
        <v/>
      </c>
      <c r="N792" s="99">
        <f>COUNTIF($H$5:$H$979,"&lt;"&amp;H792)+(COUNTIF($H$5:$H$979,"="&amp;H792)+1)/2</f>
        <v/>
      </c>
      <c r="O792" s="99">
        <f>COUNTIF($I$5:$I$979,"&lt;"&amp;I792)+(COUNTIF($I$5:$I$979,"="&amp;I792)+1)/2</f>
        <v/>
      </c>
      <c r="P792" s="99">
        <f>COUNTIF($J$5:$J$979,"&lt;"&amp;J792)+(COUNTIF($J$5:$J$979,"="&amp;J792)+1)/2</f>
        <v/>
      </c>
    </row>
    <row r="793" ht="15" customHeight="1" s="68">
      <c r="A793" s="70">
        <f>'01_원자료'!A790</f>
        <v/>
      </c>
      <c r="B793" s="70">
        <f>'01_원자료'!B790</f>
        <v/>
      </c>
      <c r="C793" s="70">
        <f>'01_원자료'!C790</f>
        <v/>
      </c>
      <c r="E793" s="85">
        <f>'01_원자료'!P790*'03_가중치민감도'!$B$5+'01_원자료'!Q790*'03_가중치민감도'!$C$5+'01_원자료'!R790*'03_가중치민감도'!$D$5</f>
        <v/>
      </c>
      <c r="F793" s="85">
        <f>'01_원자료'!P790*'03_가중치민감도'!$B$6+'01_원자료'!Q790*'03_가중치민감도'!$C$6+'01_원자료'!R790*'03_가중치민감도'!$D$6</f>
        <v/>
      </c>
      <c r="G793" s="85">
        <f>'01_원자료'!P790*'03_가중치민감도'!$B$7+'01_원자료'!Q790*'03_가중치민감도'!$C$7+'01_원자료'!R790*'03_가중치민감도'!$D$7</f>
        <v/>
      </c>
      <c r="H793" s="85">
        <f>'01_원자료'!P790*'03_가중치민감도'!$B$8+'01_원자료'!Q790*'03_가중치민감도'!$C$8+'01_원자료'!R790*'03_가중치민감도'!$D$8</f>
        <v/>
      </c>
      <c r="I793" s="85">
        <f>'01_원자료'!P790*'03_가중치민감도'!$B$9+'01_원자료'!Q790*'03_가중치민감도'!$C$9+'01_원자료'!R790*'03_가중치민감도'!$D$9</f>
        <v/>
      </c>
      <c r="J793" s="85">
        <f>'01_원자료'!P790*'03_가중치민감도'!$B$10+'01_원자료'!Q790*'03_가중치민감도'!$C$10+'01_원자료'!R790*'03_가중치민감도'!$D$10</f>
        <v/>
      </c>
      <c r="K793" s="99">
        <f>COUNTIF($E$5:$E$979,"&lt;"&amp;E793)+(COUNTIF($E$5:$E$979,"="&amp;E793)+1)/2</f>
        <v/>
      </c>
      <c r="L793" s="99">
        <f>COUNTIF($F$5:$F$979,"&lt;"&amp;F793)+(COUNTIF($F$5:$F$979,"="&amp;F793)+1)/2</f>
        <v/>
      </c>
      <c r="M793" s="99">
        <f>COUNTIF($G$5:$G$979,"&lt;"&amp;G793)+(COUNTIF($G$5:$G$979,"="&amp;G793)+1)/2</f>
        <v/>
      </c>
      <c r="N793" s="99">
        <f>COUNTIF($H$5:$H$979,"&lt;"&amp;H793)+(COUNTIF($H$5:$H$979,"="&amp;H793)+1)/2</f>
        <v/>
      </c>
      <c r="O793" s="99">
        <f>COUNTIF($I$5:$I$979,"&lt;"&amp;I793)+(COUNTIF($I$5:$I$979,"="&amp;I793)+1)/2</f>
        <v/>
      </c>
      <c r="P793" s="99">
        <f>COUNTIF($J$5:$J$979,"&lt;"&amp;J793)+(COUNTIF($J$5:$J$979,"="&amp;J793)+1)/2</f>
        <v/>
      </c>
    </row>
    <row r="794" ht="15" customHeight="1" s="68">
      <c r="A794" s="70">
        <f>'01_원자료'!A791</f>
        <v/>
      </c>
      <c r="B794" s="70">
        <f>'01_원자료'!B791</f>
        <v/>
      </c>
      <c r="C794" s="70">
        <f>'01_원자료'!C791</f>
        <v/>
      </c>
      <c r="E794" s="85">
        <f>'01_원자료'!P791*'03_가중치민감도'!$B$5+'01_원자료'!Q791*'03_가중치민감도'!$C$5+'01_원자료'!R791*'03_가중치민감도'!$D$5</f>
        <v/>
      </c>
      <c r="F794" s="85">
        <f>'01_원자료'!P791*'03_가중치민감도'!$B$6+'01_원자료'!Q791*'03_가중치민감도'!$C$6+'01_원자료'!R791*'03_가중치민감도'!$D$6</f>
        <v/>
      </c>
      <c r="G794" s="85">
        <f>'01_원자료'!P791*'03_가중치민감도'!$B$7+'01_원자료'!Q791*'03_가중치민감도'!$C$7+'01_원자료'!R791*'03_가중치민감도'!$D$7</f>
        <v/>
      </c>
      <c r="H794" s="85">
        <f>'01_원자료'!P791*'03_가중치민감도'!$B$8+'01_원자료'!Q791*'03_가중치민감도'!$C$8+'01_원자료'!R791*'03_가중치민감도'!$D$8</f>
        <v/>
      </c>
      <c r="I794" s="85">
        <f>'01_원자료'!P791*'03_가중치민감도'!$B$9+'01_원자료'!Q791*'03_가중치민감도'!$C$9+'01_원자료'!R791*'03_가중치민감도'!$D$9</f>
        <v/>
      </c>
      <c r="J794" s="85">
        <f>'01_원자료'!P791*'03_가중치민감도'!$B$10+'01_원자료'!Q791*'03_가중치민감도'!$C$10+'01_원자료'!R791*'03_가중치민감도'!$D$10</f>
        <v/>
      </c>
      <c r="K794" s="99">
        <f>COUNTIF($E$5:$E$979,"&lt;"&amp;E794)+(COUNTIF($E$5:$E$979,"="&amp;E794)+1)/2</f>
        <v/>
      </c>
      <c r="L794" s="99">
        <f>COUNTIF($F$5:$F$979,"&lt;"&amp;F794)+(COUNTIF($F$5:$F$979,"="&amp;F794)+1)/2</f>
        <v/>
      </c>
      <c r="M794" s="99">
        <f>COUNTIF($G$5:$G$979,"&lt;"&amp;G794)+(COUNTIF($G$5:$G$979,"="&amp;G794)+1)/2</f>
        <v/>
      </c>
      <c r="N794" s="99">
        <f>COUNTIF($H$5:$H$979,"&lt;"&amp;H794)+(COUNTIF($H$5:$H$979,"="&amp;H794)+1)/2</f>
        <v/>
      </c>
      <c r="O794" s="99">
        <f>COUNTIF($I$5:$I$979,"&lt;"&amp;I794)+(COUNTIF($I$5:$I$979,"="&amp;I794)+1)/2</f>
        <v/>
      </c>
      <c r="P794" s="99">
        <f>COUNTIF($J$5:$J$979,"&lt;"&amp;J794)+(COUNTIF($J$5:$J$979,"="&amp;J794)+1)/2</f>
        <v/>
      </c>
    </row>
    <row r="795" ht="15" customHeight="1" s="68">
      <c r="A795" s="70">
        <f>'01_원자료'!A792</f>
        <v/>
      </c>
      <c r="B795" s="70">
        <f>'01_원자료'!B792</f>
        <v/>
      </c>
      <c r="C795" s="70">
        <f>'01_원자료'!C792</f>
        <v/>
      </c>
      <c r="E795" s="85">
        <f>'01_원자료'!P792*'03_가중치민감도'!$B$5+'01_원자료'!Q792*'03_가중치민감도'!$C$5+'01_원자료'!R792*'03_가중치민감도'!$D$5</f>
        <v/>
      </c>
      <c r="F795" s="85">
        <f>'01_원자료'!P792*'03_가중치민감도'!$B$6+'01_원자료'!Q792*'03_가중치민감도'!$C$6+'01_원자료'!R792*'03_가중치민감도'!$D$6</f>
        <v/>
      </c>
      <c r="G795" s="85">
        <f>'01_원자료'!P792*'03_가중치민감도'!$B$7+'01_원자료'!Q792*'03_가중치민감도'!$C$7+'01_원자료'!R792*'03_가중치민감도'!$D$7</f>
        <v/>
      </c>
      <c r="H795" s="85">
        <f>'01_원자료'!P792*'03_가중치민감도'!$B$8+'01_원자료'!Q792*'03_가중치민감도'!$C$8+'01_원자료'!R792*'03_가중치민감도'!$D$8</f>
        <v/>
      </c>
      <c r="I795" s="85">
        <f>'01_원자료'!P792*'03_가중치민감도'!$B$9+'01_원자료'!Q792*'03_가중치민감도'!$C$9+'01_원자료'!R792*'03_가중치민감도'!$D$9</f>
        <v/>
      </c>
      <c r="J795" s="85">
        <f>'01_원자료'!P792*'03_가중치민감도'!$B$10+'01_원자료'!Q792*'03_가중치민감도'!$C$10+'01_원자료'!R792*'03_가중치민감도'!$D$10</f>
        <v/>
      </c>
      <c r="K795" s="99">
        <f>COUNTIF($E$5:$E$979,"&lt;"&amp;E795)+(COUNTIF($E$5:$E$979,"="&amp;E795)+1)/2</f>
        <v/>
      </c>
      <c r="L795" s="99">
        <f>COUNTIF($F$5:$F$979,"&lt;"&amp;F795)+(COUNTIF($F$5:$F$979,"="&amp;F795)+1)/2</f>
        <v/>
      </c>
      <c r="M795" s="99">
        <f>COUNTIF($G$5:$G$979,"&lt;"&amp;G795)+(COUNTIF($G$5:$G$979,"="&amp;G795)+1)/2</f>
        <v/>
      </c>
      <c r="N795" s="99">
        <f>COUNTIF($H$5:$H$979,"&lt;"&amp;H795)+(COUNTIF($H$5:$H$979,"="&amp;H795)+1)/2</f>
        <v/>
      </c>
      <c r="O795" s="99">
        <f>COUNTIF($I$5:$I$979,"&lt;"&amp;I795)+(COUNTIF($I$5:$I$979,"="&amp;I795)+1)/2</f>
        <v/>
      </c>
      <c r="P795" s="99">
        <f>COUNTIF($J$5:$J$979,"&lt;"&amp;J795)+(COUNTIF($J$5:$J$979,"="&amp;J795)+1)/2</f>
        <v/>
      </c>
    </row>
    <row r="796" ht="15" customHeight="1" s="68">
      <c r="A796" s="70">
        <f>'01_원자료'!A793</f>
        <v/>
      </c>
      <c r="B796" s="70">
        <f>'01_원자료'!B793</f>
        <v/>
      </c>
      <c r="C796" s="70">
        <f>'01_원자료'!C793</f>
        <v/>
      </c>
      <c r="E796" s="85">
        <f>'01_원자료'!P793*'03_가중치민감도'!$B$5+'01_원자료'!Q793*'03_가중치민감도'!$C$5+'01_원자료'!R793*'03_가중치민감도'!$D$5</f>
        <v/>
      </c>
      <c r="F796" s="85">
        <f>'01_원자료'!P793*'03_가중치민감도'!$B$6+'01_원자료'!Q793*'03_가중치민감도'!$C$6+'01_원자료'!R793*'03_가중치민감도'!$D$6</f>
        <v/>
      </c>
      <c r="G796" s="85">
        <f>'01_원자료'!P793*'03_가중치민감도'!$B$7+'01_원자료'!Q793*'03_가중치민감도'!$C$7+'01_원자료'!R793*'03_가중치민감도'!$D$7</f>
        <v/>
      </c>
      <c r="H796" s="85">
        <f>'01_원자료'!P793*'03_가중치민감도'!$B$8+'01_원자료'!Q793*'03_가중치민감도'!$C$8+'01_원자료'!R793*'03_가중치민감도'!$D$8</f>
        <v/>
      </c>
      <c r="I796" s="85">
        <f>'01_원자료'!P793*'03_가중치민감도'!$B$9+'01_원자료'!Q793*'03_가중치민감도'!$C$9+'01_원자료'!R793*'03_가중치민감도'!$D$9</f>
        <v/>
      </c>
      <c r="J796" s="85">
        <f>'01_원자료'!P793*'03_가중치민감도'!$B$10+'01_원자료'!Q793*'03_가중치민감도'!$C$10+'01_원자료'!R793*'03_가중치민감도'!$D$10</f>
        <v/>
      </c>
      <c r="K796" s="99">
        <f>COUNTIF($E$5:$E$979,"&lt;"&amp;E796)+(COUNTIF($E$5:$E$979,"="&amp;E796)+1)/2</f>
        <v/>
      </c>
      <c r="L796" s="99">
        <f>COUNTIF($F$5:$F$979,"&lt;"&amp;F796)+(COUNTIF($F$5:$F$979,"="&amp;F796)+1)/2</f>
        <v/>
      </c>
      <c r="M796" s="99">
        <f>COUNTIF($G$5:$G$979,"&lt;"&amp;G796)+(COUNTIF($G$5:$G$979,"="&amp;G796)+1)/2</f>
        <v/>
      </c>
      <c r="N796" s="99">
        <f>COUNTIF($H$5:$H$979,"&lt;"&amp;H796)+(COUNTIF($H$5:$H$979,"="&amp;H796)+1)/2</f>
        <v/>
      </c>
      <c r="O796" s="99">
        <f>COUNTIF($I$5:$I$979,"&lt;"&amp;I796)+(COUNTIF($I$5:$I$979,"="&amp;I796)+1)/2</f>
        <v/>
      </c>
      <c r="P796" s="99">
        <f>COUNTIF($J$5:$J$979,"&lt;"&amp;J796)+(COUNTIF($J$5:$J$979,"="&amp;J796)+1)/2</f>
        <v/>
      </c>
    </row>
    <row r="797" ht="15" customHeight="1" s="68">
      <c r="A797" s="70">
        <f>'01_원자료'!A794</f>
        <v/>
      </c>
      <c r="B797" s="70">
        <f>'01_원자료'!B794</f>
        <v/>
      </c>
      <c r="C797" s="70">
        <f>'01_원자료'!C794</f>
        <v/>
      </c>
      <c r="E797" s="85">
        <f>'01_원자료'!P794*'03_가중치민감도'!$B$5+'01_원자료'!Q794*'03_가중치민감도'!$C$5+'01_원자료'!R794*'03_가중치민감도'!$D$5</f>
        <v/>
      </c>
      <c r="F797" s="85">
        <f>'01_원자료'!P794*'03_가중치민감도'!$B$6+'01_원자료'!Q794*'03_가중치민감도'!$C$6+'01_원자료'!R794*'03_가중치민감도'!$D$6</f>
        <v/>
      </c>
      <c r="G797" s="85">
        <f>'01_원자료'!P794*'03_가중치민감도'!$B$7+'01_원자료'!Q794*'03_가중치민감도'!$C$7+'01_원자료'!R794*'03_가중치민감도'!$D$7</f>
        <v/>
      </c>
      <c r="H797" s="85">
        <f>'01_원자료'!P794*'03_가중치민감도'!$B$8+'01_원자료'!Q794*'03_가중치민감도'!$C$8+'01_원자료'!R794*'03_가중치민감도'!$D$8</f>
        <v/>
      </c>
      <c r="I797" s="85">
        <f>'01_원자료'!P794*'03_가중치민감도'!$B$9+'01_원자료'!Q794*'03_가중치민감도'!$C$9+'01_원자료'!R794*'03_가중치민감도'!$D$9</f>
        <v/>
      </c>
      <c r="J797" s="85">
        <f>'01_원자료'!P794*'03_가중치민감도'!$B$10+'01_원자료'!Q794*'03_가중치민감도'!$C$10+'01_원자료'!R794*'03_가중치민감도'!$D$10</f>
        <v/>
      </c>
      <c r="K797" s="99">
        <f>COUNTIF($E$5:$E$979,"&lt;"&amp;E797)+(COUNTIF($E$5:$E$979,"="&amp;E797)+1)/2</f>
        <v/>
      </c>
      <c r="L797" s="99">
        <f>COUNTIF($F$5:$F$979,"&lt;"&amp;F797)+(COUNTIF($F$5:$F$979,"="&amp;F797)+1)/2</f>
        <v/>
      </c>
      <c r="M797" s="99">
        <f>COUNTIF($G$5:$G$979,"&lt;"&amp;G797)+(COUNTIF($G$5:$G$979,"="&amp;G797)+1)/2</f>
        <v/>
      </c>
      <c r="N797" s="99">
        <f>COUNTIF($H$5:$H$979,"&lt;"&amp;H797)+(COUNTIF($H$5:$H$979,"="&amp;H797)+1)/2</f>
        <v/>
      </c>
      <c r="O797" s="99">
        <f>COUNTIF($I$5:$I$979,"&lt;"&amp;I797)+(COUNTIF($I$5:$I$979,"="&amp;I797)+1)/2</f>
        <v/>
      </c>
      <c r="P797" s="99">
        <f>COUNTIF($J$5:$J$979,"&lt;"&amp;J797)+(COUNTIF($J$5:$J$979,"="&amp;J797)+1)/2</f>
        <v/>
      </c>
    </row>
    <row r="798" ht="15" customHeight="1" s="68">
      <c r="A798" s="70">
        <f>'01_원자료'!A795</f>
        <v/>
      </c>
      <c r="B798" s="70">
        <f>'01_원자료'!B795</f>
        <v/>
      </c>
      <c r="C798" s="70">
        <f>'01_원자료'!C795</f>
        <v/>
      </c>
      <c r="E798" s="85">
        <f>'01_원자료'!P795*'03_가중치민감도'!$B$5+'01_원자료'!Q795*'03_가중치민감도'!$C$5+'01_원자료'!R795*'03_가중치민감도'!$D$5</f>
        <v/>
      </c>
      <c r="F798" s="85">
        <f>'01_원자료'!P795*'03_가중치민감도'!$B$6+'01_원자료'!Q795*'03_가중치민감도'!$C$6+'01_원자료'!R795*'03_가중치민감도'!$D$6</f>
        <v/>
      </c>
      <c r="G798" s="85">
        <f>'01_원자료'!P795*'03_가중치민감도'!$B$7+'01_원자료'!Q795*'03_가중치민감도'!$C$7+'01_원자료'!R795*'03_가중치민감도'!$D$7</f>
        <v/>
      </c>
      <c r="H798" s="85">
        <f>'01_원자료'!P795*'03_가중치민감도'!$B$8+'01_원자료'!Q795*'03_가중치민감도'!$C$8+'01_원자료'!R795*'03_가중치민감도'!$D$8</f>
        <v/>
      </c>
      <c r="I798" s="85">
        <f>'01_원자료'!P795*'03_가중치민감도'!$B$9+'01_원자료'!Q795*'03_가중치민감도'!$C$9+'01_원자료'!R795*'03_가중치민감도'!$D$9</f>
        <v/>
      </c>
      <c r="J798" s="85">
        <f>'01_원자료'!P795*'03_가중치민감도'!$B$10+'01_원자료'!Q795*'03_가중치민감도'!$C$10+'01_원자료'!R795*'03_가중치민감도'!$D$10</f>
        <v/>
      </c>
      <c r="K798" s="99">
        <f>COUNTIF($E$5:$E$979,"&lt;"&amp;E798)+(COUNTIF($E$5:$E$979,"="&amp;E798)+1)/2</f>
        <v/>
      </c>
      <c r="L798" s="99">
        <f>COUNTIF($F$5:$F$979,"&lt;"&amp;F798)+(COUNTIF($F$5:$F$979,"="&amp;F798)+1)/2</f>
        <v/>
      </c>
      <c r="M798" s="99">
        <f>COUNTIF($G$5:$G$979,"&lt;"&amp;G798)+(COUNTIF($G$5:$G$979,"="&amp;G798)+1)/2</f>
        <v/>
      </c>
      <c r="N798" s="99">
        <f>COUNTIF($H$5:$H$979,"&lt;"&amp;H798)+(COUNTIF($H$5:$H$979,"="&amp;H798)+1)/2</f>
        <v/>
      </c>
      <c r="O798" s="99">
        <f>COUNTIF($I$5:$I$979,"&lt;"&amp;I798)+(COUNTIF($I$5:$I$979,"="&amp;I798)+1)/2</f>
        <v/>
      </c>
      <c r="P798" s="99">
        <f>COUNTIF($J$5:$J$979,"&lt;"&amp;J798)+(COUNTIF($J$5:$J$979,"="&amp;J798)+1)/2</f>
        <v/>
      </c>
    </row>
    <row r="799" ht="15" customHeight="1" s="68">
      <c r="A799" s="70">
        <f>'01_원자료'!A796</f>
        <v/>
      </c>
      <c r="B799" s="70">
        <f>'01_원자료'!B796</f>
        <v/>
      </c>
      <c r="C799" s="70">
        <f>'01_원자료'!C796</f>
        <v/>
      </c>
      <c r="E799" s="85">
        <f>'01_원자료'!P796*'03_가중치민감도'!$B$5+'01_원자료'!Q796*'03_가중치민감도'!$C$5+'01_원자료'!R796*'03_가중치민감도'!$D$5</f>
        <v/>
      </c>
      <c r="F799" s="85">
        <f>'01_원자료'!P796*'03_가중치민감도'!$B$6+'01_원자료'!Q796*'03_가중치민감도'!$C$6+'01_원자료'!R796*'03_가중치민감도'!$D$6</f>
        <v/>
      </c>
      <c r="G799" s="85">
        <f>'01_원자료'!P796*'03_가중치민감도'!$B$7+'01_원자료'!Q796*'03_가중치민감도'!$C$7+'01_원자료'!R796*'03_가중치민감도'!$D$7</f>
        <v/>
      </c>
      <c r="H799" s="85">
        <f>'01_원자료'!P796*'03_가중치민감도'!$B$8+'01_원자료'!Q796*'03_가중치민감도'!$C$8+'01_원자료'!R796*'03_가중치민감도'!$D$8</f>
        <v/>
      </c>
      <c r="I799" s="85">
        <f>'01_원자료'!P796*'03_가중치민감도'!$B$9+'01_원자료'!Q796*'03_가중치민감도'!$C$9+'01_원자료'!R796*'03_가중치민감도'!$D$9</f>
        <v/>
      </c>
      <c r="J799" s="85">
        <f>'01_원자료'!P796*'03_가중치민감도'!$B$10+'01_원자료'!Q796*'03_가중치민감도'!$C$10+'01_원자료'!R796*'03_가중치민감도'!$D$10</f>
        <v/>
      </c>
      <c r="K799" s="99">
        <f>COUNTIF($E$5:$E$979,"&lt;"&amp;E799)+(COUNTIF($E$5:$E$979,"="&amp;E799)+1)/2</f>
        <v/>
      </c>
      <c r="L799" s="99">
        <f>COUNTIF($F$5:$F$979,"&lt;"&amp;F799)+(COUNTIF($F$5:$F$979,"="&amp;F799)+1)/2</f>
        <v/>
      </c>
      <c r="M799" s="99">
        <f>COUNTIF($G$5:$G$979,"&lt;"&amp;G799)+(COUNTIF($G$5:$G$979,"="&amp;G799)+1)/2</f>
        <v/>
      </c>
      <c r="N799" s="99">
        <f>COUNTIF($H$5:$H$979,"&lt;"&amp;H799)+(COUNTIF($H$5:$H$979,"="&amp;H799)+1)/2</f>
        <v/>
      </c>
      <c r="O799" s="99">
        <f>COUNTIF($I$5:$I$979,"&lt;"&amp;I799)+(COUNTIF($I$5:$I$979,"="&amp;I799)+1)/2</f>
        <v/>
      </c>
      <c r="P799" s="99">
        <f>COUNTIF($J$5:$J$979,"&lt;"&amp;J799)+(COUNTIF($J$5:$J$979,"="&amp;J799)+1)/2</f>
        <v/>
      </c>
    </row>
    <row r="800" ht="15" customHeight="1" s="68">
      <c r="A800" s="70">
        <f>'01_원자료'!A797</f>
        <v/>
      </c>
      <c r="B800" s="70">
        <f>'01_원자료'!B797</f>
        <v/>
      </c>
      <c r="C800" s="70">
        <f>'01_원자료'!C797</f>
        <v/>
      </c>
      <c r="E800" s="85">
        <f>'01_원자료'!P797*'03_가중치민감도'!$B$5+'01_원자료'!Q797*'03_가중치민감도'!$C$5+'01_원자료'!R797*'03_가중치민감도'!$D$5</f>
        <v/>
      </c>
      <c r="F800" s="85">
        <f>'01_원자료'!P797*'03_가중치민감도'!$B$6+'01_원자료'!Q797*'03_가중치민감도'!$C$6+'01_원자료'!R797*'03_가중치민감도'!$D$6</f>
        <v/>
      </c>
      <c r="G800" s="85">
        <f>'01_원자료'!P797*'03_가중치민감도'!$B$7+'01_원자료'!Q797*'03_가중치민감도'!$C$7+'01_원자료'!R797*'03_가중치민감도'!$D$7</f>
        <v/>
      </c>
      <c r="H800" s="85">
        <f>'01_원자료'!P797*'03_가중치민감도'!$B$8+'01_원자료'!Q797*'03_가중치민감도'!$C$8+'01_원자료'!R797*'03_가중치민감도'!$D$8</f>
        <v/>
      </c>
      <c r="I800" s="85">
        <f>'01_원자료'!P797*'03_가중치민감도'!$B$9+'01_원자료'!Q797*'03_가중치민감도'!$C$9+'01_원자료'!R797*'03_가중치민감도'!$D$9</f>
        <v/>
      </c>
      <c r="J800" s="85">
        <f>'01_원자료'!P797*'03_가중치민감도'!$B$10+'01_원자료'!Q797*'03_가중치민감도'!$C$10+'01_원자료'!R797*'03_가중치민감도'!$D$10</f>
        <v/>
      </c>
      <c r="K800" s="99">
        <f>COUNTIF($E$5:$E$979,"&lt;"&amp;E800)+(COUNTIF($E$5:$E$979,"="&amp;E800)+1)/2</f>
        <v/>
      </c>
      <c r="L800" s="99">
        <f>COUNTIF($F$5:$F$979,"&lt;"&amp;F800)+(COUNTIF($F$5:$F$979,"="&amp;F800)+1)/2</f>
        <v/>
      </c>
      <c r="M800" s="99">
        <f>COUNTIF($G$5:$G$979,"&lt;"&amp;G800)+(COUNTIF($G$5:$G$979,"="&amp;G800)+1)/2</f>
        <v/>
      </c>
      <c r="N800" s="99">
        <f>COUNTIF($H$5:$H$979,"&lt;"&amp;H800)+(COUNTIF($H$5:$H$979,"="&amp;H800)+1)/2</f>
        <v/>
      </c>
      <c r="O800" s="99">
        <f>COUNTIF($I$5:$I$979,"&lt;"&amp;I800)+(COUNTIF($I$5:$I$979,"="&amp;I800)+1)/2</f>
        <v/>
      </c>
      <c r="P800" s="99">
        <f>COUNTIF($J$5:$J$979,"&lt;"&amp;J800)+(COUNTIF($J$5:$J$979,"="&amp;J800)+1)/2</f>
        <v/>
      </c>
    </row>
    <row r="801" ht="15" customHeight="1" s="68">
      <c r="A801" s="70">
        <f>'01_원자료'!A798</f>
        <v/>
      </c>
      <c r="B801" s="70">
        <f>'01_원자료'!B798</f>
        <v/>
      </c>
      <c r="C801" s="70">
        <f>'01_원자료'!C798</f>
        <v/>
      </c>
      <c r="E801" s="85">
        <f>'01_원자료'!P798*'03_가중치민감도'!$B$5+'01_원자료'!Q798*'03_가중치민감도'!$C$5+'01_원자료'!R798*'03_가중치민감도'!$D$5</f>
        <v/>
      </c>
      <c r="F801" s="85">
        <f>'01_원자료'!P798*'03_가중치민감도'!$B$6+'01_원자료'!Q798*'03_가중치민감도'!$C$6+'01_원자료'!R798*'03_가중치민감도'!$D$6</f>
        <v/>
      </c>
      <c r="G801" s="85">
        <f>'01_원자료'!P798*'03_가중치민감도'!$B$7+'01_원자료'!Q798*'03_가중치민감도'!$C$7+'01_원자료'!R798*'03_가중치민감도'!$D$7</f>
        <v/>
      </c>
      <c r="H801" s="85">
        <f>'01_원자료'!P798*'03_가중치민감도'!$B$8+'01_원자료'!Q798*'03_가중치민감도'!$C$8+'01_원자료'!R798*'03_가중치민감도'!$D$8</f>
        <v/>
      </c>
      <c r="I801" s="85">
        <f>'01_원자료'!P798*'03_가중치민감도'!$B$9+'01_원자료'!Q798*'03_가중치민감도'!$C$9+'01_원자료'!R798*'03_가중치민감도'!$D$9</f>
        <v/>
      </c>
      <c r="J801" s="85">
        <f>'01_원자료'!P798*'03_가중치민감도'!$B$10+'01_원자료'!Q798*'03_가중치민감도'!$C$10+'01_원자료'!R798*'03_가중치민감도'!$D$10</f>
        <v/>
      </c>
      <c r="K801" s="99">
        <f>COUNTIF($E$5:$E$979,"&lt;"&amp;E801)+(COUNTIF($E$5:$E$979,"="&amp;E801)+1)/2</f>
        <v/>
      </c>
      <c r="L801" s="99">
        <f>COUNTIF($F$5:$F$979,"&lt;"&amp;F801)+(COUNTIF($F$5:$F$979,"="&amp;F801)+1)/2</f>
        <v/>
      </c>
      <c r="M801" s="99">
        <f>COUNTIF($G$5:$G$979,"&lt;"&amp;G801)+(COUNTIF($G$5:$G$979,"="&amp;G801)+1)/2</f>
        <v/>
      </c>
      <c r="N801" s="99">
        <f>COUNTIF($H$5:$H$979,"&lt;"&amp;H801)+(COUNTIF($H$5:$H$979,"="&amp;H801)+1)/2</f>
        <v/>
      </c>
      <c r="O801" s="99">
        <f>COUNTIF($I$5:$I$979,"&lt;"&amp;I801)+(COUNTIF($I$5:$I$979,"="&amp;I801)+1)/2</f>
        <v/>
      </c>
      <c r="P801" s="99">
        <f>COUNTIF($J$5:$J$979,"&lt;"&amp;J801)+(COUNTIF($J$5:$J$979,"="&amp;J801)+1)/2</f>
        <v/>
      </c>
    </row>
    <row r="802" ht="15" customHeight="1" s="68">
      <c r="A802" s="70">
        <f>'01_원자료'!A799</f>
        <v/>
      </c>
      <c r="B802" s="70">
        <f>'01_원자료'!B799</f>
        <v/>
      </c>
      <c r="C802" s="70">
        <f>'01_원자료'!C799</f>
        <v/>
      </c>
      <c r="E802" s="85">
        <f>'01_원자료'!P799*'03_가중치민감도'!$B$5+'01_원자료'!Q799*'03_가중치민감도'!$C$5+'01_원자료'!R799*'03_가중치민감도'!$D$5</f>
        <v/>
      </c>
      <c r="F802" s="85">
        <f>'01_원자료'!P799*'03_가중치민감도'!$B$6+'01_원자료'!Q799*'03_가중치민감도'!$C$6+'01_원자료'!R799*'03_가중치민감도'!$D$6</f>
        <v/>
      </c>
      <c r="G802" s="85">
        <f>'01_원자료'!P799*'03_가중치민감도'!$B$7+'01_원자료'!Q799*'03_가중치민감도'!$C$7+'01_원자료'!R799*'03_가중치민감도'!$D$7</f>
        <v/>
      </c>
      <c r="H802" s="85">
        <f>'01_원자료'!P799*'03_가중치민감도'!$B$8+'01_원자료'!Q799*'03_가중치민감도'!$C$8+'01_원자료'!R799*'03_가중치민감도'!$D$8</f>
        <v/>
      </c>
      <c r="I802" s="85">
        <f>'01_원자료'!P799*'03_가중치민감도'!$B$9+'01_원자료'!Q799*'03_가중치민감도'!$C$9+'01_원자료'!R799*'03_가중치민감도'!$D$9</f>
        <v/>
      </c>
      <c r="J802" s="85">
        <f>'01_원자료'!P799*'03_가중치민감도'!$B$10+'01_원자료'!Q799*'03_가중치민감도'!$C$10+'01_원자료'!R799*'03_가중치민감도'!$D$10</f>
        <v/>
      </c>
      <c r="K802" s="99">
        <f>COUNTIF($E$5:$E$979,"&lt;"&amp;E802)+(COUNTIF($E$5:$E$979,"="&amp;E802)+1)/2</f>
        <v/>
      </c>
      <c r="L802" s="99">
        <f>COUNTIF($F$5:$F$979,"&lt;"&amp;F802)+(COUNTIF($F$5:$F$979,"="&amp;F802)+1)/2</f>
        <v/>
      </c>
      <c r="M802" s="99">
        <f>COUNTIF($G$5:$G$979,"&lt;"&amp;G802)+(COUNTIF($G$5:$G$979,"="&amp;G802)+1)/2</f>
        <v/>
      </c>
      <c r="N802" s="99">
        <f>COUNTIF($H$5:$H$979,"&lt;"&amp;H802)+(COUNTIF($H$5:$H$979,"="&amp;H802)+1)/2</f>
        <v/>
      </c>
      <c r="O802" s="99">
        <f>COUNTIF($I$5:$I$979,"&lt;"&amp;I802)+(COUNTIF($I$5:$I$979,"="&amp;I802)+1)/2</f>
        <v/>
      </c>
      <c r="P802" s="99">
        <f>COUNTIF($J$5:$J$979,"&lt;"&amp;J802)+(COUNTIF($J$5:$J$979,"="&amp;J802)+1)/2</f>
        <v/>
      </c>
    </row>
    <row r="803" ht="15" customHeight="1" s="68">
      <c r="A803" s="70">
        <f>'01_원자료'!A800</f>
        <v/>
      </c>
      <c r="B803" s="70">
        <f>'01_원자료'!B800</f>
        <v/>
      </c>
      <c r="C803" s="70">
        <f>'01_원자료'!C800</f>
        <v/>
      </c>
      <c r="E803" s="85">
        <f>'01_원자료'!P800*'03_가중치민감도'!$B$5+'01_원자료'!Q800*'03_가중치민감도'!$C$5+'01_원자료'!R800*'03_가중치민감도'!$D$5</f>
        <v/>
      </c>
      <c r="F803" s="85">
        <f>'01_원자료'!P800*'03_가중치민감도'!$B$6+'01_원자료'!Q800*'03_가중치민감도'!$C$6+'01_원자료'!R800*'03_가중치민감도'!$D$6</f>
        <v/>
      </c>
      <c r="G803" s="85">
        <f>'01_원자료'!P800*'03_가중치민감도'!$B$7+'01_원자료'!Q800*'03_가중치민감도'!$C$7+'01_원자료'!R800*'03_가중치민감도'!$D$7</f>
        <v/>
      </c>
      <c r="H803" s="85">
        <f>'01_원자료'!P800*'03_가중치민감도'!$B$8+'01_원자료'!Q800*'03_가중치민감도'!$C$8+'01_원자료'!R800*'03_가중치민감도'!$D$8</f>
        <v/>
      </c>
      <c r="I803" s="85">
        <f>'01_원자료'!P800*'03_가중치민감도'!$B$9+'01_원자료'!Q800*'03_가중치민감도'!$C$9+'01_원자료'!R800*'03_가중치민감도'!$D$9</f>
        <v/>
      </c>
      <c r="J803" s="85">
        <f>'01_원자료'!P800*'03_가중치민감도'!$B$10+'01_원자료'!Q800*'03_가중치민감도'!$C$10+'01_원자료'!R800*'03_가중치민감도'!$D$10</f>
        <v/>
      </c>
      <c r="K803" s="99">
        <f>COUNTIF($E$5:$E$979,"&lt;"&amp;E803)+(COUNTIF($E$5:$E$979,"="&amp;E803)+1)/2</f>
        <v/>
      </c>
      <c r="L803" s="99">
        <f>COUNTIF($F$5:$F$979,"&lt;"&amp;F803)+(COUNTIF($F$5:$F$979,"="&amp;F803)+1)/2</f>
        <v/>
      </c>
      <c r="M803" s="99">
        <f>COUNTIF($G$5:$G$979,"&lt;"&amp;G803)+(COUNTIF($G$5:$G$979,"="&amp;G803)+1)/2</f>
        <v/>
      </c>
      <c r="N803" s="99">
        <f>COUNTIF($H$5:$H$979,"&lt;"&amp;H803)+(COUNTIF($H$5:$H$979,"="&amp;H803)+1)/2</f>
        <v/>
      </c>
      <c r="O803" s="99">
        <f>COUNTIF($I$5:$I$979,"&lt;"&amp;I803)+(COUNTIF($I$5:$I$979,"="&amp;I803)+1)/2</f>
        <v/>
      </c>
      <c r="P803" s="99">
        <f>COUNTIF($J$5:$J$979,"&lt;"&amp;J803)+(COUNTIF($J$5:$J$979,"="&amp;J803)+1)/2</f>
        <v/>
      </c>
    </row>
    <row r="804" ht="15" customHeight="1" s="68">
      <c r="A804" s="70">
        <f>'01_원자료'!A801</f>
        <v/>
      </c>
      <c r="B804" s="70">
        <f>'01_원자료'!B801</f>
        <v/>
      </c>
      <c r="C804" s="70">
        <f>'01_원자료'!C801</f>
        <v/>
      </c>
      <c r="E804" s="85">
        <f>'01_원자료'!P801*'03_가중치민감도'!$B$5+'01_원자료'!Q801*'03_가중치민감도'!$C$5+'01_원자료'!R801*'03_가중치민감도'!$D$5</f>
        <v/>
      </c>
      <c r="F804" s="85">
        <f>'01_원자료'!P801*'03_가중치민감도'!$B$6+'01_원자료'!Q801*'03_가중치민감도'!$C$6+'01_원자료'!R801*'03_가중치민감도'!$D$6</f>
        <v/>
      </c>
      <c r="G804" s="85">
        <f>'01_원자료'!P801*'03_가중치민감도'!$B$7+'01_원자료'!Q801*'03_가중치민감도'!$C$7+'01_원자료'!R801*'03_가중치민감도'!$D$7</f>
        <v/>
      </c>
      <c r="H804" s="85">
        <f>'01_원자료'!P801*'03_가중치민감도'!$B$8+'01_원자료'!Q801*'03_가중치민감도'!$C$8+'01_원자료'!R801*'03_가중치민감도'!$D$8</f>
        <v/>
      </c>
      <c r="I804" s="85">
        <f>'01_원자료'!P801*'03_가중치민감도'!$B$9+'01_원자료'!Q801*'03_가중치민감도'!$C$9+'01_원자료'!R801*'03_가중치민감도'!$D$9</f>
        <v/>
      </c>
      <c r="J804" s="85">
        <f>'01_원자료'!P801*'03_가중치민감도'!$B$10+'01_원자료'!Q801*'03_가중치민감도'!$C$10+'01_원자료'!R801*'03_가중치민감도'!$D$10</f>
        <v/>
      </c>
      <c r="K804" s="99">
        <f>COUNTIF($E$5:$E$979,"&lt;"&amp;E804)+(COUNTIF($E$5:$E$979,"="&amp;E804)+1)/2</f>
        <v/>
      </c>
      <c r="L804" s="99">
        <f>COUNTIF($F$5:$F$979,"&lt;"&amp;F804)+(COUNTIF($F$5:$F$979,"="&amp;F804)+1)/2</f>
        <v/>
      </c>
      <c r="M804" s="99">
        <f>COUNTIF($G$5:$G$979,"&lt;"&amp;G804)+(COUNTIF($G$5:$G$979,"="&amp;G804)+1)/2</f>
        <v/>
      </c>
      <c r="N804" s="99">
        <f>COUNTIF($H$5:$H$979,"&lt;"&amp;H804)+(COUNTIF($H$5:$H$979,"="&amp;H804)+1)/2</f>
        <v/>
      </c>
      <c r="O804" s="99">
        <f>COUNTIF($I$5:$I$979,"&lt;"&amp;I804)+(COUNTIF($I$5:$I$979,"="&amp;I804)+1)/2</f>
        <v/>
      </c>
      <c r="P804" s="99">
        <f>COUNTIF($J$5:$J$979,"&lt;"&amp;J804)+(COUNTIF($J$5:$J$979,"="&amp;J804)+1)/2</f>
        <v/>
      </c>
    </row>
    <row r="805" ht="15" customHeight="1" s="68">
      <c r="A805" s="70">
        <f>'01_원자료'!A802</f>
        <v/>
      </c>
      <c r="B805" s="70">
        <f>'01_원자료'!B802</f>
        <v/>
      </c>
      <c r="C805" s="70">
        <f>'01_원자료'!C802</f>
        <v/>
      </c>
      <c r="E805" s="85">
        <f>'01_원자료'!P802*'03_가중치민감도'!$B$5+'01_원자료'!Q802*'03_가중치민감도'!$C$5+'01_원자료'!R802*'03_가중치민감도'!$D$5</f>
        <v/>
      </c>
      <c r="F805" s="85">
        <f>'01_원자료'!P802*'03_가중치민감도'!$B$6+'01_원자료'!Q802*'03_가중치민감도'!$C$6+'01_원자료'!R802*'03_가중치민감도'!$D$6</f>
        <v/>
      </c>
      <c r="G805" s="85">
        <f>'01_원자료'!P802*'03_가중치민감도'!$B$7+'01_원자료'!Q802*'03_가중치민감도'!$C$7+'01_원자료'!R802*'03_가중치민감도'!$D$7</f>
        <v/>
      </c>
      <c r="H805" s="85">
        <f>'01_원자료'!P802*'03_가중치민감도'!$B$8+'01_원자료'!Q802*'03_가중치민감도'!$C$8+'01_원자료'!R802*'03_가중치민감도'!$D$8</f>
        <v/>
      </c>
      <c r="I805" s="85">
        <f>'01_원자료'!P802*'03_가중치민감도'!$B$9+'01_원자료'!Q802*'03_가중치민감도'!$C$9+'01_원자료'!R802*'03_가중치민감도'!$D$9</f>
        <v/>
      </c>
      <c r="J805" s="85">
        <f>'01_원자료'!P802*'03_가중치민감도'!$B$10+'01_원자료'!Q802*'03_가중치민감도'!$C$10+'01_원자료'!R802*'03_가중치민감도'!$D$10</f>
        <v/>
      </c>
      <c r="K805" s="99">
        <f>COUNTIF($E$5:$E$979,"&lt;"&amp;E805)+(COUNTIF($E$5:$E$979,"="&amp;E805)+1)/2</f>
        <v/>
      </c>
      <c r="L805" s="99">
        <f>COUNTIF($F$5:$F$979,"&lt;"&amp;F805)+(COUNTIF($F$5:$F$979,"="&amp;F805)+1)/2</f>
        <v/>
      </c>
      <c r="M805" s="99">
        <f>COUNTIF($G$5:$G$979,"&lt;"&amp;G805)+(COUNTIF($G$5:$G$979,"="&amp;G805)+1)/2</f>
        <v/>
      </c>
      <c r="N805" s="99">
        <f>COUNTIF($H$5:$H$979,"&lt;"&amp;H805)+(COUNTIF($H$5:$H$979,"="&amp;H805)+1)/2</f>
        <v/>
      </c>
      <c r="O805" s="99">
        <f>COUNTIF($I$5:$I$979,"&lt;"&amp;I805)+(COUNTIF($I$5:$I$979,"="&amp;I805)+1)/2</f>
        <v/>
      </c>
      <c r="P805" s="99">
        <f>COUNTIF($J$5:$J$979,"&lt;"&amp;J805)+(COUNTIF($J$5:$J$979,"="&amp;J805)+1)/2</f>
        <v/>
      </c>
    </row>
    <row r="806" ht="15" customHeight="1" s="68">
      <c r="A806" s="70">
        <f>'01_원자료'!A803</f>
        <v/>
      </c>
      <c r="B806" s="70">
        <f>'01_원자료'!B803</f>
        <v/>
      </c>
      <c r="C806" s="70">
        <f>'01_원자료'!C803</f>
        <v/>
      </c>
      <c r="E806" s="85">
        <f>'01_원자료'!P803*'03_가중치민감도'!$B$5+'01_원자료'!Q803*'03_가중치민감도'!$C$5+'01_원자료'!R803*'03_가중치민감도'!$D$5</f>
        <v/>
      </c>
      <c r="F806" s="85">
        <f>'01_원자료'!P803*'03_가중치민감도'!$B$6+'01_원자료'!Q803*'03_가중치민감도'!$C$6+'01_원자료'!R803*'03_가중치민감도'!$D$6</f>
        <v/>
      </c>
      <c r="G806" s="85">
        <f>'01_원자료'!P803*'03_가중치민감도'!$B$7+'01_원자료'!Q803*'03_가중치민감도'!$C$7+'01_원자료'!R803*'03_가중치민감도'!$D$7</f>
        <v/>
      </c>
      <c r="H806" s="85">
        <f>'01_원자료'!P803*'03_가중치민감도'!$B$8+'01_원자료'!Q803*'03_가중치민감도'!$C$8+'01_원자료'!R803*'03_가중치민감도'!$D$8</f>
        <v/>
      </c>
      <c r="I806" s="85">
        <f>'01_원자료'!P803*'03_가중치민감도'!$B$9+'01_원자료'!Q803*'03_가중치민감도'!$C$9+'01_원자료'!R803*'03_가중치민감도'!$D$9</f>
        <v/>
      </c>
      <c r="J806" s="85">
        <f>'01_원자료'!P803*'03_가중치민감도'!$B$10+'01_원자료'!Q803*'03_가중치민감도'!$C$10+'01_원자료'!R803*'03_가중치민감도'!$D$10</f>
        <v/>
      </c>
      <c r="K806" s="99">
        <f>COUNTIF($E$5:$E$979,"&lt;"&amp;E806)+(COUNTIF($E$5:$E$979,"="&amp;E806)+1)/2</f>
        <v/>
      </c>
      <c r="L806" s="99">
        <f>COUNTIF($F$5:$F$979,"&lt;"&amp;F806)+(COUNTIF($F$5:$F$979,"="&amp;F806)+1)/2</f>
        <v/>
      </c>
      <c r="M806" s="99">
        <f>COUNTIF($G$5:$G$979,"&lt;"&amp;G806)+(COUNTIF($G$5:$G$979,"="&amp;G806)+1)/2</f>
        <v/>
      </c>
      <c r="N806" s="99">
        <f>COUNTIF($H$5:$H$979,"&lt;"&amp;H806)+(COUNTIF($H$5:$H$979,"="&amp;H806)+1)/2</f>
        <v/>
      </c>
      <c r="O806" s="99">
        <f>COUNTIF($I$5:$I$979,"&lt;"&amp;I806)+(COUNTIF($I$5:$I$979,"="&amp;I806)+1)/2</f>
        <v/>
      </c>
      <c r="P806" s="99">
        <f>COUNTIF($J$5:$J$979,"&lt;"&amp;J806)+(COUNTIF($J$5:$J$979,"="&amp;J806)+1)/2</f>
        <v/>
      </c>
    </row>
    <row r="807" ht="15" customHeight="1" s="68">
      <c r="A807" s="70">
        <f>'01_원자료'!A804</f>
        <v/>
      </c>
      <c r="B807" s="70">
        <f>'01_원자료'!B804</f>
        <v/>
      </c>
      <c r="C807" s="70">
        <f>'01_원자료'!C804</f>
        <v/>
      </c>
      <c r="E807" s="85">
        <f>'01_원자료'!P804*'03_가중치민감도'!$B$5+'01_원자료'!Q804*'03_가중치민감도'!$C$5+'01_원자료'!R804*'03_가중치민감도'!$D$5</f>
        <v/>
      </c>
      <c r="F807" s="85">
        <f>'01_원자료'!P804*'03_가중치민감도'!$B$6+'01_원자료'!Q804*'03_가중치민감도'!$C$6+'01_원자료'!R804*'03_가중치민감도'!$D$6</f>
        <v/>
      </c>
      <c r="G807" s="85">
        <f>'01_원자료'!P804*'03_가중치민감도'!$B$7+'01_원자료'!Q804*'03_가중치민감도'!$C$7+'01_원자료'!R804*'03_가중치민감도'!$D$7</f>
        <v/>
      </c>
      <c r="H807" s="85">
        <f>'01_원자료'!P804*'03_가중치민감도'!$B$8+'01_원자료'!Q804*'03_가중치민감도'!$C$8+'01_원자료'!R804*'03_가중치민감도'!$D$8</f>
        <v/>
      </c>
      <c r="I807" s="85">
        <f>'01_원자료'!P804*'03_가중치민감도'!$B$9+'01_원자료'!Q804*'03_가중치민감도'!$C$9+'01_원자료'!R804*'03_가중치민감도'!$D$9</f>
        <v/>
      </c>
      <c r="J807" s="85">
        <f>'01_원자료'!P804*'03_가중치민감도'!$B$10+'01_원자료'!Q804*'03_가중치민감도'!$C$10+'01_원자료'!R804*'03_가중치민감도'!$D$10</f>
        <v/>
      </c>
      <c r="K807" s="99">
        <f>COUNTIF($E$5:$E$979,"&lt;"&amp;E807)+(COUNTIF($E$5:$E$979,"="&amp;E807)+1)/2</f>
        <v/>
      </c>
      <c r="L807" s="99">
        <f>COUNTIF($F$5:$F$979,"&lt;"&amp;F807)+(COUNTIF($F$5:$F$979,"="&amp;F807)+1)/2</f>
        <v/>
      </c>
      <c r="M807" s="99">
        <f>COUNTIF($G$5:$G$979,"&lt;"&amp;G807)+(COUNTIF($G$5:$G$979,"="&amp;G807)+1)/2</f>
        <v/>
      </c>
      <c r="N807" s="99">
        <f>COUNTIF($H$5:$H$979,"&lt;"&amp;H807)+(COUNTIF($H$5:$H$979,"="&amp;H807)+1)/2</f>
        <v/>
      </c>
      <c r="O807" s="99">
        <f>COUNTIF($I$5:$I$979,"&lt;"&amp;I807)+(COUNTIF($I$5:$I$979,"="&amp;I807)+1)/2</f>
        <v/>
      </c>
      <c r="P807" s="99">
        <f>COUNTIF($J$5:$J$979,"&lt;"&amp;J807)+(COUNTIF($J$5:$J$979,"="&amp;J807)+1)/2</f>
        <v/>
      </c>
    </row>
    <row r="808" ht="15" customHeight="1" s="68">
      <c r="A808" s="70">
        <f>'01_원자료'!A805</f>
        <v/>
      </c>
      <c r="B808" s="70">
        <f>'01_원자료'!B805</f>
        <v/>
      </c>
      <c r="C808" s="70">
        <f>'01_원자료'!C805</f>
        <v/>
      </c>
      <c r="E808" s="85">
        <f>'01_원자료'!P805*'03_가중치민감도'!$B$5+'01_원자료'!Q805*'03_가중치민감도'!$C$5+'01_원자료'!R805*'03_가중치민감도'!$D$5</f>
        <v/>
      </c>
      <c r="F808" s="85">
        <f>'01_원자료'!P805*'03_가중치민감도'!$B$6+'01_원자료'!Q805*'03_가중치민감도'!$C$6+'01_원자료'!R805*'03_가중치민감도'!$D$6</f>
        <v/>
      </c>
      <c r="G808" s="85">
        <f>'01_원자료'!P805*'03_가중치민감도'!$B$7+'01_원자료'!Q805*'03_가중치민감도'!$C$7+'01_원자료'!R805*'03_가중치민감도'!$D$7</f>
        <v/>
      </c>
      <c r="H808" s="85">
        <f>'01_원자료'!P805*'03_가중치민감도'!$B$8+'01_원자료'!Q805*'03_가중치민감도'!$C$8+'01_원자료'!R805*'03_가중치민감도'!$D$8</f>
        <v/>
      </c>
      <c r="I808" s="85">
        <f>'01_원자료'!P805*'03_가중치민감도'!$B$9+'01_원자료'!Q805*'03_가중치민감도'!$C$9+'01_원자료'!R805*'03_가중치민감도'!$D$9</f>
        <v/>
      </c>
      <c r="J808" s="85">
        <f>'01_원자료'!P805*'03_가중치민감도'!$B$10+'01_원자료'!Q805*'03_가중치민감도'!$C$10+'01_원자료'!R805*'03_가중치민감도'!$D$10</f>
        <v/>
      </c>
      <c r="K808" s="99">
        <f>COUNTIF($E$5:$E$979,"&lt;"&amp;E808)+(COUNTIF($E$5:$E$979,"="&amp;E808)+1)/2</f>
        <v/>
      </c>
      <c r="L808" s="99">
        <f>COUNTIF($F$5:$F$979,"&lt;"&amp;F808)+(COUNTIF($F$5:$F$979,"="&amp;F808)+1)/2</f>
        <v/>
      </c>
      <c r="M808" s="99">
        <f>COUNTIF($G$5:$G$979,"&lt;"&amp;G808)+(COUNTIF($G$5:$G$979,"="&amp;G808)+1)/2</f>
        <v/>
      </c>
      <c r="N808" s="99">
        <f>COUNTIF($H$5:$H$979,"&lt;"&amp;H808)+(COUNTIF($H$5:$H$979,"="&amp;H808)+1)/2</f>
        <v/>
      </c>
      <c r="O808" s="99">
        <f>COUNTIF($I$5:$I$979,"&lt;"&amp;I808)+(COUNTIF($I$5:$I$979,"="&amp;I808)+1)/2</f>
        <v/>
      </c>
      <c r="P808" s="99">
        <f>COUNTIF($J$5:$J$979,"&lt;"&amp;J808)+(COUNTIF($J$5:$J$979,"="&amp;J808)+1)/2</f>
        <v/>
      </c>
    </row>
    <row r="809" ht="15" customHeight="1" s="68">
      <c r="A809" s="70">
        <f>'01_원자료'!A806</f>
        <v/>
      </c>
      <c r="B809" s="70">
        <f>'01_원자료'!B806</f>
        <v/>
      </c>
      <c r="C809" s="70">
        <f>'01_원자료'!C806</f>
        <v/>
      </c>
      <c r="E809" s="85">
        <f>'01_원자료'!P806*'03_가중치민감도'!$B$5+'01_원자료'!Q806*'03_가중치민감도'!$C$5+'01_원자료'!R806*'03_가중치민감도'!$D$5</f>
        <v/>
      </c>
      <c r="F809" s="85">
        <f>'01_원자료'!P806*'03_가중치민감도'!$B$6+'01_원자료'!Q806*'03_가중치민감도'!$C$6+'01_원자료'!R806*'03_가중치민감도'!$D$6</f>
        <v/>
      </c>
      <c r="G809" s="85">
        <f>'01_원자료'!P806*'03_가중치민감도'!$B$7+'01_원자료'!Q806*'03_가중치민감도'!$C$7+'01_원자료'!R806*'03_가중치민감도'!$D$7</f>
        <v/>
      </c>
      <c r="H809" s="85">
        <f>'01_원자료'!P806*'03_가중치민감도'!$B$8+'01_원자료'!Q806*'03_가중치민감도'!$C$8+'01_원자료'!R806*'03_가중치민감도'!$D$8</f>
        <v/>
      </c>
      <c r="I809" s="85">
        <f>'01_원자료'!P806*'03_가중치민감도'!$B$9+'01_원자료'!Q806*'03_가중치민감도'!$C$9+'01_원자료'!R806*'03_가중치민감도'!$D$9</f>
        <v/>
      </c>
      <c r="J809" s="85">
        <f>'01_원자료'!P806*'03_가중치민감도'!$B$10+'01_원자료'!Q806*'03_가중치민감도'!$C$10+'01_원자료'!R806*'03_가중치민감도'!$D$10</f>
        <v/>
      </c>
      <c r="K809" s="99">
        <f>COUNTIF($E$5:$E$979,"&lt;"&amp;E809)+(COUNTIF($E$5:$E$979,"="&amp;E809)+1)/2</f>
        <v/>
      </c>
      <c r="L809" s="99">
        <f>COUNTIF($F$5:$F$979,"&lt;"&amp;F809)+(COUNTIF($F$5:$F$979,"="&amp;F809)+1)/2</f>
        <v/>
      </c>
      <c r="M809" s="99">
        <f>COUNTIF($G$5:$G$979,"&lt;"&amp;G809)+(COUNTIF($G$5:$G$979,"="&amp;G809)+1)/2</f>
        <v/>
      </c>
      <c r="N809" s="99">
        <f>COUNTIF($H$5:$H$979,"&lt;"&amp;H809)+(COUNTIF($H$5:$H$979,"="&amp;H809)+1)/2</f>
        <v/>
      </c>
      <c r="O809" s="99">
        <f>COUNTIF($I$5:$I$979,"&lt;"&amp;I809)+(COUNTIF($I$5:$I$979,"="&amp;I809)+1)/2</f>
        <v/>
      </c>
      <c r="P809" s="99">
        <f>COUNTIF($J$5:$J$979,"&lt;"&amp;J809)+(COUNTIF($J$5:$J$979,"="&amp;J809)+1)/2</f>
        <v/>
      </c>
    </row>
    <row r="810" ht="15" customHeight="1" s="68">
      <c r="A810" s="70">
        <f>'01_원자료'!A807</f>
        <v/>
      </c>
      <c r="B810" s="70">
        <f>'01_원자료'!B807</f>
        <v/>
      </c>
      <c r="C810" s="70">
        <f>'01_원자료'!C807</f>
        <v/>
      </c>
      <c r="E810" s="85">
        <f>'01_원자료'!P807*'03_가중치민감도'!$B$5+'01_원자료'!Q807*'03_가중치민감도'!$C$5+'01_원자료'!R807*'03_가중치민감도'!$D$5</f>
        <v/>
      </c>
      <c r="F810" s="85">
        <f>'01_원자료'!P807*'03_가중치민감도'!$B$6+'01_원자료'!Q807*'03_가중치민감도'!$C$6+'01_원자료'!R807*'03_가중치민감도'!$D$6</f>
        <v/>
      </c>
      <c r="G810" s="85">
        <f>'01_원자료'!P807*'03_가중치민감도'!$B$7+'01_원자료'!Q807*'03_가중치민감도'!$C$7+'01_원자료'!R807*'03_가중치민감도'!$D$7</f>
        <v/>
      </c>
      <c r="H810" s="85">
        <f>'01_원자료'!P807*'03_가중치민감도'!$B$8+'01_원자료'!Q807*'03_가중치민감도'!$C$8+'01_원자료'!R807*'03_가중치민감도'!$D$8</f>
        <v/>
      </c>
      <c r="I810" s="85">
        <f>'01_원자료'!P807*'03_가중치민감도'!$B$9+'01_원자료'!Q807*'03_가중치민감도'!$C$9+'01_원자료'!R807*'03_가중치민감도'!$D$9</f>
        <v/>
      </c>
      <c r="J810" s="85">
        <f>'01_원자료'!P807*'03_가중치민감도'!$B$10+'01_원자료'!Q807*'03_가중치민감도'!$C$10+'01_원자료'!R807*'03_가중치민감도'!$D$10</f>
        <v/>
      </c>
      <c r="K810" s="99">
        <f>COUNTIF($E$5:$E$979,"&lt;"&amp;E810)+(COUNTIF($E$5:$E$979,"="&amp;E810)+1)/2</f>
        <v/>
      </c>
      <c r="L810" s="99">
        <f>COUNTIF($F$5:$F$979,"&lt;"&amp;F810)+(COUNTIF($F$5:$F$979,"="&amp;F810)+1)/2</f>
        <v/>
      </c>
      <c r="M810" s="99">
        <f>COUNTIF($G$5:$G$979,"&lt;"&amp;G810)+(COUNTIF($G$5:$G$979,"="&amp;G810)+1)/2</f>
        <v/>
      </c>
      <c r="N810" s="99">
        <f>COUNTIF($H$5:$H$979,"&lt;"&amp;H810)+(COUNTIF($H$5:$H$979,"="&amp;H810)+1)/2</f>
        <v/>
      </c>
      <c r="O810" s="99">
        <f>COUNTIF($I$5:$I$979,"&lt;"&amp;I810)+(COUNTIF($I$5:$I$979,"="&amp;I810)+1)/2</f>
        <v/>
      </c>
      <c r="P810" s="99">
        <f>COUNTIF($J$5:$J$979,"&lt;"&amp;J810)+(COUNTIF($J$5:$J$979,"="&amp;J810)+1)/2</f>
        <v/>
      </c>
    </row>
    <row r="811" ht="15" customHeight="1" s="68">
      <c r="A811" s="70">
        <f>'01_원자료'!A808</f>
        <v/>
      </c>
      <c r="B811" s="70">
        <f>'01_원자료'!B808</f>
        <v/>
      </c>
      <c r="C811" s="70">
        <f>'01_원자료'!C808</f>
        <v/>
      </c>
      <c r="E811" s="85">
        <f>'01_원자료'!P808*'03_가중치민감도'!$B$5+'01_원자료'!Q808*'03_가중치민감도'!$C$5+'01_원자료'!R808*'03_가중치민감도'!$D$5</f>
        <v/>
      </c>
      <c r="F811" s="85">
        <f>'01_원자료'!P808*'03_가중치민감도'!$B$6+'01_원자료'!Q808*'03_가중치민감도'!$C$6+'01_원자료'!R808*'03_가중치민감도'!$D$6</f>
        <v/>
      </c>
      <c r="G811" s="85">
        <f>'01_원자료'!P808*'03_가중치민감도'!$B$7+'01_원자료'!Q808*'03_가중치민감도'!$C$7+'01_원자료'!R808*'03_가중치민감도'!$D$7</f>
        <v/>
      </c>
      <c r="H811" s="85">
        <f>'01_원자료'!P808*'03_가중치민감도'!$B$8+'01_원자료'!Q808*'03_가중치민감도'!$C$8+'01_원자료'!R808*'03_가중치민감도'!$D$8</f>
        <v/>
      </c>
      <c r="I811" s="85">
        <f>'01_원자료'!P808*'03_가중치민감도'!$B$9+'01_원자료'!Q808*'03_가중치민감도'!$C$9+'01_원자료'!R808*'03_가중치민감도'!$D$9</f>
        <v/>
      </c>
      <c r="J811" s="85">
        <f>'01_원자료'!P808*'03_가중치민감도'!$B$10+'01_원자료'!Q808*'03_가중치민감도'!$C$10+'01_원자료'!R808*'03_가중치민감도'!$D$10</f>
        <v/>
      </c>
      <c r="K811" s="99">
        <f>COUNTIF($E$5:$E$979,"&lt;"&amp;E811)+(COUNTIF($E$5:$E$979,"="&amp;E811)+1)/2</f>
        <v/>
      </c>
      <c r="L811" s="99">
        <f>COUNTIF($F$5:$F$979,"&lt;"&amp;F811)+(COUNTIF($F$5:$F$979,"="&amp;F811)+1)/2</f>
        <v/>
      </c>
      <c r="M811" s="99">
        <f>COUNTIF($G$5:$G$979,"&lt;"&amp;G811)+(COUNTIF($G$5:$G$979,"="&amp;G811)+1)/2</f>
        <v/>
      </c>
      <c r="N811" s="99">
        <f>COUNTIF($H$5:$H$979,"&lt;"&amp;H811)+(COUNTIF($H$5:$H$979,"="&amp;H811)+1)/2</f>
        <v/>
      </c>
      <c r="O811" s="99">
        <f>COUNTIF($I$5:$I$979,"&lt;"&amp;I811)+(COUNTIF($I$5:$I$979,"="&amp;I811)+1)/2</f>
        <v/>
      </c>
      <c r="P811" s="99">
        <f>COUNTIF($J$5:$J$979,"&lt;"&amp;J811)+(COUNTIF($J$5:$J$979,"="&amp;J811)+1)/2</f>
        <v/>
      </c>
    </row>
    <row r="812" ht="15" customHeight="1" s="68">
      <c r="A812" s="70">
        <f>'01_원자료'!A809</f>
        <v/>
      </c>
      <c r="B812" s="70">
        <f>'01_원자료'!B809</f>
        <v/>
      </c>
      <c r="C812" s="70">
        <f>'01_원자료'!C809</f>
        <v/>
      </c>
      <c r="E812" s="85">
        <f>'01_원자료'!P809*'03_가중치민감도'!$B$5+'01_원자료'!Q809*'03_가중치민감도'!$C$5+'01_원자료'!R809*'03_가중치민감도'!$D$5</f>
        <v/>
      </c>
      <c r="F812" s="85">
        <f>'01_원자료'!P809*'03_가중치민감도'!$B$6+'01_원자료'!Q809*'03_가중치민감도'!$C$6+'01_원자료'!R809*'03_가중치민감도'!$D$6</f>
        <v/>
      </c>
      <c r="G812" s="85">
        <f>'01_원자료'!P809*'03_가중치민감도'!$B$7+'01_원자료'!Q809*'03_가중치민감도'!$C$7+'01_원자료'!R809*'03_가중치민감도'!$D$7</f>
        <v/>
      </c>
      <c r="H812" s="85">
        <f>'01_원자료'!P809*'03_가중치민감도'!$B$8+'01_원자료'!Q809*'03_가중치민감도'!$C$8+'01_원자료'!R809*'03_가중치민감도'!$D$8</f>
        <v/>
      </c>
      <c r="I812" s="85">
        <f>'01_원자료'!P809*'03_가중치민감도'!$B$9+'01_원자료'!Q809*'03_가중치민감도'!$C$9+'01_원자료'!R809*'03_가중치민감도'!$D$9</f>
        <v/>
      </c>
      <c r="J812" s="85">
        <f>'01_원자료'!P809*'03_가중치민감도'!$B$10+'01_원자료'!Q809*'03_가중치민감도'!$C$10+'01_원자료'!R809*'03_가중치민감도'!$D$10</f>
        <v/>
      </c>
      <c r="K812" s="99">
        <f>COUNTIF($E$5:$E$979,"&lt;"&amp;E812)+(COUNTIF($E$5:$E$979,"="&amp;E812)+1)/2</f>
        <v/>
      </c>
      <c r="L812" s="99">
        <f>COUNTIF($F$5:$F$979,"&lt;"&amp;F812)+(COUNTIF($F$5:$F$979,"="&amp;F812)+1)/2</f>
        <v/>
      </c>
      <c r="M812" s="99">
        <f>COUNTIF($G$5:$G$979,"&lt;"&amp;G812)+(COUNTIF($G$5:$G$979,"="&amp;G812)+1)/2</f>
        <v/>
      </c>
      <c r="N812" s="99">
        <f>COUNTIF($H$5:$H$979,"&lt;"&amp;H812)+(COUNTIF($H$5:$H$979,"="&amp;H812)+1)/2</f>
        <v/>
      </c>
      <c r="O812" s="99">
        <f>COUNTIF($I$5:$I$979,"&lt;"&amp;I812)+(COUNTIF($I$5:$I$979,"="&amp;I812)+1)/2</f>
        <v/>
      </c>
      <c r="P812" s="99">
        <f>COUNTIF($J$5:$J$979,"&lt;"&amp;J812)+(COUNTIF($J$5:$J$979,"="&amp;J812)+1)/2</f>
        <v/>
      </c>
    </row>
    <row r="813" ht="15" customHeight="1" s="68">
      <c r="A813" s="70">
        <f>'01_원자료'!A810</f>
        <v/>
      </c>
      <c r="B813" s="70">
        <f>'01_원자료'!B810</f>
        <v/>
      </c>
      <c r="C813" s="70">
        <f>'01_원자료'!C810</f>
        <v/>
      </c>
      <c r="E813" s="85">
        <f>'01_원자료'!P810*'03_가중치민감도'!$B$5+'01_원자료'!Q810*'03_가중치민감도'!$C$5+'01_원자료'!R810*'03_가중치민감도'!$D$5</f>
        <v/>
      </c>
      <c r="F813" s="85">
        <f>'01_원자료'!P810*'03_가중치민감도'!$B$6+'01_원자료'!Q810*'03_가중치민감도'!$C$6+'01_원자료'!R810*'03_가중치민감도'!$D$6</f>
        <v/>
      </c>
      <c r="G813" s="85">
        <f>'01_원자료'!P810*'03_가중치민감도'!$B$7+'01_원자료'!Q810*'03_가중치민감도'!$C$7+'01_원자료'!R810*'03_가중치민감도'!$D$7</f>
        <v/>
      </c>
      <c r="H813" s="85">
        <f>'01_원자료'!P810*'03_가중치민감도'!$B$8+'01_원자료'!Q810*'03_가중치민감도'!$C$8+'01_원자료'!R810*'03_가중치민감도'!$D$8</f>
        <v/>
      </c>
      <c r="I813" s="85">
        <f>'01_원자료'!P810*'03_가중치민감도'!$B$9+'01_원자료'!Q810*'03_가중치민감도'!$C$9+'01_원자료'!R810*'03_가중치민감도'!$D$9</f>
        <v/>
      </c>
      <c r="J813" s="85">
        <f>'01_원자료'!P810*'03_가중치민감도'!$B$10+'01_원자료'!Q810*'03_가중치민감도'!$C$10+'01_원자료'!R810*'03_가중치민감도'!$D$10</f>
        <v/>
      </c>
      <c r="K813" s="99">
        <f>COUNTIF($E$5:$E$979,"&lt;"&amp;E813)+(COUNTIF($E$5:$E$979,"="&amp;E813)+1)/2</f>
        <v/>
      </c>
      <c r="L813" s="99">
        <f>COUNTIF($F$5:$F$979,"&lt;"&amp;F813)+(COUNTIF($F$5:$F$979,"="&amp;F813)+1)/2</f>
        <v/>
      </c>
      <c r="M813" s="99">
        <f>COUNTIF($G$5:$G$979,"&lt;"&amp;G813)+(COUNTIF($G$5:$G$979,"="&amp;G813)+1)/2</f>
        <v/>
      </c>
      <c r="N813" s="99">
        <f>COUNTIF($H$5:$H$979,"&lt;"&amp;H813)+(COUNTIF($H$5:$H$979,"="&amp;H813)+1)/2</f>
        <v/>
      </c>
      <c r="O813" s="99">
        <f>COUNTIF($I$5:$I$979,"&lt;"&amp;I813)+(COUNTIF($I$5:$I$979,"="&amp;I813)+1)/2</f>
        <v/>
      </c>
      <c r="P813" s="99">
        <f>COUNTIF($J$5:$J$979,"&lt;"&amp;J813)+(COUNTIF($J$5:$J$979,"="&amp;J813)+1)/2</f>
        <v/>
      </c>
    </row>
    <row r="814" ht="15" customHeight="1" s="68">
      <c r="A814" s="70">
        <f>'01_원자료'!A811</f>
        <v/>
      </c>
      <c r="B814" s="70">
        <f>'01_원자료'!B811</f>
        <v/>
      </c>
      <c r="C814" s="70">
        <f>'01_원자료'!C811</f>
        <v/>
      </c>
      <c r="E814" s="85">
        <f>'01_원자료'!P811*'03_가중치민감도'!$B$5+'01_원자료'!Q811*'03_가중치민감도'!$C$5+'01_원자료'!R811*'03_가중치민감도'!$D$5</f>
        <v/>
      </c>
      <c r="F814" s="85">
        <f>'01_원자료'!P811*'03_가중치민감도'!$B$6+'01_원자료'!Q811*'03_가중치민감도'!$C$6+'01_원자료'!R811*'03_가중치민감도'!$D$6</f>
        <v/>
      </c>
      <c r="G814" s="85">
        <f>'01_원자료'!P811*'03_가중치민감도'!$B$7+'01_원자료'!Q811*'03_가중치민감도'!$C$7+'01_원자료'!R811*'03_가중치민감도'!$D$7</f>
        <v/>
      </c>
      <c r="H814" s="85">
        <f>'01_원자료'!P811*'03_가중치민감도'!$B$8+'01_원자료'!Q811*'03_가중치민감도'!$C$8+'01_원자료'!R811*'03_가중치민감도'!$D$8</f>
        <v/>
      </c>
      <c r="I814" s="85">
        <f>'01_원자료'!P811*'03_가중치민감도'!$B$9+'01_원자료'!Q811*'03_가중치민감도'!$C$9+'01_원자료'!R811*'03_가중치민감도'!$D$9</f>
        <v/>
      </c>
      <c r="J814" s="85">
        <f>'01_원자료'!P811*'03_가중치민감도'!$B$10+'01_원자료'!Q811*'03_가중치민감도'!$C$10+'01_원자료'!R811*'03_가중치민감도'!$D$10</f>
        <v/>
      </c>
      <c r="K814" s="99">
        <f>COUNTIF($E$5:$E$979,"&lt;"&amp;E814)+(COUNTIF($E$5:$E$979,"="&amp;E814)+1)/2</f>
        <v/>
      </c>
      <c r="L814" s="99">
        <f>COUNTIF($F$5:$F$979,"&lt;"&amp;F814)+(COUNTIF($F$5:$F$979,"="&amp;F814)+1)/2</f>
        <v/>
      </c>
      <c r="M814" s="99">
        <f>COUNTIF($G$5:$G$979,"&lt;"&amp;G814)+(COUNTIF($G$5:$G$979,"="&amp;G814)+1)/2</f>
        <v/>
      </c>
      <c r="N814" s="99">
        <f>COUNTIF($H$5:$H$979,"&lt;"&amp;H814)+(COUNTIF($H$5:$H$979,"="&amp;H814)+1)/2</f>
        <v/>
      </c>
      <c r="O814" s="99">
        <f>COUNTIF($I$5:$I$979,"&lt;"&amp;I814)+(COUNTIF($I$5:$I$979,"="&amp;I814)+1)/2</f>
        <v/>
      </c>
      <c r="P814" s="99">
        <f>COUNTIF($J$5:$J$979,"&lt;"&amp;J814)+(COUNTIF($J$5:$J$979,"="&amp;J814)+1)/2</f>
        <v/>
      </c>
    </row>
    <row r="815" ht="15" customHeight="1" s="68">
      <c r="A815" s="70">
        <f>'01_원자료'!A812</f>
        <v/>
      </c>
      <c r="B815" s="70">
        <f>'01_원자료'!B812</f>
        <v/>
      </c>
      <c r="C815" s="70">
        <f>'01_원자료'!C812</f>
        <v/>
      </c>
      <c r="E815" s="85">
        <f>'01_원자료'!P812*'03_가중치민감도'!$B$5+'01_원자료'!Q812*'03_가중치민감도'!$C$5+'01_원자료'!R812*'03_가중치민감도'!$D$5</f>
        <v/>
      </c>
      <c r="F815" s="85">
        <f>'01_원자료'!P812*'03_가중치민감도'!$B$6+'01_원자료'!Q812*'03_가중치민감도'!$C$6+'01_원자료'!R812*'03_가중치민감도'!$D$6</f>
        <v/>
      </c>
      <c r="G815" s="85">
        <f>'01_원자료'!P812*'03_가중치민감도'!$B$7+'01_원자료'!Q812*'03_가중치민감도'!$C$7+'01_원자료'!R812*'03_가중치민감도'!$D$7</f>
        <v/>
      </c>
      <c r="H815" s="85">
        <f>'01_원자료'!P812*'03_가중치민감도'!$B$8+'01_원자료'!Q812*'03_가중치민감도'!$C$8+'01_원자료'!R812*'03_가중치민감도'!$D$8</f>
        <v/>
      </c>
      <c r="I815" s="85">
        <f>'01_원자료'!P812*'03_가중치민감도'!$B$9+'01_원자료'!Q812*'03_가중치민감도'!$C$9+'01_원자료'!R812*'03_가중치민감도'!$D$9</f>
        <v/>
      </c>
      <c r="J815" s="85">
        <f>'01_원자료'!P812*'03_가중치민감도'!$B$10+'01_원자료'!Q812*'03_가중치민감도'!$C$10+'01_원자료'!R812*'03_가중치민감도'!$D$10</f>
        <v/>
      </c>
      <c r="K815" s="99">
        <f>COUNTIF($E$5:$E$979,"&lt;"&amp;E815)+(COUNTIF($E$5:$E$979,"="&amp;E815)+1)/2</f>
        <v/>
      </c>
      <c r="L815" s="99">
        <f>COUNTIF($F$5:$F$979,"&lt;"&amp;F815)+(COUNTIF($F$5:$F$979,"="&amp;F815)+1)/2</f>
        <v/>
      </c>
      <c r="M815" s="99">
        <f>COUNTIF($G$5:$G$979,"&lt;"&amp;G815)+(COUNTIF($G$5:$G$979,"="&amp;G815)+1)/2</f>
        <v/>
      </c>
      <c r="N815" s="99">
        <f>COUNTIF($H$5:$H$979,"&lt;"&amp;H815)+(COUNTIF($H$5:$H$979,"="&amp;H815)+1)/2</f>
        <v/>
      </c>
      <c r="O815" s="99">
        <f>COUNTIF($I$5:$I$979,"&lt;"&amp;I815)+(COUNTIF($I$5:$I$979,"="&amp;I815)+1)/2</f>
        <v/>
      </c>
      <c r="P815" s="99">
        <f>COUNTIF($J$5:$J$979,"&lt;"&amp;J815)+(COUNTIF($J$5:$J$979,"="&amp;J815)+1)/2</f>
        <v/>
      </c>
    </row>
    <row r="816" ht="15" customHeight="1" s="68">
      <c r="A816" s="70">
        <f>'01_원자료'!A813</f>
        <v/>
      </c>
      <c r="B816" s="70">
        <f>'01_원자료'!B813</f>
        <v/>
      </c>
      <c r="C816" s="70">
        <f>'01_원자료'!C813</f>
        <v/>
      </c>
      <c r="E816" s="85">
        <f>'01_원자료'!P813*'03_가중치민감도'!$B$5+'01_원자료'!Q813*'03_가중치민감도'!$C$5+'01_원자료'!R813*'03_가중치민감도'!$D$5</f>
        <v/>
      </c>
      <c r="F816" s="85">
        <f>'01_원자료'!P813*'03_가중치민감도'!$B$6+'01_원자료'!Q813*'03_가중치민감도'!$C$6+'01_원자료'!R813*'03_가중치민감도'!$D$6</f>
        <v/>
      </c>
      <c r="G816" s="85">
        <f>'01_원자료'!P813*'03_가중치민감도'!$B$7+'01_원자료'!Q813*'03_가중치민감도'!$C$7+'01_원자료'!R813*'03_가중치민감도'!$D$7</f>
        <v/>
      </c>
      <c r="H816" s="85">
        <f>'01_원자료'!P813*'03_가중치민감도'!$B$8+'01_원자료'!Q813*'03_가중치민감도'!$C$8+'01_원자료'!R813*'03_가중치민감도'!$D$8</f>
        <v/>
      </c>
      <c r="I816" s="85">
        <f>'01_원자료'!P813*'03_가중치민감도'!$B$9+'01_원자료'!Q813*'03_가중치민감도'!$C$9+'01_원자료'!R813*'03_가중치민감도'!$D$9</f>
        <v/>
      </c>
      <c r="J816" s="85">
        <f>'01_원자료'!P813*'03_가중치민감도'!$B$10+'01_원자료'!Q813*'03_가중치민감도'!$C$10+'01_원자료'!R813*'03_가중치민감도'!$D$10</f>
        <v/>
      </c>
      <c r="K816" s="99">
        <f>COUNTIF($E$5:$E$979,"&lt;"&amp;E816)+(COUNTIF($E$5:$E$979,"="&amp;E816)+1)/2</f>
        <v/>
      </c>
      <c r="L816" s="99">
        <f>COUNTIF($F$5:$F$979,"&lt;"&amp;F816)+(COUNTIF($F$5:$F$979,"="&amp;F816)+1)/2</f>
        <v/>
      </c>
      <c r="M816" s="99">
        <f>COUNTIF($G$5:$G$979,"&lt;"&amp;G816)+(COUNTIF($G$5:$G$979,"="&amp;G816)+1)/2</f>
        <v/>
      </c>
      <c r="N816" s="99">
        <f>COUNTIF($H$5:$H$979,"&lt;"&amp;H816)+(COUNTIF($H$5:$H$979,"="&amp;H816)+1)/2</f>
        <v/>
      </c>
      <c r="O816" s="99">
        <f>COUNTIF($I$5:$I$979,"&lt;"&amp;I816)+(COUNTIF($I$5:$I$979,"="&amp;I816)+1)/2</f>
        <v/>
      </c>
      <c r="P816" s="99">
        <f>COUNTIF($J$5:$J$979,"&lt;"&amp;J816)+(COUNTIF($J$5:$J$979,"="&amp;J816)+1)/2</f>
        <v/>
      </c>
    </row>
    <row r="817" ht="15" customHeight="1" s="68">
      <c r="A817" s="70">
        <f>'01_원자료'!A814</f>
        <v/>
      </c>
      <c r="B817" s="70">
        <f>'01_원자료'!B814</f>
        <v/>
      </c>
      <c r="C817" s="70">
        <f>'01_원자료'!C814</f>
        <v/>
      </c>
      <c r="E817" s="85">
        <f>'01_원자료'!P814*'03_가중치민감도'!$B$5+'01_원자료'!Q814*'03_가중치민감도'!$C$5+'01_원자료'!R814*'03_가중치민감도'!$D$5</f>
        <v/>
      </c>
      <c r="F817" s="85">
        <f>'01_원자료'!P814*'03_가중치민감도'!$B$6+'01_원자료'!Q814*'03_가중치민감도'!$C$6+'01_원자료'!R814*'03_가중치민감도'!$D$6</f>
        <v/>
      </c>
      <c r="G817" s="85">
        <f>'01_원자료'!P814*'03_가중치민감도'!$B$7+'01_원자료'!Q814*'03_가중치민감도'!$C$7+'01_원자료'!R814*'03_가중치민감도'!$D$7</f>
        <v/>
      </c>
      <c r="H817" s="85">
        <f>'01_원자료'!P814*'03_가중치민감도'!$B$8+'01_원자료'!Q814*'03_가중치민감도'!$C$8+'01_원자료'!R814*'03_가중치민감도'!$D$8</f>
        <v/>
      </c>
      <c r="I817" s="85">
        <f>'01_원자료'!P814*'03_가중치민감도'!$B$9+'01_원자료'!Q814*'03_가중치민감도'!$C$9+'01_원자료'!R814*'03_가중치민감도'!$D$9</f>
        <v/>
      </c>
      <c r="J817" s="85">
        <f>'01_원자료'!P814*'03_가중치민감도'!$B$10+'01_원자료'!Q814*'03_가중치민감도'!$C$10+'01_원자료'!R814*'03_가중치민감도'!$D$10</f>
        <v/>
      </c>
      <c r="K817" s="99">
        <f>COUNTIF($E$5:$E$979,"&lt;"&amp;E817)+(COUNTIF($E$5:$E$979,"="&amp;E817)+1)/2</f>
        <v/>
      </c>
      <c r="L817" s="99">
        <f>COUNTIF($F$5:$F$979,"&lt;"&amp;F817)+(COUNTIF($F$5:$F$979,"="&amp;F817)+1)/2</f>
        <v/>
      </c>
      <c r="M817" s="99">
        <f>COUNTIF($G$5:$G$979,"&lt;"&amp;G817)+(COUNTIF($G$5:$G$979,"="&amp;G817)+1)/2</f>
        <v/>
      </c>
      <c r="N817" s="99">
        <f>COUNTIF($H$5:$H$979,"&lt;"&amp;H817)+(COUNTIF($H$5:$H$979,"="&amp;H817)+1)/2</f>
        <v/>
      </c>
      <c r="O817" s="99">
        <f>COUNTIF($I$5:$I$979,"&lt;"&amp;I817)+(COUNTIF($I$5:$I$979,"="&amp;I817)+1)/2</f>
        <v/>
      </c>
      <c r="P817" s="99">
        <f>COUNTIF($J$5:$J$979,"&lt;"&amp;J817)+(COUNTIF($J$5:$J$979,"="&amp;J817)+1)/2</f>
        <v/>
      </c>
    </row>
    <row r="818" ht="15" customHeight="1" s="68">
      <c r="A818" s="70">
        <f>'01_원자료'!A815</f>
        <v/>
      </c>
      <c r="B818" s="70">
        <f>'01_원자료'!B815</f>
        <v/>
      </c>
      <c r="C818" s="70">
        <f>'01_원자료'!C815</f>
        <v/>
      </c>
      <c r="E818" s="85">
        <f>'01_원자료'!P815*'03_가중치민감도'!$B$5+'01_원자료'!Q815*'03_가중치민감도'!$C$5+'01_원자료'!R815*'03_가중치민감도'!$D$5</f>
        <v/>
      </c>
      <c r="F818" s="85">
        <f>'01_원자료'!P815*'03_가중치민감도'!$B$6+'01_원자료'!Q815*'03_가중치민감도'!$C$6+'01_원자료'!R815*'03_가중치민감도'!$D$6</f>
        <v/>
      </c>
      <c r="G818" s="85">
        <f>'01_원자료'!P815*'03_가중치민감도'!$B$7+'01_원자료'!Q815*'03_가중치민감도'!$C$7+'01_원자료'!R815*'03_가중치민감도'!$D$7</f>
        <v/>
      </c>
      <c r="H818" s="85">
        <f>'01_원자료'!P815*'03_가중치민감도'!$B$8+'01_원자료'!Q815*'03_가중치민감도'!$C$8+'01_원자료'!R815*'03_가중치민감도'!$D$8</f>
        <v/>
      </c>
      <c r="I818" s="85">
        <f>'01_원자료'!P815*'03_가중치민감도'!$B$9+'01_원자료'!Q815*'03_가중치민감도'!$C$9+'01_원자료'!R815*'03_가중치민감도'!$D$9</f>
        <v/>
      </c>
      <c r="J818" s="85">
        <f>'01_원자료'!P815*'03_가중치민감도'!$B$10+'01_원자료'!Q815*'03_가중치민감도'!$C$10+'01_원자료'!R815*'03_가중치민감도'!$D$10</f>
        <v/>
      </c>
      <c r="K818" s="99">
        <f>COUNTIF($E$5:$E$979,"&lt;"&amp;E818)+(COUNTIF($E$5:$E$979,"="&amp;E818)+1)/2</f>
        <v/>
      </c>
      <c r="L818" s="99">
        <f>COUNTIF($F$5:$F$979,"&lt;"&amp;F818)+(COUNTIF($F$5:$F$979,"="&amp;F818)+1)/2</f>
        <v/>
      </c>
      <c r="M818" s="99">
        <f>COUNTIF($G$5:$G$979,"&lt;"&amp;G818)+(COUNTIF($G$5:$G$979,"="&amp;G818)+1)/2</f>
        <v/>
      </c>
      <c r="N818" s="99">
        <f>COUNTIF($H$5:$H$979,"&lt;"&amp;H818)+(COUNTIF($H$5:$H$979,"="&amp;H818)+1)/2</f>
        <v/>
      </c>
      <c r="O818" s="99">
        <f>COUNTIF($I$5:$I$979,"&lt;"&amp;I818)+(COUNTIF($I$5:$I$979,"="&amp;I818)+1)/2</f>
        <v/>
      </c>
      <c r="P818" s="99">
        <f>COUNTIF($J$5:$J$979,"&lt;"&amp;J818)+(COUNTIF($J$5:$J$979,"="&amp;J818)+1)/2</f>
        <v/>
      </c>
    </row>
    <row r="819" ht="15" customHeight="1" s="68">
      <c r="A819" s="70">
        <f>'01_원자료'!A816</f>
        <v/>
      </c>
      <c r="B819" s="70">
        <f>'01_원자료'!B816</f>
        <v/>
      </c>
      <c r="C819" s="70">
        <f>'01_원자료'!C816</f>
        <v/>
      </c>
      <c r="E819" s="85">
        <f>'01_원자료'!P816*'03_가중치민감도'!$B$5+'01_원자료'!Q816*'03_가중치민감도'!$C$5+'01_원자료'!R816*'03_가중치민감도'!$D$5</f>
        <v/>
      </c>
      <c r="F819" s="85">
        <f>'01_원자료'!P816*'03_가중치민감도'!$B$6+'01_원자료'!Q816*'03_가중치민감도'!$C$6+'01_원자료'!R816*'03_가중치민감도'!$D$6</f>
        <v/>
      </c>
      <c r="G819" s="85">
        <f>'01_원자료'!P816*'03_가중치민감도'!$B$7+'01_원자료'!Q816*'03_가중치민감도'!$C$7+'01_원자료'!R816*'03_가중치민감도'!$D$7</f>
        <v/>
      </c>
      <c r="H819" s="85">
        <f>'01_원자료'!P816*'03_가중치민감도'!$B$8+'01_원자료'!Q816*'03_가중치민감도'!$C$8+'01_원자료'!R816*'03_가중치민감도'!$D$8</f>
        <v/>
      </c>
      <c r="I819" s="85">
        <f>'01_원자료'!P816*'03_가중치민감도'!$B$9+'01_원자료'!Q816*'03_가중치민감도'!$C$9+'01_원자료'!R816*'03_가중치민감도'!$D$9</f>
        <v/>
      </c>
      <c r="J819" s="85">
        <f>'01_원자료'!P816*'03_가중치민감도'!$B$10+'01_원자료'!Q816*'03_가중치민감도'!$C$10+'01_원자료'!R816*'03_가중치민감도'!$D$10</f>
        <v/>
      </c>
      <c r="K819" s="99">
        <f>COUNTIF($E$5:$E$979,"&lt;"&amp;E819)+(COUNTIF($E$5:$E$979,"="&amp;E819)+1)/2</f>
        <v/>
      </c>
      <c r="L819" s="99">
        <f>COUNTIF($F$5:$F$979,"&lt;"&amp;F819)+(COUNTIF($F$5:$F$979,"="&amp;F819)+1)/2</f>
        <v/>
      </c>
      <c r="M819" s="99">
        <f>COUNTIF($G$5:$G$979,"&lt;"&amp;G819)+(COUNTIF($G$5:$G$979,"="&amp;G819)+1)/2</f>
        <v/>
      </c>
      <c r="N819" s="99">
        <f>COUNTIF($H$5:$H$979,"&lt;"&amp;H819)+(COUNTIF($H$5:$H$979,"="&amp;H819)+1)/2</f>
        <v/>
      </c>
      <c r="O819" s="99">
        <f>COUNTIF($I$5:$I$979,"&lt;"&amp;I819)+(COUNTIF($I$5:$I$979,"="&amp;I819)+1)/2</f>
        <v/>
      </c>
      <c r="P819" s="99">
        <f>COUNTIF($J$5:$J$979,"&lt;"&amp;J819)+(COUNTIF($J$5:$J$979,"="&amp;J819)+1)/2</f>
        <v/>
      </c>
    </row>
    <row r="820" ht="15" customHeight="1" s="68">
      <c r="A820" s="70">
        <f>'01_원자료'!A817</f>
        <v/>
      </c>
      <c r="B820" s="70">
        <f>'01_원자료'!B817</f>
        <v/>
      </c>
      <c r="C820" s="70">
        <f>'01_원자료'!C817</f>
        <v/>
      </c>
      <c r="E820" s="85">
        <f>'01_원자료'!P817*'03_가중치민감도'!$B$5+'01_원자료'!Q817*'03_가중치민감도'!$C$5+'01_원자료'!R817*'03_가중치민감도'!$D$5</f>
        <v/>
      </c>
      <c r="F820" s="85">
        <f>'01_원자료'!P817*'03_가중치민감도'!$B$6+'01_원자료'!Q817*'03_가중치민감도'!$C$6+'01_원자료'!R817*'03_가중치민감도'!$D$6</f>
        <v/>
      </c>
      <c r="G820" s="85">
        <f>'01_원자료'!P817*'03_가중치민감도'!$B$7+'01_원자료'!Q817*'03_가중치민감도'!$C$7+'01_원자료'!R817*'03_가중치민감도'!$D$7</f>
        <v/>
      </c>
      <c r="H820" s="85">
        <f>'01_원자료'!P817*'03_가중치민감도'!$B$8+'01_원자료'!Q817*'03_가중치민감도'!$C$8+'01_원자료'!R817*'03_가중치민감도'!$D$8</f>
        <v/>
      </c>
      <c r="I820" s="85">
        <f>'01_원자료'!P817*'03_가중치민감도'!$B$9+'01_원자료'!Q817*'03_가중치민감도'!$C$9+'01_원자료'!R817*'03_가중치민감도'!$D$9</f>
        <v/>
      </c>
      <c r="J820" s="85">
        <f>'01_원자료'!P817*'03_가중치민감도'!$B$10+'01_원자료'!Q817*'03_가중치민감도'!$C$10+'01_원자료'!R817*'03_가중치민감도'!$D$10</f>
        <v/>
      </c>
      <c r="K820" s="99">
        <f>COUNTIF($E$5:$E$979,"&lt;"&amp;E820)+(COUNTIF($E$5:$E$979,"="&amp;E820)+1)/2</f>
        <v/>
      </c>
      <c r="L820" s="99">
        <f>COUNTIF($F$5:$F$979,"&lt;"&amp;F820)+(COUNTIF($F$5:$F$979,"="&amp;F820)+1)/2</f>
        <v/>
      </c>
      <c r="M820" s="99">
        <f>COUNTIF($G$5:$G$979,"&lt;"&amp;G820)+(COUNTIF($G$5:$G$979,"="&amp;G820)+1)/2</f>
        <v/>
      </c>
      <c r="N820" s="99">
        <f>COUNTIF($H$5:$H$979,"&lt;"&amp;H820)+(COUNTIF($H$5:$H$979,"="&amp;H820)+1)/2</f>
        <v/>
      </c>
      <c r="O820" s="99">
        <f>COUNTIF($I$5:$I$979,"&lt;"&amp;I820)+(COUNTIF($I$5:$I$979,"="&amp;I820)+1)/2</f>
        <v/>
      </c>
      <c r="P820" s="99">
        <f>COUNTIF($J$5:$J$979,"&lt;"&amp;J820)+(COUNTIF($J$5:$J$979,"="&amp;J820)+1)/2</f>
        <v/>
      </c>
    </row>
    <row r="821" ht="15" customHeight="1" s="68">
      <c r="A821" s="70">
        <f>'01_원자료'!A818</f>
        <v/>
      </c>
      <c r="B821" s="70">
        <f>'01_원자료'!B818</f>
        <v/>
      </c>
      <c r="C821" s="70">
        <f>'01_원자료'!C818</f>
        <v/>
      </c>
      <c r="E821" s="85">
        <f>'01_원자료'!P818*'03_가중치민감도'!$B$5+'01_원자료'!Q818*'03_가중치민감도'!$C$5+'01_원자료'!R818*'03_가중치민감도'!$D$5</f>
        <v/>
      </c>
      <c r="F821" s="85">
        <f>'01_원자료'!P818*'03_가중치민감도'!$B$6+'01_원자료'!Q818*'03_가중치민감도'!$C$6+'01_원자료'!R818*'03_가중치민감도'!$D$6</f>
        <v/>
      </c>
      <c r="G821" s="85">
        <f>'01_원자료'!P818*'03_가중치민감도'!$B$7+'01_원자료'!Q818*'03_가중치민감도'!$C$7+'01_원자료'!R818*'03_가중치민감도'!$D$7</f>
        <v/>
      </c>
      <c r="H821" s="85">
        <f>'01_원자료'!P818*'03_가중치민감도'!$B$8+'01_원자료'!Q818*'03_가중치민감도'!$C$8+'01_원자료'!R818*'03_가중치민감도'!$D$8</f>
        <v/>
      </c>
      <c r="I821" s="85">
        <f>'01_원자료'!P818*'03_가중치민감도'!$B$9+'01_원자료'!Q818*'03_가중치민감도'!$C$9+'01_원자료'!R818*'03_가중치민감도'!$D$9</f>
        <v/>
      </c>
      <c r="J821" s="85">
        <f>'01_원자료'!P818*'03_가중치민감도'!$B$10+'01_원자료'!Q818*'03_가중치민감도'!$C$10+'01_원자료'!R818*'03_가중치민감도'!$D$10</f>
        <v/>
      </c>
      <c r="K821" s="99">
        <f>COUNTIF($E$5:$E$979,"&lt;"&amp;E821)+(COUNTIF($E$5:$E$979,"="&amp;E821)+1)/2</f>
        <v/>
      </c>
      <c r="L821" s="99">
        <f>COUNTIF($F$5:$F$979,"&lt;"&amp;F821)+(COUNTIF($F$5:$F$979,"="&amp;F821)+1)/2</f>
        <v/>
      </c>
      <c r="M821" s="99">
        <f>COUNTIF($G$5:$G$979,"&lt;"&amp;G821)+(COUNTIF($G$5:$G$979,"="&amp;G821)+1)/2</f>
        <v/>
      </c>
      <c r="N821" s="99">
        <f>COUNTIF($H$5:$H$979,"&lt;"&amp;H821)+(COUNTIF($H$5:$H$979,"="&amp;H821)+1)/2</f>
        <v/>
      </c>
      <c r="O821" s="99">
        <f>COUNTIF($I$5:$I$979,"&lt;"&amp;I821)+(COUNTIF($I$5:$I$979,"="&amp;I821)+1)/2</f>
        <v/>
      </c>
      <c r="P821" s="99">
        <f>COUNTIF($J$5:$J$979,"&lt;"&amp;J821)+(COUNTIF($J$5:$J$979,"="&amp;J821)+1)/2</f>
        <v/>
      </c>
    </row>
    <row r="822" ht="15" customHeight="1" s="68">
      <c r="A822" s="70">
        <f>'01_원자료'!A819</f>
        <v/>
      </c>
      <c r="B822" s="70">
        <f>'01_원자료'!B819</f>
        <v/>
      </c>
      <c r="C822" s="70">
        <f>'01_원자료'!C819</f>
        <v/>
      </c>
      <c r="E822" s="85">
        <f>'01_원자료'!P819*'03_가중치민감도'!$B$5+'01_원자료'!Q819*'03_가중치민감도'!$C$5+'01_원자료'!R819*'03_가중치민감도'!$D$5</f>
        <v/>
      </c>
      <c r="F822" s="85">
        <f>'01_원자료'!P819*'03_가중치민감도'!$B$6+'01_원자료'!Q819*'03_가중치민감도'!$C$6+'01_원자료'!R819*'03_가중치민감도'!$D$6</f>
        <v/>
      </c>
      <c r="G822" s="85">
        <f>'01_원자료'!P819*'03_가중치민감도'!$B$7+'01_원자료'!Q819*'03_가중치민감도'!$C$7+'01_원자료'!R819*'03_가중치민감도'!$D$7</f>
        <v/>
      </c>
      <c r="H822" s="85">
        <f>'01_원자료'!P819*'03_가중치민감도'!$B$8+'01_원자료'!Q819*'03_가중치민감도'!$C$8+'01_원자료'!R819*'03_가중치민감도'!$D$8</f>
        <v/>
      </c>
      <c r="I822" s="85">
        <f>'01_원자료'!P819*'03_가중치민감도'!$B$9+'01_원자료'!Q819*'03_가중치민감도'!$C$9+'01_원자료'!R819*'03_가중치민감도'!$D$9</f>
        <v/>
      </c>
      <c r="J822" s="85">
        <f>'01_원자료'!P819*'03_가중치민감도'!$B$10+'01_원자료'!Q819*'03_가중치민감도'!$C$10+'01_원자료'!R819*'03_가중치민감도'!$D$10</f>
        <v/>
      </c>
      <c r="K822" s="99">
        <f>COUNTIF($E$5:$E$979,"&lt;"&amp;E822)+(COUNTIF($E$5:$E$979,"="&amp;E822)+1)/2</f>
        <v/>
      </c>
      <c r="L822" s="99">
        <f>COUNTIF($F$5:$F$979,"&lt;"&amp;F822)+(COUNTIF($F$5:$F$979,"="&amp;F822)+1)/2</f>
        <v/>
      </c>
      <c r="M822" s="99">
        <f>COUNTIF($G$5:$G$979,"&lt;"&amp;G822)+(COUNTIF($G$5:$G$979,"="&amp;G822)+1)/2</f>
        <v/>
      </c>
      <c r="N822" s="99">
        <f>COUNTIF($H$5:$H$979,"&lt;"&amp;H822)+(COUNTIF($H$5:$H$979,"="&amp;H822)+1)/2</f>
        <v/>
      </c>
      <c r="O822" s="99">
        <f>COUNTIF($I$5:$I$979,"&lt;"&amp;I822)+(COUNTIF($I$5:$I$979,"="&amp;I822)+1)/2</f>
        <v/>
      </c>
      <c r="P822" s="99">
        <f>COUNTIF($J$5:$J$979,"&lt;"&amp;J822)+(COUNTIF($J$5:$J$979,"="&amp;J822)+1)/2</f>
        <v/>
      </c>
    </row>
    <row r="823" ht="15" customHeight="1" s="68">
      <c r="A823" s="70">
        <f>'01_원자료'!A820</f>
        <v/>
      </c>
      <c r="B823" s="70">
        <f>'01_원자료'!B820</f>
        <v/>
      </c>
      <c r="C823" s="70">
        <f>'01_원자료'!C820</f>
        <v/>
      </c>
      <c r="E823" s="85">
        <f>'01_원자료'!P820*'03_가중치민감도'!$B$5+'01_원자료'!Q820*'03_가중치민감도'!$C$5+'01_원자료'!R820*'03_가중치민감도'!$D$5</f>
        <v/>
      </c>
      <c r="F823" s="85">
        <f>'01_원자료'!P820*'03_가중치민감도'!$B$6+'01_원자료'!Q820*'03_가중치민감도'!$C$6+'01_원자료'!R820*'03_가중치민감도'!$D$6</f>
        <v/>
      </c>
      <c r="G823" s="85">
        <f>'01_원자료'!P820*'03_가중치민감도'!$B$7+'01_원자료'!Q820*'03_가중치민감도'!$C$7+'01_원자료'!R820*'03_가중치민감도'!$D$7</f>
        <v/>
      </c>
      <c r="H823" s="85">
        <f>'01_원자료'!P820*'03_가중치민감도'!$B$8+'01_원자료'!Q820*'03_가중치민감도'!$C$8+'01_원자료'!R820*'03_가중치민감도'!$D$8</f>
        <v/>
      </c>
      <c r="I823" s="85">
        <f>'01_원자료'!P820*'03_가중치민감도'!$B$9+'01_원자료'!Q820*'03_가중치민감도'!$C$9+'01_원자료'!R820*'03_가중치민감도'!$D$9</f>
        <v/>
      </c>
      <c r="J823" s="85">
        <f>'01_원자료'!P820*'03_가중치민감도'!$B$10+'01_원자료'!Q820*'03_가중치민감도'!$C$10+'01_원자료'!R820*'03_가중치민감도'!$D$10</f>
        <v/>
      </c>
      <c r="K823" s="99">
        <f>COUNTIF($E$5:$E$979,"&lt;"&amp;E823)+(COUNTIF($E$5:$E$979,"="&amp;E823)+1)/2</f>
        <v/>
      </c>
      <c r="L823" s="99">
        <f>COUNTIF($F$5:$F$979,"&lt;"&amp;F823)+(COUNTIF($F$5:$F$979,"="&amp;F823)+1)/2</f>
        <v/>
      </c>
      <c r="M823" s="99">
        <f>COUNTIF($G$5:$G$979,"&lt;"&amp;G823)+(COUNTIF($G$5:$G$979,"="&amp;G823)+1)/2</f>
        <v/>
      </c>
      <c r="N823" s="99">
        <f>COUNTIF($H$5:$H$979,"&lt;"&amp;H823)+(COUNTIF($H$5:$H$979,"="&amp;H823)+1)/2</f>
        <v/>
      </c>
      <c r="O823" s="99">
        <f>COUNTIF($I$5:$I$979,"&lt;"&amp;I823)+(COUNTIF($I$5:$I$979,"="&amp;I823)+1)/2</f>
        <v/>
      </c>
      <c r="P823" s="99">
        <f>COUNTIF($J$5:$J$979,"&lt;"&amp;J823)+(COUNTIF($J$5:$J$979,"="&amp;J823)+1)/2</f>
        <v/>
      </c>
    </row>
    <row r="824" ht="15" customHeight="1" s="68">
      <c r="A824" s="70">
        <f>'01_원자료'!A821</f>
        <v/>
      </c>
      <c r="B824" s="70">
        <f>'01_원자료'!B821</f>
        <v/>
      </c>
      <c r="C824" s="70">
        <f>'01_원자료'!C821</f>
        <v/>
      </c>
      <c r="E824" s="85">
        <f>'01_원자료'!P821*'03_가중치민감도'!$B$5+'01_원자료'!Q821*'03_가중치민감도'!$C$5+'01_원자료'!R821*'03_가중치민감도'!$D$5</f>
        <v/>
      </c>
      <c r="F824" s="85">
        <f>'01_원자료'!P821*'03_가중치민감도'!$B$6+'01_원자료'!Q821*'03_가중치민감도'!$C$6+'01_원자료'!R821*'03_가중치민감도'!$D$6</f>
        <v/>
      </c>
      <c r="G824" s="85">
        <f>'01_원자료'!P821*'03_가중치민감도'!$B$7+'01_원자료'!Q821*'03_가중치민감도'!$C$7+'01_원자료'!R821*'03_가중치민감도'!$D$7</f>
        <v/>
      </c>
      <c r="H824" s="85">
        <f>'01_원자료'!P821*'03_가중치민감도'!$B$8+'01_원자료'!Q821*'03_가중치민감도'!$C$8+'01_원자료'!R821*'03_가중치민감도'!$D$8</f>
        <v/>
      </c>
      <c r="I824" s="85">
        <f>'01_원자료'!P821*'03_가중치민감도'!$B$9+'01_원자료'!Q821*'03_가중치민감도'!$C$9+'01_원자료'!R821*'03_가중치민감도'!$D$9</f>
        <v/>
      </c>
      <c r="J824" s="85">
        <f>'01_원자료'!P821*'03_가중치민감도'!$B$10+'01_원자료'!Q821*'03_가중치민감도'!$C$10+'01_원자료'!R821*'03_가중치민감도'!$D$10</f>
        <v/>
      </c>
      <c r="K824" s="99">
        <f>COUNTIF($E$5:$E$979,"&lt;"&amp;E824)+(COUNTIF($E$5:$E$979,"="&amp;E824)+1)/2</f>
        <v/>
      </c>
      <c r="L824" s="99">
        <f>COUNTIF($F$5:$F$979,"&lt;"&amp;F824)+(COUNTIF($F$5:$F$979,"="&amp;F824)+1)/2</f>
        <v/>
      </c>
      <c r="M824" s="99">
        <f>COUNTIF($G$5:$G$979,"&lt;"&amp;G824)+(COUNTIF($G$5:$G$979,"="&amp;G824)+1)/2</f>
        <v/>
      </c>
      <c r="N824" s="99">
        <f>COUNTIF($H$5:$H$979,"&lt;"&amp;H824)+(COUNTIF($H$5:$H$979,"="&amp;H824)+1)/2</f>
        <v/>
      </c>
      <c r="O824" s="99">
        <f>COUNTIF($I$5:$I$979,"&lt;"&amp;I824)+(COUNTIF($I$5:$I$979,"="&amp;I824)+1)/2</f>
        <v/>
      </c>
      <c r="P824" s="99">
        <f>COUNTIF($J$5:$J$979,"&lt;"&amp;J824)+(COUNTIF($J$5:$J$979,"="&amp;J824)+1)/2</f>
        <v/>
      </c>
    </row>
    <row r="825" ht="15" customHeight="1" s="68">
      <c r="A825" s="70">
        <f>'01_원자료'!A822</f>
        <v/>
      </c>
      <c r="B825" s="70">
        <f>'01_원자료'!B822</f>
        <v/>
      </c>
      <c r="C825" s="70">
        <f>'01_원자료'!C822</f>
        <v/>
      </c>
      <c r="E825" s="85">
        <f>'01_원자료'!P822*'03_가중치민감도'!$B$5+'01_원자료'!Q822*'03_가중치민감도'!$C$5+'01_원자료'!R822*'03_가중치민감도'!$D$5</f>
        <v/>
      </c>
      <c r="F825" s="85">
        <f>'01_원자료'!P822*'03_가중치민감도'!$B$6+'01_원자료'!Q822*'03_가중치민감도'!$C$6+'01_원자료'!R822*'03_가중치민감도'!$D$6</f>
        <v/>
      </c>
      <c r="G825" s="85">
        <f>'01_원자료'!P822*'03_가중치민감도'!$B$7+'01_원자료'!Q822*'03_가중치민감도'!$C$7+'01_원자료'!R822*'03_가중치민감도'!$D$7</f>
        <v/>
      </c>
      <c r="H825" s="85">
        <f>'01_원자료'!P822*'03_가중치민감도'!$B$8+'01_원자료'!Q822*'03_가중치민감도'!$C$8+'01_원자료'!R822*'03_가중치민감도'!$D$8</f>
        <v/>
      </c>
      <c r="I825" s="85">
        <f>'01_원자료'!P822*'03_가중치민감도'!$B$9+'01_원자료'!Q822*'03_가중치민감도'!$C$9+'01_원자료'!R822*'03_가중치민감도'!$D$9</f>
        <v/>
      </c>
      <c r="J825" s="85">
        <f>'01_원자료'!P822*'03_가중치민감도'!$B$10+'01_원자료'!Q822*'03_가중치민감도'!$C$10+'01_원자료'!R822*'03_가중치민감도'!$D$10</f>
        <v/>
      </c>
      <c r="K825" s="99">
        <f>COUNTIF($E$5:$E$979,"&lt;"&amp;E825)+(COUNTIF($E$5:$E$979,"="&amp;E825)+1)/2</f>
        <v/>
      </c>
      <c r="L825" s="99">
        <f>COUNTIF($F$5:$F$979,"&lt;"&amp;F825)+(COUNTIF($F$5:$F$979,"="&amp;F825)+1)/2</f>
        <v/>
      </c>
      <c r="M825" s="99">
        <f>COUNTIF($G$5:$G$979,"&lt;"&amp;G825)+(COUNTIF($G$5:$G$979,"="&amp;G825)+1)/2</f>
        <v/>
      </c>
      <c r="N825" s="99">
        <f>COUNTIF($H$5:$H$979,"&lt;"&amp;H825)+(COUNTIF($H$5:$H$979,"="&amp;H825)+1)/2</f>
        <v/>
      </c>
      <c r="O825" s="99">
        <f>COUNTIF($I$5:$I$979,"&lt;"&amp;I825)+(COUNTIF($I$5:$I$979,"="&amp;I825)+1)/2</f>
        <v/>
      </c>
      <c r="P825" s="99">
        <f>COUNTIF($J$5:$J$979,"&lt;"&amp;J825)+(COUNTIF($J$5:$J$979,"="&amp;J825)+1)/2</f>
        <v/>
      </c>
    </row>
    <row r="826" ht="15" customHeight="1" s="68">
      <c r="A826" s="70">
        <f>'01_원자료'!A823</f>
        <v/>
      </c>
      <c r="B826" s="70">
        <f>'01_원자료'!B823</f>
        <v/>
      </c>
      <c r="C826" s="70">
        <f>'01_원자료'!C823</f>
        <v/>
      </c>
      <c r="E826" s="85">
        <f>'01_원자료'!P823*'03_가중치민감도'!$B$5+'01_원자료'!Q823*'03_가중치민감도'!$C$5+'01_원자료'!R823*'03_가중치민감도'!$D$5</f>
        <v/>
      </c>
      <c r="F826" s="85">
        <f>'01_원자료'!P823*'03_가중치민감도'!$B$6+'01_원자료'!Q823*'03_가중치민감도'!$C$6+'01_원자료'!R823*'03_가중치민감도'!$D$6</f>
        <v/>
      </c>
      <c r="G826" s="85">
        <f>'01_원자료'!P823*'03_가중치민감도'!$B$7+'01_원자료'!Q823*'03_가중치민감도'!$C$7+'01_원자료'!R823*'03_가중치민감도'!$D$7</f>
        <v/>
      </c>
      <c r="H826" s="85">
        <f>'01_원자료'!P823*'03_가중치민감도'!$B$8+'01_원자료'!Q823*'03_가중치민감도'!$C$8+'01_원자료'!R823*'03_가중치민감도'!$D$8</f>
        <v/>
      </c>
      <c r="I826" s="85">
        <f>'01_원자료'!P823*'03_가중치민감도'!$B$9+'01_원자료'!Q823*'03_가중치민감도'!$C$9+'01_원자료'!R823*'03_가중치민감도'!$D$9</f>
        <v/>
      </c>
      <c r="J826" s="85">
        <f>'01_원자료'!P823*'03_가중치민감도'!$B$10+'01_원자료'!Q823*'03_가중치민감도'!$C$10+'01_원자료'!R823*'03_가중치민감도'!$D$10</f>
        <v/>
      </c>
      <c r="K826" s="99">
        <f>COUNTIF($E$5:$E$979,"&lt;"&amp;E826)+(COUNTIF($E$5:$E$979,"="&amp;E826)+1)/2</f>
        <v/>
      </c>
      <c r="L826" s="99">
        <f>COUNTIF($F$5:$F$979,"&lt;"&amp;F826)+(COUNTIF($F$5:$F$979,"="&amp;F826)+1)/2</f>
        <v/>
      </c>
      <c r="M826" s="99">
        <f>COUNTIF($G$5:$G$979,"&lt;"&amp;G826)+(COUNTIF($G$5:$G$979,"="&amp;G826)+1)/2</f>
        <v/>
      </c>
      <c r="N826" s="99">
        <f>COUNTIF($H$5:$H$979,"&lt;"&amp;H826)+(COUNTIF($H$5:$H$979,"="&amp;H826)+1)/2</f>
        <v/>
      </c>
      <c r="O826" s="99">
        <f>COUNTIF($I$5:$I$979,"&lt;"&amp;I826)+(COUNTIF($I$5:$I$979,"="&amp;I826)+1)/2</f>
        <v/>
      </c>
      <c r="P826" s="99">
        <f>COUNTIF($J$5:$J$979,"&lt;"&amp;J826)+(COUNTIF($J$5:$J$979,"="&amp;J826)+1)/2</f>
        <v/>
      </c>
    </row>
    <row r="827" ht="15" customHeight="1" s="68">
      <c r="A827" s="70">
        <f>'01_원자료'!A824</f>
        <v/>
      </c>
      <c r="B827" s="70">
        <f>'01_원자료'!B824</f>
        <v/>
      </c>
      <c r="C827" s="70">
        <f>'01_원자료'!C824</f>
        <v/>
      </c>
      <c r="E827" s="85">
        <f>'01_원자료'!P824*'03_가중치민감도'!$B$5+'01_원자료'!Q824*'03_가중치민감도'!$C$5+'01_원자료'!R824*'03_가중치민감도'!$D$5</f>
        <v/>
      </c>
      <c r="F827" s="85">
        <f>'01_원자료'!P824*'03_가중치민감도'!$B$6+'01_원자료'!Q824*'03_가중치민감도'!$C$6+'01_원자료'!R824*'03_가중치민감도'!$D$6</f>
        <v/>
      </c>
      <c r="G827" s="85">
        <f>'01_원자료'!P824*'03_가중치민감도'!$B$7+'01_원자료'!Q824*'03_가중치민감도'!$C$7+'01_원자료'!R824*'03_가중치민감도'!$D$7</f>
        <v/>
      </c>
      <c r="H827" s="85">
        <f>'01_원자료'!P824*'03_가중치민감도'!$B$8+'01_원자료'!Q824*'03_가중치민감도'!$C$8+'01_원자료'!R824*'03_가중치민감도'!$D$8</f>
        <v/>
      </c>
      <c r="I827" s="85">
        <f>'01_원자료'!P824*'03_가중치민감도'!$B$9+'01_원자료'!Q824*'03_가중치민감도'!$C$9+'01_원자료'!R824*'03_가중치민감도'!$D$9</f>
        <v/>
      </c>
      <c r="J827" s="85">
        <f>'01_원자료'!P824*'03_가중치민감도'!$B$10+'01_원자료'!Q824*'03_가중치민감도'!$C$10+'01_원자료'!R824*'03_가중치민감도'!$D$10</f>
        <v/>
      </c>
      <c r="K827" s="99">
        <f>COUNTIF($E$5:$E$979,"&lt;"&amp;E827)+(COUNTIF($E$5:$E$979,"="&amp;E827)+1)/2</f>
        <v/>
      </c>
      <c r="L827" s="99">
        <f>COUNTIF($F$5:$F$979,"&lt;"&amp;F827)+(COUNTIF($F$5:$F$979,"="&amp;F827)+1)/2</f>
        <v/>
      </c>
      <c r="M827" s="99">
        <f>COUNTIF($G$5:$G$979,"&lt;"&amp;G827)+(COUNTIF($G$5:$G$979,"="&amp;G827)+1)/2</f>
        <v/>
      </c>
      <c r="N827" s="99">
        <f>COUNTIF($H$5:$H$979,"&lt;"&amp;H827)+(COUNTIF($H$5:$H$979,"="&amp;H827)+1)/2</f>
        <v/>
      </c>
      <c r="O827" s="99">
        <f>COUNTIF($I$5:$I$979,"&lt;"&amp;I827)+(COUNTIF($I$5:$I$979,"="&amp;I827)+1)/2</f>
        <v/>
      </c>
      <c r="P827" s="99">
        <f>COUNTIF($J$5:$J$979,"&lt;"&amp;J827)+(COUNTIF($J$5:$J$979,"="&amp;J827)+1)/2</f>
        <v/>
      </c>
    </row>
    <row r="828" ht="15" customHeight="1" s="68">
      <c r="A828" s="70">
        <f>'01_원자료'!A825</f>
        <v/>
      </c>
      <c r="B828" s="70">
        <f>'01_원자료'!B825</f>
        <v/>
      </c>
      <c r="C828" s="70">
        <f>'01_원자료'!C825</f>
        <v/>
      </c>
      <c r="E828" s="85">
        <f>'01_원자료'!P825*'03_가중치민감도'!$B$5+'01_원자료'!Q825*'03_가중치민감도'!$C$5+'01_원자료'!R825*'03_가중치민감도'!$D$5</f>
        <v/>
      </c>
      <c r="F828" s="85">
        <f>'01_원자료'!P825*'03_가중치민감도'!$B$6+'01_원자료'!Q825*'03_가중치민감도'!$C$6+'01_원자료'!R825*'03_가중치민감도'!$D$6</f>
        <v/>
      </c>
      <c r="G828" s="85">
        <f>'01_원자료'!P825*'03_가중치민감도'!$B$7+'01_원자료'!Q825*'03_가중치민감도'!$C$7+'01_원자료'!R825*'03_가중치민감도'!$D$7</f>
        <v/>
      </c>
      <c r="H828" s="85">
        <f>'01_원자료'!P825*'03_가중치민감도'!$B$8+'01_원자료'!Q825*'03_가중치민감도'!$C$8+'01_원자료'!R825*'03_가중치민감도'!$D$8</f>
        <v/>
      </c>
      <c r="I828" s="85">
        <f>'01_원자료'!P825*'03_가중치민감도'!$B$9+'01_원자료'!Q825*'03_가중치민감도'!$C$9+'01_원자료'!R825*'03_가중치민감도'!$D$9</f>
        <v/>
      </c>
      <c r="J828" s="85">
        <f>'01_원자료'!P825*'03_가중치민감도'!$B$10+'01_원자료'!Q825*'03_가중치민감도'!$C$10+'01_원자료'!R825*'03_가중치민감도'!$D$10</f>
        <v/>
      </c>
      <c r="K828" s="99">
        <f>COUNTIF($E$5:$E$979,"&lt;"&amp;E828)+(COUNTIF($E$5:$E$979,"="&amp;E828)+1)/2</f>
        <v/>
      </c>
      <c r="L828" s="99">
        <f>COUNTIF($F$5:$F$979,"&lt;"&amp;F828)+(COUNTIF($F$5:$F$979,"="&amp;F828)+1)/2</f>
        <v/>
      </c>
      <c r="M828" s="99">
        <f>COUNTIF($G$5:$G$979,"&lt;"&amp;G828)+(COUNTIF($G$5:$G$979,"="&amp;G828)+1)/2</f>
        <v/>
      </c>
      <c r="N828" s="99">
        <f>COUNTIF($H$5:$H$979,"&lt;"&amp;H828)+(COUNTIF($H$5:$H$979,"="&amp;H828)+1)/2</f>
        <v/>
      </c>
      <c r="O828" s="99">
        <f>COUNTIF($I$5:$I$979,"&lt;"&amp;I828)+(COUNTIF($I$5:$I$979,"="&amp;I828)+1)/2</f>
        <v/>
      </c>
      <c r="P828" s="99">
        <f>COUNTIF($J$5:$J$979,"&lt;"&amp;J828)+(COUNTIF($J$5:$J$979,"="&amp;J828)+1)/2</f>
        <v/>
      </c>
    </row>
    <row r="829" ht="15" customHeight="1" s="68">
      <c r="A829" s="70">
        <f>'01_원자료'!A826</f>
        <v/>
      </c>
      <c r="B829" s="70">
        <f>'01_원자료'!B826</f>
        <v/>
      </c>
      <c r="C829" s="70">
        <f>'01_원자료'!C826</f>
        <v/>
      </c>
      <c r="E829" s="85">
        <f>'01_원자료'!P826*'03_가중치민감도'!$B$5+'01_원자료'!Q826*'03_가중치민감도'!$C$5+'01_원자료'!R826*'03_가중치민감도'!$D$5</f>
        <v/>
      </c>
      <c r="F829" s="85">
        <f>'01_원자료'!P826*'03_가중치민감도'!$B$6+'01_원자료'!Q826*'03_가중치민감도'!$C$6+'01_원자료'!R826*'03_가중치민감도'!$D$6</f>
        <v/>
      </c>
      <c r="G829" s="85">
        <f>'01_원자료'!P826*'03_가중치민감도'!$B$7+'01_원자료'!Q826*'03_가중치민감도'!$C$7+'01_원자료'!R826*'03_가중치민감도'!$D$7</f>
        <v/>
      </c>
      <c r="H829" s="85">
        <f>'01_원자료'!P826*'03_가중치민감도'!$B$8+'01_원자료'!Q826*'03_가중치민감도'!$C$8+'01_원자료'!R826*'03_가중치민감도'!$D$8</f>
        <v/>
      </c>
      <c r="I829" s="85">
        <f>'01_원자료'!P826*'03_가중치민감도'!$B$9+'01_원자료'!Q826*'03_가중치민감도'!$C$9+'01_원자료'!R826*'03_가중치민감도'!$D$9</f>
        <v/>
      </c>
      <c r="J829" s="85">
        <f>'01_원자료'!P826*'03_가중치민감도'!$B$10+'01_원자료'!Q826*'03_가중치민감도'!$C$10+'01_원자료'!R826*'03_가중치민감도'!$D$10</f>
        <v/>
      </c>
      <c r="K829" s="99">
        <f>COUNTIF($E$5:$E$979,"&lt;"&amp;E829)+(COUNTIF($E$5:$E$979,"="&amp;E829)+1)/2</f>
        <v/>
      </c>
      <c r="L829" s="99">
        <f>COUNTIF($F$5:$F$979,"&lt;"&amp;F829)+(COUNTIF($F$5:$F$979,"="&amp;F829)+1)/2</f>
        <v/>
      </c>
      <c r="M829" s="99">
        <f>COUNTIF($G$5:$G$979,"&lt;"&amp;G829)+(COUNTIF($G$5:$G$979,"="&amp;G829)+1)/2</f>
        <v/>
      </c>
      <c r="N829" s="99">
        <f>COUNTIF($H$5:$H$979,"&lt;"&amp;H829)+(COUNTIF($H$5:$H$979,"="&amp;H829)+1)/2</f>
        <v/>
      </c>
      <c r="O829" s="99">
        <f>COUNTIF($I$5:$I$979,"&lt;"&amp;I829)+(COUNTIF($I$5:$I$979,"="&amp;I829)+1)/2</f>
        <v/>
      </c>
      <c r="P829" s="99">
        <f>COUNTIF($J$5:$J$979,"&lt;"&amp;J829)+(COUNTIF($J$5:$J$979,"="&amp;J829)+1)/2</f>
        <v/>
      </c>
    </row>
    <row r="830" ht="15" customHeight="1" s="68">
      <c r="A830" s="70">
        <f>'01_원자료'!A827</f>
        <v/>
      </c>
      <c r="B830" s="70">
        <f>'01_원자료'!B827</f>
        <v/>
      </c>
      <c r="C830" s="70">
        <f>'01_원자료'!C827</f>
        <v/>
      </c>
      <c r="E830" s="85">
        <f>'01_원자료'!P827*'03_가중치민감도'!$B$5+'01_원자료'!Q827*'03_가중치민감도'!$C$5+'01_원자료'!R827*'03_가중치민감도'!$D$5</f>
        <v/>
      </c>
      <c r="F830" s="85">
        <f>'01_원자료'!P827*'03_가중치민감도'!$B$6+'01_원자료'!Q827*'03_가중치민감도'!$C$6+'01_원자료'!R827*'03_가중치민감도'!$D$6</f>
        <v/>
      </c>
      <c r="G830" s="85">
        <f>'01_원자료'!P827*'03_가중치민감도'!$B$7+'01_원자료'!Q827*'03_가중치민감도'!$C$7+'01_원자료'!R827*'03_가중치민감도'!$D$7</f>
        <v/>
      </c>
      <c r="H830" s="85">
        <f>'01_원자료'!P827*'03_가중치민감도'!$B$8+'01_원자료'!Q827*'03_가중치민감도'!$C$8+'01_원자료'!R827*'03_가중치민감도'!$D$8</f>
        <v/>
      </c>
      <c r="I830" s="85">
        <f>'01_원자료'!P827*'03_가중치민감도'!$B$9+'01_원자료'!Q827*'03_가중치민감도'!$C$9+'01_원자료'!R827*'03_가중치민감도'!$D$9</f>
        <v/>
      </c>
      <c r="J830" s="85">
        <f>'01_원자료'!P827*'03_가중치민감도'!$B$10+'01_원자료'!Q827*'03_가중치민감도'!$C$10+'01_원자료'!R827*'03_가중치민감도'!$D$10</f>
        <v/>
      </c>
      <c r="K830" s="99">
        <f>COUNTIF($E$5:$E$979,"&lt;"&amp;E830)+(COUNTIF($E$5:$E$979,"="&amp;E830)+1)/2</f>
        <v/>
      </c>
      <c r="L830" s="99">
        <f>COUNTIF($F$5:$F$979,"&lt;"&amp;F830)+(COUNTIF($F$5:$F$979,"="&amp;F830)+1)/2</f>
        <v/>
      </c>
      <c r="M830" s="99">
        <f>COUNTIF($G$5:$G$979,"&lt;"&amp;G830)+(COUNTIF($G$5:$G$979,"="&amp;G830)+1)/2</f>
        <v/>
      </c>
      <c r="N830" s="99">
        <f>COUNTIF($H$5:$H$979,"&lt;"&amp;H830)+(COUNTIF($H$5:$H$979,"="&amp;H830)+1)/2</f>
        <v/>
      </c>
      <c r="O830" s="99">
        <f>COUNTIF($I$5:$I$979,"&lt;"&amp;I830)+(COUNTIF($I$5:$I$979,"="&amp;I830)+1)/2</f>
        <v/>
      </c>
      <c r="P830" s="99">
        <f>COUNTIF($J$5:$J$979,"&lt;"&amp;J830)+(COUNTIF($J$5:$J$979,"="&amp;J830)+1)/2</f>
        <v/>
      </c>
    </row>
    <row r="831" ht="15" customHeight="1" s="68">
      <c r="A831" s="70">
        <f>'01_원자료'!A828</f>
        <v/>
      </c>
      <c r="B831" s="70">
        <f>'01_원자료'!B828</f>
        <v/>
      </c>
      <c r="C831" s="70">
        <f>'01_원자료'!C828</f>
        <v/>
      </c>
      <c r="E831" s="85">
        <f>'01_원자료'!P828*'03_가중치민감도'!$B$5+'01_원자료'!Q828*'03_가중치민감도'!$C$5+'01_원자료'!R828*'03_가중치민감도'!$D$5</f>
        <v/>
      </c>
      <c r="F831" s="85">
        <f>'01_원자료'!P828*'03_가중치민감도'!$B$6+'01_원자료'!Q828*'03_가중치민감도'!$C$6+'01_원자료'!R828*'03_가중치민감도'!$D$6</f>
        <v/>
      </c>
      <c r="G831" s="85">
        <f>'01_원자료'!P828*'03_가중치민감도'!$B$7+'01_원자료'!Q828*'03_가중치민감도'!$C$7+'01_원자료'!R828*'03_가중치민감도'!$D$7</f>
        <v/>
      </c>
      <c r="H831" s="85">
        <f>'01_원자료'!P828*'03_가중치민감도'!$B$8+'01_원자료'!Q828*'03_가중치민감도'!$C$8+'01_원자료'!R828*'03_가중치민감도'!$D$8</f>
        <v/>
      </c>
      <c r="I831" s="85">
        <f>'01_원자료'!P828*'03_가중치민감도'!$B$9+'01_원자료'!Q828*'03_가중치민감도'!$C$9+'01_원자료'!R828*'03_가중치민감도'!$D$9</f>
        <v/>
      </c>
      <c r="J831" s="85">
        <f>'01_원자료'!P828*'03_가중치민감도'!$B$10+'01_원자료'!Q828*'03_가중치민감도'!$C$10+'01_원자료'!R828*'03_가중치민감도'!$D$10</f>
        <v/>
      </c>
      <c r="K831" s="99">
        <f>COUNTIF($E$5:$E$979,"&lt;"&amp;E831)+(COUNTIF($E$5:$E$979,"="&amp;E831)+1)/2</f>
        <v/>
      </c>
      <c r="L831" s="99">
        <f>COUNTIF($F$5:$F$979,"&lt;"&amp;F831)+(COUNTIF($F$5:$F$979,"="&amp;F831)+1)/2</f>
        <v/>
      </c>
      <c r="M831" s="99">
        <f>COUNTIF($G$5:$G$979,"&lt;"&amp;G831)+(COUNTIF($G$5:$G$979,"="&amp;G831)+1)/2</f>
        <v/>
      </c>
      <c r="N831" s="99">
        <f>COUNTIF($H$5:$H$979,"&lt;"&amp;H831)+(COUNTIF($H$5:$H$979,"="&amp;H831)+1)/2</f>
        <v/>
      </c>
      <c r="O831" s="99">
        <f>COUNTIF($I$5:$I$979,"&lt;"&amp;I831)+(COUNTIF($I$5:$I$979,"="&amp;I831)+1)/2</f>
        <v/>
      </c>
      <c r="P831" s="99">
        <f>COUNTIF($J$5:$J$979,"&lt;"&amp;J831)+(COUNTIF($J$5:$J$979,"="&amp;J831)+1)/2</f>
        <v/>
      </c>
    </row>
    <row r="832" ht="15" customHeight="1" s="68">
      <c r="A832" s="70">
        <f>'01_원자료'!A829</f>
        <v/>
      </c>
      <c r="B832" s="70">
        <f>'01_원자료'!B829</f>
        <v/>
      </c>
      <c r="C832" s="70">
        <f>'01_원자료'!C829</f>
        <v/>
      </c>
      <c r="E832" s="85">
        <f>'01_원자료'!P829*'03_가중치민감도'!$B$5+'01_원자료'!Q829*'03_가중치민감도'!$C$5+'01_원자료'!R829*'03_가중치민감도'!$D$5</f>
        <v/>
      </c>
      <c r="F832" s="85">
        <f>'01_원자료'!P829*'03_가중치민감도'!$B$6+'01_원자료'!Q829*'03_가중치민감도'!$C$6+'01_원자료'!R829*'03_가중치민감도'!$D$6</f>
        <v/>
      </c>
      <c r="G832" s="85">
        <f>'01_원자료'!P829*'03_가중치민감도'!$B$7+'01_원자료'!Q829*'03_가중치민감도'!$C$7+'01_원자료'!R829*'03_가중치민감도'!$D$7</f>
        <v/>
      </c>
      <c r="H832" s="85">
        <f>'01_원자료'!P829*'03_가중치민감도'!$B$8+'01_원자료'!Q829*'03_가중치민감도'!$C$8+'01_원자료'!R829*'03_가중치민감도'!$D$8</f>
        <v/>
      </c>
      <c r="I832" s="85">
        <f>'01_원자료'!P829*'03_가중치민감도'!$B$9+'01_원자료'!Q829*'03_가중치민감도'!$C$9+'01_원자료'!R829*'03_가중치민감도'!$D$9</f>
        <v/>
      </c>
      <c r="J832" s="85">
        <f>'01_원자료'!P829*'03_가중치민감도'!$B$10+'01_원자료'!Q829*'03_가중치민감도'!$C$10+'01_원자료'!R829*'03_가중치민감도'!$D$10</f>
        <v/>
      </c>
      <c r="K832" s="99">
        <f>COUNTIF($E$5:$E$979,"&lt;"&amp;E832)+(COUNTIF($E$5:$E$979,"="&amp;E832)+1)/2</f>
        <v/>
      </c>
      <c r="L832" s="99">
        <f>COUNTIF($F$5:$F$979,"&lt;"&amp;F832)+(COUNTIF($F$5:$F$979,"="&amp;F832)+1)/2</f>
        <v/>
      </c>
      <c r="M832" s="99">
        <f>COUNTIF($G$5:$G$979,"&lt;"&amp;G832)+(COUNTIF($G$5:$G$979,"="&amp;G832)+1)/2</f>
        <v/>
      </c>
      <c r="N832" s="99">
        <f>COUNTIF($H$5:$H$979,"&lt;"&amp;H832)+(COUNTIF($H$5:$H$979,"="&amp;H832)+1)/2</f>
        <v/>
      </c>
      <c r="O832" s="99">
        <f>COUNTIF($I$5:$I$979,"&lt;"&amp;I832)+(COUNTIF($I$5:$I$979,"="&amp;I832)+1)/2</f>
        <v/>
      </c>
      <c r="P832" s="99">
        <f>COUNTIF($J$5:$J$979,"&lt;"&amp;J832)+(COUNTIF($J$5:$J$979,"="&amp;J832)+1)/2</f>
        <v/>
      </c>
    </row>
    <row r="833" ht="15" customHeight="1" s="68">
      <c r="A833" s="70">
        <f>'01_원자료'!A830</f>
        <v/>
      </c>
      <c r="B833" s="70">
        <f>'01_원자료'!B830</f>
        <v/>
      </c>
      <c r="C833" s="70">
        <f>'01_원자료'!C830</f>
        <v/>
      </c>
      <c r="E833" s="85">
        <f>'01_원자료'!P830*'03_가중치민감도'!$B$5+'01_원자료'!Q830*'03_가중치민감도'!$C$5+'01_원자료'!R830*'03_가중치민감도'!$D$5</f>
        <v/>
      </c>
      <c r="F833" s="85">
        <f>'01_원자료'!P830*'03_가중치민감도'!$B$6+'01_원자료'!Q830*'03_가중치민감도'!$C$6+'01_원자료'!R830*'03_가중치민감도'!$D$6</f>
        <v/>
      </c>
      <c r="G833" s="85">
        <f>'01_원자료'!P830*'03_가중치민감도'!$B$7+'01_원자료'!Q830*'03_가중치민감도'!$C$7+'01_원자료'!R830*'03_가중치민감도'!$D$7</f>
        <v/>
      </c>
      <c r="H833" s="85">
        <f>'01_원자료'!P830*'03_가중치민감도'!$B$8+'01_원자료'!Q830*'03_가중치민감도'!$C$8+'01_원자료'!R830*'03_가중치민감도'!$D$8</f>
        <v/>
      </c>
      <c r="I833" s="85">
        <f>'01_원자료'!P830*'03_가중치민감도'!$B$9+'01_원자료'!Q830*'03_가중치민감도'!$C$9+'01_원자료'!R830*'03_가중치민감도'!$D$9</f>
        <v/>
      </c>
      <c r="J833" s="85">
        <f>'01_원자료'!P830*'03_가중치민감도'!$B$10+'01_원자료'!Q830*'03_가중치민감도'!$C$10+'01_원자료'!R830*'03_가중치민감도'!$D$10</f>
        <v/>
      </c>
      <c r="K833" s="99">
        <f>COUNTIF($E$5:$E$979,"&lt;"&amp;E833)+(COUNTIF($E$5:$E$979,"="&amp;E833)+1)/2</f>
        <v/>
      </c>
      <c r="L833" s="99">
        <f>COUNTIF($F$5:$F$979,"&lt;"&amp;F833)+(COUNTIF($F$5:$F$979,"="&amp;F833)+1)/2</f>
        <v/>
      </c>
      <c r="M833" s="99">
        <f>COUNTIF($G$5:$G$979,"&lt;"&amp;G833)+(COUNTIF($G$5:$G$979,"="&amp;G833)+1)/2</f>
        <v/>
      </c>
      <c r="N833" s="99">
        <f>COUNTIF($H$5:$H$979,"&lt;"&amp;H833)+(COUNTIF($H$5:$H$979,"="&amp;H833)+1)/2</f>
        <v/>
      </c>
      <c r="O833" s="99">
        <f>COUNTIF($I$5:$I$979,"&lt;"&amp;I833)+(COUNTIF($I$5:$I$979,"="&amp;I833)+1)/2</f>
        <v/>
      </c>
      <c r="P833" s="99">
        <f>COUNTIF($J$5:$J$979,"&lt;"&amp;J833)+(COUNTIF($J$5:$J$979,"="&amp;J833)+1)/2</f>
        <v/>
      </c>
    </row>
    <row r="834" ht="15" customHeight="1" s="68">
      <c r="A834" s="70">
        <f>'01_원자료'!A831</f>
        <v/>
      </c>
      <c r="B834" s="70">
        <f>'01_원자료'!B831</f>
        <v/>
      </c>
      <c r="C834" s="70">
        <f>'01_원자료'!C831</f>
        <v/>
      </c>
      <c r="E834" s="85">
        <f>'01_원자료'!P831*'03_가중치민감도'!$B$5+'01_원자료'!Q831*'03_가중치민감도'!$C$5+'01_원자료'!R831*'03_가중치민감도'!$D$5</f>
        <v/>
      </c>
      <c r="F834" s="85">
        <f>'01_원자료'!P831*'03_가중치민감도'!$B$6+'01_원자료'!Q831*'03_가중치민감도'!$C$6+'01_원자료'!R831*'03_가중치민감도'!$D$6</f>
        <v/>
      </c>
      <c r="G834" s="85">
        <f>'01_원자료'!P831*'03_가중치민감도'!$B$7+'01_원자료'!Q831*'03_가중치민감도'!$C$7+'01_원자료'!R831*'03_가중치민감도'!$D$7</f>
        <v/>
      </c>
      <c r="H834" s="85">
        <f>'01_원자료'!P831*'03_가중치민감도'!$B$8+'01_원자료'!Q831*'03_가중치민감도'!$C$8+'01_원자료'!R831*'03_가중치민감도'!$D$8</f>
        <v/>
      </c>
      <c r="I834" s="85">
        <f>'01_원자료'!P831*'03_가중치민감도'!$B$9+'01_원자료'!Q831*'03_가중치민감도'!$C$9+'01_원자료'!R831*'03_가중치민감도'!$D$9</f>
        <v/>
      </c>
      <c r="J834" s="85">
        <f>'01_원자료'!P831*'03_가중치민감도'!$B$10+'01_원자료'!Q831*'03_가중치민감도'!$C$10+'01_원자료'!R831*'03_가중치민감도'!$D$10</f>
        <v/>
      </c>
      <c r="K834" s="99">
        <f>COUNTIF($E$5:$E$979,"&lt;"&amp;E834)+(COUNTIF($E$5:$E$979,"="&amp;E834)+1)/2</f>
        <v/>
      </c>
      <c r="L834" s="99">
        <f>COUNTIF($F$5:$F$979,"&lt;"&amp;F834)+(COUNTIF($F$5:$F$979,"="&amp;F834)+1)/2</f>
        <v/>
      </c>
      <c r="M834" s="99">
        <f>COUNTIF($G$5:$G$979,"&lt;"&amp;G834)+(COUNTIF($G$5:$G$979,"="&amp;G834)+1)/2</f>
        <v/>
      </c>
      <c r="N834" s="99">
        <f>COUNTIF($H$5:$H$979,"&lt;"&amp;H834)+(COUNTIF($H$5:$H$979,"="&amp;H834)+1)/2</f>
        <v/>
      </c>
      <c r="O834" s="99">
        <f>COUNTIF($I$5:$I$979,"&lt;"&amp;I834)+(COUNTIF($I$5:$I$979,"="&amp;I834)+1)/2</f>
        <v/>
      </c>
      <c r="P834" s="99">
        <f>COUNTIF($J$5:$J$979,"&lt;"&amp;J834)+(COUNTIF($J$5:$J$979,"="&amp;J834)+1)/2</f>
        <v/>
      </c>
    </row>
    <row r="835" ht="15" customHeight="1" s="68">
      <c r="A835" s="70">
        <f>'01_원자료'!A832</f>
        <v/>
      </c>
      <c r="B835" s="70">
        <f>'01_원자료'!B832</f>
        <v/>
      </c>
      <c r="C835" s="70">
        <f>'01_원자료'!C832</f>
        <v/>
      </c>
      <c r="E835" s="85">
        <f>'01_원자료'!P832*'03_가중치민감도'!$B$5+'01_원자료'!Q832*'03_가중치민감도'!$C$5+'01_원자료'!R832*'03_가중치민감도'!$D$5</f>
        <v/>
      </c>
      <c r="F835" s="85">
        <f>'01_원자료'!P832*'03_가중치민감도'!$B$6+'01_원자료'!Q832*'03_가중치민감도'!$C$6+'01_원자료'!R832*'03_가중치민감도'!$D$6</f>
        <v/>
      </c>
      <c r="G835" s="85">
        <f>'01_원자료'!P832*'03_가중치민감도'!$B$7+'01_원자료'!Q832*'03_가중치민감도'!$C$7+'01_원자료'!R832*'03_가중치민감도'!$D$7</f>
        <v/>
      </c>
      <c r="H835" s="85">
        <f>'01_원자료'!P832*'03_가중치민감도'!$B$8+'01_원자료'!Q832*'03_가중치민감도'!$C$8+'01_원자료'!R832*'03_가중치민감도'!$D$8</f>
        <v/>
      </c>
      <c r="I835" s="85">
        <f>'01_원자료'!P832*'03_가중치민감도'!$B$9+'01_원자료'!Q832*'03_가중치민감도'!$C$9+'01_원자료'!R832*'03_가중치민감도'!$D$9</f>
        <v/>
      </c>
      <c r="J835" s="85">
        <f>'01_원자료'!P832*'03_가중치민감도'!$B$10+'01_원자료'!Q832*'03_가중치민감도'!$C$10+'01_원자료'!R832*'03_가중치민감도'!$D$10</f>
        <v/>
      </c>
      <c r="K835" s="99">
        <f>COUNTIF($E$5:$E$979,"&lt;"&amp;E835)+(COUNTIF($E$5:$E$979,"="&amp;E835)+1)/2</f>
        <v/>
      </c>
      <c r="L835" s="99">
        <f>COUNTIF($F$5:$F$979,"&lt;"&amp;F835)+(COUNTIF($F$5:$F$979,"="&amp;F835)+1)/2</f>
        <v/>
      </c>
      <c r="M835" s="99">
        <f>COUNTIF($G$5:$G$979,"&lt;"&amp;G835)+(COUNTIF($G$5:$G$979,"="&amp;G835)+1)/2</f>
        <v/>
      </c>
      <c r="N835" s="99">
        <f>COUNTIF($H$5:$H$979,"&lt;"&amp;H835)+(COUNTIF($H$5:$H$979,"="&amp;H835)+1)/2</f>
        <v/>
      </c>
      <c r="O835" s="99">
        <f>COUNTIF($I$5:$I$979,"&lt;"&amp;I835)+(COUNTIF($I$5:$I$979,"="&amp;I835)+1)/2</f>
        <v/>
      </c>
      <c r="P835" s="99">
        <f>COUNTIF($J$5:$J$979,"&lt;"&amp;J835)+(COUNTIF($J$5:$J$979,"="&amp;J835)+1)/2</f>
        <v/>
      </c>
    </row>
    <row r="836" ht="15" customHeight="1" s="68">
      <c r="A836" s="70">
        <f>'01_원자료'!A833</f>
        <v/>
      </c>
      <c r="B836" s="70">
        <f>'01_원자료'!B833</f>
        <v/>
      </c>
      <c r="C836" s="70">
        <f>'01_원자료'!C833</f>
        <v/>
      </c>
      <c r="E836" s="85">
        <f>'01_원자료'!P833*'03_가중치민감도'!$B$5+'01_원자료'!Q833*'03_가중치민감도'!$C$5+'01_원자료'!R833*'03_가중치민감도'!$D$5</f>
        <v/>
      </c>
      <c r="F836" s="85">
        <f>'01_원자료'!P833*'03_가중치민감도'!$B$6+'01_원자료'!Q833*'03_가중치민감도'!$C$6+'01_원자료'!R833*'03_가중치민감도'!$D$6</f>
        <v/>
      </c>
      <c r="G836" s="85">
        <f>'01_원자료'!P833*'03_가중치민감도'!$B$7+'01_원자료'!Q833*'03_가중치민감도'!$C$7+'01_원자료'!R833*'03_가중치민감도'!$D$7</f>
        <v/>
      </c>
      <c r="H836" s="85">
        <f>'01_원자료'!P833*'03_가중치민감도'!$B$8+'01_원자료'!Q833*'03_가중치민감도'!$C$8+'01_원자료'!R833*'03_가중치민감도'!$D$8</f>
        <v/>
      </c>
      <c r="I836" s="85">
        <f>'01_원자료'!P833*'03_가중치민감도'!$B$9+'01_원자료'!Q833*'03_가중치민감도'!$C$9+'01_원자료'!R833*'03_가중치민감도'!$D$9</f>
        <v/>
      </c>
      <c r="J836" s="85">
        <f>'01_원자료'!P833*'03_가중치민감도'!$B$10+'01_원자료'!Q833*'03_가중치민감도'!$C$10+'01_원자료'!R833*'03_가중치민감도'!$D$10</f>
        <v/>
      </c>
      <c r="K836" s="99">
        <f>COUNTIF($E$5:$E$979,"&lt;"&amp;E836)+(COUNTIF($E$5:$E$979,"="&amp;E836)+1)/2</f>
        <v/>
      </c>
      <c r="L836" s="99">
        <f>COUNTIF($F$5:$F$979,"&lt;"&amp;F836)+(COUNTIF($F$5:$F$979,"="&amp;F836)+1)/2</f>
        <v/>
      </c>
      <c r="M836" s="99">
        <f>COUNTIF($G$5:$G$979,"&lt;"&amp;G836)+(COUNTIF($G$5:$G$979,"="&amp;G836)+1)/2</f>
        <v/>
      </c>
      <c r="N836" s="99">
        <f>COUNTIF($H$5:$H$979,"&lt;"&amp;H836)+(COUNTIF($H$5:$H$979,"="&amp;H836)+1)/2</f>
        <v/>
      </c>
      <c r="O836" s="99">
        <f>COUNTIF($I$5:$I$979,"&lt;"&amp;I836)+(COUNTIF($I$5:$I$979,"="&amp;I836)+1)/2</f>
        <v/>
      </c>
      <c r="P836" s="99">
        <f>COUNTIF($J$5:$J$979,"&lt;"&amp;J836)+(COUNTIF($J$5:$J$979,"="&amp;J836)+1)/2</f>
        <v/>
      </c>
    </row>
    <row r="837" ht="15" customHeight="1" s="68">
      <c r="A837" s="70">
        <f>'01_원자료'!A834</f>
        <v/>
      </c>
      <c r="B837" s="70">
        <f>'01_원자료'!B834</f>
        <v/>
      </c>
      <c r="C837" s="70">
        <f>'01_원자료'!C834</f>
        <v/>
      </c>
      <c r="E837" s="85">
        <f>'01_원자료'!P834*'03_가중치민감도'!$B$5+'01_원자료'!Q834*'03_가중치민감도'!$C$5+'01_원자료'!R834*'03_가중치민감도'!$D$5</f>
        <v/>
      </c>
      <c r="F837" s="85">
        <f>'01_원자료'!P834*'03_가중치민감도'!$B$6+'01_원자료'!Q834*'03_가중치민감도'!$C$6+'01_원자료'!R834*'03_가중치민감도'!$D$6</f>
        <v/>
      </c>
      <c r="G837" s="85">
        <f>'01_원자료'!P834*'03_가중치민감도'!$B$7+'01_원자료'!Q834*'03_가중치민감도'!$C$7+'01_원자료'!R834*'03_가중치민감도'!$D$7</f>
        <v/>
      </c>
      <c r="H837" s="85">
        <f>'01_원자료'!P834*'03_가중치민감도'!$B$8+'01_원자료'!Q834*'03_가중치민감도'!$C$8+'01_원자료'!R834*'03_가중치민감도'!$D$8</f>
        <v/>
      </c>
      <c r="I837" s="85">
        <f>'01_원자료'!P834*'03_가중치민감도'!$B$9+'01_원자료'!Q834*'03_가중치민감도'!$C$9+'01_원자료'!R834*'03_가중치민감도'!$D$9</f>
        <v/>
      </c>
      <c r="J837" s="85">
        <f>'01_원자료'!P834*'03_가중치민감도'!$B$10+'01_원자료'!Q834*'03_가중치민감도'!$C$10+'01_원자료'!R834*'03_가중치민감도'!$D$10</f>
        <v/>
      </c>
      <c r="K837" s="99">
        <f>COUNTIF($E$5:$E$979,"&lt;"&amp;E837)+(COUNTIF($E$5:$E$979,"="&amp;E837)+1)/2</f>
        <v/>
      </c>
      <c r="L837" s="99">
        <f>COUNTIF($F$5:$F$979,"&lt;"&amp;F837)+(COUNTIF($F$5:$F$979,"="&amp;F837)+1)/2</f>
        <v/>
      </c>
      <c r="M837" s="99">
        <f>COUNTIF($G$5:$G$979,"&lt;"&amp;G837)+(COUNTIF($G$5:$G$979,"="&amp;G837)+1)/2</f>
        <v/>
      </c>
      <c r="N837" s="99">
        <f>COUNTIF($H$5:$H$979,"&lt;"&amp;H837)+(COUNTIF($H$5:$H$979,"="&amp;H837)+1)/2</f>
        <v/>
      </c>
      <c r="O837" s="99">
        <f>COUNTIF($I$5:$I$979,"&lt;"&amp;I837)+(COUNTIF($I$5:$I$979,"="&amp;I837)+1)/2</f>
        <v/>
      </c>
      <c r="P837" s="99">
        <f>COUNTIF($J$5:$J$979,"&lt;"&amp;J837)+(COUNTIF($J$5:$J$979,"="&amp;J837)+1)/2</f>
        <v/>
      </c>
    </row>
    <row r="838" ht="15" customHeight="1" s="68">
      <c r="A838" s="70">
        <f>'01_원자료'!A835</f>
        <v/>
      </c>
      <c r="B838" s="70">
        <f>'01_원자료'!B835</f>
        <v/>
      </c>
      <c r="C838" s="70">
        <f>'01_원자료'!C835</f>
        <v/>
      </c>
      <c r="E838" s="85">
        <f>'01_원자료'!P835*'03_가중치민감도'!$B$5+'01_원자료'!Q835*'03_가중치민감도'!$C$5+'01_원자료'!R835*'03_가중치민감도'!$D$5</f>
        <v/>
      </c>
      <c r="F838" s="85">
        <f>'01_원자료'!P835*'03_가중치민감도'!$B$6+'01_원자료'!Q835*'03_가중치민감도'!$C$6+'01_원자료'!R835*'03_가중치민감도'!$D$6</f>
        <v/>
      </c>
      <c r="G838" s="85">
        <f>'01_원자료'!P835*'03_가중치민감도'!$B$7+'01_원자료'!Q835*'03_가중치민감도'!$C$7+'01_원자료'!R835*'03_가중치민감도'!$D$7</f>
        <v/>
      </c>
      <c r="H838" s="85">
        <f>'01_원자료'!P835*'03_가중치민감도'!$B$8+'01_원자료'!Q835*'03_가중치민감도'!$C$8+'01_원자료'!R835*'03_가중치민감도'!$D$8</f>
        <v/>
      </c>
      <c r="I838" s="85">
        <f>'01_원자료'!P835*'03_가중치민감도'!$B$9+'01_원자료'!Q835*'03_가중치민감도'!$C$9+'01_원자료'!R835*'03_가중치민감도'!$D$9</f>
        <v/>
      </c>
      <c r="J838" s="85">
        <f>'01_원자료'!P835*'03_가중치민감도'!$B$10+'01_원자료'!Q835*'03_가중치민감도'!$C$10+'01_원자료'!R835*'03_가중치민감도'!$D$10</f>
        <v/>
      </c>
      <c r="K838" s="99">
        <f>COUNTIF($E$5:$E$979,"&lt;"&amp;E838)+(COUNTIF($E$5:$E$979,"="&amp;E838)+1)/2</f>
        <v/>
      </c>
      <c r="L838" s="99">
        <f>COUNTIF($F$5:$F$979,"&lt;"&amp;F838)+(COUNTIF($F$5:$F$979,"="&amp;F838)+1)/2</f>
        <v/>
      </c>
      <c r="M838" s="99">
        <f>COUNTIF($G$5:$G$979,"&lt;"&amp;G838)+(COUNTIF($G$5:$G$979,"="&amp;G838)+1)/2</f>
        <v/>
      </c>
      <c r="N838" s="99">
        <f>COUNTIF($H$5:$H$979,"&lt;"&amp;H838)+(COUNTIF($H$5:$H$979,"="&amp;H838)+1)/2</f>
        <v/>
      </c>
      <c r="O838" s="99">
        <f>COUNTIF($I$5:$I$979,"&lt;"&amp;I838)+(COUNTIF($I$5:$I$979,"="&amp;I838)+1)/2</f>
        <v/>
      </c>
      <c r="P838" s="99">
        <f>COUNTIF($J$5:$J$979,"&lt;"&amp;J838)+(COUNTIF($J$5:$J$979,"="&amp;J838)+1)/2</f>
        <v/>
      </c>
    </row>
    <row r="839" ht="15" customHeight="1" s="68">
      <c r="A839" s="70">
        <f>'01_원자료'!A836</f>
        <v/>
      </c>
      <c r="B839" s="70">
        <f>'01_원자료'!B836</f>
        <v/>
      </c>
      <c r="C839" s="70">
        <f>'01_원자료'!C836</f>
        <v/>
      </c>
      <c r="E839" s="85">
        <f>'01_원자료'!P836*'03_가중치민감도'!$B$5+'01_원자료'!Q836*'03_가중치민감도'!$C$5+'01_원자료'!R836*'03_가중치민감도'!$D$5</f>
        <v/>
      </c>
      <c r="F839" s="85">
        <f>'01_원자료'!P836*'03_가중치민감도'!$B$6+'01_원자료'!Q836*'03_가중치민감도'!$C$6+'01_원자료'!R836*'03_가중치민감도'!$D$6</f>
        <v/>
      </c>
      <c r="G839" s="85">
        <f>'01_원자료'!P836*'03_가중치민감도'!$B$7+'01_원자료'!Q836*'03_가중치민감도'!$C$7+'01_원자료'!R836*'03_가중치민감도'!$D$7</f>
        <v/>
      </c>
      <c r="H839" s="85">
        <f>'01_원자료'!P836*'03_가중치민감도'!$B$8+'01_원자료'!Q836*'03_가중치민감도'!$C$8+'01_원자료'!R836*'03_가중치민감도'!$D$8</f>
        <v/>
      </c>
      <c r="I839" s="85">
        <f>'01_원자료'!P836*'03_가중치민감도'!$B$9+'01_원자료'!Q836*'03_가중치민감도'!$C$9+'01_원자료'!R836*'03_가중치민감도'!$D$9</f>
        <v/>
      </c>
      <c r="J839" s="85">
        <f>'01_원자료'!P836*'03_가중치민감도'!$B$10+'01_원자료'!Q836*'03_가중치민감도'!$C$10+'01_원자료'!R836*'03_가중치민감도'!$D$10</f>
        <v/>
      </c>
      <c r="K839" s="99">
        <f>COUNTIF($E$5:$E$979,"&lt;"&amp;E839)+(COUNTIF($E$5:$E$979,"="&amp;E839)+1)/2</f>
        <v/>
      </c>
      <c r="L839" s="99">
        <f>COUNTIF($F$5:$F$979,"&lt;"&amp;F839)+(COUNTIF($F$5:$F$979,"="&amp;F839)+1)/2</f>
        <v/>
      </c>
      <c r="M839" s="99">
        <f>COUNTIF($G$5:$G$979,"&lt;"&amp;G839)+(COUNTIF($G$5:$G$979,"="&amp;G839)+1)/2</f>
        <v/>
      </c>
      <c r="N839" s="99">
        <f>COUNTIF($H$5:$H$979,"&lt;"&amp;H839)+(COUNTIF($H$5:$H$979,"="&amp;H839)+1)/2</f>
        <v/>
      </c>
      <c r="O839" s="99">
        <f>COUNTIF($I$5:$I$979,"&lt;"&amp;I839)+(COUNTIF($I$5:$I$979,"="&amp;I839)+1)/2</f>
        <v/>
      </c>
      <c r="P839" s="99">
        <f>COUNTIF($J$5:$J$979,"&lt;"&amp;J839)+(COUNTIF($J$5:$J$979,"="&amp;J839)+1)/2</f>
        <v/>
      </c>
    </row>
    <row r="840" ht="15" customHeight="1" s="68">
      <c r="A840" s="70">
        <f>'01_원자료'!A837</f>
        <v/>
      </c>
      <c r="B840" s="70">
        <f>'01_원자료'!B837</f>
        <v/>
      </c>
      <c r="C840" s="70">
        <f>'01_원자료'!C837</f>
        <v/>
      </c>
      <c r="E840" s="85">
        <f>'01_원자료'!P837*'03_가중치민감도'!$B$5+'01_원자료'!Q837*'03_가중치민감도'!$C$5+'01_원자료'!R837*'03_가중치민감도'!$D$5</f>
        <v/>
      </c>
      <c r="F840" s="85">
        <f>'01_원자료'!P837*'03_가중치민감도'!$B$6+'01_원자료'!Q837*'03_가중치민감도'!$C$6+'01_원자료'!R837*'03_가중치민감도'!$D$6</f>
        <v/>
      </c>
      <c r="G840" s="85">
        <f>'01_원자료'!P837*'03_가중치민감도'!$B$7+'01_원자료'!Q837*'03_가중치민감도'!$C$7+'01_원자료'!R837*'03_가중치민감도'!$D$7</f>
        <v/>
      </c>
      <c r="H840" s="85">
        <f>'01_원자료'!P837*'03_가중치민감도'!$B$8+'01_원자료'!Q837*'03_가중치민감도'!$C$8+'01_원자료'!R837*'03_가중치민감도'!$D$8</f>
        <v/>
      </c>
      <c r="I840" s="85">
        <f>'01_원자료'!P837*'03_가중치민감도'!$B$9+'01_원자료'!Q837*'03_가중치민감도'!$C$9+'01_원자료'!R837*'03_가중치민감도'!$D$9</f>
        <v/>
      </c>
      <c r="J840" s="85">
        <f>'01_원자료'!P837*'03_가중치민감도'!$B$10+'01_원자료'!Q837*'03_가중치민감도'!$C$10+'01_원자료'!R837*'03_가중치민감도'!$D$10</f>
        <v/>
      </c>
      <c r="K840" s="99">
        <f>COUNTIF($E$5:$E$979,"&lt;"&amp;E840)+(COUNTIF($E$5:$E$979,"="&amp;E840)+1)/2</f>
        <v/>
      </c>
      <c r="L840" s="99">
        <f>COUNTIF($F$5:$F$979,"&lt;"&amp;F840)+(COUNTIF($F$5:$F$979,"="&amp;F840)+1)/2</f>
        <v/>
      </c>
      <c r="M840" s="99">
        <f>COUNTIF($G$5:$G$979,"&lt;"&amp;G840)+(COUNTIF($G$5:$G$979,"="&amp;G840)+1)/2</f>
        <v/>
      </c>
      <c r="N840" s="99">
        <f>COUNTIF($H$5:$H$979,"&lt;"&amp;H840)+(COUNTIF($H$5:$H$979,"="&amp;H840)+1)/2</f>
        <v/>
      </c>
      <c r="O840" s="99">
        <f>COUNTIF($I$5:$I$979,"&lt;"&amp;I840)+(COUNTIF($I$5:$I$979,"="&amp;I840)+1)/2</f>
        <v/>
      </c>
      <c r="P840" s="99">
        <f>COUNTIF($J$5:$J$979,"&lt;"&amp;J840)+(COUNTIF($J$5:$J$979,"="&amp;J840)+1)/2</f>
        <v/>
      </c>
    </row>
    <row r="841" ht="15" customHeight="1" s="68">
      <c r="A841" s="70">
        <f>'01_원자료'!A838</f>
        <v/>
      </c>
      <c r="B841" s="70">
        <f>'01_원자료'!B838</f>
        <v/>
      </c>
      <c r="C841" s="70">
        <f>'01_원자료'!C838</f>
        <v/>
      </c>
      <c r="E841" s="85">
        <f>'01_원자료'!P838*'03_가중치민감도'!$B$5+'01_원자료'!Q838*'03_가중치민감도'!$C$5+'01_원자료'!R838*'03_가중치민감도'!$D$5</f>
        <v/>
      </c>
      <c r="F841" s="85">
        <f>'01_원자료'!P838*'03_가중치민감도'!$B$6+'01_원자료'!Q838*'03_가중치민감도'!$C$6+'01_원자료'!R838*'03_가중치민감도'!$D$6</f>
        <v/>
      </c>
      <c r="G841" s="85">
        <f>'01_원자료'!P838*'03_가중치민감도'!$B$7+'01_원자료'!Q838*'03_가중치민감도'!$C$7+'01_원자료'!R838*'03_가중치민감도'!$D$7</f>
        <v/>
      </c>
      <c r="H841" s="85">
        <f>'01_원자료'!P838*'03_가중치민감도'!$B$8+'01_원자료'!Q838*'03_가중치민감도'!$C$8+'01_원자료'!R838*'03_가중치민감도'!$D$8</f>
        <v/>
      </c>
      <c r="I841" s="85">
        <f>'01_원자료'!P838*'03_가중치민감도'!$B$9+'01_원자료'!Q838*'03_가중치민감도'!$C$9+'01_원자료'!R838*'03_가중치민감도'!$D$9</f>
        <v/>
      </c>
      <c r="J841" s="85">
        <f>'01_원자료'!P838*'03_가중치민감도'!$B$10+'01_원자료'!Q838*'03_가중치민감도'!$C$10+'01_원자료'!R838*'03_가중치민감도'!$D$10</f>
        <v/>
      </c>
      <c r="K841" s="99">
        <f>COUNTIF($E$5:$E$979,"&lt;"&amp;E841)+(COUNTIF($E$5:$E$979,"="&amp;E841)+1)/2</f>
        <v/>
      </c>
      <c r="L841" s="99">
        <f>COUNTIF($F$5:$F$979,"&lt;"&amp;F841)+(COUNTIF($F$5:$F$979,"="&amp;F841)+1)/2</f>
        <v/>
      </c>
      <c r="M841" s="99">
        <f>COUNTIF($G$5:$G$979,"&lt;"&amp;G841)+(COUNTIF($G$5:$G$979,"="&amp;G841)+1)/2</f>
        <v/>
      </c>
      <c r="N841" s="99">
        <f>COUNTIF($H$5:$H$979,"&lt;"&amp;H841)+(COUNTIF($H$5:$H$979,"="&amp;H841)+1)/2</f>
        <v/>
      </c>
      <c r="O841" s="99">
        <f>COUNTIF($I$5:$I$979,"&lt;"&amp;I841)+(COUNTIF($I$5:$I$979,"="&amp;I841)+1)/2</f>
        <v/>
      </c>
      <c r="P841" s="99">
        <f>COUNTIF($J$5:$J$979,"&lt;"&amp;J841)+(COUNTIF($J$5:$J$979,"="&amp;J841)+1)/2</f>
        <v/>
      </c>
    </row>
    <row r="842" ht="15" customHeight="1" s="68">
      <c r="A842" s="70">
        <f>'01_원자료'!A839</f>
        <v/>
      </c>
      <c r="B842" s="70">
        <f>'01_원자료'!B839</f>
        <v/>
      </c>
      <c r="C842" s="70">
        <f>'01_원자료'!C839</f>
        <v/>
      </c>
      <c r="E842" s="85">
        <f>'01_원자료'!P839*'03_가중치민감도'!$B$5+'01_원자료'!Q839*'03_가중치민감도'!$C$5+'01_원자료'!R839*'03_가중치민감도'!$D$5</f>
        <v/>
      </c>
      <c r="F842" s="85">
        <f>'01_원자료'!P839*'03_가중치민감도'!$B$6+'01_원자료'!Q839*'03_가중치민감도'!$C$6+'01_원자료'!R839*'03_가중치민감도'!$D$6</f>
        <v/>
      </c>
      <c r="G842" s="85">
        <f>'01_원자료'!P839*'03_가중치민감도'!$B$7+'01_원자료'!Q839*'03_가중치민감도'!$C$7+'01_원자료'!R839*'03_가중치민감도'!$D$7</f>
        <v/>
      </c>
      <c r="H842" s="85">
        <f>'01_원자료'!P839*'03_가중치민감도'!$B$8+'01_원자료'!Q839*'03_가중치민감도'!$C$8+'01_원자료'!R839*'03_가중치민감도'!$D$8</f>
        <v/>
      </c>
      <c r="I842" s="85">
        <f>'01_원자료'!P839*'03_가중치민감도'!$B$9+'01_원자료'!Q839*'03_가중치민감도'!$C$9+'01_원자료'!R839*'03_가중치민감도'!$D$9</f>
        <v/>
      </c>
      <c r="J842" s="85">
        <f>'01_원자료'!P839*'03_가중치민감도'!$B$10+'01_원자료'!Q839*'03_가중치민감도'!$C$10+'01_원자료'!R839*'03_가중치민감도'!$D$10</f>
        <v/>
      </c>
      <c r="K842" s="99">
        <f>COUNTIF($E$5:$E$979,"&lt;"&amp;E842)+(COUNTIF($E$5:$E$979,"="&amp;E842)+1)/2</f>
        <v/>
      </c>
      <c r="L842" s="99">
        <f>COUNTIF($F$5:$F$979,"&lt;"&amp;F842)+(COUNTIF($F$5:$F$979,"="&amp;F842)+1)/2</f>
        <v/>
      </c>
      <c r="M842" s="99">
        <f>COUNTIF($G$5:$G$979,"&lt;"&amp;G842)+(COUNTIF($G$5:$G$979,"="&amp;G842)+1)/2</f>
        <v/>
      </c>
      <c r="N842" s="99">
        <f>COUNTIF($H$5:$H$979,"&lt;"&amp;H842)+(COUNTIF($H$5:$H$979,"="&amp;H842)+1)/2</f>
        <v/>
      </c>
      <c r="O842" s="99">
        <f>COUNTIF($I$5:$I$979,"&lt;"&amp;I842)+(COUNTIF($I$5:$I$979,"="&amp;I842)+1)/2</f>
        <v/>
      </c>
      <c r="P842" s="99">
        <f>COUNTIF($J$5:$J$979,"&lt;"&amp;J842)+(COUNTIF($J$5:$J$979,"="&amp;J842)+1)/2</f>
        <v/>
      </c>
    </row>
    <row r="843" ht="15" customHeight="1" s="68">
      <c r="A843" s="70">
        <f>'01_원자료'!A840</f>
        <v/>
      </c>
      <c r="B843" s="70">
        <f>'01_원자료'!B840</f>
        <v/>
      </c>
      <c r="C843" s="70">
        <f>'01_원자료'!C840</f>
        <v/>
      </c>
      <c r="E843" s="85">
        <f>'01_원자료'!P840*'03_가중치민감도'!$B$5+'01_원자료'!Q840*'03_가중치민감도'!$C$5+'01_원자료'!R840*'03_가중치민감도'!$D$5</f>
        <v/>
      </c>
      <c r="F843" s="85">
        <f>'01_원자료'!P840*'03_가중치민감도'!$B$6+'01_원자료'!Q840*'03_가중치민감도'!$C$6+'01_원자료'!R840*'03_가중치민감도'!$D$6</f>
        <v/>
      </c>
      <c r="G843" s="85">
        <f>'01_원자료'!P840*'03_가중치민감도'!$B$7+'01_원자료'!Q840*'03_가중치민감도'!$C$7+'01_원자료'!R840*'03_가중치민감도'!$D$7</f>
        <v/>
      </c>
      <c r="H843" s="85">
        <f>'01_원자료'!P840*'03_가중치민감도'!$B$8+'01_원자료'!Q840*'03_가중치민감도'!$C$8+'01_원자료'!R840*'03_가중치민감도'!$D$8</f>
        <v/>
      </c>
      <c r="I843" s="85">
        <f>'01_원자료'!P840*'03_가중치민감도'!$B$9+'01_원자료'!Q840*'03_가중치민감도'!$C$9+'01_원자료'!R840*'03_가중치민감도'!$D$9</f>
        <v/>
      </c>
      <c r="J843" s="85">
        <f>'01_원자료'!P840*'03_가중치민감도'!$B$10+'01_원자료'!Q840*'03_가중치민감도'!$C$10+'01_원자료'!R840*'03_가중치민감도'!$D$10</f>
        <v/>
      </c>
      <c r="K843" s="99">
        <f>COUNTIF($E$5:$E$979,"&lt;"&amp;E843)+(COUNTIF($E$5:$E$979,"="&amp;E843)+1)/2</f>
        <v/>
      </c>
      <c r="L843" s="99">
        <f>COUNTIF($F$5:$F$979,"&lt;"&amp;F843)+(COUNTIF($F$5:$F$979,"="&amp;F843)+1)/2</f>
        <v/>
      </c>
      <c r="M843" s="99">
        <f>COUNTIF($G$5:$G$979,"&lt;"&amp;G843)+(COUNTIF($G$5:$G$979,"="&amp;G843)+1)/2</f>
        <v/>
      </c>
      <c r="N843" s="99">
        <f>COUNTIF($H$5:$H$979,"&lt;"&amp;H843)+(COUNTIF($H$5:$H$979,"="&amp;H843)+1)/2</f>
        <v/>
      </c>
      <c r="O843" s="99">
        <f>COUNTIF($I$5:$I$979,"&lt;"&amp;I843)+(COUNTIF($I$5:$I$979,"="&amp;I843)+1)/2</f>
        <v/>
      </c>
      <c r="P843" s="99">
        <f>COUNTIF($J$5:$J$979,"&lt;"&amp;J843)+(COUNTIF($J$5:$J$979,"="&amp;J843)+1)/2</f>
        <v/>
      </c>
    </row>
    <row r="844" ht="15" customHeight="1" s="68">
      <c r="A844" s="70">
        <f>'01_원자료'!A841</f>
        <v/>
      </c>
      <c r="B844" s="70">
        <f>'01_원자료'!B841</f>
        <v/>
      </c>
      <c r="C844" s="70">
        <f>'01_원자료'!C841</f>
        <v/>
      </c>
      <c r="E844" s="85">
        <f>'01_원자료'!P841*'03_가중치민감도'!$B$5+'01_원자료'!Q841*'03_가중치민감도'!$C$5+'01_원자료'!R841*'03_가중치민감도'!$D$5</f>
        <v/>
      </c>
      <c r="F844" s="85">
        <f>'01_원자료'!P841*'03_가중치민감도'!$B$6+'01_원자료'!Q841*'03_가중치민감도'!$C$6+'01_원자료'!R841*'03_가중치민감도'!$D$6</f>
        <v/>
      </c>
      <c r="G844" s="85">
        <f>'01_원자료'!P841*'03_가중치민감도'!$B$7+'01_원자료'!Q841*'03_가중치민감도'!$C$7+'01_원자료'!R841*'03_가중치민감도'!$D$7</f>
        <v/>
      </c>
      <c r="H844" s="85">
        <f>'01_원자료'!P841*'03_가중치민감도'!$B$8+'01_원자료'!Q841*'03_가중치민감도'!$C$8+'01_원자료'!R841*'03_가중치민감도'!$D$8</f>
        <v/>
      </c>
      <c r="I844" s="85">
        <f>'01_원자료'!P841*'03_가중치민감도'!$B$9+'01_원자료'!Q841*'03_가중치민감도'!$C$9+'01_원자료'!R841*'03_가중치민감도'!$D$9</f>
        <v/>
      </c>
      <c r="J844" s="85">
        <f>'01_원자료'!P841*'03_가중치민감도'!$B$10+'01_원자료'!Q841*'03_가중치민감도'!$C$10+'01_원자료'!R841*'03_가중치민감도'!$D$10</f>
        <v/>
      </c>
      <c r="K844" s="99">
        <f>COUNTIF($E$5:$E$979,"&lt;"&amp;E844)+(COUNTIF($E$5:$E$979,"="&amp;E844)+1)/2</f>
        <v/>
      </c>
      <c r="L844" s="99">
        <f>COUNTIF($F$5:$F$979,"&lt;"&amp;F844)+(COUNTIF($F$5:$F$979,"="&amp;F844)+1)/2</f>
        <v/>
      </c>
      <c r="M844" s="99">
        <f>COUNTIF($G$5:$G$979,"&lt;"&amp;G844)+(COUNTIF($G$5:$G$979,"="&amp;G844)+1)/2</f>
        <v/>
      </c>
      <c r="N844" s="99">
        <f>COUNTIF($H$5:$H$979,"&lt;"&amp;H844)+(COUNTIF($H$5:$H$979,"="&amp;H844)+1)/2</f>
        <v/>
      </c>
      <c r="O844" s="99">
        <f>COUNTIF($I$5:$I$979,"&lt;"&amp;I844)+(COUNTIF($I$5:$I$979,"="&amp;I844)+1)/2</f>
        <v/>
      </c>
      <c r="P844" s="99">
        <f>COUNTIF($J$5:$J$979,"&lt;"&amp;J844)+(COUNTIF($J$5:$J$979,"="&amp;J844)+1)/2</f>
        <v/>
      </c>
    </row>
    <row r="845" ht="15" customHeight="1" s="68">
      <c r="A845" s="70">
        <f>'01_원자료'!A842</f>
        <v/>
      </c>
      <c r="B845" s="70">
        <f>'01_원자료'!B842</f>
        <v/>
      </c>
      <c r="C845" s="70">
        <f>'01_원자료'!C842</f>
        <v/>
      </c>
      <c r="E845" s="85">
        <f>'01_원자료'!P842*'03_가중치민감도'!$B$5+'01_원자료'!Q842*'03_가중치민감도'!$C$5+'01_원자료'!R842*'03_가중치민감도'!$D$5</f>
        <v/>
      </c>
      <c r="F845" s="85">
        <f>'01_원자료'!P842*'03_가중치민감도'!$B$6+'01_원자료'!Q842*'03_가중치민감도'!$C$6+'01_원자료'!R842*'03_가중치민감도'!$D$6</f>
        <v/>
      </c>
      <c r="G845" s="85">
        <f>'01_원자료'!P842*'03_가중치민감도'!$B$7+'01_원자료'!Q842*'03_가중치민감도'!$C$7+'01_원자료'!R842*'03_가중치민감도'!$D$7</f>
        <v/>
      </c>
      <c r="H845" s="85">
        <f>'01_원자료'!P842*'03_가중치민감도'!$B$8+'01_원자료'!Q842*'03_가중치민감도'!$C$8+'01_원자료'!R842*'03_가중치민감도'!$D$8</f>
        <v/>
      </c>
      <c r="I845" s="85">
        <f>'01_원자료'!P842*'03_가중치민감도'!$B$9+'01_원자료'!Q842*'03_가중치민감도'!$C$9+'01_원자료'!R842*'03_가중치민감도'!$D$9</f>
        <v/>
      </c>
      <c r="J845" s="85">
        <f>'01_원자료'!P842*'03_가중치민감도'!$B$10+'01_원자료'!Q842*'03_가중치민감도'!$C$10+'01_원자료'!R842*'03_가중치민감도'!$D$10</f>
        <v/>
      </c>
      <c r="K845" s="99">
        <f>COUNTIF($E$5:$E$979,"&lt;"&amp;E845)+(COUNTIF($E$5:$E$979,"="&amp;E845)+1)/2</f>
        <v/>
      </c>
      <c r="L845" s="99">
        <f>COUNTIF($F$5:$F$979,"&lt;"&amp;F845)+(COUNTIF($F$5:$F$979,"="&amp;F845)+1)/2</f>
        <v/>
      </c>
      <c r="M845" s="99">
        <f>COUNTIF($G$5:$G$979,"&lt;"&amp;G845)+(COUNTIF($G$5:$G$979,"="&amp;G845)+1)/2</f>
        <v/>
      </c>
      <c r="N845" s="99">
        <f>COUNTIF($H$5:$H$979,"&lt;"&amp;H845)+(COUNTIF($H$5:$H$979,"="&amp;H845)+1)/2</f>
        <v/>
      </c>
      <c r="O845" s="99">
        <f>COUNTIF($I$5:$I$979,"&lt;"&amp;I845)+(COUNTIF($I$5:$I$979,"="&amp;I845)+1)/2</f>
        <v/>
      </c>
      <c r="P845" s="99">
        <f>COUNTIF($J$5:$J$979,"&lt;"&amp;J845)+(COUNTIF($J$5:$J$979,"="&amp;J845)+1)/2</f>
        <v/>
      </c>
    </row>
    <row r="846" ht="15" customHeight="1" s="68">
      <c r="A846" s="70">
        <f>'01_원자료'!A843</f>
        <v/>
      </c>
      <c r="B846" s="70">
        <f>'01_원자료'!B843</f>
        <v/>
      </c>
      <c r="C846" s="70">
        <f>'01_원자료'!C843</f>
        <v/>
      </c>
      <c r="E846" s="85">
        <f>'01_원자료'!P843*'03_가중치민감도'!$B$5+'01_원자료'!Q843*'03_가중치민감도'!$C$5+'01_원자료'!R843*'03_가중치민감도'!$D$5</f>
        <v/>
      </c>
      <c r="F846" s="85">
        <f>'01_원자료'!P843*'03_가중치민감도'!$B$6+'01_원자료'!Q843*'03_가중치민감도'!$C$6+'01_원자료'!R843*'03_가중치민감도'!$D$6</f>
        <v/>
      </c>
      <c r="G846" s="85">
        <f>'01_원자료'!P843*'03_가중치민감도'!$B$7+'01_원자료'!Q843*'03_가중치민감도'!$C$7+'01_원자료'!R843*'03_가중치민감도'!$D$7</f>
        <v/>
      </c>
      <c r="H846" s="85">
        <f>'01_원자료'!P843*'03_가중치민감도'!$B$8+'01_원자료'!Q843*'03_가중치민감도'!$C$8+'01_원자료'!R843*'03_가중치민감도'!$D$8</f>
        <v/>
      </c>
      <c r="I846" s="85">
        <f>'01_원자료'!P843*'03_가중치민감도'!$B$9+'01_원자료'!Q843*'03_가중치민감도'!$C$9+'01_원자료'!R843*'03_가중치민감도'!$D$9</f>
        <v/>
      </c>
      <c r="J846" s="85">
        <f>'01_원자료'!P843*'03_가중치민감도'!$B$10+'01_원자료'!Q843*'03_가중치민감도'!$C$10+'01_원자료'!R843*'03_가중치민감도'!$D$10</f>
        <v/>
      </c>
      <c r="K846" s="99">
        <f>COUNTIF($E$5:$E$979,"&lt;"&amp;E846)+(COUNTIF($E$5:$E$979,"="&amp;E846)+1)/2</f>
        <v/>
      </c>
      <c r="L846" s="99">
        <f>COUNTIF($F$5:$F$979,"&lt;"&amp;F846)+(COUNTIF($F$5:$F$979,"="&amp;F846)+1)/2</f>
        <v/>
      </c>
      <c r="M846" s="99">
        <f>COUNTIF($G$5:$G$979,"&lt;"&amp;G846)+(COUNTIF($G$5:$G$979,"="&amp;G846)+1)/2</f>
        <v/>
      </c>
      <c r="N846" s="99">
        <f>COUNTIF($H$5:$H$979,"&lt;"&amp;H846)+(COUNTIF($H$5:$H$979,"="&amp;H846)+1)/2</f>
        <v/>
      </c>
      <c r="O846" s="99">
        <f>COUNTIF($I$5:$I$979,"&lt;"&amp;I846)+(COUNTIF($I$5:$I$979,"="&amp;I846)+1)/2</f>
        <v/>
      </c>
      <c r="P846" s="99">
        <f>COUNTIF($J$5:$J$979,"&lt;"&amp;J846)+(COUNTIF($J$5:$J$979,"="&amp;J846)+1)/2</f>
        <v/>
      </c>
    </row>
    <row r="847" ht="15" customHeight="1" s="68">
      <c r="A847" s="70">
        <f>'01_원자료'!A844</f>
        <v/>
      </c>
      <c r="B847" s="70">
        <f>'01_원자료'!B844</f>
        <v/>
      </c>
      <c r="C847" s="70">
        <f>'01_원자료'!C844</f>
        <v/>
      </c>
      <c r="E847" s="85">
        <f>'01_원자료'!P844*'03_가중치민감도'!$B$5+'01_원자료'!Q844*'03_가중치민감도'!$C$5+'01_원자료'!R844*'03_가중치민감도'!$D$5</f>
        <v/>
      </c>
      <c r="F847" s="85">
        <f>'01_원자료'!P844*'03_가중치민감도'!$B$6+'01_원자료'!Q844*'03_가중치민감도'!$C$6+'01_원자료'!R844*'03_가중치민감도'!$D$6</f>
        <v/>
      </c>
      <c r="G847" s="85">
        <f>'01_원자료'!P844*'03_가중치민감도'!$B$7+'01_원자료'!Q844*'03_가중치민감도'!$C$7+'01_원자료'!R844*'03_가중치민감도'!$D$7</f>
        <v/>
      </c>
      <c r="H847" s="85">
        <f>'01_원자료'!P844*'03_가중치민감도'!$B$8+'01_원자료'!Q844*'03_가중치민감도'!$C$8+'01_원자료'!R844*'03_가중치민감도'!$D$8</f>
        <v/>
      </c>
      <c r="I847" s="85">
        <f>'01_원자료'!P844*'03_가중치민감도'!$B$9+'01_원자료'!Q844*'03_가중치민감도'!$C$9+'01_원자료'!R844*'03_가중치민감도'!$D$9</f>
        <v/>
      </c>
      <c r="J847" s="85">
        <f>'01_원자료'!P844*'03_가중치민감도'!$B$10+'01_원자료'!Q844*'03_가중치민감도'!$C$10+'01_원자료'!R844*'03_가중치민감도'!$D$10</f>
        <v/>
      </c>
      <c r="K847" s="99">
        <f>COUNTIF($E$5:$E$979,"&lt;"&amp;E847)+(COUNTIF($E$5:$E$979,"="&amp;E847)+1)/2</f>
        <v/>
      </c>
      <c r="L847" s="99">
        <f>COUNTIF($F$5:$F$979,"&lt;"&amp;F847)+(COUNTIF($F$5:$F$979,"="&amp;F847)+1)/2</f>
        <v/>
      </c>
      <c r="M847" s="99">
        <f>COUNTIF($G$5:$G$979,"&lt;"&amp;G847)+(COUNTIF($G$5:$G$979,"="&amp;G847)+1)/2</f>
        <v/>
      </c>
      <c r="N847" s="99">
        <f>COUNTIF($H$5:$H$979,"&lt;"&amp;H847)+(COUNTIF($H$5:$H$979,"="&amp;H847)+1)/2</f>
        <v/>
      </c>
      <c r="O847" s="99">
        <f>COUNTIF($I$5:$I$979,"&lt;"&amp;I847)+(COUNTIF($I$5:$I$979,"="&amp;I847)+1)/2</f>
        <v/>
      </c>
      <c r="P847" s="99">
        <f>COUNTIF($J$5:$J$979,"&lt;"&amp;J847)+(COUNTIF($J$5:$J$979,"="&amp;J847)+1)/2</f>
        <v/>
      </c>
    </row>
    <row r="848" ht="15" customHeight="1" s="68">
      <c r="A848" s="70">
        <f>'01_원자료'!A845</f>
        <v/>
      </c>
      <c r="B848" s="70">
        <f>'01_원자료'!B845</f>
        <v/>
      </c>
      <c r="C848" s="70">
        <f>'01_원자료'!C845</f>
        <v/>
      </c>
      <c r="E848" s="85">
        <f>'01_원자료'!P845*'03_가중치민감도'!$B$5+'01_원자료'!Q845*'03_가중치민감도'!$C$5+'01_원자료'!R845*'03_가중치민감도'!$D$5</f>
        <v/>
      </c>
      <c r="F848" s="85">
        <f>'01_원자료'!P845*'03_가중치민감도'!$B$6+'01_원자료'!Q845*'03_가중치민감도'!$C$6+'01_원자료'!R845*'03_가중치민감도'!$D$6</f>
        <v/>
      </c>
      <c r="G848" s="85">
        <f>'01_원자료'!P845*'03_가중치민감도'!$B$7+'01_원자료'!Q845*'03_가중치민감도'!$C$7+'01_원자료'!R845*'03_가중치민감도'!$D$7</f>
        <v/>
      </c>
      <c r="H848" s="85">
        <f>'01_원자료'!P845*'03_가중치민감도'!$B$8+'01_원자료'!Q845*'03_가중치민감도'!$C$8+'01_원자료'!R845*'03_가중치민감도'!$D$8</f>
        <v/>
      </c>
      <c r="I848" s="85">
        <f>'01_원자료'!P845*'03_가중치민감도'!$B$9+'01_원자료'!Q845*'03_가중치민감도'!$C$9+'01_원자료'!R845*'03_가중치민감도'!$D$9</f>
        <v/>
      </c>
      <c r="J848" s="85">
        <f>'01_원자료'!P845*'03_가중치민감도'!$B$10+'01_원자료'!Q845*'03_가중치민감도'!$C$10+'01_원자료'!R845*'03_가중치민감도'!$D$10</f>
        <v/>
      </c>
      <c r="K848" s="99">
        <f>COUNTIF($E$5:$E$979,"&lt;"&amp;E848)+(COUNTIF($E$5:$E$979,"="&amp;E848)+1)/2</f>
        <v/>
      </c>
      <c r="L848" s="99">
        <f>COUNTIF($F$5:$F$979,"&lt;"&amp;F848)+(COUNTIF($F$5:$F$979,"="&amp;F848)+1)/2</f>
        <v/>
      </c>
      <c r="M848" s="99">
        <f>COUNTIF($G$5:$G$979,"&lt;"&amp;G848)+(COUNTIF($G$5:$G$979,"="&amp;G848)+1)/2</f>
        <v/>
      </c>
      <c r="N848" s="99">
        <f>COUNTIF($H$5:$H$979,"&lt;"&amp;H848)+(COUNTIF($H$5:$H$979,"="&amp;H848)+1)/2</f>
        <v/>
      </c>
      <c r="O848" s="99">
        <f>COUNTIF($I$5:$I$979,"&lt;"&amp;I848)+(COUNTIF($I$5:$I$979,"="&amp;I848)+1)/2</f>
        <v/>
      </c>
      <c r="P848" s="99">
        <f>COUNTIF($J$5:$J$979,"&lt;"&amp;J848)+(COUNTIF($J$5:$J$979,"="&amp;J848)+1)/2</f>
        <v/>
      </c>
    </row>
    <row r="849" ht="15" customHeight="1" s="68">
      <c r="A849" s="70">
        <f>'01_원자료'!A846</f>
        <v/>
      </c>
      <c r="B849" s="70">
        <f>'01_원자료'!B846</f>
        <v/>
      </c>
      <c r="C849" s="70">
        <f>'01_원자료'!C846</f>
        <v/>
      </c>
      <c r="E849" s="85">
        <f>'01_원자료'!P846*'03_가중치민감도'!$B$5+'01_원자료'!Q846*'03_가중치민감도'!$C$5+'01_원자료'!R846*'03_가중치민감도'!$D$5</f>
        <v/>
      </c>
      <c r="F849" s="85">
        <f>'01_원자료'!P846*'03_가중치민감도'!$B$6+'01_원자료'!Q846*'03_가중치민감도'!$C$6+'01_원자료'!R846*'03_가중치민감도'!$D$6</f>
        <v/>
      </c>
      <c r="G849" s="85">
        <f>'01_원자료'!P846*'03_가중치민감도'!$B$7+'01_원자료'!Q846*'03_가중치민감도'!$C$7+'01_원자료'!R846*'03_가중치민감도'!$D$7</f>
        <v/>
      </c>
      <c r="H849" s="85">
        <f>'01_원자료'!P846*'03_가중치민감도'!$B$8+'01_원자료'!Q846*'03_가중치민감도'!$C$8+'01_원자료'!R846*'03_가중치민감도'!$D$8</f>
        <v/>
      </c>
      <c r="I849" s="85">
        <f>'01_원자료'!P846*'03_가중치민감도'!$B$9+'01_원자료'!Q846*'03_가중치민감도'!$C$9+'01_원자료'!R846*'03_가중치민감도'!$D$9</f>
        <v/>
      </c>
      <c r="J849" s="85">
        <f>'01_원자료'!P846*'03_가중치민감도'!$B$10+'01_원자료'!Q846*'03_가중치민감도'!$C$10+'01_원자료'!R846*'03_가중치민감도'!$D$10</f>
        <v/>
      </c>
      <c r="K849" s="99">
        <f>COUNTIF($E$5:$E$979,"&lt;"&amp;E849)+(COUNTIF($E$5:$E$979,"="&amp;E849)+1)/2</f>
        <v/>
      </c>
      <c r="L849" s="99">
        <f>COUNTIF($F$5:$F$979,"&lt;"&amp;F849)+(COUNTIF($F$5:$F$979,"="&amp;F849)+1)/2</f>
        <v/>
      </c>
      <c r="M849" s="99">
        <f>COUNTIF($G$5:$G$979,"&lt;"&amp;G849)+(COUNTIF($G$5:$G$979,"="&amp;G849)+1)/2</f>
        <v/>
      </c>
      <c r="N849" s="99">
        <f>COUNTIF($H$5:$H$979,"&lt;"&amp;H849)+(COUNTIF($H$5:$H$979,"="&amp;H849)+1)/2</f>
        <v/>
      </c>
      <c r="O849" s="99">
        <f>COUNTIF($I$5:$I$979,"&lt;"&amp;I849)+(COUNTIF($I$5:$I$979,"="&amp;I849)+1)/2</f>
        <v/>
      </c>
      <c r="P849" s="99">
        <f>COUNTIF($J$5:$J$979,"&lt;"&amp;J849)+(COUNTIF($J$5:$J$979,"="&amp;J849)+1)/2</f>
        <v/>
      </c>
    </row>
    <row r="850" ht="15" customHeight="1" s="68">
      <c r="A850" s="70">
        <f>'01_원자료'!A847</f>
        <v/>
      </c>
      <c r="B850" s="70">
        <f>'01_원자료'!B847</f>
        <v/>
      </c>
      <c r="C850" s="70">
        <f>'01_원자료'!C847</f>
        <v/>
      </c>
      <c r="E850" s="85">
        <f>'01_원자료'!P847*'03_가중치민감도'!$B$5+'01_원자료'!Q847*'03_가중치민감도'!$C$5+'01_원자료'!R847*'03_가중치민감도'!$D$5</f>
        <v/>
      </c>
      <c r="F850" s="85">
        <f>'01_원자료'!P847*'03_가중치민감도'!$B$6+'01_원자료'!Q847*'03_가중치민감도'!$C$6+'01_원자료'!R847*'03_가중치민감도'!$D$6</f>
        <v/>
      </c>
      <c r="G850" s="85">
        <f>'01_원자료'!P847*'03_가중치민감도'!$B$7+'01_원자료'!Q847*'03_가중치민감도'!$C$7+'01_원자료'!R847*'03_가중치민감도'!$D$7</f>
        <v/>
      </c>
      <c r="H850" s="85">
        <f>'01_원자료'!P847*'03_가중치민감도'!$B$8+'01_원자료'!Q847*'03_가중치민감도'!$C$8+'01_원자료'!R847*'03_가중치민감도'!$D$8</f>
        <v/>
      </c>
      <c r="I850" s="85">
        <f>'01_원자료'!P847*'03_가중치민감도'!$B$9+'01_원자료'!Q847*'03_가중치민감도'!$C$9+'01_원자료'!R847*'03_가중치민감도'!$D$9</f>
        <v/>
      </c>
      <c r="J850" s="85">
        <f>'01_원자료'!P847*'03_가중치민감도'!$B$10+'01_원자료'!Q847*'03_가중치민감도'!$C$10+'01_원자료'!R847*'03_가중치민감도'!$D$10</f>
        <v/>
      </c>
      <c r="K850" s="99">
        <f>COUNTIF($E$5:$E$979,"&lt;"&amp;E850)+(COUNTIF($E$5:$E$979,"="&amp;E850)+1)/2</f>
        <v/>
      </c>
      <c r="L850" s="99">
        <f>COUNTIF($F$5:$F$979,"&lt;"&amp;F850)+(COUNTIF($F$5:$F$979,"="&amp;F850)+1)/2</f>
        <v/>
      </c>
      <c r="M850" s="99">
        <f>COUNTIF($G$5:$G$979,"&lt;"&amp;G850)+(COUNTIF($G$5:$G$979,"="&amp;G850)+1)/2</f>
        <v/>
      </c>
      <c r="N850" s="99">
        <f>COUNTIF($H$5:$H$979,"&lt;"&amp;H850)+(COUNTIF($H$5:$H$979,"="&amp;H850)+1)/2</f>
        <v/>
      </c>
      <c r="O850" s="99">
        <f>COUNTIF($I$5:$I$979,"&lt;"&amp;I850)+(COUNTIF($I$5:$I$979,"="&amp;I850)+1)/2</f>
        <v/>
      </c>
      <c r="P850" s="99">
        <f>COUNTIF($J$5:$J$979,"&lt;"&amp;J850)+(COUNTIF($J$5:$J$979,"="&amp;J850)+1)/2</f>
        <v/>
      </c>
    </row>
    <row r="851" ht="15" customHeight="1" s="68">
      <c r="A851" s="70">
        <f>'01_원자료'!A848</f>
        <v/>
      </c>
      <c r="B851" s="70">
        <f>'01_원자료'!B848</f>
        <v/>
      </c>
      <c r="C851" s="70">
        <f>'01_원자료'!C848</f>
        <v/>
      </c>
      <c r="E851" s="85">
        <f>'01_원자료'!P848*'03_가중치민감도'!$B$5+'01_원자료'!Q848*'03_가중치민감도'!$C$5+'01_원자료'!R848*'03_가중치민감도'!$D$5</f>
        <v/>
      </c>
      <c r="F851" s="85">
        <f>'01_원자료'!P848*'03_가중치민감도'!$B$6+'01_원자료'!Q848*'03_가중치민감도'!$C$6+'01_원자료'!R848*'03_가중치민감도'!$D$6</f>
        <v/>
      </c>
      <c r="G851" s="85">
        <f>'01_원자료'!P848*'03_가중치민감도'!$B$7+'01_원자료'!Q848*'03_가중치민감도'!$C$7+'01_원자료'!R848*'03_가중치민감도'!$D$7</f>
        <v/>
      </c>
      <c r="H851" s="85">
        <f>'01_원자료'!P848*'03_가중치민감도'!$B$8+'01_원자료'!Q848*'03_가중치민감도'!$C$8+'01_원자료'!R848*'03_가중치민감도'!$D$8</f>
        <v/>
      </c>
      <c r="I851" s="85">
        <f>'01_원자료'!P848*'03_가중치민감도'!$B$9+'01_원자료'!Q848*'03_가중치민감도'!$C$9+'01_원자료'!R848*'03_가중치민감도'!$D$9</f>
        <v/>
      </c>
      <c r="J851" s="85">
        <f>'01_원자료'!P848*'03_가중치민감도'!$B$10+'01_원자료'!Q848*'03_가중치민감도'!$C$10+'01_원자료'!R848*'03_가중치민감도'!$D$10</f>
        <v/>
      </c>
      <c r="K851" s="99">
        <f>COUNTIF($E$5:$E$979,"&lt;"&amp;E851)+(COUNTIF($E$5:$E$979,"="&amp;E851)+1)/2</f>
        <v/>
      </c>
      <c r="L851" s="99">
        <f>COUNTIF($F$5:$F$979,"&lt;"&amp;F851)+(COUNTIF($F$5:$F$979,"="&amp;F851)+1)/2</f>
        <v/>
      </c>
      <c r="M851" s="99">
        <f>COUNTIF($G$5:$G$979,"&lt;"&amp;G851)+(COUNTIF($G$5:$G$979,"="&amp;G851)+1)/2</f>
        <v/>
      </c>
      <c r="N851" s="99">
        <f>COUNTIF($H$5:$H$979,"&lt;"&amp;H851)+(COUNTIF($H$5:$H$979,"="&amp;H851)+1)/2</f>
        <v/>
      </c>
      <c r="O851" s="99">
        <f>COUNTIF($I$5:$I$979,"&lt;"&amp;I851)+(COUNTIF($I$5:$I$979,"="&amp;I851)+1)/2</f>
        <v/>
      </c>
      <c r="P851" s="99">
        <f>COUNTIF($J$5:$J$979,"&lt;"&amp;J851)+(COUNTIF($J$5:$J$979,"="&amp;J851)+1)/2</f>
        <v/>
      </c>
    </row>
    <row r="852" ht="15" customHeight="1" s="68">
      <c r="A852" s="70">
        <f>'01_원자료'!A849</f>
        <v/>
      </c>
      <c r="B852" s="70">
        <f>'01_원자료'!B849</f>
        <v/>
      </c>
      <c r="C852" s="70">
        <f>'01_원자료'!C849</f>
        <v/>
      </c>
      <c r="E852" s="85">
        <f>'01_원자료'!P849*'03_가중치민감도'!$B$5+'01_원자료'!Q849*'03_가중치민감도'!$C$5+'01_원자료'!R849*'03_가중치민감도'!$D$5</f>
        <v/>
      </c>
      <c r="F852" s="85">
        <f>'01_원자료'!P849*'03_가중치민감도'!$B$6+'01_원자료'!Q849*'03_가중치민감도'!$C$6+'01_원자료'!R849*'03_가중치민감도'!$D$6</f>
        <v/>
      </c>
      <c r="G852" s="85">
        <f>'01_원자료'!P849*'03_가중치민감도'!$B$7+'01_원자료'!Q849*'03_가중치민감도'!$C$7+'01_원자료'!R849*'03_가중치민감도'!$D$7</f>
        <v/>
      </c>
      <c r="H852" s="85">
        <f>'01_원자료'!P849*'03_가중치민감도'!$B$8+'01_원자료'!Q849*'03_가중치민감도'!$C$8+'01_원자료'!R849*'03_가중치민감도'!$D$8</f>
        <v/>
      </c>
      <c r="I852" s="85">
        <f>'01_원자료'!P849*'03_가중치민감도'!$B$9+'01_원자료'!Q849*'03_가중치민감도'!$C$9+'01_원자료'!R849*'03_가중치민감도'!$D$9</f>
        <v/>
      </c>
      <c r="J852" s="85">
        <f>'01_원자료'!P849*'03_가중치민감도'!$B$10+'01_원자료'!Q849*'03_가중치민감도'!$C$10+'01_원자료'!R849*'03_가중치민감도'!$D$10</f>
        <v/>
      </c>
      <c r="K852" s="99">
        <f>COUNTIF($E$5:$E$979,"&lt;"&amp;E852)+(COUNTIF($E$5:$E$979,"="&amp;E852)+1)/2</f>
        <v/>
      </c>
      <c r="L852" s="99">
        <f>COUNTIF($F$5:$F$979,"&lt;"&amp;F852)+(COUNTIF($F$5:$F$979,"="&amp;F852)+1)/2</f>
        <v/>
      </c>
      <c r="M852" s="99">
        <f>COUNTIF($G$5:$G$979,"&lt;"&amp;G852)+(COUNTIF($G$5:$G$979,"="&amp;G852)+1)/2</f>
        <v/>
      </c>
      <c r="N852" s="99">
        <f>COUNTIF($H$5:$H$979,"&lt;"&amp;H852)+(COUNTIF($H$5:$H$979,"="&amp;H852)+1)/2</f>
        <v/>
      </c>
      <c r="O852" s="99">
        <f>COUNTIF($I$5:$I$979,"&lt;"&amp;I852)+(COUNTIF($I$5:$I$979,"="&amp;I852)+1)/2</f>
        <v/>
      </c>
      <c r="P852" s="99">
        <f>COUNTIF($J$5:$J$979,"&lt;"&amp;J852)+(COUNTIF($J$5:$J$979,"="&amp;J852)+1)/2</f>
        <v/>
      </c>
    </row>
    <row r="853" ht="15" customHeight="1" s="68">
      <c r="A853" s="70">
        <f>'01_원자료'!A850</f>
        <v/>
      </c>
      <c r="B853" s="70">
        <f>'01_원자료'!B850</f>
        <v/>
      </c>
      <c r="C853" s="70">
        <f>'01_원자료'!C850</f>
        <v/>
      </c>
      <c r="E853" s="85">
        <f>'01_원자료'!P850*'03_가중치민감도'!$B$5+'01_원자료'!Q850*'03_가중치민감도'!$C$5+'01_원자료'!R850*'03_가중치민감도'!$D$5</f>
        <v/>
      </c>
      <c r="F853" s="85">
        <f>'01_원자료'!P850*'03_가중치민감도'!$B$6+'01_원자료'!Q850*'03_가중치민감도'!$C$6+'01_원자료'!R850*'03_가중치민감도'!$D$6</f>
        <v/>
      </c>
      <c r="G853" s="85">
        <f>'01_원자료'!P850*'03_가중치민감도'!$B$7+'01_원자료'!Q850*'03_가중치민감도'!$C$7+'01_원자료'!R850*'03_가중치민감도'!$D$7</f>
        <v/>
      </c>
      <c r="H853" s="85">
        <f>'01_원자료'!P850*'03_가중치민감도'!$B$8+'01_원자료'!Q850*'03_가중치민감도'!$C$8+'01_원자료'!R850*'03_가중치민감도'!$D$8</f>
        <v/>
      </c>
      <c r="I853" s="85">
        <f>'01_원자료'!P850*'03_가중치민감도'!$B$9+'01_원자료'!Q850*'03_가중치민감도'!$C$9+'01_원자료'!R850*'03_가중치민감도'!$D$9</f>
        <v/>
      </c>
      <c r="J853" s="85">
        <f>'01_원자료'!P850*'03_가중치민감도'!$B$10+'01_원자료'!Q850*'03_가중치민감도'!$C$10+'01_원자료'!R850*'03_가중치민감도'!$D$10</f>
        <v/>
      </c>
      <c r="K853" s="99">
        <f>COUNTIF($E$5:$E$979,"&lt;"&amp;E853)+(COUNTIF($E$5:$E$979,"="&amp;E853)+1)/2</f>
        <v/>
      </c>
      <c r="L853" s="99">
        <f>COUNTIF($F$5:$F$979,"&lt;"&amp;F853)+(COUNTIF($F$5:$F$979,"="&amp;F853)+1)/2</f>
        <v/>
      </c>
      <c r="M853" s="99">
        <f>COUNTIF($G$5:$G$979,"&lt;"&amp;G853)+(COUNTIF($G$5:$G$979,"="&amp;G853)+1)/2</f>
        <v/>
      </c>
      <c r="N853" s="99">
        <f>COUNTIF($H$5:$H$979,"&lt;"&amp;H853)+(COUNTIF($H$5:$H$979,"="&amp;H853)+1)/2</f>
        <v/>
      </c>
      <c r="O853" s="99">
        <f>COUNTIF($I$5:$I$979,"&lt;"&amp;I853)+(COUNTIF($I$5:$I$979,"="&amp;I853)+1)/2</f>
        <v/>
      </c>
      <c r="P853" s="99">
        <f>COUNTIF($J$5:$J$979,"&lt;"&amp;J853)+(COUNTIF($J$5:$J$979,"="&amp;J853)+1)/2</f>
        <v/>
      </c>
    </row>
    <row r="854" ht="15" customHeight="1" s="68">
      <c r="A854" s="70">
        <f>'01_원자료'!A851</f>
        <v/>
      </c>
      <c r="B854" s="70">
        <f>'01_원자료'!B851</f>
        <v/>
      </c>
      <c r="C854" s="70">
        <f>'01_원자료'!C851</f>
        <v/>
      </c>
      <c r="E854" s="85">
        <f>'01_원자료'!P851*'03_가중치민감도'!$B$5+'01_원자료'!Q851*'03_가중치민감도'!$C$5+'01_원자료'!R851*'03_가중치민감도'!$D$5</f>
        <v/>
      </c>
      <c r="F854" s="85">
        <f>'01_원자료'!P851*'03_가중치민감도'!$B$6+'01_원자료'!Q851*'03_가중치민감도'!$C$6+'01_원자료'!R851*'03_가중치민감도'!$D$6</f>
        <v/>
      </c>
      <c r="G854" s="85">
        <f>'01_원자료'!P851*'03_가중치민감도'!$B$7+'01_원자료'!Q851*'03_가중치민감도'!$C$7+'01_원자료'!R851*'03_가중치민감도'!$D$7</f>
        <v/>
      </c>
      <c r="H854" s="85">
        <f>'01_원자료'!P851*'03_가중치민감도'!$B$8+'01_원자료'!Q851*'03_가중치민감도'!$C$8+'01_원자료'!R851*'03_가중치민감도'!$D$8</f>
        <v/>
      </c>
      <c r="I854" s="85">
        <f>'01_원자료'!P851*'03_가중치민감도'!$B$9+'01_원자료'!Q851*'03_가중치민감도'!$C$9+'01_원자료'!R851*'03_가중치민감도'!$D$9</f>
        <v/>
      </c>
      <c r="J854" s="85">
        <f>'01_원자료'!P851*'03_가중치민감도'!$B$10+'01_원자료'!Q851*'03_가중치민감도'!$C$10+'01_원자료'!R851*'03_가중치민감도'!$D$10</f>
        <v/>
      </c>
      <c r="K854" s="99">
        <f>COUNTIF($E$5:$E$979,"&lt;"&amp;E854)+(COUNTIF($E$5:$E$979,"="&amp;E854)+1)/2</f>
        <v/>
      </c>
      <c r="L854" s="99">
        <f>COUNTIF($F$5:$F$979,"&lt;"&amp;F854)+(COUNTIF($F$5:$F$979,"="&amp;F854)+1)/2</f>
        <v/>
      </c>
      <c r="M854" s="99">
        <f>COUNTIF($G$5:$G$979,"&lt;"&amp;G854)+(COUNTIF($G$5:$G$979,"="&amp;G854)+1)/2</f>
        <v/>
      </c>
      <c r="N854" s="99">
        <f>COUNTIF($H$5:$H$979,"&lt;"&amp;H854)+(COUNTIF($H$5:$H$979,"="&amp;H854)+1)/2</f>
        <v/>
      </c>
      <c r="O854" s="99">
        <f>COUNTIF($I$5:$I$979,"&lt;"&amp;I854)+(COUNTIF($I$5:$I$979,"="&amp;I854)+1)/2</f>
        <v/>
      </c>
      <c r="P854" s="99">
        <f>COUNTIF($J$5:$J$979,"&lt;"&amp;J854)+(COUNTIF($J$5:$J$979,"="&amp;J854)+1)/2</f>
        <v/>
      </c>
    </row>
    <row r="855" ht="15" customHeight="1" s="68">
      <c r="A855" s="70">
        <f>'01_원자료'!A852</f>
        <v/>
      </c>
      <c r="B855" s="70">
        <f>'01_원자료'!B852</f>
        <v/>
      </c>
      <c r="C855" s="70">
        <f>'01_원자료'!C852</f>
        <v/>
      </c>
      <c r="E855" s="85">
        <f>'01_원자료'!P852*'03_가중치민감도'!$B$5+'01_원자료'!Q852*'03_가중치민감도'!$C$5+'01_원자료'!R852*'03_가중치민감도'!$D$5</f>
        <v/>
      </c>
      <c r="F855" s="85">
        <f>'01_원자료'!P852*'03_가중치민감도'!$B$6+'01_원자료'!Q852*'03_가중치민감도'!$C$6+'01_원자료'!R852*'03_가중치민감도'!$D$6</f>
        <v/>
      </c>
      <c r="G855" s="85">
        <f>'01_원자료'!P852*'03_가중치민감도'!$B$7+'01_원자료'!Q852*'03_가중치민감도'!$C$7+'01_원자료'!R852*'03_가중치민감도'!$D$7</f>
        <v/>
      </c>
      <c r="H855" s="85">
        <f>'01_원자료'!P852*'03_가중치민감도'!$B$8+'01_원자료'!Q852*'03_가중치민감도'!$C$8+'01_원자료'!R852*'03_가중치민감도'!$D$8</f>
        <v/>
      </c>
      <c r="I855" s="85">
        <f>'01_원자료'!P852*'03_가중치민감도'!$B$9+'01_원자료'!Q852*'03_가중치민감도'!$C$9+'01_원자료'!R852*'03_가중치민감도'!$D$9</f>
        <v/>
      </c>
      <c r="J855" s="85">
        <f>'01_원자료'!P852*'03_가중치민감도'!$B$10+'01_원자료'!Q852*'03_가중치민감도'!$C$10+'01_원자료'!R852*'03_가중치민감도'!$D$10</f>
        <v/>
      </c>
      <c r="K855" s="99">
        <f>COUNTIF($E$5:$E$979,"&lt;"&amp;E855)+(COUNTIF($E$5:$E$979,"="&amp;E855)+1)/2</f>
        <v/>
      </c>
      <c r="L855" s="99">
        <f>COUNTIF($F$5:$F$979,"&lt;"&amp;F855)+(COUNTIF($F$5:$F$979,"="&amp;F855)+1)/2</f>
        <v/>
      </c>
      <c r="M855" s="99">
        <f>COUNTIF($G$5:$G$979,"&lt;"&amp;G855)+(COUNTIF($G$5:$G$979,"="&amp;G855)+1)/2</f>
        <v/>
      </c>
      <c r="N855" s="99">
        <f>COUNTIF($H$5:$H$979,"&lt;"&amp;H855)+(COUNTIF($H$5:$H$979,"="&amp;H855)+1)/2</f>
        <v/>
      </c>
      <c r="O855" s="99">
        <f>COUNTIF($I$5:$I$979,"&lt;"&amp;I855)+(COUNTIF($I$5:$I$979,"="&amp;I855)+1)/2</f>
        <v/>
      </c>
      <c r="P855" s="99">
        <f>COUNTIF($J$5:$J$979,"&lt;"&amp;J855)+(COUNTIF($J$5:$J$979,"="&amp;J855)+1)/2</f>
        <v/>
      </c>
    </row>
    <row r="856" ht="15" customHeight="1" s="68">
      <c r="A856" s="70">
        <f>'01_원자료'!A853</f>
        <v/>
      </c>
      <c r="B856" s="70">
        <f>'01_원자료'!B853</f>
        <v/>
      </c>
      <c r="C856" s="70">
        <f>'01_원자료'!C853</f>
        <v/>
      </c>
      <c r="E856" s="85">
        <f>'01_원자료'!P853*'03_가중치민감도'!$B$5+'01_원자료'!Q853*'03_가중치민감도'!$C$5+'01_원자료'!R853*'03_가중치민감도'!$D$5</f>
        <v/>
      </c>
      <c r="F856" s="85">
        <f>'01_원자료'!P853*'03_가중치민감도'!$B$6+'01_원자료'!Q853*'03_가중치민감도'!$C$6+'01_원자료'!R853*'03_가중치민감도'!$D$6</f>
        <v/>
      </c>
      <c r="G856" s="85">
        <f>'01_원자료'!P853*'03_가중치민감도'!$B$7+'01_원자료'!Q853*'03_가중치민감도'!$C$7+'01_원자료'!R853*'03_가중치민감도'!$D$7</f>
        <v/>
      </c>
      <c r="H856" s="85">
        <f>'01_원자료'!P853*'03_가중치민감도'!$B$8+'01_원자료'!Q853*'03_가중치민감도'!$C$8+'01_원자료'!R853*'03_가중치민감도'!$D$8</f>
        <v/>
      </c>
      <c r="I856" s="85">
        <f>'01_원자료'!P853*'03_가중치민감도'!$B$9+'01_원자료'!Q853*'03_가중치민감도'!$C$9+'01_원자료'!R853*'03_가중치민감도'!$D$9</f>
        <v/>
      </c>
      <c r="J856" s="85">
        <f>'01_원자료'!P853*'03_가중치민감도'!$B$10+'01_원자료'!Q853*'03_가중치민감도'!$C$10+'01_원자료'!R853*'03_가중치민감도'!$D$10</f>
        <v/>
      </c>
      <c r="K856" s="99">
        <f>COUNTIF($E$5:$E$979,"&lt;"&amp;E856)+(COUNTIF($E$5:$E$979,"="&amp;E856)+1)/2</f>
        <v/>
      </c>
      <c r="L856" s="99">
        <f>COUNTIF($F$5:$F$979,"&lt;"&amp;F856)+(COUNTIF($F$5:$F$979,"="&amp;F856)+1)/2</f>
        <v/>
      </c>
      <c r="M856" s="99">
        <f>COUNTIF($G$5:$G$979,"&lt;"&amp;G856)+(COUNTIF($G$5:$G$979,"="&amp;G856)+1)/2</f>
        <v/>
      </c>
      <c r="N856" s="99">
        <f>COUNTIF($H$5:$H$979,"&lt;"&amp;H856)+(COUNTIF($H$5:$H$979,"="&amp;H856)+1)/2</f>
        <v/>
      </c>
      <c r="O856" s="99">
        <f>COUNTIF($I$5:$I$979,"&lt;"&amp;I856)+(COUNTIF($I$5:$I$979,"="&amp;I856)+1)/2</f>
        <v/>
      </c>
      <c r="P856" s="99">
        <f>COUNTIF($J$5:$J$979,"&lt;"&amp;J856)+(COUNTIF($J$5:$J$979,"="&amp;J856)+1)/2</f>
        <v/>
      </c>
    </row>
    <row r="857" ht="15" customHeight="1" s="68">
      <c r="A857" s="70">
        <f>'01_원자료'!A854</f>
        <v/>
      </c>
      <c r="B857" s="70">
        <f>'01_원자료'!B854</f>
        <v/>
      </c>
      <c r="C857" s="70">
        <f>'01_원자료'!C854</f>
        <v/>
      </c>
      <c r="E857" s="85">
        <f>'01_원자료'!P854*'03_가중치민감도'!$B$5+'01_원자료'!Q854*'03_가중치민감도'!$C$5+'01_원자료'!R854*'03_가중치민감도'!$D$5</f>
        <v/>
      </c>
      <c r="F857" s="85">
        <f>'01_원자료'!P854*'03_가중치민감도'!$B$6+'01_원자료'!Q854*'03_가중치민감도'!$C$6+'01_원자료'!R854*'03_가중치민감도'!$D$6</f>
        <v/>
      </c>
      <c r="G857" s="85">
        <f>'01_원자료'!P854*'03_가중치민감도'!$B$7+'01_원자료'!Q854*'03_가중치민감도'!$C$7+'01_원자료'!R854*'03_가중치민감도'!$D$7</f>
        <v/>
      </c>
      <c r="H857" s="85">
        <f>'01_원자료'!P854*'03_가중치민감도'!$B$8+'01_원자료'!Q854*'03_가중치민감도'!$C$8+'01_원자료'!R854*'03_가중치민감도'!$D$8</f>
        <v/>
      </c>
      <c r="I857" s="85">
        <f>'01_원자료'!P854*'03_가중치민감도'!$B$9+'01_원자료'!Q854*'03_가중치민감도'!$C$9+'01_원자료'!R854*'03_가중치민감도'!$D$9</f>
        <v/>
      </c>
      <c r="J857" s="85">
        <f>'01_원자료'!P854*'03_가중치민감도'!$B$10+'01_원자료'!Q854*'03_가중치민감도'!$C$10+'01_원자료'!R854*'03_가중치민감도'!$D$10</f>
        <v/>
      </c>
      <c r="K857" s="99">
        <f>COUNTIF($E$5:$E$979,"&lt;"&amp;E857)+(COUNTIF($E$5:$E$979,"="&amp;E857)+1)/2</f>
        <v/>
      </c>
      <c r="L857" s="99">
        <f>COUNTIF($F$5:$F$979,"&lt;"&amp;F857)+(COUNTIF($F$5:$F$979,"="&amp;F857)+1)/2</f>
        <v/>
      </c>
      <c r="M857" s="99">
        <f>COUNTIF($G$5:$G$979,"&lt;"&amp;G857)+(COUNTIF($G$5:$G$979,"="&amp;G857)+1)/2</f>
        <v/>
      </c>
      <c r="N857" s="99">
        <f>COUNTIF($H$5:$H$979,"&lt;"&amp;H857)+(COUNTIF($H$5:$H$979,"="&amp;H857)+1)/2</f>
        <v/>
      </c>
      <c r="O857" s="99">
        <f>COUNTIF($I$5:$I$979,"&lt;"&amp;I857)+(COUNTIF($I$5:$I$979,"="&amp;I857)+1)/2</f>
        <v/>
      </c>
      <c r="P857" s="99">
        <f>COUNTIF($J$5:$J$979,"&lt;"&amp;J857)+(COUNTIF($J$5:$J$979,"="&amp;J857)+1)/2</f>
        <v/>
      </c>
    </row>
    <row r="858" ht="15" customHeight="1" s="68">
      <c r="A858" s="70">
        <f>'01_원자료'!A855</f>
        <v/>
      </c>
      <c r="B858" s="70">
        <f>'01_원자료'!B855</f>
        <v/>
      </c>
      <c r="C858" s="70">
        <f>'01_원자료'!C855</f>
        <v/>
      </c>
      <c r="E858" s="85">
        <f>'01_원자료'!P855*'03_가중치민감도'!$B$5+'01_원자료'!Q855*'03_가중치민감도'!$C$5+'01_원자료'!R855*'03_가중치민감도'!$D$5</f>
        <v/>
      </c>
      <c r="F858" s="85">
        <f>'01_원자료'!P855*'03_가중치민감도'!$B$6+'01_원자료'!Q855*'03_가중치민감도'!$C$6+'01_원자료'!R855*'03_가중치민감도'!$D$6</f>
        <v/>
      </c>
      <c r="G858" s="85">
        <f>'01_원자료'!P855*'03_가중치민감도'!$B$7+'01_원자료'!Q855*'03_가중치민감도'!$C$7+'01_원자료'!R855*'03_가중치민감도'!$D$7</f>
        <v/>
      </c>
      <c r="H858" s="85">
        <f>'01_원자료'!P855*'03_가중치민감도'!$B$8+'01_원자료'!Q855*'03_가중치민감도'!$C$8+'01_원자료'!R855*'03_가중치민감도'!$D$8</f>
        <v/>
      </c>
      <c r="I858" s="85">
        <f>'01_원자료'!P855*'03_가중치민감도'!$B$9+'01_원자료'!Q855*'03_가중치민감도'!$C$9+'01_원자료'!R855*'03_가중치민감도'!$D$9</f>
        <v/>
      </c>
      <c r="J858" s="85">
        <f>'01_원자료'!P855*'03_가중치민감도'!$B$10+'01_원자료'!Q855*'03_가중치민감도'!$C$10+'01_원자료'!R855*'03_가중치민감도'!$D$10</f>
        <v/>
      </c>
      <c r="K858" s="99">
        <f>COUNTIF($E$5:$E$979,"&lt;"&amp;E858)+(COUNTIF($E$5:$E$979,"="&amp;E858)+1)/2</f>
        <v/>
      </c>
      <c r="L858" s="99">
        <f>COUNTIF($F$5:$F$979,"&lt;"&amp;F858)+(COUNTIF($F$5:$F$979,"="&amp;F858)+1)/2</f>
        <v/>
      </c>
      <c r="M858" s="99">
        <f>COUNTIF($G$5:$G$979,"&lt;"&amp;G858)+(COUNTIF($G$5:$G$979,"="&amp;G858)+1)/2</f>
        <v/>
      </c>
      <c r="N858" s="99">
        <f>COUNTIF($H$5:$H$979,"&lt;"&amp;H858)+(COUNTIF($H$5:$H$979,"="&amp;H858)+1)/2</f>
        <v/>
      </c>
      <c r="O858" s="99">
        <f>COUNTIF($I$5:$I$979,"&lt;"&amp;I858)+(COUNTIF($I$5:$I$979,"="&amp;I858)+1)/2</f>
        <v/>
      </c>
      <c r="P858" s="99">
        <f>COUNTIF($J$5:$J$979,"&lt;"&amp;J858)+(COUNTIF($J$5:$J$979,"="&amp;J858)+1)/2</f>
        <v/>
      </c>
    </row>
    <row r="859" ht="15" customHeight="1" s="68">
      <c r="A859" s="70">
        <f>'01_원자료'!A856</f>
        <v/>
      </c>
      <c r="B859" s="70">
        <f>'01_원자료'!B856</f>
        <v/>
      </c>
      <c r="C859" s="70">
        <f>'01_원자료'!C856</f>
        <v/>
      </c>
      <c r="E859" s="85">
        <f>'01_원자료'!P856*'03_가중치민감도'!$B$5+'01_원자료'!Q856*'03_가중치민감도'!$C$5+'01_원자료'!R856*'03_가중치민감도'!$D$5</f>
        <v/>
      </c>
      <c r="F859" s="85">
        <f>'01_원자료'!P856*'03_가중치민감도'!$B$6+'01_원자료'!Q856*'03_가중치민감도'!$C$6+'01_원자료'!R856*'03_가중치민감도'!$D$6</f>
        <v/>
      </c>
      <c r="G859" s="85">
        <f>'01_원자료'!P856*'03_가중치민감도'!$B$7+'01_원자료'!Q856*'03_가중치민감도'!$C$7+'01_원자료'!R856*'03_가중치민감도'!$D$7</f>
        <v/>
      </c>
      <c r="H859" s="85">
        <f>'01_원자료'!P856*'03_가중치민감도'!$B$8+'01_원자료'!Q856*'03_가중치민감도'!$C$8+'01_원자료'!R856*'03_가중치민감도'!$D$8</f>
        <v/>
      </c>
      <c r="I859" s="85">
        <f>'01_원자료'!P856*'03_가중치민감도'!$B$9+'01_원자료'!Q856*'03_가중치민감도'!$C$9+'01_원자료'!R856*'03_가중치민감도'!$D$9</f>
        <v/>
      </c>
      <c r="J859" s="85">
        <f>'01_원자료'!P856*'03_가중치민감도'!$B$10+'01_원자료'!Q856*'03_가중치민감도'!$C$10+'01_원자료'!R856*'03_가중치민감도'!$D$10</f>
        <v/>
      </c>
      <c r="K859" s="99">
        <f>COUNTIF($E$5:$E$979,"&lt;"&amp;E859)+(COUNTIF($E$5:$E$979,"="&amp;E859)+1)/2</f>
        <v/>
      </c>
      <c r="L859" s="99">
        <f>COUNTIF($F$5:$F$979,"&lt;"&amp;F859)+(COUNTIF($F$5:$F$979,"="&amp;F859)+1)/2</f>
        <v/>
      </c>
      <c r="M859" s="99">
        <f>COUNTIF($G$5:$G$979,"&lt;"&amp;G859)+(COUNTIF($G$5:$G$979,"="&amp;G859)+1)/2</f>
        <v/>
      </c>
      <c r="N859" s="99">
        <f>COUNTIF($H$5:$H$979,"&lt;"&amp;H859)+(COUNTIF($H$5:$H$979,"="&amp;H859)+1)/2</f>
        <v/>
      </c>
      <c r="O859" s="99">
        <f>COUNTIF($I$5:$I$979,"&lt;"&amp;I859)+(COUNTIF($I$5:$I$979,"="&amp;I859)+1)/2</f>
        <v/>
      </c>
      <c r="P859" s="99">
        <f>COUNTIF($J$5:$J$979,"&lt;"&amp;J859)+(COUNTIF($J$5:$J$979,"="&amp;J859)+1)/2</f>
        <v/>
      </c>
    </row>
    <row r="860" ht="15" customHeight="1" s="68">
      <c r="A860" s="70">
        <f>'01_원자료'!A857</f>
        <v/>
      </c>
      <c r="B860" s="70">
        <f>'01_원자료'!B857</f>
        <v/>
      </c>
      <c r="C860" s="70">
        <f>'01_원자료'!C857</f>
        <v/>
      </c>
      <c r="E860" s="85">
        <f>'01_원자료'!P857*'03_가중치민감도'!$B$5+'01_원자료'!Q857*'03_가중치민감도'!$C$5+'01_원자료'!R857*'03_가중치민감도'!$D$5</f>
        <v/>
      </c>
      <c r="F860" s="85">
        <f>'01_원자료'!P857*'03_가중치민감도'!$B$6+'01_원자료'!Q857*'03_가중치민감도'!$C$6+'01_원자료'!R857*'03_가중치민감도'!$D$6</f>
        <v/>
      </c>
      <c r="G860" s="85">
        <f>'01_원자료'!P857*'03_가중치민감도'!$B$7+'01_원자료'!Q857*'03_가중치민감도'!$C$7+'01_원자료'!R857*'03_가중치민감도'!$D$7</f>
        <v/>
      </c>
      <c r="H860" s="85">
        <f>'01_원자료'!P857*'03_가중치민감도'!$B$8+'01_원자료'!Q857*'03_가중치민감도'!$C$8+'01_원자료'!R857*'03_가중치민감도'!$D$8</f>
        <v/>
      </c>
      <c r="I860" s="85">
        <f>'01_원자료'!P857*'03_가중치민감도'!$B$9+'01_원자료'!Q857*'03_가중치민감도'!$C$9+'01_원자료'!R857*'03_가중치민감도'!$D$9</f>
        <v/>
      </c>
      <c r="J860" s="85">
        <f>'01_원자료'!P857*'03_가중치민감도'!$B$10+'01_원자료'!Q857*'03_가중치민감도'!$C$10+'01_원자료'!R857*'03_가중치민감도'!$D$10</f>
        <v/>
      </c>
      <c r="K860" s="99">
        <f>COUNTIF($E$5:$E$979,"&lt;"&amp;E860)+(COUNTIF($E$5:$E$979,"="&amp;E860)+1)/2</f>
        <v/>
      </c>
      <c r="L860" s="99">
        <f>COUNTIF($F$5:$F$979,"&lt;"&amp;F860)+(COUNTIF($F$5:$F$979,"="&amp;F860)+1)/2</f>
        <v/>
      </c>
      <c r="M860" s="99">
        <f>COUNTIF($G$5:$G$979,"&lt;"&amp;G860)+(COUNTIF($G$5:$G$979,"="&amp;G860)+1)/2</f>
        <v/>
      </c>
      <c r="N860" s="99">
        <f>COUNTIF($H$5:$H$979,"&lt;"&amp;H860)+(COUNTIF($H$5:$H$979,"="&amp;H860)+1)/2</f>
        <v/>
      </c>
      <c r="O860" s="99">
        <f>COUNTIF($I$5:$I$979,"&lt;"&amp;I860)+(COUNTIF($I$5:$I$979,"="&amp;I860)+1)/2</f>
        <v/>
      </c>
      <c r="P860" s="99">
        <f>COUNTIF($J$5:$J$979,"&lt;"&amp;J860)+(COUNTIF($J$5:$J$979,"="&amp;J860)+1)/2</f>
        <v/>
      </c>
    </row>
    <row r="861" ht="15" customHeight="1" s="68">
      <c r="A861" s="70">
        <f>'01_원자료'!A858</f>
        <v/>
      </c>
      <c r="B861" s="70">
        <f>'01_원자료'!B858</f>
        <v/>
      </c>
      <c r="C861" s="70">
        <f>'01_원자료'!C858</f>
        <v/>
      </c>
      <c r="E861" s="85">
        <f>'01_원자료'!P858*'03_가중치민감도'!$B$5+'01_원자료'!Q858*'03_가중치민감도'!$C$5+'01_원자료'!R858*'03_가중치민감도'!$D$5</f>
        <v/>
      </c>
      <c r="F861" s="85">
        <f>'01_원자료'!P858*'03_가중치민감도'!$B$6+'01_원자료'!Q858*'03_가중치민감도'!$C$6+'01_원자료'!R858*'03_가중치민감도'!$D$6</f>
        <v/>
      </c>
      <c r="G861" s="85">
        <f>'01_원자료'!P858*'03_가중치민감도'!$B$7+'01_원자료'!Q858*'03_가중치민감도'!$C$7+'01_원자료'!R858*'03_가중치민감도'!$D$7</f>
        <v/>
      </c>
      <c r="H861" s="85">
        <f>'01_원자료'!P858*'03_가중치민감도'!$B$8+'01_원자료'!Q858*'03_가중치민감도'!$C$8+'01_원자료'!R858*'03_가중치민감도'!$D$8</f>
        <v/>
      </c>
      <c r="I861" s="85">
        <f>'01_원자료'!P858*'03_가중치민감도'!$B$9+'01_원자료'!Q858*'03_가중치민감도'!$C$9+'01_원자료'!R858*'03_가중치민감도'!$D$9</f>
        <v/>
      </c>
      <c r="J861" s="85">
        <f>'01_원자료'!P858*'03_가중치민감도'!$B$10+'01_원자료'!Q858*'03_가중치민감도'!$C$10+'01_원자료'!R858*'03_가중치민감도'!$D$10</f>
        <v/>
      </c>
      <c r="K861" s="99">
        <f>COUNTIF($E$5:$E$979,"&lt;"&amp;E861)+(COUNTIF($E$5:$E$979,"="&amp;E861)+1)/2</f>
        <v/>
      </c>
      <c r="L861" s="99">
        <f>COUNTIF($F$5:$F$979,"&lt;"&amp;F861)+(COUNTIF($F$5:$F$979,"="&amp;F861)+1)/2</f>
        <v/>
      </c>
      <c r="M861" s="99">
        <f>COUNTIF($G$5:$G$979,"&lt;"&amp;G861)+(COUNTIF($G$5:$G$979,"="&amp;G861)+1)/2</f>
        <v/>
      </c>
      <c r="N861" s="99">
        <f>COUNTIF($H$5:$H$979,"&lt;"&amp;H861)+(COUNTIF($H$5:$H$979,"="&amp;H861)+1)/2</f>
        <v/>
      </c>
      <c r="O861" s="99">
        <f>COUNTIF($I$5:$I$979,"&lt;"&amp;I861)+(COUNTIF($I$5:$I$979,"="&amp;I861)+1)/2</f>
        <v/>
      </c>
      <c r="P861" s="99">
        <f>COUNTIF($J$5:$J$979,"&lt;"&amp;J861)+(COUNTIF($J$5:$J$979,"="&amp;J861)+1)/2</f>
        <v/>
      </c>
    </row>
    <row r="862" ht="15" customHeight="1" s="68">
      <c r="A862" s="70">
        <f>'01_원자료'!A859</f>
        <v/>
      </c>
      <c r="B862" s="70">
        <f>'01_원자료'!B859</f>
        <v/>
      </c>
      <c r="C862" s="70">
        <f>'01_원자료'!C859</f>
        <v/>
      </c>
      <c r="E862" s="85">
        <f>'01_원자료'!P859*'03_가중치민감도'!$B$5+'01_원자료'!Q859*'03_가중치민감도'!$C$5+'01_원자료'!R859*'03_가중치민감도'!$D$5</f>
        <v/>
      </c>
      <c r="F862" s="85">
        <f>'01_원자료'!P859*'03_가중치민감도'!$B$6+'01_원자료'!Q859*'03_가중치민감도'!$C$6+'01_원자료'!R859*'03_가중치민감도'!$D$6</f>
        <v/>
      </c>
      <c r="G862" s="85">
        <f>'01_원자료'!P859*'03_가중치민감도'!$B$7+'01_원자료'!Q859*'03_가중치민감도'!$C$7+'01_원자료'!R859*'03_가중치민감도'!$D$7</f>
        <v/>
      </c>
      <c r="H862" s="85">
        <f>'01_원자료'!P859*'03_가중치민감도'!$B$8+'01_원자료'!Q859*'03_가중치민감도'!$C$8+'01_원자료'!R859*'03_가중치민감도'!$D$8</f>
        <v/>
      </c>
      <c r="I862" s="85">
        <f>'01_원자료'!P859*'03_가중치민감도'!$B$9+'01_원자료'!Q859*'03_가중치민감도'!$C$9+'01_원자료'!R859*'03_가중치민감도'!$D$9</f>
        <v/>
      </c>
      <c r="J862" s="85">
        <f>'01_원자료'!P859*'03_가중치민감도'!$B$10+'01_원자료'!Q859*'03_가중치민감도'!$C$10+'01_원자료'!R859*'03_가중치민감도'!$D$10</f>
        <v/>
      </c>
      <c r="K862" s="99">
        <f>COUNTIF($E$5:$E$979,"&lt;"&amp;E862)+(COUNTIF($E$5:$E$979,"="&amp;E862)+1)/2</f>
        <v/>
      </c>
      <c r="L862" s="99">
        <f>COUNTIF($F$5:$F$979,"&lt;"&amp;F862)+(COUNTIF($F$5:$F$979,"="&amp;F862)+1)/2</f>
        <v/>
      </c>
      <c r="M862" s="99">
        <f>COUNTIF($G$5:$G$979,"&lt;"&amp;G862)+(COUNTIF($G$5:$G$979,"="&amp;G862)+1)/2</f>
        <v/>
      </c>
      <c r="N862" s="99">
        <f>COUNTIF($H$5:$H$979,"&lt;"&amp;H862)+(COUNTIF($H$5:$H$979,"="&amp;H862)+1)/2</f>
        <v/>
      </c>
      <c r="O862" s="99">
        <f>COUNTIF($I$5:$I$979,"&lt;"&amp;I862)+(COUNTIF($I$5:$I$979,"="&amp;I862)+1)/2</f>
        <v/>
      </c>
      <c r="P862" s="99">
        <f>COUNTIF($J$5:$J$979,"&lt;"&amp;J862)+(COUNTIF($J$5:$J$979,"="&amp;J862)+1)/2</f>
        <v/>
      </c>
    </row>
    <row r="863" ht="15" customHeight="1" s="68">
      <c r="A863" s="70">
        <f>'01_원자료'!A860</f>
        <v/>
      </c>
      <c r="B863" s="70">
        <f>'01_원자료'!B860</f>
        <v/>
      </c>
      <c r="C863" s="70">
        <f>'01_원자료'!C860</f>
        <v/>
      </c>
      <c r="E863" s="85">
        <f>'01_원자료'!P860*'03_가중치민감도'!$B$5+'01_원자료'!Q860*'03_가중치민감도'!$C$5+'01_원자료'!R860*'03_가중치민감도'!$D$5</f>
        <v/>
      </c>
      <c r="F863" s="85">
        <f>'01_원자료'!P860*'03_가중치민감도'!$B$6+'01_원자료'!Q860*'03_가중치민감도'!$C$6+'01_원자료'!R860*'03_가중치민감도'!$D$6</f>
        <v/>
      </c>
      <c r="G863" s="85">
        <f>'01_원자료'!P860*'03_가중치민감도'!$B$7+'01_원자료'!Q860*'03_가중치민감도'!$C$7+'01_원자료'!R860*'03_가중치민감도'!$D$7</f>
        <v/>
      </c>
      <c r="H863" s="85">
        <f>'01_원자료'!P860*'03_가중치민감도'!$B$8+'01_원자료'!Q860*'03_가중치민감도'!$C$8+'01_원자료'!R860*'03_가중치민감도'!$D$8</f>
        <v/>
      </c>
      <c r="I863" s="85">
        <f>'01_원자료'!P860*'03_가중치민감도'!$B$9+'01_원자료'!Q860*'03_가중치민감도'!$C$9+'01_원자료'!R860*'03_가중치민감도'!$D$9</f>
        <v/>
      </c>
      <c r="J863" s="85">
        <f>'01_원자료'!P860*'03_가중치민감도'!$B$10+'01_원자료'!Q860*'03_가중치민감도'!$C$10+'01_원자료'!R860*'03_가중치민감도'!$D$10</f>
        <v/>
      </c>
      <c r="K863" s="99">
        <f>COUNTIF($E$5:$E$979,"&lt;"&amp;E863)+(COUNTIF($E$5:$E$979,"="&amp;E863)+1)/2</f>
        <v/>
      </c>
      <c r="L863" s="99">
        <f>COUNTIF($F$5:$F$979,"&lt;"&amp;F863)+(COUNTIF($F$5:$F$979,"="&amp;F863)+1)/2</f>
        <v/>
      </c>
      <c r="M863" s="99">
        <f>COUNTIF($G$5:$G$979,"&lt;"&amp;G863)+(COUNTIF($G$5:$G$979,"="&amp;G863)+1)/2</f>
        <v/>
      </c>
      <c r="N863" s="99">
        <f>COUNTIF($H$5:$H$979,"&lt;"&amp;H863)+(COUNTIF($H$5:$H$979,"="&amp;H863)+1)/2</f>
        <v/>
      </c>
      <c r="O863" s="99">
        <f>COUNTIF($I$5:$I$979,"&lt;"&amp;I863)+(COUNTIF($I$5:$I$979,"="&amp;I863)+1)/2</f>
        <v/>
      </c>
      <c r="P863" s="99">
        <f>COUNTIF($J$5:$J$979,"&lt;"&amp;J863)+(COUNTIF($J$5:$J$979,"="&amp;J863)+1)/2</f>
        <v/>
      </c>
    </row>
    <row r="864" ht="15" customHeight="1" s="68">
      <c r="A864" s="70">
        <f>'01_원자료'!A861</f>
        <v/>
      </c>
      <c r="B864" s="70">
        <f>'01_원자료'!B861</f>
        <v/>
      </c>
      <c r="C864" s="70">
        <f>'01_원자료'!C861</f>
        <v/>
      </c>
      <c r="E864" s="85">
        <f>'01_원자료'!P861*'03_가중치민감도'!$B$5+'01_원자료'!Q861*'03_가중치민감도'!$C$5+'01_원자료'!R861*'03_가중치민감도'!$D$5</f>
        <v/>
      </c>
      <c r="F864" s="85">
        <f>'01_원자료'!P861*'03_가중치민감도'!$B$6+'01_원자료'!Q861*'03_가중치민감도'!$C$6+'01_원자료'!R861*'03_가중치민감도'!$D$6</f>
        <v/>
      </c>
      <c r="G864" s="85">
        <f>'01_원자료'!P861*'03_가중치민감도'!$B$7+'01_원자료'!Q861*'03_가중치민감도'!$C$7+'01_원자료'!R861*'03_가중치민감도'!$D$7</f>
        <v/>
      </c>
      <c r="H864" s="85">
        <f>'01_원자료'!P861*'03_가중치민감도'!$B$8+'01_원자료'!Q861*'03_가중치민감도'!$C$8+'01_원자료'!R861*'03_가중치민감도'!$D$8</f>
        <v/>
      </c>
      <c r="I864" s="85">
        <f>'01_원자료'!P861*'03_가중치민감도'!$B$9+'01_원자료'!Q861*'03_가중치민감도'!$C$9+'01_원자료'!R861*'03_가중치민감도'!$D$9</f>
        <v/>
      </c>
      <c r="J864" s="85">
        <f>'01_원자료'!P861*'03_가중치민감도'!$B$10+'01_원자료'!Q861*'03_가중치민감도'!$C$10+'01_원자료'!R861*'03_가중치민감도'!$D$10</f>
        <v/>
      </c>
      <c r="K864" s="99">
        <f>COUNTIF($E$5:$E$979,"&lt;"&amp;E864)+(COUNTIF($E$5:$E$979,"="&amp;E864)+1)/2</f>
        <v/>
      </c>
      <c r="L864" s="99">
        <f>COUNTIF($F$5:$F$979,"&lt;"&amp;F864)+(COUNTIF($F$5:$F$979,"="&amp;F864)+1)/2</f>
        <v/>
      </c>
      <c r="M864" s="99">
        <f>COUNTIF($G$5:$G$979,"&lt;"&amp;G864)+(COUNTIF($G$5:$G$979,"="&amp;G864)+1)/2</f>
        <v/>
      </c>
      <c r="N864" s="99">
        <f>COUNTIF($H$5:$H$979,"&lt;"&amp;H864)+(COUNTIF($H$5:$H$979,"="&amp;H864)+1)/2</f>
        <v/>
      </c>
      <c r="O864" s="99">
        <f>COUNTIF($I$5:$I$979,"&lt;"&amp;I864)+(COUNTIF($I$5:$I$979,"="&amp;I864)+1)/2</f>
        <v/>
      </c>
      <c r="P864" s="99">
        <f>COUNTIF($J$5:$J$979,"&lt;"&amp;J864)+(COUNTIF($J$5:$J$979,"="&amp;J864)+1)/2</f>
        <v/>
      </c>
    </row>
    <row r="865" ht="15" customHeight="1" s="68">
      <c r="A865" s="70">
        <f>'01_원자료'!A862</f>
        <v/>
      </c>
      <c r="B865" s="70">
        <f>'01_원자료'!B862</f>
        <v/>
      </c>
      <c r="C865" s="70">
        <f>'01_원자료'!C862</f>
        <v/>
      </c>
      <c r="E865" s="85">
        <f>'01_원자료'!P862*'03_가중치민감도'!$B$5+'01_원자료'!Q862*'03_가중치민감도'!$C$5+'01_원자료'!R862*'03_가중치민감도'!$D$5</f>
        <v/>
      </c>
      <c r="F865" s="85">
        <f>'01_원자료'!P862*'03_가중치민감도'!$B$6+'01_원자료'!Q862*'03_가중치민감도'!$C$6+'01_원자료'!R862*'03_가중치민감도'!$D$6</f>
        <v/>
      </c>
      <c r="G865" s="85">
        <f>'01_원자료'!P862*'03_가중치민감도'!$B$7+'01_원자료'!Q862*'03_가중치민감도'!$C$7+'01_원자료'!R862*'03_가중치민감도'!$D$7</f>
        <v/>
      </c>
      <c r="H865" s="85">
        <f>'01_원자료'!P862*'03_가중치민감도'!$B$8+'01_원자료'!Q862*'03_가중치민감도'!$C$8+'01_원자료'!R862*'03_가중치민감도'!$D$8</f>
        <v/>
      </c>
      <c r="I865" s="85">
        <f>'01_원자료'!P862*'03_가중치민감도'!$B$9+'01_원자료'!Q862*'03_가중치민감도'!$C$9+'01_원자료'!R862*'03_가중치민감도'!$D$9</f>
        <v/>
      </c>
      <c r="J865" s="85">
        <f>'01_원자료'!P862*'03_가중치민감도'!$B$10+'01_원자료'!Q862*'03_가중치민감도'!$C$10+'01_원자료'!R862*'03_가중치민감도'!$D$10</f>
        <v/>
      </c>
      <c r="K865" s="99">
        <f>COUNTIF($E$5:$E$979,"&lt;"&amp;E865)+(COUNTIF($E$5:$E$979,"="&amp;E865)+1)/2</f>
        <v/>
      </c>
      <c r="L865" s="99">
        <f>COUNTIF($F$5:$F$979,"&lt;"&amp;F865)+(COUNTIF($F$5:$F$979,"="&amp;F865)+1)/2</f>
        <v/>
      </c>
      <c r="M865" s="99">
        <f>COUNTIF($G$5:$G$979,"&lt;"&amp;G865)+(COUNTIF($G$5:$G$979,"="&amp;G865)+1)/2</f>
        <v/>
      </c>
      <c r="N865" s="99">
        <f>COUNTIF($H$5:$H$979,"&lt;"&amp;H865)+(COUNTIF($H$5:$H$979,"="&amp;H865)+1)/2</f>
        <v/>
      </c>
      <c r="O865" s="99">
        <f>COUNTIF($I$5:$I$979,"&lt;"&amp;I865)+(COUNTIF($I$5:$I$979,"="&amp;I865)+1)/2</f>
        <v/>
      </c>
      <c r="P865" s="99">
        <f>COUNTIF($J$5:$J$979,"&lt;"&amp;J865)+(COUNTIF($J$5:$J$979,"="&amp;J865)+1)/2</f>
        <v/>
      </c>
    </row>
    <row r="866" ht="15" customHeight="1" s="68">
      <c r="A866" s="70">
        <f>'01_원자료'!A863</f>
        <v/>
      </c>
      <c r="B866" s="70">
        <f>'01_원자료'!B863</f>
        <v/>
      </c>
      <c r="C866" s="70">
        <f>'01_원자료'!C863</f>
        <v/>
      </c>
      <c r="E866" s="85">
        <f>'01_원자료'!P863*'03_가중치민감도'!$B$5+'01_원자료'!Q863*'03_가중치민감도'!$C$5+'01_원자료'!R863*'03_가중치민감도'!$D$5</f>
        <v/>
      </c>
      <c r="F866" s="85">
        <f>'01_원자료'!P863*'03_가중치민감도'!$B$6+'01_원자료'!Q863*'03_가중치민감도'!$C$6+'01_원자료'!R863*'03_가중치민감도'!$D$6</f>
        <v/>
      </c>
      <c r="G866" s="85">
        <f>'01_원자료'!P863*'03_가중치민감도'!$B$7+'01_원자료'!Q863*'03_가중치민감도'!$C$7+'01_원자료'!R863*'03_가중치민감도'!$D$7</f>
        <v/>
      </c>
      <c r="H866" s="85">
        <f>'01_원자료'!P863*'03_가중치민감도'!$B$8+'01_원자료'!Q863*'03_가중치민감도'!$C$8+'01_원자료'!R863*'03_가중치민감도'!$D$8</f>
        <v/>
      </c>
      <c r="I866" s="85">
        <f>'01_원자료'!P863*'03_가중치민감도'!$B$9+'01_원자료'!Q863*'03_가중치민감도'!$C$9+'01_원자료'!R863*'03_가중치민감도'!$D$9</f>
        <v/>
      </c>
      <c r="J866" s="85">
        <f>'01_원자료'!P863*'03_가중치민감도'!$B$10+'01_원자료'!Q863*'03_가중치민감도'!$C$10+'01_원자료'!R863*'03_가중치민감도'!$D$10</f>
        <v/>
      </c>
      <c r="K866" s="99">
        <f>COUNTIF($E$5:$E$979,"&lt;"&amp;E866)+(COUNTIF($E$5:$E$979,"="&amp;E866)+1)/2</f>
        <v/>
      </c>
      <c r="L866" s="99">
        <f>COUNTIF($F$5:$F$979,"&lt;"&amp;F866)+(COUNTIF($F$5:$F$979,"="&amp;F866)+1)/2</f>
        <v/>
      </c>
      <c r="M866" s="99">
        <f>COUNTIF($G$5:$G$979,"&lt;"&amp;G866)+(COUNTIF($G$5:$G$979,"="&amp;G866)+1)/2</f>
        <v/>
      </c>
      <c r="N866" s="99">
        <f>COUNTIF($H$5:$H$979,"&lt;"&amp;H866)+(COUNTIF($H$5:$H$979,"="&amp;H866)+1)/2</f>
        <v/>
      </c>
      <c r="O866" s="99">
        <f>COUNTIF($I$5:$I$979,"&lt;"&amp;I866)+(COUNTIF($I$5:$I$979,"="&amp;I866)+1)/2</f>
        <v/>
      </c>
      <c r="P866" s="99">
        <f>COUNTIF($J$5:$J$979,"&lt;"&amp;J866)+(COUNTIF($J$5:$J$979,"="&amp;J866)+1)/2</f>
        <v/>
      </c>
    </row>
    <row r="867" ht="15" customHeight="1" s="68">
      <c r="A867" s="70">
        <f>'01_원자료'!A864</f>
        <v/>
      </c>
      <c r="B867" s="70">
        <f>'01_원자료'!B864</f>
        <v/>
      </c>
      <c r="C867" s="70">
        <f>'01_원자료'!C864</f>
        <v/>
      </c>
      <c r="E867" s="85">
        <f>'01_원자료'!P864*'03_가중치민감도'!$B$5+'01_원자료'!Q864*'03_가중치민감도'!$C$5+'01_원자료'!R864*'03_가중치민감도'!$D$5</f>
        <v/>
      </c>
      <c r="F867" s="85">
        <f>'01_원자료'!P864*'03_가중치민감도'!$B$6+'01_원자료'!Q864*'03_가중치민감도'!$C$6+'01_원자료'!R864*'03_가중치민감도'!$D$6</f>
        <v/>
      </c>
      <c r="G867" s="85">
        <f>'01_원자료'!P864*'03_가중치민감도'!$B$7+'01_원자료'!Q864*'03_가중치민감도'!$C$7+'01_원자료'!R864*'03_가중치민감도'!$D$7</f>
        <v/>
      </c>
      <c r="H867" s="85">
        <f>'01_원자료'!P864*'03_가중치민감도'!$B$8+'01_원자료'!Q864*'03_가중치민감도'!$C$8+'01_원자료'!R864*'03_가중치민감도'!$D$8</f>
        <v/>
      </c>
      <c r="I867" s="85">
        <f>'01_원자료'!P864*'03_가중치민감도'!$B$9+'01_원자료'!Q864*'03_가중치민감도'!$C$9+'01_원자료'!R864*'03_가중치민감도'!$D$9</f>
        <v/>
      </c>
      <c r="J867" s="85">
        <f>'01_원자료'!P864*'03_가중치민감도'!$B$10+'01_원자료'!Q864*'03_가중치민감도'!$C$10+'01_원자료'!R864*'03_가중치민감도'!$D$10</f>
        <v/>
      </c>
      <c r="K867" s="99">
        <f>COUNTIF($E$5:$E$979,"&lt;"&amp;E867)+(COUNTIF($E$5:$E$979,"="&amp;E867)+1)/2</f>
        <v/>
      </c>
      <c r="L867" s="99">
        <f>COUNTIF($F$5:$F$979,"&lt;"&amp;F867)+(COUNTIF($F$5:$F$979,"="&amp;F867)+1)/2</f>
        <v/>
      </c>
      <c r="M867" s="99">
        <f>COUNTIF($G$5:$G$979,"&lt;"&amp;G867)+(COUNTIF($G$5:$G$979,"="&amp;G867)+1)/2</f>
        <v/>
      </c>
      <c r="N867" s="99">
        <f>COUNTIF($H$5:$H$979,"&lt;"&amp;H867)+(COUNTIF($H$5:$H$979,"="&amp;H867)+1)/2</f>
        <v/>
      </c>
      <c r="O867" s="99">
        <f>COUNTIF($I$5:$I$979,"&lt;"&amp;I867)+(COUNTIF($I$5:$I$979,"="&amp;I867)+1)/2</f>
        <v/>
      </c>
      <c r="P867" s="99">
        <f>COUNTIF($J$5:$J$979,"&lt;"&amp;J867)+(COUNTIF($J$5:$J$979,"="&amp;J867)+1)/2</f>
        <v/>
      </c>
    </row>
    <row r="868" ht="15" customHeight="1" s="68">
      <c r="A868" s="70">
        <f>'01_원자료'!A865</f>
        <v/>
      </c>
      <c r="B868" s="70">
        <f>'01_원자료'!B865</f>
        <v/>
      </c>
      <c r="C868" s="70">
        <f>'01_원자료'!C865</f>
        <v/>
      </c>
      <c r="E868" s="85">
        <f>'01_원자료'!P865*'03_가중치민감도'!$B$5+'01_원자료'!Q865*'03_가중치민감도'!$C$5+'01_원자료'!R865*'03_가중치민감도'!$D$5</f>
        <v/>
      </c>
      <c r="F868" s="85">
        <f>'01_원자료'!P865*'03_가중치민감도'!$B$6+'01_원자료'!Q865*'03_가중치민감도'!$C$6+'01_원자료'!R865*'03_가중치민감도'!$D$6</f>
        <v/>
      </c>
      <c r="G868" s="85">
        <f>'01_원자료'!P865*'03_가중치민감도'!$B$7+'01_원자료'!Q865*'03_가중치민감도'!$C$7+'01_원자료'!R865*'03_가중치민감도'!$D$7</f>
        <v/>
      </c>
      <c r="H868" s="85">
        <f>'01_원자료'!P865*'03_가중치민감도'!$B$8+'01_원자료'!Q865*'03_가중치민감도'!$C$8+'01_원자료'!R865*'03_가중치민감도'!$D$8</f>
        <v/>
      </c>
      <c r="I868" s="85">
        <f>'01_원자료'!P865*'03_가중치민감도'!$B$9+'01_원자료'!Q865*'03_가중치민감도'!$C$9+'01_원자료'!R865*'03_가중치민감도'!$D$9</f>
        <v/>
      </c>
      <c r="J868" s="85">
        <f>'01_원자료'!P865*'03_가중치민감도'!$B$10+'01_원자료'!Q865*'03_가중치민감도'!$C$10+'01_원자료'!R865*'03_가중치민감도'!$D$10</f>
        <v/>
      </c>
      <c r="K868" s="99">
        <f>COUNTIF($E$5:$E$979,"&lt;"&amp;E868)+(COUNTIF($E$5:$E$979,"="&amp;E868)+1)/2</f>
        <v/>
      </c>
      <c r="L868" s="99">
        <f>COUNTIF($F$5:$F$979,"&lt;"&amp;F868)+(COUNTIF($F$5:$F$979,"="&amp;F868)+1)/2</f>
        <v/>
      </c>
      <c r="M868" s="99">
        <f>COUNTIF($G$5:$G$979,"&lt;"&amp;G868)+(COUNTIF($G$5:$G$979,"="&amp;G868)+1)/2</f>
        <v/>
      </c>
      <c r="N868" s="99">
        <f>COUNTIF($H$5:$H$979,"&lt;"&amp;H868)+(COUNTIF($H$5:$H$979,"="&amp;H868)+1)/2</f>
        <v/>
      </c>
      <c r="O868" s="99">
        <f>COUNTIF($I$5:$I$979,"&lt;"&amp;I868)+(COUNTIF($I$5:$I$979,"="&amp;I868)+1)/2</f>
        <v/>
      </c>
      <c r="P868" s="99">
        <f>COUNTIF($J$5:$J$979,"&lt;"&amp;J868)+(COUNTIF($J$5:$J$979,"="&amp;J868)+1)/2</f>
        <v/>
      </c>
    </row>
    <row r="869" ht="15" customHeight="1" s="68">
      <c r="A869" s="70">
        <f>'01_원자료'!A866</f>
        <v/>
      </c>
      <c r="B869" s="70">
        <f>'01_원자료'!B866</f>
        <v/>
      </c>
      <c r="C869" s="70">
        <f>'01_원자료'!C866</f>
        <v/>
      </c>
      <c r="E869" s="85">
        <f>'01_원자료'!P866*'03_가중치민감도'!$B$5+'01_원자료'!Q866*'03_가중치민감도'!$C$5+'01_원자료'!R866*'03_가중치민감도'!$D$5</f>
        <v/>
      </c>
      <c r="F869" s="85">
        <f>'01_원자료'!P866*'03_가중치민감도'!$B$6+'01_원자료'!Q866*'03_가중치민감도'!$C$6+'01_원자료'!R866*'03_가중치민감도'!$D$6</f>
        <v/>
      </c>
      <c r="G869" s="85">
        <f>'01_원자료'!P866*'03_가중치민감도'!$B$7+'01_원자료'!Q866*'03_가중치민감도'!$C$7+'01_원자료'!R866*'03_가중치민감도'!$D$7</f>
        <v/>
      </c>
      <c r="H869" s="85">
        <f>'01_원자료'!P866*'03_가중치민감도'!$B$8+'01_원자료'!Q866*'03_가중치민감도'!$C$8+'01_원자료'!R866*'03_가중치민감도'!$D$8</f>
        <v/>
      </c>
      <c r="I869" s="85">
        <f>'01_원자료'!P866*'03_가중치민감도'!$B$9+'01_원자료'!Q866*'03_가중치민감도'!$C$9+'01_원자료'!R866*'03_가중치민감도'!$D$9</f>
        <v/>
      </c>
      <c r="J869" s="85">
        <f>'01_원자료'!P866*'03_가중치민감도'!$B$10+'01_원자료'!Q866*'03_가중치민감도'!$C$10+'01_원자료'!R866*'03_가중치민감도'!$D$10</f>
        <v/>
      </c>
      <c r="K869" s="99">
        <f>COUNTIF($E$5:$E$979,"&lt;"&amp;E869)+(COUNTIF($E$5:$E$979,"="&amp;E869)+1)/2</f>
        <v/>
      </c>
      <c r="L869" s="99">
        <f>COUNTIF($F$5:$F$979,"&lt;"&amp;F869)+(COUNTIF($F$5:$F$979,"="&amp;F869)+1)/2</f>
        <v/>
      </c>
      <c r="M869" s="99">
        <f>COUNTIF($G$5:$G$979,"&lt;"&amp;G869)+(COUNTIF($G$5:$G$979,"="&amp;G869)+1)/2</f>
        <v/>
      </c>
      <c r="N869" s="99">
        <f>COUNTIF($H$5:$H$979,"&lt;"&amp;H869)+(COUNTIF($H$5:$H$979,"="&amp;H869)+1)/2</f>
        <v/>
      </c>
      <c r="O869" s="99">
        <f>COUNTIF($I$5:$I$979,"&lt;"&amp;I869)+(COUNTIF($I$5:$I$979,"="&amp;I869)+1)/2</f>
        <v/>
      </c>
      <c r="P869" s="99">
        <f>COUNTIF($J$5:$J$979,"&lt;"&amp;J869)+(COUNTIF($J$5:$J$979,"="&amp;J869)+1)/2</f>
        <v/>
      </c>
    </row>
    <row r="870" ht="15" customHeight="1" s="68">
      <c r="A870" s="70">
        <f>'01_원자료'!A867</f>
        <v/>
      </c>
      <c r="B870" s="70">
        <f>'01_원자료'!B867</f>
        <v/>
      </c>
      <c r="C870" s="70">
        <f>'01_원자료'!C867</f>
        <v/>
      </c>
      <c r="E870" s="85">
        <f>'01_원자료'!P867*'03_가중치민감도'!$B$5+'01_원자료'!Q867*'03_가중치민감도'!$C$5+'01_원자료'!R867*'03_가중치민감도'!$D$5</f>
        <v/>
      </c>
      <c r="F870" s="85">
        <f>'01_원자료'!P867*'03_가중치민감도'!$B$6+'01_원자료'!Q867*'03_가중치민감도'!$C$6+'01_원자료'!R867*'03_가중치민감도'!$D$6</f>
        <v/>
      </c>
      <c r="G870" s="85">
        <f>'01_원자료'!P867*'03_가중치민감도'!$B$7+'01_원자료'!Q867*'03_가중치민감도'!$C$7+'01_원자료'!R867*'03_가중치민감도'!$D$7</f>
        <v/>
      </c>
      <c r="H870" s="85">
        <f>'01_원자료'!P867*'03_가중치민감도'!$B$8+'01_원자료'!Q867*'03_가중치민감도'!$C$8+'01_원자료'!R867*'03_가중치민감도'!$D$8</f>
        <v/>
      </c>
      <c r="I870" s="85">
        <f>'01_원자료'!P867*'03_가중치민감도'!$B$9+'01_원자료'!Q867*'03_가중치민감도'!$C$9+'01_원자료'!R867*'03_가중치민감도'!$D$9</f>
        <v/>
      </c>
      <c r="J870" s="85">
        <f>'01_원자료'!P867*'03_가중치민감도'!$B$10+'01_원자료'!Q867*'03_가중치민감도'!$C$10+'01_원자료'!R867*'03_가중치민감도'!$D$10</f>
        <v/>
      </c>
      <c r="K870" s="99">
        <f>COUNTIF($E$5:$E$979,"&lt;"&amp;E870)+(COUNTIF($E$5:$E$979,"="&amp;E870)+1)/2</f>
        <v/>
      </c>
      <c r="L870" s="99">
        <f>COUNTIF($F$5:$F$979,"&lt;"&amp;F870)+(COUNTIF($F$5:$F$979,"="&amp;F870)+1)/2</f>
        <v/>
      </c>
      <c r="M870" s="99">
        <f>COUNTIF($G$5:$G$979,"&lt;"&amp;G870)+(COUNTIF($G$5:$G$979,"="&amp;G870)+1)/2</f>
        <v/>
      </c>
      <c r="N870" s="99">
        <f>COUNTIF($H$5:$H$979,"&lt;"&amp;H870)+(COUNTIF($H$5:$H$979,"="&amp;H870)+1)/2</f>
        <v/>
      </c>
      <c r="O870" s="99">
        <f>COUNTIF($I$5:$I$979,"&lt;"&amp;I870)+(COUNTIF($I$5:$I$979,"="&amp;I870)+1)/2</f>
        <v/>
      </c>
      <c r="P870" s="99">
        <f>COUNTIF($J$5:$J$979,"&lt;"&amp;J870)+(COUNTIF($J$5:$J$979,"="&amp;J870)+1)/2</f>
        <v/>
      </c>
    </row>
    <row r="871" ht="15" customHeight="1" s="68">
      <c r="A871" s="70">
        <f>'01_원자료'!A868</f>
        <v/>
      </c>
      <c r="B871" s="70">
        <f>'01_원자료'!B868</f>
        <v/>
      </c>
      <c r="C871" s="70">
        <f>'01_원자료'!C868</f>
        <v/>
      </c>
      <c r="E871" s="85">
        <f>'01_원자료'!P868*'03_가중치민감도'!$B$5+'01_원자료'!Q868*'03_가중치민감도'!$C$5+'01_원자료'!R868*'03_가중치민감도'!$D$5</f>
        <v/>
      </c>
      <c r="F871" s="85">
        <f>'01_원자료'!P868*'03_가중치민감도'!$B$6+'01_원자료'!Q868*'03_가중치민감도'!$C$6+'01_원자료'!R868*'03_가중치민감도'!$D$6</f>
        <v/>
      </c>
      <c r="G871" s="85">
        <f>'01_원자료'!P868*'03_가중치민감도'!$B$7+'01_원자료'!Q868*'03_가중치민감도'!$C$7+'01_원자료'!R868*'03_가중치민감도'!$D$7</f>
        <v/>
      </c>
      <c r="H871" s="85">
        <f>'01_원자료'!P868*'03_가중치민감도'!$B$8+'01_원자료'!Q868*'03_가중치민감도'!$C$8+'01_원자료'!R868*'03_가중치민감도'!$D$8</f>
        <v/>
      </c>
      <c r="I871" s="85">
        <f>'01_원자료'!P868*'03_가중치민감도'!$B$9+'01_원자료'!Q868*'03_가중치민감도'!$C$9+'01_원자료'!R868*'03_가중치민감도'!$D$9</f>
        <v/>
      </c>
      <c r="J871" s="85">
        <f>'01_원자료'!P868*'03_가중치민감도'!$B$10+'01_원자료'!Q868*'03_가중치민감도'!$C$10+'01_원자료'!R868*'03_가중치민감도'!$D$10</f>
        <v/>
      </c>
      <c r="K871" s="99">
        <f>COUNTIF($E$5:$E$979,"&lt;"&amp;E871)+(COUNTIF($E$5:$E$979,"="&amp;E871)+1)/2</f>
        <v/>
      </c>
      <c r="L871" s="99">
        <f>COUNTIF($F$5:$F$979,"&lt;"&amp;F871)+(COUNTIF($F$5:$F$979,"="&amp;F871)+1)/2</f>
        <v/>
      </c>
      <c r="M871" s="99">
        <f>COUNTIF($G$5:$G$979,"&lt;"&amp;G871)+(COUNTIF($G$5:$G$979,"="&amp;G871)+1)/2</f>
        <v/>
      </c>
      <c r="N871" s="99">
        <f>COUNTIF($H$5:$H$979,"&lt;"&amp;H871)+(COUNTIF($H$5:$H$979,"="&amp;H871)+1)/2</f>
        <v/>
      </c>
      <c r="O871" s="99">
        <f>COUNTIF($I$5:$I$979,"&lt;"&amp;I871)+(COUNTIF($I$5:$I$979,"="&amp;I871)+1)/2</f>
        <v/>
      </c>
      <c r="P871" s="99">
        <f>COUNTIF($J$5:$J$979,"&lt;"&amp;J871)+(COUNTIF($J$5:$J$979,"="&amp;J871)+1)/2</f>
        <v/>
      </c>
    </row>
    <row r="872" ht="15" customHeight="1" s="68">
      <c r="A872" s="70">
        <f>'01_원자료'!A869</f>
        <v/>
      </c>
      <c r="B872" s="70">
        <f>'01_원자료'!B869</f>
        <v/>
      </c>
      <c r="C872" s="70">
        <f>'01_원자료'!C869</f>
        <v/>
      </c>
      <c r="E872" s="85">
        <f>'01_원자료'!P869*'03_가중치민감도'!$B$5+'01_원자료'!Q869*'03_가중치민감도'!$C$5+'01_원자료'!R869*'03_가중치민감도'!$D$5</f>
        <v/>
      </c>
      <c r="F872" s="85">
        <f>'01_원자료'!P869*'03_가중치민감도'!$B$6+'01_원자료'!Q869*'03_가중치민감도'!$C$6+'01_원자료'!R869*'03_가중치민감도'!$D$6</f>
        <v/>
      </c>
      <c r="G872" s="85">
        <f>'01_원자료'!P869*'03_가중치민감도'!$B$7+'01_원자료'!Q869*'03_가중치민감도'!$C$7+'01_원자료'!R869*'03_가중치민감도'!$D$7</f>
        <v/>
      </c>
      <c r="H872" s="85">
        <f>'01_원자료'!P869*'03_가중치민감도'!$B$8+'01_원자료'!Q869*'03_가중치민감도'!$C$8+'01_원자료'!R869*'03_가중치민감도'!$D$8</f>
        <v/>
      </c>
      <c r="I872" s="85">
        <f>'01_원자료'!P869*'03_가중치민감도'!$B$9+'01_원자료'!Q869*'03_가중치민감도'!$C$9+'01_원자료'!R869*'03_가중치민감도'!$D$9</f>
        <v/>
      </c>
      <c r="J872" s="85">
        <f>'01_원자료'!P869*'03_가중치민감도'!$B$10+'01_원자료'!Q869*'03_가중치민감도'!$C$10+'01_원자료'!R869*'03_가중치민감도'!$D$10</f>
        <v/>
      </c>
      <c r="K872" s="99">
        <f>COUNTIF($E$5:$E$979,"&lt;"&amp;E872)+(COUNTIF($E$5:$E$979,"="&amp;E872)+1)/2</f>
        <v/>
      </c>
      <c r="L872" s="99">
        <f>COUNTIF($F$5:$F$979,"&lt;"&amp;F872)+(COUNTIF($F$5:$F$979,"="&amp;F872)+1)/2</f>
        <v/>
      </c>
      <c r="M872" s="99">
        <f>COUNTIF($G$5:$G$979,"&lt;"&amp;G872)+(COUNTIF($G$5:$G$979,"="&amp;G872)+1)/2</f>
        <v/>
      </c>
      <c r="N872" s="99">
        <f>COUNTIF($H$5:$H$979,"&lt;"&amp;H872)+(COUNTIF($H$5:$H$979,"="&amp;H872)+1)/2</f>
        <v/>
      </c>
      <c r="O872" s="99">
        <f>COUNTIF($I$5:$I$979,"&lt;"&amp;I872)+(COUNTIF($I$5:$I$979,"="&amp;I872)+1)/2</f>
        <v/>
      </c>
      <c r="P872" s="99">
        <f>COUNTIF($J$5:$J$979,"&lt;"&amp;J872)+(COUNTIF($J$5:$J$979,"="&amp;J872)+1)/2</f>
        <v/>
      </c>
    </row>
    <row r="873" ht="15" customHeight="1" s="68">
      <c r="A873" s="70">
        <f>'01_원자료'!A870</f>
        <v/>
      </c>
      <c r="B873" s="70">
        <f>'01_원자료'!B870</f>
        <v/>
      </c>
      <c r="C873" s="70">
        <f>'01_원자료'!C870</f>
        <v/>
      </c>
      <c r="E873" s="85">
        <f>'01_원자료'!P870*'03_가중치민감도'!$B$5+'01_원자료'!Q870*'03_가중치민감도'!$C$5+'01_원자료'!R870*'03_가중치민감도'!$D$5</f>
        <v/>
      </c>
      <c r="F873" s="85">
        <f>'01_원자료'!P870*'03_가중치민감도'!$B$6+'01_원자료'!Q870*'03_가중치민감도'!$C$6+'01_원자료'!R870*'03_가중치민감도'!$D$6</f>
        <v/>
      </c>
      <c r="G873" s="85">
        <f>'01_원자료'!P870*'03_가중치민감도'!$B$7+'01_원자료'!Q870*'03_가중치민감도'!$C$7+'01_원자료'!R870*'03_가중치민감도'!$D$7</f>
        <v/>
      </c>
      <c r="H873" s="85">
        <f>'01_원자료'!P870*'03_가중치민감도'!$B$8+'01_원자료'!Q870*'03_가중치민감도'!$C$8+'01_원자료'!R870*'03_가중치민감도'!$D$8</f>
        <v/>
      </c>
      <c r="I873" s="85">
        <f>'01_원자료'!P870*'03_가중치민감도'!$B$9+'01_원자료'!Q870*'03_가중치민감도'!$C$9+'01_원자료'!R870*'03_가중치민감도'!$D$9</f>
        <v/>
      </c>
      <c r="J873" s="85">
        <f>'01_원자료'!P870*'03_가중치민감도'!$B$10+'01_원자료'!Q870*'03_가중치민감도'!$C$10+'01_원자료'!R870*'03_가중치민감도'!$D$10</f>
        <v/>
      </c>
      <c r="K873" s="99">
        <f>COUNTIF($E$5:$E$979,"&lt;"&amp;E873)+(COUNTIF($E$5:$E$979,"="&amp;E873)+1)/2</f>
        <v/>
      </c>
      <c r="L873" s="99">
        <f>COUNTIF($F$5:$F$979,"&lt;"&amp;F873)+(COUNTIF($F$5:$F$979,"="&amp;F873)+1)/2</f>
        <v/>
      </c>
      <c r="M873" s="99">
        <f>COUNTIF($G$5:$G$979,"&lt;"&amp;G873)+(COUNTIF($G$5:$G$979,"="&amp;G873)+1)/2</f>
        <v/>
      </c>
      <c r="N873" s="99">
        <f>COUNTIF($H$5:$H$979,"&lt;"&amp;H873)+(COUNTIF($H$5:$H$979,"="&amp;H873)+1)/2</f>
        <v/>
      </c>
      <c r="O873" s="99">
        <f>COUNTIF($I$5:$I$979,"&lt;"&amp;I873)+(COUNTIF($I$5:$I$979,"="&amp;I873)+1)/2</f>
        <v/>
      </c>
      <c r="P873" s="99">
        <f>COUNTIF($J$5:$J$979,"&lt;"&amp;J873)+(COUNTIF($J$5:$J$979,"="&amp;J873)+1)/2</f>
        <v/>
      </c>
    </row>
    <row r="874" ht="15" customHeight="1" s="68">
      <c r="A874" s="70">
        <f>'01_원자료'!A871</f>
        <v/>
      </c>
      <c r="B874" s="70">
        <f>'01_원자료'!B871</f>
        <v/>
      </c>
      <c r="C874" s="70">
        <f>'01_원자료'!C871</f>
        <v/>
      </c>
      <c r="E874" s="85">
        <f>'01_원자료'!P871*'03_가중치민감도'!$B$5+'01_원자료'!Q871*'03_가중치민감도'!$C$5+'01_원자료'!R871*'03_가중치민감도'!$D$5</f>
        <v/>
      </c>
      <c r="F874" s="85">
        <f>'01_원자료'!P871*'03_가중치민감도'!$B$6+'01_원자료'!Q871*'03_가중치민감도'!$C$6+'01_원자료'!R871*'03_가중치민감도'!$D$6</f>
        <v/>
      </c>
      <c r="G874" s="85">
        <f>'01_원자료'!P871*'03_가중치민감도'!$B$7+'01_원자료'!Q871*'03_가중치민감도'!$C$7+'01_원자료'!R871*'03_가중치민감도'!$D$7</f>
        <v/>
      </c>
      <c r="H874" s="85">
        <f>'01_원자료'!P871*'03_가중치민감도'!$B$8+'01_원자료'!Q871*'03_가중치민감도'!$C$8+'01_원자료'!R871*'03_가중치민감도'!$D$8</f>
        <v/>
      </c>
      <c r="I874" s="85">
        <f>'01_원자료'!P871*'03_가중치민감도'!$B$9+'01_원자료'!Q871*'03_가중치민감도'!$C$9+'01_원자료'!R871*'03_가중치민감도'!$D$9</f>
        <v/>
      </c>
      <c r="J874" s="85">
        <f>'01_원자료'!P871*'03_가중치민감도'!$B$10+'01_원자료'!Q871*'03_가중치민감도'!$C$10+'01_원자료'!R871*'03_가중치민감도'!$D$10</f>
        <v/>
      </c>
      <c r="K874" s="99">
        <f>COUNTIF($E$5:$E$979,"&lt;"&amp;E874)+(COUNTIF($E$5:$E$979,"="&amp;E874)+1)/2</f>
        <v/>
      </c>
      <c r="L874" s="99">
        <f>COUNTIF($F$5:$F$979,"&lt;"&amp;F874)+(COUNTIF($F$5:$F$979,"="&amp;F874)+1)/2</f>
        <v/>
      </c>
      <c r="M874" s="99">
        <f>COUNTIF($G$5:$G$979,"&lt;"&amp;G874)+(COUNTIF($G$5:$G$979,"="&amp;G874)+1)/2</f>
        <v/>
      </c>
      <c r="N874" s="99">
        <f>COUNTIF($H$5:$H$979,"&lt;"&amp;H874)+(COUNTIF($H$5:$H$979,"="&amp;H874)+1)/2</f>
        <v/>
      </c>
      <c r="O874" s="99">
        <f>COUNTIF($I$5:$I$979,"&lt;"&amp;I874)+(COUNTIF($I$5:$I$979,"="&amp;I874)+1)/2</f>
        <v/>
      </c>
      <c r="P874" s="99">
        <f>COUNTIF($J$5:$J$979,"&lt;"&amp;J874)+(COUNTIF($J$5:$J$979,"="&amp;J874)+1)/2</f>
        <v/>
      </c>
    </row>
    <row r="875" ht="15" customHeight="1" s="68">
      <c r="A875" s="70">
        <f>'01_원자료'!A872</f>
        <v/>
      </c>
      <c r="B875" s="70">
        <f>'01_원자료'!B872</f>
        <v/>
      </c>
      <c r="C875" s="70">
        <f>'01_원자료'!C872</f>
        <v/>
      </c>
      <c r="E875" s="85">
        <f>'01_원자료'!P872*'03_가중치민감도'!$B$5+'01_원자료'!Q872*'03_가중치민감도'!$C$5+'01_원자료'!R872*'03_가중치민감도'!$D$5</f>
        <v/>
      </c>
      <c r="F875" s="85">
        <f>'01_원자료'!P872*'03_가중치민감도'!$B$6+'01_원자료'!Q872*'03_가중치민감도'!$C$6+'01_원자료'!R872*'03_가중치민감도'!$D$6</f>
        <v/>
      </c>
      <c r="G875" s="85">
        <f>'01_원자료'!P872*'03_가중치민감도'!$B$7+'01_원자료'!Q872*'03_가중치민감도'!$C$7+'01_원자료'!R872*'03_가중치민감도'!$D$7</f>
        <v/>
      </c>
      <c r="H875" s="85">
        <f>'01_원자료'!P872*'03_가중치민감도'!$B$8+'01_원자료'!Q872*'03_가중치민감도'!$C$8+'01_원자료'!R872*'03_가중치민감도'!$D$8</f>
        <v/>
      </c>
      <c r="I875" s="85">
        <f>'01_원자료'!P872*'03_가중치민감도'!$B$9+'01_원자료'!Q872*'03_가중치민감도'!$C$9+'01_원자료'!R872*'03_가중치민감도'!$D$9</f>
        <v/>
      </c>
      <c r="J875" s="85">
        <f>'01_원자료'!P872*'03_가중치민감도'!$B$10+'01_원자료'!Q872*'03_가중치민감도'!$C$10+'01_원자료'!R872*'03_가중치민감도'!$D$10</f>
        <v/>
      </c>
      <c r="K875" s="99">
        <f>COUNTIF($E$5:$E$979,"&lt;"&amp;E875)+(COUNTIF($E$5:$E$979,"="&amp;E875)+1)/2</f>
        <v/>
      </c>
      <c r="L875" s="99">
        <f>COUNTIF($F$5:$F$979,"&lt;"&amp;F875)+(COUNTIF($F$5:$F$979,"="&amp;F875)+1)/2</f>
        <v/>
      </c>
      <c r="M875" s="99">
        <f>COUNTIF($G$5:$G$979,"&lt;"&amp;G875)+(COUNTIF($G$5:$G$979,"="&amp;G875)+1)/2</f>
        <v/>
      </c>
      <c r="N875" s="99">
        <f>COUNTIF($H$5:$H$979,"&lt;"&amp;H875)+(COUNTIF($H$5:$H$979,"="&amp;H875)+1)/2</f>
        <v/>
      </c>
      <c r="O875" s="99">
        <f>COUNTIF($I$5:$I$979,"&lt;"&amp;I875)+(COUNTIF($I$5:$I$979,"="&amp;I875)+1)/2</f>
        <v/>
      </c>
      <c r="P875" s="99">
        <f>COUNTIF($J$5:$J$979,"&lt;"&amp;J875)+(COUNTIF($J$5:$J$979,"="&amp;J875)+1)/2</f>
        <v/>
      </c>
    </row>
    <row r="876" ht="15" customHeight="1" s="68">
      <c r="A876" s="70">
        <f>'01_원자료'!A873</f>
        <v/>
      </c>
      <c r="B876" s="70">
        <f>'01_원자료'!B873</f>
        <v/>
      </c>
      <c r="C876" s="70">
        <f>'01_원자료'!C873</f>
        <v/>
      </c>
      <c r="E876" s="85">
        <f>'01_원자료'!P873*'03_가중치민감도'!$B$5+'01_원자료'!Q873*'03_가중치민감도'!$C$5+'01_원자료'!R873*'03_가중치민감도'!$D$5</f>
        <v/>
      </c>
      <c r="F876" s="85">
        <f>'01_원자료'!P873*'03_가중치민감도'!$B$6+'01_원자료'!Q873*'03_가중치민감도'!$C$6+'01_원자료'!R873*'03_가중치민감도'!$D$6</f>
        <v/>
      </c>
      <c r="G876" s="85">
        <f>'01_원자료'!P873*'03_가중치민감도'!$B$7+'01_원자료'!Q873*'03_가중치민감도'!$C$7+'01_원자료'!R873*'03_가중치민감도'!$D$7</f>
        <v/>
      </c>
      <c r="H876" s="85">
        <f>'01_원자료'!P873*'03_가중치민감도'!$B$8+'01_원자료'!Q873*'03_가중치민감도'!$C$8+'01_원자료'!R873*'03_가중치민감도'!$D$8</f>
        <v/>
      </c>
      <c r="I876" s="85">
        <f>'01_원자료'!P873*'03_가중치민감도'!$B$9+'01_원자료'!Q873*'03_가중치민감도'!$C$9+'01_원자료'!R873*'03_가중치민감도'!$D$9</f>
        <v/>
      </c>
      <c r="J876" s="85">
        <f>'01_원자료'!P873*'03_가중치민감도'!$B$10+'01_원자료'!Q873*'03_가중치민감도'!$C$10+'01_원자료'!R873*'03_가중치민감도'!$D$10</f>
        <v/>
      </c>
      <c r="K876" s="99">
        <f>COUNTIF($E$5:$E$979,"&lt;"&amp;E876)+(COUNTIF($E$5:$E$979,"="&amp;E876)+1)/2</f>
        <v/>
      </c>
      <c r="L876" s="99">
        <f>COUNTIF($F$5:$F$979,"&lt;"&amp;F876)+(COUNTIF($F$5:$F$979,"="&amp;F876)+1)/2</f>
        <v/>
      </c>
      <c r="M876" s="99">
        <f>COUNTIF($G$5:$G$979,"&lt;"&amp;G876)+(COUNTIF($G$5:$G$979,"="&amp;G876)+1)/2</f>
        <v/>
      </c>
      <c r="N876" s="99">
        <f>COUNTIF($H$5:$H$979,"&lt;"&amp;H876)+(COUNTIF($H$5:$H$979,"="&amp;H876)+1)/2</f>
        <v/>
      </c>
      <c r="O876" s="99">
        <f>COUNTIF($I$5:$I$979,"&lt;"&amp;I876)+(COUNTIF($I$5:$I$979,"="&amp;I876)+1)/2</f>
        <v/>
      </c>
      <c r="P876" s="99">
        <f>COUNTIF($J$5:$J$979,"&lt;"&amp;J876)+(COUNTIF($J$5:$J$979,"="&amp;J876)+1)/2</f>
        <v/>
      </c>
    </row>
    <row r="877" ht="15" customHeight="1" s="68">
      <c r="A877" s="70">
        <f>'01_원자료'!A874</f>
        <v/>
      </c>
      <c r="B877" s="70">
        <f>'01_원자료'!B874</f>
        <v/>
      </c>
      <c r="C877" s="70">
        <f>'01_원자료'!C874</f>
        <v/>
      </c>
      <c r="E877" s="85">
        <f>'01_원자료'!P874*'03_가중치민감도'!$B$5+'01_원자료'!Q874*'03_가중치민감도'!$C$5+'01_원자료'!R874*'03_가중치민감도'!$D$5</f>
        <v/>
      </c>
      <c r="F877" s="85">
        <f>'01_원자료'!P874*'03_가중치민감도'!$B$6+'01_원자료'!Q874*'03_가중치민감도'!$C$6+'01_원자료'!R874*'03_가중치민감도'!$D$6</f>
        <v/>
      </c>
      <c r="G877" s="85">
        <f>'01_원자료'!P874*'03_가중치민감도'!$B$7+'01_원자료'!Q874*'03_가중치민감도'!$C$7+'01_원자료'!R874*'03_가중치민감도'!$D$7</f>
        <v/>
      </c>
      <c r="H877" s="85">
        <f>'01_원자료'!P874*'03_가중치민감도'!$B$8+'01_원자료'!Q874*'03_가중치민감도'!$C$8+'01_원자료'!R874*'03_가중치민감도'!$D$8</f>
        <v/>
      </c>
      <c r="I877" s="85">
        <f>'01_원자료'!P874*'03_가중치민감도'!$B$9+'01_원자료'!Q874*'03_가중치민감도'!$C$9+'01_원자료'!R874*'03_가중치민감도'!$D$9</f>
        <v/>
      </c>
      <c r="J877" s="85">
        <f>'01_원자료'!P874*'03_가중치민감도'!$B$10+'01_원자료'!Q874*'03_가중치민감도'!$C$10+'01_원자료'!R874*'03_가중치민감도'!$D$10</f>
        <v/>
      </c>
      <c r="K877" s="99">
        <f>COUNTIF($E$5:$E$979,"&lt;"&amp;E877)+(COUNTIF($E$5:$E$979,"="&amp;E877)+1)/2</f>
        <v/>
      </c>
      <c r="L877" s="99">
        <f>COUNTIF($F$5:$F$979,"&lt;"&amp;F877)+(COUNTIF($F$5:$F$979,"="&amp;F877)+1)/2</f>
        <v/>
      </c>
      <c r="M877" s="99">
        <f>COUNTIF($G$5:$G$979,"&lt;"&amp;G877)+(COUNTIF($G$5:$G$979,"="&amp;G877)+1)/2</f>
        <v/>
      </c>
      <c r="N877" s="99">
        <f>COUNTIF($H$5:$H$979,"&lt;"&amp;H877)+(COUNTIF($H$5:$H$979,"="&amp;H877)+1)/2</f>
        <v/>
      </c>
      <c r="O877" s="99">
        <f>COUNTIF($I$5:$I$979,"&lt;"&amp;I877)+(COUNTIF($I$5:$I$979,"="&amp;I877)+1)/2</f>
        <v/>
      </c>
      <c r="P877" s="99">
        <f>COUNTIF($J$5:$J$979,"&lt;"&amp;J877)+(COUNTIF($J$5:$J$979,"="&amp;J877)+1)/2</f>
        <v/>
      </c>
    </row>
    <row r="878" ht="15" customHeight="1" s="68">
      <c r="A878" s="70">
        <f>'01_원자료'!A875</f>
        <v/>
      </c>
      <c r="B878" s="70">
        <f>'01_원자료'!B875</f>
        <v/>
      </c>
      <c r="C878" s="70">
        <f>'01_원자료'!C875</f>
        <v/>
      </c>
      <c r="E878" s="85">
        <f>'01_원자료'!P875*'03_가중치민감도'!$B$5+'01_원자료'!Q875*'03_가중치민감도'!$C$5+'01_원자료'!R875*'03_가중치민감도'!$D$5</f>
        <v/>
      </c>
      <c r="F878" s="85">
        <f>'01_원자료'!P875*'03_가중치민감도'!$B$6+'01_원자료'!Q875*'03_가중치민감도'!$C$6+'01_원자료'!R875*'03_가중치민감도'!$D$6</f>
        <v/>
      </c>
      <c r="G878" s="85">
        <f>'01_원자료'!P875*'03_가중치민감도'!$B$7+'01_원자료'!Q875*'03_가중치민감도'!$C$7+'01_원자료'!R875*'03_가중치민감도'!$D$7</f>
        <v/>
      </c>
      <c r="H878" s="85">
        <f>'01_원자료'!P875*'03_가중치민감도'!$B$8+'01_원자료'!Q875*'03_가중치민감도'!$C$8+'01_원자료'!R875*'03_가중치민감도'!$D$8</f>
        <v/>
      </c>
      <c r="I878" s="85">
        <f>'01_원자료'!P875*'03_가중치민감도'!$B$9+'01_원자료'!Q875*'03_가중치민감도'!$C$9+'01_원자료'!R875*'03_가중치민감도'!$D$9</f>
        <v/>
      </c>
      <c r="J878" s="85">
        <f>'01_원자료'!P875*'03_가중치민감도'!$B$10+'01_원자료'!Q875*'03_가중치민감도'!$C$10+'01_원자료'!R875*'03_가중치민감도'!$D$10</f>
        <v/>
      </c>
      <c r="K878" s="99">
        <f>COUNTIF($E$5:$E$979,"&lt;"&amp;E878)+(COUNTIF($E$5:$E$979,"="&amp;E878)+1)/2</f>
        <v/>
      </c>
      <c r="L878" s="99">
        <f>COUNTIF($F$5:$F$979,"&lt;"&amp;F878)+(COUNTIF($F$5:$F$979,"="&amp;F878)+1)/2</f>
        <v/>
      </c>
      <c r="M878" s="99">
        <f>COUNTIF($G$5:$G$979,"&lt;"&amp;G878)+(COUNTIF($G$5:$G$979,"="&amp;G878)+1)/2</f>
        <v/>
      </c>
      <c r="N878" s="99">
        <f>COUNTIF($H$5:$H$979,"&lt;"&amp;H878)+(COUNTIF($H$5:$H$979,"="&amp;H878)+1)/2</f>
        <v/>
      </c>
      <c r="O878" s="99">
        <f>COUNTIF($I$5:$I$979,"&lt;"&amp;I878)+(COUNTIF($I$5:$I$979,"="&amp;I878)+1)/2</f>
        <v/>
      </c>
      <c r="P878" s="99">
        <f>COUNTIF($J$5:$J$979,"&lt;"&amp;J878)+(COUNTIF($J$5:$J$979,"="&amp;J878)+1)/2</f>
        <v/>
      </c>
    </row>
    <row r="879" ht="15" customHeight="1" s="68">
      <c r="A879" s="70">
        <f>'01_원자료'!A876</f>
        <v/>
      </c>
      <c r="B879" s="70">
        <f>'01_원자료'!B876</f>
        <v/>
      </c>
      <c r="C879" s="70">
        <f>'01_원자료'!C876</f>
        <v/>
      </c>
      <c r="E879" s="85">
        <f>'01_원자료'!P876*'03_가중치민감도'!$B$5+'01_원자료'!Q876*'03_가중치민감도'!$C$5+'01_원자료'!R876*'03_가중치민감도'!$D$5</f>
        <v/>
      </c>
      <c r="F879" s="85">
        <f>'01_원자료'!P876*'03_가중치민감도'!$B$6+'01_원자료'!Q876*'03_가중치민감도'!$C$6+'01_원자료'!R876*'03_가중치민감도'!$D$6</f>
        <v/>
      </c>
      <c r="G879" s="85">
        <f>'01_원자료'!P876*'03_가중치민감도'!$B$7+'01_원자료'!Q876*'03_가중치민감도'!$C$7+'01_원자료'!R876*'03_가중치민감도'!$D$7</f>
        <v/>
      </c>
      <c r="H879" s="85">
        <f>'01_원자료'!P876*'03_가중치민감도'!$B$8+'01_원자료'!Q876*'03_가중치민감도'!$C$8+'01_원자료'!R876*'03_가중치민감도'!$D$8</f>
        <v/>
      </c>
      <c r="I879" s="85">
        <f>'01_원자료'!P876*'03_가중치민감도'!$B$9+'01_원자료'!Q876*'03_가중치민감도'!$C$9+'01_원자료'!R876*'03_가중치민감도'!$D$9</f>
        <v/>
      </c>
      <c r="J879" s="85">
        <f>'01_원자료'!P876*'03_가중치민감도'!$B$10+'01_원자료'!Q876*'03_가중치민감도'!$C$10+'01_원자료'!R876*'03_가중치민감도'!$D$10</f>
        <v/>
      </c>
      <c r="K879" s="99">
        <f>COUNTIF($E$5:$E$979,"&lt;"&amp;E879)+(COUNTIF($E$5:$E$979,"="&amp;E879)+1)/2</f>
        <v/>
      </c>
      <c r="L879" s="99">
        <f>COUNTIF($F$5:$F$979,"&lt;"&amp;F879)+(COUNTIF($F$5:$F$979,"="&amp;F879)+1)/2</f>
        <v/>
      </c>
      <c r="M879" s="99">
        <f>COUNTIF($G$5:$G$979,"&lt;"&amp;G879)+(COUNTIF($G$5:$G$979,"="&amp;G879)+1)/2</f>
        <v/>
      </c>
      <c r="N879" s="99">
        <f>COUNTIF($H$5:$H$979,"&lt;"&amp;H879)+(COUNTIF($H$5:$H$979,"="&amp;H879)+1)/2</f>
        <v/>
      </c>
      <c r="O879" s="99">
        <f>COUNTIF($I$5:$I$979,"&lt;"&amp;I879)+(COUNTIF($I$5:$I$979,"="&amp;I879)+1)/2</f>
        <v/>
      </c>
      <c r="P879" s="99">
        <f>COUNTIF($J$5:$J$979,"&lt;"&amp;J879)+(COUNTIF($J$5:$J$979,"="&amp;J879)+1)/2</f>
        <v/>
      </c>
    </row>
    <row r="880" ht="15" customHeight="1" s="68">
      <c r="A880" s="70">
        <f>'01_원자료'!A877</f>
        <v/>
      </c>
      <c r="B880" s="70">
        <f>'01_원자료'!B877</f>
        <v/>
      </c>
      <c r="C880" s="70">
        <f>'01_원자료'!C877</f>
        <v/>
      </c>
      <c r="E880" s="85">
        <f>'01_원자료'!P877*'03_가중치민감도'!$B$5+'01_원자료'!Q877*'03_가중치민감도'!$C$5+'01_원자료'!R877*'03_가중치민감도'!$D$5</f>
        <v/>
      </c>
      <c r="F880" s="85">
        <f>'01_원자료'!P877*'03_가중치민감도'!$B$6+'01_원자료'!Q877*'03_가중치민감도'!$C$6+'01_원자료'!R877*'03_가중치민감도'!$D$6</f>
        <v/>
      </c>
      <c r="G880" s="85">
        <f>'01_원자료'!P877*'03_가중치민감도'!$B$7+'01_원자료'!Q877*'03_가중치민감도'!$C$7+'01_원자료'!R877*'03_가중치민감도'!$D$7</f>
        <v/>
      </c>
      <c r="H880" s="85">
        <f>'01_원자료'!P877*'03_가중치민감도'!$B$8+'01_원자료'!Q877*'03_가중치민감도'!$C$8+'01_원자료'!R877*'03_가중치민감도'!$D$8</f>
        <v/>
      </c>
      <c r="I880" s="85">
        <f>'01_원자료'!P877*'03_가중치민감도'!$B$9+'01_원자료'!Q877*'03_가중치민감도'!$C$9+'01_원자료'!R877*'03_가중치민감도'!$D$9</f>
        <v/>
      </c>
      <c r="J880" s="85">
        <f>'01_원자료'!P877*'03_가중치민감도'!$B$10+'01_원자료'!Q877*'03_가중치민감도'!$C$10+'01_원자료'!R877*'03_가중치민감도'!$D$10</f>
        <v/>
      </c>
      <c r="K880" s="99">
        <f>COUNTIF($E$5:$E$979,"&lt;"&amp;E880)+(COUNTIF($E$5:$E$979,"="&amp;E880)+1)/2</f>
        <v/>
      </c>
      <c r="L880" s="99">
        <f>COUNTIF($F$5:$F$979,"&lt;"&amp;F880)+(COUNTIF($F$5:$F$979,"="&amp;F880)+1)/2</f>
        <v/>
      </c>
      <c r="M880" s="99">
        <f>COUNTIF($G$5:$G$979,"&lt;"&amp;G880)+(COUNTIF($G$5:$G$979,"="&amp;G880)+1)/2</f>
        <v/>
      </c>
      <c r="N880" s="99">
        <f>COUNTIF($H$5:$H$979,"&lt;"&amp;H880)+(COUNTIF($H$5:$H$979,"="&amp;H880)+1)/2</f>
        <v/>
      </c>
      <c r="O880" s="99">
        <f>COUNTIF($I$5:$I$979,"&lt;"&amp;I880)+(COUNTIF($I$5:$I$979,"="&amp;I880)+1)/2</f>
        <v/>
      </c>
      <c r="P880" s="99">
        <f>COUNTIF($J$5:$J$979,"&lt;"&amp;J880)+(COUNTIF($J$5:$J$979,"="&amp;J880)+1)/2</f>
        <v/>
      </c>
    </row>
    <row r="881" ht="15" customHeight="1" s="68">
      <c r="A881" s="70">
        <f>'01_원자료'!A878</f>
        <v/>
      </c>
      <c r="B881" s="70">
        <f>'01_원자료'!B878</f>
        <v/>
      </c>
      <c r="C881" s="70">
        <f>'01_원자료'!C878</f>
        <v/>
      </c>
      <c r="E881" s="85">
        <f>'01_원자료'!P878*'03_가중치민감도'!$B$5+'01_원자료'!Q878*'03_가중치민감도'!$C$5+'01_원자료'!R878*'03_가중치민감도'!$D$5</f>
        <v/>
      </c>
      <c r="F881" s="85">
        <f>'01_원자료'!P878*'03_가중치민감도'!$B$6+'01_원자료'!Q878*'03_가중치민감도'!$C$6+'01_원자료'!R878*'03_가중치민감도'!$D$6</f>
        <v/>
      </c>
      <c r="G881" s="85">
        <f>'01_원자료'!P878*'03_가중치민감도'!$B$7+'01_원자료'!Q878*'03_가중치민감도'!$C$7+'01_원자료'!R878*'03_가중치민감도'!$D$7</f>
        <v/>
      </c>
      <c r="H881" s="85">
        <f>'01_원자료'!P878*'03_가중치민감도'!$B$8+'01_원자료'!Q878*'03_가중치민감도'!$C$8+'01_원자료'!R878*'03_가중치민감도'!$D$8</f>
        <v/>
      </c>
      <c r="I881" s="85">
        <f>'01_원자료'!P878*'03_가중치민감도'!$B$9+'01_원자료'!Q878*'03_가중치민감도'!$C$9+'01_원자료'!R878*'03_가중치민감도'!$D$9</f>
        <v/>
      </c>
      <c r="J881" s="85">
        <f>'01_원자료'!P878*'03_가중치민감도'!$B$10+'01_원자료'!Q878*'03_가중치민감도'!$C$10+'01_원자료'!R878*'03_가중치민감도'!$D$10</f>
        <v/>
      </c>
      <c r="K881" s="99">
        <f>COUNTIF($E$5:$E$979,"&lt;"&amp;E881)+(COUNTIF($E$5:$E$979,"="&amp;E881)+1)/2</f>
        <v/>
      </c>
      <c r="L881" s="99">
        <f>COUNTIF($F$5:$F$979,"&lt;"&amp;F881)+(COUNTIF($F$5:$F$979,"="&amp;F881)+1)/2</f>
        <v/>
      </c>
      <c r="M881" s="99">
        <f>COUNTIF($G$5:$G$979,"&lt;"&amp;G881)+(COUNTIF($G$5:$G$979,"="&amp;G881)+1)/2</f>
        <v/>
      </c>
      <c r="N881" s="99">
        <f>COUNTIF($H$5:$H$979,"&lt;"&amp;H881)+(COUNTIF($H$5:$H$979,"="&amp;H881)+1)/2</f>
        <v/>
      </c>
      <c r="O881" s="99">
        <f>COUNTIF($I$5:$I$979,"&lt;"&amp;I881)+(COUNTIF($I$5:$I$979,"="&amp;I881)+1)/2</f>
        <v/>
      </c>
      <c r="P881" s="99">
        <f>COUNTIF($J$5:$J$979,"&lt;"&amp;J881)+(COUNTIF($J$5:$J$979,"="&amp;J881)+1)/2</f>
        <v/>
      </c>
    </row>
    <row r="882" ht="15" customHeight="1" s="68">
      <c r="A882" s="70">
        <f>'01_원자료'!A879</f>
        <v/>
      </c>
      <c r="B882" s="70">
        <f>'01_원자료'!B879</f>
        <v/>
      </c>
      <c r="C882" s="70">
        <f>'01_원자료'!C879</f>
        <v/>
      </c>
      <c r="E882" s="85">
        <f>'01_원자료'!P879*'03_가중치민감도'!$B$5+'01_원자료'!Q879*'03_가중치민감도'!$C$5+'01_원자료'!R879*'03_가중치민감도'!$D$5</f>
        <v/>
      </c>
      <c r="F882" s="85">
        <f>'01_원자료'!P879*'03_가중치민감도'!$B$6+'01_원자료'!Q879*'03_가중치민감도'!$C$6+'01_원자료'!R879*'03_가중치민감도'!$D$6</f>
        <v/>
      </c>
      <c r="G882" s="85">
        <f>'01_원자료'!P879*'03_가중치민감도'!$B$7+'01_원자료'!Q879*'03_가중치민감도'!$C$7+'01_원자료'!R879*'03_가중치민감도'!$D$7</f>
        <v/>
      </c>
      <c r="H882" s="85">
        <f>'01_원자료'!P879*'03_가중치민감도'!$B$8+'01_원자료'!Q879*'03_가중치민감도'!$C$8+'01_원자료'!R879*'03_가중치민감도'!$D$8</f>
        <v/>
      </c>
      <c r="I882" s="85">
        <f>'01_원자료'!P879*'03_가중치민감도'!$B$9+'01_원자료'!Q879*'03_가중치민감도'!$C$9+'01_원자료'!R879*'03_가중치민감도'!$D$9</f>
        <v/>
      </c>
      <c r="J882" s="85">
        <f>'01_원자료'!P879*'03_가중치민감도'!$B$10+'01_원자료'!Q879*'03_가중치민감도'!$C$10+'01_원자료'!R879*'03_가중치민감도'!$D$10</f>
        <v/>
      </c>
      <c r="K882" s="99">
        <f>COUNTIF($E$5:$E$979,"&lt;"&amp;E882)+(COUNTIF($E$5:$E$979,"="&amp;E882)+1)/2</f>
        <v/>
      </c>
      <c r="L882" s="99">
        <f>COUNTIF($F$5:$F$979,"&lt;"&amp;F882)+(COUNTIF($F$5:$F$979,"="&amp;F882)+1)/2</f>
        <v/>
      </c>
      <c r="M882" s="99">
        <f>COUNTIF($G$5:$G$979,"&lt;"&amp;G882)+(COUNTIF($G$5:$G$979,"="&amp;G882)+1)/2</f>
        <v/>
      </c>
      <c r="N882" s="99">
        <f>COUNTIF($H$5:$H$979,"&lt;"&amp;H882)+(COUNTIF($H$5:$H$979,"="&amp;H882)+1)/2</f>
        <v/>
      </c>
      <c r="O882" s="99">
        <f>COUNTIF($I$5:$I$979,"&lt;"&amp;I882)+(COUNTIF($I$5:$I$979,"="&amp;I882)+1)/2</f>
        <v/>
      </c>
      <c r="P882" s="99">
        <f>COUNTIF($J$5:$J$979,"&lt;"&amp;J882)+(COUNTIF($J$5:$J$979,"="&amp;J882)+1)/2</f>
        <v/>
      </c>
    </row>
    <row r="883" ht="15" customHeight="1" s="68">
      <c r="A883" s="70">
        <f>'01_원자료'!A880</f>
        <v/>
      </c>
      <c r="B883" s="70">
        <f>'01_원자료'!B880</f>
        <v/>
      </c>
      <c r="C883" s="70">
        <f>'01_원자료'!C880</f>
        <v/>
      </c>
      <c r="E883" s="85">
        <f>'01_원자료'!P880*'03_가중치민감도'!$B$5+'01_원자료'!Q880*'03_가중치민감도'!$C$5+'01_원자료'!R880*'03_가중치민감도'!$D$5</f>
        <v/>
      </c>
      <c r="F883" s="85">
        <f>'01_원자료'!P880*'03_가중치민감도'!$B$6+'01_원자료'!Q880*'03_가중치민감도'!$C$6+'01_원자료'!R880*'03_가중치민감도'!$D$6</f>
        <v/>
      </c>
      <c r="G883" s="85">
        <f>'01_원자료'!P880*'03_가중치민감도'!$B$7+'01_원자료'!Q880*'03_가중치민감도'!$C$7+'01_원자료'!R880*'03_가중치민감도'!$D$7</f>
        <v/>
      </c>
      <c r="H883" s="85">
        <f>'01_원자료'!P880*'03_가중치민감도'!$B$8+'01_원자료'!Q880*'03_가중치민감도'!$C$8+'01_원자료'!R880*'03_가중치민감도'!$D$8</f>
        <v/>
      </c>
      <c r="I883" s="85">
        <f>'01_원자료'!P880*'03_가중치민감도'!$B$9+'01_원자료'!Q880*'03_가중치민감도'!$C$9+'01_원자료'!R880*'03_가중치민감도'!$D$9</f>
        <v/>
      </c>
      <c r="J883" s="85">
        <f>'01_원자료'!P880*'03_가중치민감도'!$B$10+'01_원자료'!Q880*'03_가중치민감도'!$C$10+'01_원자료'!R880*'03_가중치민감도'!$D$10</f>
        <v/>
      </c>
      <c r="K883" s="99">
        <f>COUNTIF($E$5:$E$979,"&lt;"&amp;E883)+(COUNTIF($E$5:$E$979,"="&amp;E883)+1)/2</f>
        <v/>
      </c>
      <c r="L883" s="99">
        <f>COUNTIF($F$5:$F$979,"&lt;"&amp;F883)+(COUNTIF($F$5:$F$979,"="&amp;F883)+1)/2</f>
        <v/>
      </c>
      <c r="M883" s="99">
        <f>COUNTIF($G$5:$G$979,"&lt;"&amp;G883)+(COUNTIF($G$5:$G$979,"="&amp;G883)+1)/2</f>
        <v/>
      </c>
      <c r="N883" s="99">
        <f>COUNTIF($H$5:$H$979,"&lt;"&amp;H883)+(COUNTIF($H$5:$H$979,"="&amp;H883)+1)/2</f>
        <v/>
      </c>
      <c r="O883" s="99">
        <f>COUNTIF($I$5:$I$979,"&lt;"&amp;I883)+(COUNTIF($I$5:$I$979,"="&amp;I883)+1)/2</f>
        <v/>
      </c>
      <c r="P883" s="99">
        <f>COUNTIF($J$5:$J$979,"&lt;"&amp;J883)+(COUNTIF($J$5:$J$979,"="&amp;J883)+1)/2</f>
        <v/>
      </c>
    </row>
    <row r="884" ht="15" customHeight="1" s="68">
      <c r="A884" s="70">
        <f>'01_원자료'!A881</f>
        <v/>
      </c>
      <c r="B884" s="70">
        <f>'01_원자료'!B881</f>
        <v/>
      </c>
      <c r="C884" s="70">
        <f>'01_원자료'!C881</f>
        <v/>
      </c>
      <c r="E884" s="85">
        <f>'01_원자료'!P881*'03_가중치민감도'!$B$5+'01_원자료'!Q881*'03_가중치민감도'!$C$5+'01_원자료'!R881*'03_가중치민감도'!$D$5</f>
        <v/>
      </c>
      <c r="F884" s="85">
        <f>'01_원자료'!P881*'03_가중치민감도'!$B$6+'01_원자료'!Q881*'03_가중치민감도'!$C$6+'01_원자료'!R881*'03_가중치민감도'!$D$6</f>
        <v/>
      </c>
      <c r="G884" s="85">
        <f>'01_원자료'!P881*'03_가중치민감도'!$B$7+'01_원자료'!Q881*'03_가중치민감도'!$C$7+'01_원자료'!R881*'03_가중치민감도'!$D$7</f>
        <v/>
      </c>
      <c r="H884" s="85">
        <f>'01_원자료'!P881*'03_가중치민감도'!$B$8+'01_원자료'!Q881*'03_가중치민감도'!$C$8+'01_원자료'!R881*'03_가중치민감도'!$D$8</f>
        <v/>
      </c>
      <c r="I884" s="85">
        <f>'01_원자료'!P881*'03_가중치민감도'!$B$9+'01_원자료'!Q881*'03_가중치민감도'!$C$9+'01_원자료'!R881*'03_가중치민감도'!$D$9</f>
        <v/>
      </c>
      <c r="J884" s="85">
        <f>'01_원자료'!P881*'03_가중치민감도'!$B$10+'01_원자료'!Q881*'03_가중치민감도'!$C$10+'01_원자료'!R881*'03_가중치민감도'!$D$10</f>
        <v/>
      </c>
      <c r="K884" s="99">
        <f>COUNTIF($E$5:$E$979,"&lt;"&amp;E884)+(COUNTIF($E$5:$E$979,"="&amp;E884)+1)/2</f>
        <v/>
      </c>
      <c r="L884" s="99">
        <f>COUNTIF($F$5:$F$979,"&lt;"&amp;F884)+(COUNTIF($F$5:$F$979,"="&amp;F884)+1)/2</f>
        <v/>
      </c>
      <c r="M884" s="99">
        <f>COUNTIF($G$5:$G$979,"&lt;"&amp;G884)+(COUNTIF($G$5:$G$979,"="&amp;G884)+1)/2</f>
        <v/>
      </c>
      <c r="N884" s="99">
        <f>COUNTIF($H$5:$H$979,"&lt;"&amp;H884)+(COUNTIF($H$5:$H$979,"="&amp;H884)+1)/2</f>
        <v/>
      </c>
      <c r="O884" s="99">
        <f>COUNTIF($I$5:$I$979,"&lt;"&amp;I884)+(COUNTIF($I$5:$I$979,"="&amp;I884)+1)/2</f>
        <v/>
      </c>
      <c r="P884" s="99">
        <f>COUNTIF($J$5:$J$979,"&lt;"&amp;J884)+(COUNTIF($J$5:$J$979,"="&amp;J884)+1)/2</f>
        <v/>
      </c>
    </row>
    <row r="885" ht="15" customHeight="1" s="68">
      <c r="A885" s="70">
        <f>'01_원자료'!A882</f>
        <v/>
      </c>
      <c r="B885" s="70">
        <f>'01_원자료'!B882</f>
        <v/>
      </c>
      <c r="C885" s="70">
        <f>'01_원자료'!C882</f>
        <v/>
      </c>
      <c r="E885" s="85">
        <f>'01_원자료'!P882*'03_가중치민감도'!$B$5+'01_원자료'!Q882*'03_가중치민감도'!$C$5+'01_원자료'!R882*'03_가중치민감도'!$D$5</f>
        <v/>
      </c>
      <c r="F885" s="85">
        <f>'01_원자료'!P882*'03_가중치민감도'!$B$6+'01_원자료'!Q882*'03_가중치민감도'!$C$6+'01_원자료'!R882*'03_가중치민감도'!$D$6</f>
        <v/>
      </c>
      <c r="G885" s="85">
        <f>'01_원자료'!P882*'03_가중치민감도'!$B$7+'01_원자료'!Q882*'03_가중치민감도'!$C$7+'01_원자료'!R882*'03_가중치민감도'!$D$7</f>
        <v/>
      </c>
      <c r="H885" s="85">
        <f>'01_원자료'!P882*'03_가중치민감도'!$B$8+'01_원자료'!Q882*'03_가중치민감도'!$C$8+'01_원자료'!R882*'03_가중치민감도'!$D$8</f>
        <v/>
      </c>
      <c r="I885" s="85">
        <f>'01_원자료'!P882*'03_가중치민감도'!$B$9+'01_원자료'!Q882*'03_가중치민감도'!$C$9+'01_원자료'!R882*'03_가중치민감도'!$D$9</f>
        <v/>
      </c>
      <c r="J885" s="85">
        <f>'01_원자료'!P882*'03_가중치민감도'!$B$10+'01_원자료'!Q882*'03_가중치민감도'!$C$10+'01_원자료'!R882*'03_가중치민감도'!$D$10</f>
        <v/>
      </c>
      <c r="K885" s="99">
        <f>COUNTIF($E$5:$E$979,"&lt;"&amp;E885)+(COUNTIF($E$5:$E$979,"="&amp;E885)+1)/2</f>
        <v/>
      </c>
      <c r="L885" s="99">
        <f>COUNTIF($F$5:$F$979,"&lt;"&amp;F885)+(COUNTIF($F$5:$F$979,"="&amp;F885)+1)/2</f>
        <v/>
      </c>
      <c r="M885" s="99">
        <f>COUNTIF($G$5:$G$979,"&lt;"&amp;G885)+(COUNTIF($G$5:$G$979,"="&amp;G885)+1)/2</f>
        <v/>
      </c>
      <c r="N885" s="99">
        <f>COUNTIF($H$5:$H$979,"&lt;"&amp;H885)+(COUNTIF($H$5:$H$979,"="&amp;H885)+1)/2</f>
        <v/>
      </c>
      <c r="O885" s="99">
        <f>COUNTIF($I$5:$I$979,"&lt;"&amp;I885)+(COUNTIF($I$5:$I$979,"="&amp;I885)+1)/2</f>
        <v/>
      </c>
      <c r="P885" s="99">
        <f>COUNTIF($J$5:$J$979,"&lt;"&amp;J885)+(COUNTIF($J$5:$J$979,"="&amp;J885)+1)/2</f>
        <v/>
      </c>
    </row>
    <row r="886" ht="15" customHeight="1" s="68">
      <c r="A886" s="70">
        <f>'01_원자료'!A883</f>
        <v/>
      </c>
      <c r="B886" s="70">
        <f>'01_원자료'!B883</f>
        <v/>
      </c>
      <c r="C886" s="70">
        <f>'01_원자료'!C883</f>
        <v/>
      </c>
      <c r="E886" s="85">
        <f>'01_원자료'!P883*'03_가중치민감도'!$B$5+'01_원자료'!Q883*'03_가중치민감도'!$C$5+'01_원자료'!R883*'03_가중치민감도'!$D$5</f>
        <v/>
      </c>
      <c r="F886" s="85">
        <f>'01_원자료'!P883*'03_가중치민감도'!$B$6+'01_원자료'!Q883*'03_가중치민감도'!$C$6+'01_원자료'!R883*'03_가중치민감도'!$D$6</f>
        <v/>
      </c>
      <c r="G886" s="85">
        <f>'01_원자료'!P883*'03_가중치민감도'!$B$7+'01_원자료'!Q883*'03_가중치민감도'!$C$7+'01_원자료'!R883*'03_가중치민감도'!$D$7</f>
        <v/>
      </c>
      <c r="H886" s="85">
        <f>'01_원자료'!P883*'03_가중치민감도'!$B$8+'01_원자료'!Q883*'03_가중치민감도'!$C$8+'01_원자료'!R883*'03_가중치민감도'!$D$8</f>
        <v/>
      </c>
      <c r="I886" s="85">
        <f>'01_원자료'!P883*'03_가중치민감도'!$B$9+'01_원자료'!Q883*'03_가중치민감도'!$C$9+'01_원자료'!R883*'03_가중치민감도'!$D$9</f>
        <v/>
      </c>
      <c r="J886" s="85">
        <f>'01_원자료'!P883*'03_가중치민감도'!$B$10+'01_원자료'!Q883*'03_가중치민감도'!$C$10+'01_원자료'!R883*'03_가중치민감도'!$D$10</f>
        <v/>
      </c>
      <c r="K886" s="99">
        <f>COUNTIF($E$5:$E$979,"&lt;"&amp;E886)+(COUNTIF($E$5:$E$979,"="&amp;E886)+1)/2</f>
        <v/>
      </c>
      <c r="L886" s="99">
        <f>COUNTIF($F$5:$F$979,"&lt;"&amp;F886)+(COUNTIF($F$5:$F$979,"="&amp;F886)+1)/2</f>
        <v/>
      </c>
      <c r="M886" s="99">
        <f>COUNTIF($G$5:$G$979,"&lt;"&amp;G886)+(COUNTIF($G$5:$G$979,"="&amp;G886)+1)/2</f>
        <v/>
      </c>
      <c r="N886" s="99">
        <f>COUNTIF($H$5:$H$979,"&lt;"&amp;H886)+(COUNTIF($H$5:$H$979,"="&amp;H886)+1)/2</f>
        <v/>
      </c>
      <c r="O886" s="99">
        <f>COUNTIF($I$5:$I$979,"&lt;"&amp;I886)+(COUNTIF($I$5:$I$979,"="&amp;I886)+1)/2</f>
        <v/>
      </c>
      <c r="P886" s="99">
        <f>COUNTIF($J$5:$J$979,"&lt;"&amp;J886)+(COUNTIF($J$5:$J$979,"="&amp;J886)+1)/2</f>
        <v/>
      </c>
    </row>
    <row r="887" ht="15" customHeight="1" s="68">
      <c r="A887" s="70">
        <f>'01_원자료'!A884</f>
        <v/>
      </c>
      <c r="B887" s="70">
        <f>'01_원자료'!B884</f>
        <v/>
      </c>
      <c r="C887" s="70">
        <f>'01_원자료'!C884</f>
        <v/>
      </c>
      <c r="E887" s="85">
        <f>'01_원자료'!P884*'03_가중치민감도'!$B$5+'01_원자료'!Q884*'03_가중치민감도'!$C$5+'01_원자료'!R884*'03_가중치민감도'!$D$5</f>
        <v/>
      </c>
      <c r="F887" s="85">
        <f>'01_원자료'!P884*'03_가중치민감도'!$B$6+'01_원자료'!Q884*'03_가중치민감도'!$C$6+'01_원자료'!R884*'03_가중치민감도'!$D$6</f>
        <v/>
      </c>
      <c r="G887" s="85">
        <f>'01_원자료'!P884*'03_가중치민감도'!$B$7+'01_원자료'!Q884*'03_가중치민감도'!$C$7+'01_원자료'!R884*'03_가중치민감도'!$D$7</f>
        <v/>
      </c>
      <c r="H887" s="85">
        <f>'01_원자료'!P884*'03_가중치민감도'!$B$8+'01_원자료'!Q884*'03_가중치민감도'!$C$8+'01_원자료'!R884*'03_가중치민감도'!$D$8</f>
        <v/>
      </c>
      <c r="I887" s="85">
        <f>'01_원자료'!P884*'03_가중치민감도'!$B$9+'01_원자료'!Q884*'03_가중치민감도'!$C$9+'01_원자료'!R884*'03_가중치민감도'!$D$9</f>
        <v/>
      </c>
      <c r="J887" s="85">
        <f>'01_원자료'!P884*'03_가중치민감도'!$B$10+'01_원자료'!Q884*'03_가중치민감도'!$C$10+'01_원자료'!R884*'03_가중치민감도'!$D$10</f>
        <v/>
      </c>
      <c r="K887" s="99">
        <f>COUNTIF($E$5:$E$979,"&lt;"&amp;E887)+(COUNTIF($E$5:$E$979,"="&amp;E887)+1)/2</f>
        <v/>
      </c>
      <c r="L887" s="99">
        <f>COUNTIF($F$5:$F$979,"&lt;"&amp;F887)+(COUNTIF($F$5:$F$979,"="&amp;F887)+1)/2</f>
        <v/>
      </c>
      <c r="M887" s="99">
        <f>COUNTIF($G$5:$G$979,"&lt;"&amp;G887)+(COUNTIF($G$5:$G$979,"="&amp;G887)+1)/2</f>
        <v/>
      </c>
      <c r="N887" s="99">
        <f>COUNTIF($H$5:$H$979,"&lt;"&amp;H887)+(COUNTIF($H$5:$H$979,"="&amp;H887)+1)/2</f>
        <v/>
      </c>
      <c r="O887" s="99">
        <f>COUNTIF($I$5:$I$979,"&lt;"&amp;I887)+(COUNTIF($I$5:$I$979,"="&amp;I887)+1)/2</f>
        <v/>
      </c>
      <c r="P887" s="99">
        <f>COUNTIF($J$5:$J$979,"&lt;"&amp;J887)+(COUNTIF($J$5:$J$979,"="&amp;J887)+1)/2</f>
        <v/>
      </c>
    </row>
    <row r="888" ht="15" customHeight="1" s="68">
      <c r="A888" s="70">
        <f>'01_원자료'!A885</f>
        <v/>
      </c>
      <c r="B888" s="70">
        <f>'01_원자료'!B885</f>
        <v/>
      </c>
      <c r="C888" s="70">
        <f>'01_원자료'!C885</f>
        <v/>
      </c>
      <c r="E888" s="85">
        <f>'01_원자료'!P885*'03_가중치민감도'!$B$5+'01_원자료'!Q885*'03_가중치민감도'!$C$5+'01_원자료'!R885*'03_가중치민감도'!$D$5</f>
        <v/>
      </c>
      <c r="F888" s="85">
        <f>'01_원자료'!P885*'03_가중치민감도'!$B$6+'01_원자료'!Q885*'03_가중치민감도'!$C$6+'01_원자료'!R885*'03_가중치민감도'!$D$6</f>
        <v/>
      </c>
      <c r="G888" s="85">
        <f>'01_원자료'!P885*'03_가중치민감도'!$B$7+'01_원자료'!Q885*'03_가중치민감도'!$C$7+'01_원자료'!R885*'03_가중치민감도'!$D$7</f>
        <v/>
      </c>
      <c r="H888" s="85">
        <f>'01_원자료'!P885*'03_가중치민감도'!$B$8+'01_원자료'!Q885*'03_가중치민감도'!$C$8+'01_원자료'!R885*'03_가중치민감도'!$D$8</f>
        <v/>
      </c>
      <c r="I888" s="85">
        <f>'01_원자료'!P885*'03_가중치민감도'!$B$9+'01_원자료'!Q885*'03_가중치민감도'!$C$9+'01_원자료'!R885*'03_가중치민감도'!$D$9</f>
        <v/>
      </c>
      <c r="J888" s="85">
        <f>'01_원자료'!P885*'03_가중치민감도'!$B$10+'01_원자료'!Q885*'03_가중치민감도'!$C$10+'01_원자료'!R885*'03_가중치민감도'!$D$10</f>
        <v/>
      </c>
      <c r="K888" s="99">
        <f>COUNTIF($E$5:$E$979,"&lt;"&amp;E888)+(COUNTIF($E$5:$E$979,"="&amp;E888)+1)/2</f>
        <v/>
      </c>
      <c r="L888" s="99">
        <f>COUNTIF($F$5:$F$979,"&lt;"&amp;F888)+(COUNTIF($F$5:$F$979,"="&amp;F888)+1)/2</f>
        <v/>
      </c>
      <c r="M888" s="99">
        <f>COUNTIF($G$5:$G$979,"&lt;"&amp;G888)+(COUNTIF($G$5:$G$979,"="&amp;G888)+1)/2</f>
        <v/>
      </c>
      <c r="N888" s="99">
        <f>COUNTIF($H$5:$H$979,"&lt;"&amp;H888)+(COUNTIF($H$5:$H$979,"="&amp;H888)+1)/2</f>
        <v/>
      </c>
      <c r="O888" s="99">
        <f>COUNTIF($I$5:$I$979,"&lt;"&amp;I888)+(COUNTIF($I$5:$I$979,"="&amp;I888)+1)/2</f>
        <v/>
      </c>
      <c r="P888" s="99">
        <f>COUNTIF($J$5:$J$979,"&lt;"&amp;J888)+(COUNTIF($J$5:$J$979,"="&amp;J888)+1)/2</f>
        <v/>
      </c>
    </row>
    <row r="889" ht="15" customHeight="1" s="68">
      <c r="A889" s="70">
        <f>'01_원자료'!A886</f>
        <v/>
      </c>
      <c r="B889" s="70">
        <f>'01_원자료'!B886</f>
        <v/>
      </c>
      <c r="C889" s="70">
        <f>'01_원자료'!C886</f>
        <v/>
      </c>
      <c r="E889" s="85">
        <f>'01_원자료'!P886*'03_가중치민감도'!$B$5+'01_원자료'!Q886*'03_가중치민감도'!$C$5+'01_원자료'!R886*'03_가중치민감도'!$D$5</f>
        <v/>
      </c>
      <c r="F889" s="85">
        <f>'01_원자료'!P886*'03_가중치민감도'!$B$6+'01_원자료'!Q886*'03_가중치민감도'!$C$6+'01_원자료'!R886*'03_가중치민감도'!$D$6</f>
        <v/>
      </c>
      <c r="G889" s="85">
        <f>'01_원자료'!P886*'03_가중치민감도'!$B$7+'01_원자료'!Q886*'03_가중치민감도'!$C$7+'01_원자료'!R886*'03_가중치민감도'!$D$7</f>
        <v/>
      </c>
      <c r="H889" s="85">
        <f>'01_원자료'!P886*'03_가중치민감도'!$B$8+'01_원자료'!Q886*'03_가중치민감도'!$C$8+'01_원자료'!R886*'03_가중치민감도'!$D$8</f>
        <v/>
      </c>
      <c r="I889" s="85">
        <f>'01_원자료'!P886*'03_가중치민감도'!$B$9+'01_원자료'!Q886*'03_가중치민감도'!$C$9+'01_원자료'!R886*'03_가중치민감도'!$D$9</f>
        <v/>
      </c>
      <c r="J889" s="85">
        <f>'01_원자료'!P886*'03_가중치민감도'!$B$10+'01_원자료'!Q886*'03_가중치민감도'!$C$10+'01_원자료'!R886*'03_가중치민감도'!$D$10</f>
        <v/>
      </c>
      <c r="K889" s="99">
        <f>COUNTIF($E$5:$E$979,"&lt;"&amp;E889)+(COUNTIF($E$5:$E$979,"="&amp;E889)+1)/2</f>
        <v/>
      </c>
      <c r="L889" s="99">
        <f>COUNTIF($F$5:$F$979,"&lt;"&amp;F889)+(COUNTIF($F$5:$F$979,"="&amp;F889)+1)/2</f>
        <v/>
      </c>
      <c r="M889" s="99">
        <f>COUNTIF($G$5:$G$979,"&lt;"&amp;G889)+(COUNTIF($G$5:$G$979,"="&amp;G889)+1)/2</f>
        <v/>
      </c>
      <c r="N889" s="99">
        <f>COUNTIF($H$5:$H$979,"&lt;"&amp;H889)+(COUNTIF($H$5:$H$979,"="&amp;H889)+1)/2</f>
        <v/>
      </c>
      <c r="O889" s="99">
        <f>COUNTIF($I$5:$I$979,"&lt;"&amp;I889)+(COUNTIF($I$5:$I$979,"="&amp;I889)+1)/2</f>
        <v/>
      </c>
      <c r="P889" s="99">
        <f>COUNTIF($J$5:$J$979,"&lt;"&amp;J889)+(COUNTIF($J$5:$J$979,"="&amp;J889)+1)/2</f>
        <v/>
      </c>
    </row>
    <row r="890" ht="15" customHeight="1" s="68">
      <c r="A890" s="70">
        <f>'01_원자료'!A887</f>
        <v/>
      </c>
      <c r="B890" s="70">
        <f>'01_원자료'!B887</f>
        <v/>
      </c>
      <c r="C890" s="70">
        <f>'01_원자료'!C887</f>
        <v/>
      </c>
      <c r="E890" s="85">
        <f>'01_원자료'!P887*'03_가중치민감도'!$B$5+'01_원자료'!Q887*'03_가중치민감도'!$C$5+'01_원자료'!R887*'03_가중치민감도'!$D$5</f>
        <v/>
      </c>
      <c r="F890" s="85">
        <f>'01_원자료'!P887*'03_가중치민감도'!$B$6+'01_원자료'!Q887*'03_가중치민감도'!$C$6+'01_원자료'!R887*'03_가중치민감도'!$D$6</f>
        <v/>
      </c>
      <c r="G890" s="85">
        <f>'01_원자료'!P887*'03_가중치민감도'!$B$7+'01_원자료'!Q887*'03_가중치민감도'!$C$7+'01_원자료'!R887*'03_가중치민감도'!$D$7</f>
        <v/>
      </c>
      <c r="H890" s="85">
        <f>'01_원자료'!P887*'03_가중치민감도'!$B$8+'01_원자료'!Q887*'03_가중치민감도'!$C$8+'01_원자료'!R887*'03_가중치민감도'!$D$8</f>
        <v/>
      </c>
      <c r="I890" s="85">
        <f>'01_원자료'!P887*'03_가중치민감도'!$B$9+'01_원자료'!Q887*'03_가중치민감도'!$C$9+'01_원자료'!R887*'03_가중치민감도'!$D$9</f>
        <v/>
      </c>
      <c r="J890" s="85">
        <f>'01_원자료'!P887*'03_가중치민감도'!$B$10+'01_원자료'!Q887*'03_가중치민감도'!$C$10+'01_원자료'!R887*'03_가중치민감도'!$D$10</f>
        <v/>
      </c>
      <c r="K890" s="99">
        <f>COUNTIF($E$5:$E$979,"&lt;"&amp;E890)+(COUNTIF($E$5:$E$979,"="&amp;E890)+1)/2</f>
        <v/>
      </c>
      <c r="L890" s="99">
        <f>COUNTIF($F$5:$F$979,"&lt;"&amp;F890)+(COUNTIF($F$5:$F$979,"="&amp;F890)+1)/2</f>
        <v/>
      </c>
      <c r="M890" s="99">
        <f>COUNTIF($G$5:$G$979,"&lt;"&amp;G890)+(COUNTIF($G$5:$G$979,"="&amp;G890)+1)/2</f>
        <v/>
      </c>
      <c r="N890" s="99">
        <f>COUNTIF($H$5:$H$979,"&lt;"&amp;H890)+(COUNTIF($H$5:$H$979,"="&amp;H890)+1)/2</f>
        <v/>
      </c>
      <c r="O890" s="99">
        <f>COUNTIF($I$5:$I$979,"&lt;"&amp;I890)+(COUNTIF($I$5:$I$979,"="&amp;I890)+1)/2</f>
        <v/>
      </c>
      <c r="P890" s="99">
        <f>COUNTIF($J$5:$J$979,"&lt;"&amp;J890)+(COUNTIF($J$5:$J$979,"="&amp;J890)+1)/2</f>
        <v/>
      </c>
    </row>
    <row r="891" ht="15" customHeight="1" s="68">
      <c r="A891" s="70">
        <f>'01_원자료'!A888</f>
        <v/>
      </c>
      <c r="B891" s="70">
        <f>'01_원자료'!B888</f>
        <v/>
      </c>
      <c r="C891" s="70">
        <f>'01_원자료'!C888</f>
        <v/>
      </c>
      <c r="E891" s="85">
        <f>'01_원자료'!P888*'03_가중치민감도'!$B$5+'01_원자료'!Q888*'03_가중치민감도'!$C$5+'01_원자료'!R888*'03_가중치민감도'!$D$5</f>
        <v/>
      </c>
      <c r="F891" s="85">
        <f>'01_원자료'!P888*'03_가중치민감도'!$B$6+'01_원자료'!Q888*'03_가중치민감도'!$C$6+'01_원자료'!R888*'03_가중치민감도'!$D$6</f>
        <v/>
      </c>
      <c r="G891" s="85">
        <f>'01_원자료'!P888*'03_가중치민감도'!$B$7+'01_원자료'!Q888*'03_가중치민감도'!$C$7+'01_원자료'!R888*'03_가중치민감도'!$D$7</f>
        <v/>
      </c>
      <c r="H891" s="85">
        <f>'01_원자료'!P888*'03_가중치민감도'!$B$8+'01_원자료'!Q888*'03_가중치민감도'!$C$8+'01_원자료'!R888*'03_가중치민감도'!$D$8</f>
        <v/>
      </c>
      <c r="I891" s="85">
        <f>'01_원자료'!P888*'03_가중치민감도'!$B$9+'01_원자료'!Q888*'03_가중치민감도'!$C$9+'01_원자료'!R888*'03_가중치민감도'!$D$9</f>
        <v/>
      </c>
      <c r="J891" s="85">
        <f>'01_원자료'!P888*'03_가중치민감도'!$B$10+'01_원자료'!Q888*'03_가중치민감도'!$C$10+'01_원자료'!R888*'03_가중치민감도'!$D$10</f>
        <v/>
      </c>
      <c r="K891" s="99">
        <f>COUNTIF($E$5:$E$979,"&lt;"&amp;E891)+(COUNTIF($E$5:$E$979,"="&amp;E891)+1)/2</f>
        <v/>
      </c>
      <c r="L891" s="99">
        <f>COUNTIF($F$5:$F$979,"&lt;"&amp;F891)+(COUNTIF($F$5:$F$979,"="&amp;F891)+1)/2</f>
        <v/>
      </c>
      <c r="M891" s="99">
        <f>COUNTIF($G$5:$G$979,"&lt;"&amp;G891)+(COUNTIF($G$5:$G$979,"="&amp;G891)+1)/2</f>
        <v/>
      </c>
      <c r="N891" s="99">
        <f>COUNTIF($H$5:$H$979,"&lt;"&amp;H891)+(COUNTIF($H$5:$H$979,"="&amp;H891)+1)/2</f>
        <v/>
      </c>
      <c r="O891" s="99">
        <f>COUNTIF($I$5:$I$979,"&lt;"&amp;I891)+(COUNTIF($I$5:$I$979,"="&amp;I891)+1)/2</f>
        <v/>
      </c>
      <c r="P891" s="99">
        <f>COUNTIF($J$5:$J$979,"&lt;"&amp;J891)+(COUNTIF($J$5:$J$979,"="&amp;J891)+1)/2</f>
        <v/>
      </c>
    </row>
    <row r="892" ht="15" customHeight="1" s="68">
      <c r="A892" s="70">
        <f>'01_원자료'!A889</f>
        <v/>
      </c>
      <c r="B892" s="70">
        <f>'01_원자료'!B889</f>
        <v/>
      </c>
      <c r="C892" s="70">
        <f>'01_원자료'!C889</f>
        <v/>
      </c>
      <c r="E892" s="85">
        <f>'01_원자료'!P889*'03_가중치민감도'!$B$5+'01_원자료'!Q889*'03_가중치민감도'!$C$5+'01_원자료'!R889*'03_가중치민감도'!$D$5</f>
        <v/>
      </c>
      <c r="F892" s="85">
        <f>'01_원자료'!P889*'03_가중치민감도'!$B$6+'01_원자료'!Q889*'03_가중치민감도'!$C$6+'01_원자료'!R889*'03_가중치민감도'!$D$6</f>
        <v/>
      </c>
      <c r="G892" s="85">
        <f>'01_원자료'!P889*'03_가중치민감도'!$B$7+'01_원자료'!Q889*'03_가중치민감도'!$C$7+'01_원자료'!R889*'03_가중치민감도'!$D$7</f>
        <v/>
      </c>
      <c r="H892" s="85">
        <f>'01_원자료'!P889*'03_가중치민감도'!$B$8+'01_원자료'!Q889*'03_가중치민감도'!$C$8+'01_원자료'!R889*'03_가중치민감도'!$D$8</f>
        <v/>
      </c>
      <c r="I892" s="85">
        <f>'01_원자료'!P889*'03_가중치민감도'!$B$9+'01_원자료'!Q889*'03_가중치민감도'!$C$9+'01_원자료'!R889*'03_가중치민감도'!$D$9</f>
        <v/>
      </c>
      <c r="J892" s="85">
        <f>'01_원자료'!P889*'03_가중치민감도'!$B$10+'01_원자료'!Q889*'03_가중치민감도'!$C$10+'01_원자료'!R889*'03_가중치민감도'!$D$10</f>
        <v/>
      </c>
      <c r="K892" s="99">
        <f>COUNTIF($E$5:$E$979,"&lt;"&amp;E892)+(COUNTIF($E$5:$E$979,"="&amp;E892)+1)/2</f>
        <v/>
      </c>
      <c r="L892" s="99">
        <f>COUNTIF($F$5:$F$979,"&lt;"&amp;F892)+(COUNTIF($F$5:$F$979,"="&amp;F892)+1)/2</f>
        <v/>
      </c>
      <c r="M892" s="99">
        <f>COUNTIF($G$5:$G$979,"&lt;"&amp;G892)+(COUNTIF($G$5:$G$979,"="&amp;G892)+1)/2</f>
        <v/>
      </c>
      <c r="N892" s="99">
        <f>COUNTIF($H$5:$H$979,"&lt;"&amp;H892)+(COUNTIF($H$5:$H$979,"="&amp;H892)+1)/2</f>
        <v/>
      </c>
      <c r="O892" s="99">
        <f>COUNTIF($I$5:$I$979,"&lt;"&amp;I892)+(COUNTIF($I$5:$I$979,"="&amp;I892)+1)/2</f>
        <v/>
      </c>
      <c r="P892" s="99">
        <f>COUNTIF($J$5:$J$979,"&lt;"&amp;J892)+(COUNTIF($J$5:$J$979,"="&amp;J892)+1)/2</f>
        <v/>
      </c>
    </row>
    <row r="893" ht="15" customHeight="1" s="68">
      <c r="A893" s="70">
        <f>'01_원자료'!A890</f>
        <v/>
      </c>
      <c r="B893" s="70">
        <f>'01_원자료'!B890</f>
        <v/>
      </c>
      <c r="C893" s="70">
        <f>'01_원자료'!C890</f>
        <v/>
      </c>
      <c r="E893" s="85">
        <f>'01_원자료'!P890*'03_가중치민감도'!$B$5+'01_원자료'!Q890*'03_가중치민감도'!$C$5+'01_원자료'!R890*'03_가중치민감도'!$D$5</f>
        <v/>
      </c>
      <c r="F893" s="85">
        <f>'01_원자료'!P890*'03_가중치민감도'!$B$6+'01_원자료'!Q890*'03_가중치민감도'!$C$6+'01_원자료'!R890*'03_가중치민감도'!$D$6</f>
        <v/>
      </c>
      <c r="G893" s="85">
        <f>'01_원자료'!P890*'03_가중치민감도'!$B$7+'01_원자료'!Q890*'03_가중치민감도'!$C$7+'01_원자료'!R890*'03_가중치민감도'!$D$7</f>
        <v/>
      </c>
      <c r="H893" s="85">
        <f>'01_원자료'!P890*'03_가중치민감도'!$B$8+'01_원자료'!Q890*'03_가중치민감도'!$C$8+'01_원자료'!R890*'03_가중치민감도'!$D$8</f>
        <v/>
      </c>
      <c r="I893" s="85">
        <f>'01_원자료'!P890*'03_가중치민감도'!$B$9+'01_원자료'!Q890*'03_가중치민감도'!$C$9+'01_원자료'!R890*'03_가중치민감도'!$D$9</f>
        <v/>
      </c>
      <c r="J893" s="85">
        <f>'01_원자료'!P890*'03_가중치민감도'!$B$10+'01_원자료'!Q890*'03_가중치민감도'!$C$10+'01_원자료'!R890*'03_가중치민감도'!$D$10</f>
        <v/>
      </c>
      <c r="K893" s="99">
        <f>COUNTIF($E$5:$E$979,"&lt;"&amp;E893)+(COUNTIF($E$5:$E$979,"="&amp;E893)+1)/2</f>
        <v/>
      </c>
      <c r="L893" s="99">
        <f>COUNTIF($F$5:$F$979,"&lt;"&amp;F893)+(COUNTIF($F$5:$F$979,"="&amp;F893)+1)/2</f>
        <v/>
      </c>
      <c r="M893" s="99">
        <f>COUNTIF($G$5:$G$979,"&lt;"&amp;G893)+(COUNTIF($G$5:$G$979,"="&amp;G893)+1)/2</f>
        <v/>
      </c>
      <c r="N893" s="99">
        <f>COUNTIF($H$5:$H$979,"&lt;"&amp;H893)+(COUNTIF($H$5:$H$979,"="&amp;H893)+1)/2</f>
        <v/>
      </c>
      <c r="O893" s="99">
        <f>COUNTIF($I$5:$I$979,"&lt;"&amp;I893)+(COUNTIF($I$5:$I$979,"="&amp;I893)+1)/2</f>
        <v/>
      </c>
      <c r="P893" s="99">
        <f>COUNTIF($J$5:$J$979,"&lt;"&amp;J893)+(COUNTIF($J$5:$J$979,"="&amp;J893)+1)/2</f>
        <v/>
      </c>
    </row>
    <row r="894" ht="15" customHeight="1" s="68">
      <c r="A894" s="70">
        <f>'01_원자료'!A891</f>
        <v/>
      </c>
      <c r="B894" s="70">
        <f>'01_원자료'!B891</f>
        <v/>
      </c>
      <c r="C894" s="70">
        <f>'01_원자료'!C891</f>
        <v/>
      </c>
      <c r="E894" s="85">
        <f>'01_원자료'!P891*'03_가중치민감도'!$B$5+'01_원자료'!Q891*'03_가중치민감도'!$C$5+'01_원자료'!R891*'03_가중치민감도'!$D$5</f>
        <v/>
      </c>
      <c r="F894" s="85">
        <f>'01_원자료'!P891*'03_가중치민감도'!$B$6+'01_원자료'!Q891*'03_가중치민감도'!$C$6+'01_원자료'!R891*'03_가중치민감도'!$D$6</f>
        <v/>
      </c>
      <c r="G894" s="85">
        <f>'01_원자료'!P891*'03_가중치민감도'!$B$7+'01_원자료'!Q891*'03_가중치민감도'!$C$7+'01_원자료'!R891*'03_가중치민감도'!$D$7</f>
        <v/>
      </c>
      <c r="H894" s="85">
        <f>'01_원자료'!P891*'03_가중치민감도'!$B$8+'01_원자료'!Q891*'03_가중치민감도'!$C$8+'01_원자료'!R891*'03_가중치민감도'!$D$8</f>
        <v/>
      </c>
      <c r="I894" s="85">
        <f>'01_원자료'!P891*'03_가중치민감도'!$B$9+'01_원자료'!Q891*'03_가중치민감도'!$C$9+'01_원자료'!R891*'03_가중치민감도'!$D$9</f>
        <v/>
      </c>
      <c r="J894" s="85">
        <f>'01_원자료'!P891*'03_가중치민감도'!$B$10+'01_원자료'!Q891*'03_가중치민감도'!$C$10+'01_원자료'!R891*'03_가중치민감도'!$D$10</f>
        <v/>
      </c>
      <c r="K894" s="99">
        <f>COUNTIF($E$5:$E$979,"&lt;"&amp;E894)+(COUNTIF($E$5:$E$979,"="&amp;E894)+1)/2</f>
        <v/>
      </c>
      <c r="L894" s="99">
        <f>COUNTIF($F$5:$F$979,"&lt;"&amp;F894)+(COUNTIF($F$5:$F$979,"="&amp;F894)+1)/2</f>
        <v/>
      </c>
      <c r="M894" s="99">
        <f>COUNTIF($G$5:$G$979,"&lt;"&amp;G894)+(COUNTIF($G$5:$G$979,"="&amp;G894)+1)/2</f>
        <v/>
      </c>
      <c r="N894" s="99">
        <f>COUNTIF($H$5:$H$979,"&lt;"&amp;H894)+(COUNTIF($H$5:$H$979,"="&amp;H894)+1)/2</f>
        <v/>
      </c>
      <c r="O894" s="99">
        <f>COUNTIF($I$5:$I$979,"&lt;"&amp;I894)+(COUNTIF($I$5:$I$979,"="&amp;I894)+1)/2</f>
        <v/>
      </c>
      <c r="P894" s="99">
        <f>COUNTIF($J$5:$J$979,"&lt;"&amp;J894)+(COUNTIF($J$5:$J$979,"="&amp;J894)+1)/2</f>
        <v/>
      </c>
    </row>
    <row r="895" ht="15" customHeight="1" s="68">
      <c r="A895" s="70">
        <f>'01_원자료'!A892</f>
        <v/>
      </c>
      <c r="B895" s="70">
        <f>'01_원자료'!B892</f>
        <v/>
      </c>
      <c r="C895" s="70">
        <f>'01_원자료'!C892</f>
        <v/>
      </c>
      <c r="E895" s="85">
        <f>'01_원자료'!P892*'03_가중치민감도'!$B$5+'01_원자료'!Q892*'03_가중치민감도'!$C$5+'01_원자료'!R892*'03_가중치민감도'!$D$5</f>
        <v/>
      </c>
      <c r="F895" s="85">
        <f>'01_원자료'!P892*'03_가중치민감도'!$B$6+'01_원자료'!Q892*'03_가중치민감도'!$C$6+'01_원자료'!R892*'03_가중치민감도'!$D$6</f>
        <v/>
      </c>
      <c r="G895" s="85">
        <f>'01_원자료'!P892*'03_가중치민감도'!$B$7+'01_원자료'!Q892*'03_가중치민감도'!$C$7+'01_원자료'!R892*'03_가중치민감도'!$D$7</f>
        <v/>
      </c>
      <c r="H895" s="85">
        <f>'01_원자료'!P892*'03_가중치민감도'!$B$8+'01_원자료'!Q892*'03_가중치민감도'!$C$8+'01_원자료'!R892*'03_가중치민감도'!$D$8</f>
        <v/>
      </c>
      <c r="I895" s="85">
        <f>'01_원자료'!P892*'03_가중치민감도'!$B$9+'01_원자료'!Q892*'03_가중치민감도'!$C$9+'01_원자료'!R892*'03_가중치민감도'!$D$9</f>
        <v/>
      </c>
      <c r="J895" s="85">
        <f>'01_원자료'!P892*'03_가중치민감도'!$B$10+'01_원자료'!Q892*'03_가중치민감도'!$C$10+'01_원자료'!R892*'03_가중치민감도'!$D$10</f>
        <v/>
      </c>
      <c r="K895" s="99">
        <f>COUNTIF($E$5:$E$979,"&lt;"&amp;E895)+(COUNTIF($E$5:$E$979,"="&amp;E895)+1)/2</f>
        <v/>
      </c>
      <c r="L895" s="99">
        <f>COUNTIF($F$5:$F$979,"&lt;"&amp;F895)+(COUNTIF($F$5:$F$979,"="&amp;F895)+1)/2</f>
        <v/>
      </c>
      <c r="M895" s="99">
        <f>COUNTIF($G$5:$G$979,"&lt;"&amp;G895)+(COUNTIF($G$5:$G$979,"="&amp;G895)+1)/2</f>
        <v/>
      </c>
      <c r="N895" s="99">
        <f>COUNTIF($H$5:$H$979,"&lt;"&amp;H895)+(COUNTIF($H$5:$H$979,"="&amp;H895)+1)/2</f>
        <v/>
      </c>
      <c r="O895" s="99">
        <f>COUNTIF($I$5:$I$979,"&lt;"&amp;I895)+(COUNTIF($I$5:$I$979,"="&amp;I895)+1)/2</f>
        <v/>
      </c>
      <c r="P895" s="99">
        <f>COUNTIF($J$5:$J$979,"&lt;"&amp;J895)+(COUNTIF($J$5:$J$979,"="&amp;J895)+1)/2</f>
        <v/>
      </c>
    </row>
    <row r="896" ht="15" customHeight="1" s="68">
      <c r="A896" s="70">
        <f>'01_원자료'!A893</f>
        <v/>
      </c>
      <c r="B896" s="70">
        <f>'01_원자료'!B893</f>
        <v/>
      </c>
      <c r="C896" s="70">
        <f>'01_원자료'!C893</f>
        <v/>
      </c>
      <c r="E896" s="85">
        <f>'01_원자료'!P893*'03_가중치민감도'!$B$5+'01_원자료'!Q893*'03_가중치민감도'!$C$5+'01_원자료'!R893*'03_가중치민감도'!$D$5</f>
        <v/>
      </c>
      <c r="F896" s="85">
        <f>'01_원자료'!P893*'03_가중치민감도'!$B$6+'01_원자료'!Q893*'03_가중치민감도'!$C$6+'01_원자료'!R893*'03_가중치민감도'!$D$6</f>
        <v/>
      </c>
      <c r="G896" s="85">
        <f>'01_원자료'!P893*'03_가중치민감도'!$B$7+'01_원자료'!Q893*'03_가중치민감도'!$C$7+'01_원자료'!R893*'03_가중치민감도'!$D$7</f>
        <v/>
      </c>
      <c r="H896" s="85">
        <f>'01_원자료'!P893*'03_가중치민감도'!$B$8+'01_원자료'!Q893*'03_가중치민감도'!$C$8+'01_원자료'!R893*'03_가중치민감도'!$D$8</f>
        <v/>
      </c>
      <c r="I896" s="85">
        <f>'01_원자료'!P893*'03_가중치민감도'!$B$9+'01_원자료'!Q893*'03_가중치민감도'!$C$9+'01_원자료'!R893*'03_가중치민감도'!$D$9</f>
        <v/>
      </c>
      <c r="J896" s="85">
        <f>'01_원자료'!P893*'03_가중치민감도'!$B$10+'01_원자료'!Q893*'03_가중치민감도'!$C$10+'01_원자료'!R893*'03_가중치민감도'!$D$10</f>
        <v/>
      </c>
      <c r="K896" s="99">
        <f>COUNTIF($E$5:$E$979,"&lt;"&amp;E896)+(COUNTIF($E$5:$E$979,"="&amp;E896)+1)/2</f>
        <v/>
      </c>
      <c r="L896" s="99">
        <f>COUNTIF($F$5:$F$979,"&lt;"&amp;F896)+(COUNTIF($F$5:$F$979,"="&amp;F896)+1)/2</f>
        <v/>
      </c>
      <c r="M896" s="99">
        <f>COUNTIF($G$5:$G$979,"&lt;"&amp;G896)+(COUNTIF($G$5:$G$979,"="&amp;G896)+1)/2</f>
        <v/>
      </c>
      <c r="N896" s="99">
        <f>COUNTIF($H$5:$H$979,"&lt;"&amp;H896)+(COUNTIF($H$5:$H$979,"="&amp;H896)+1)/2</f>
        <v/>
      </c>
      <c r="O896" s="99">
        <f>COUNTIF($I$5:$I$979,"&lt;"&amp;I896)+(COUNTIF($I$5:$I$979,"="&amp;I896)+1)/2</f>
        <v/>
      </c>
      <c r="P896" s="99">
        <f>COUNTIF($J$5:$J$979,"&lt;"&amp;J896)+(COUNTIF($J$5:$J$979,"="&amp;J896)+1)/2</f>
        <v/>
      </c>
    </row>
    <row r="897" ht="15" customHeight="1" s="68">
      <c r="A897" s="70">
        <f>'01_원자료'!A894</f>
        <v/>
      </c>
      <c r="B897" s="70">
        <f>'01_원자료'!B894</f>
        <v/>
      </c>
      <c r="C897" s="70">
        <f>'01_원자료'!C894</f>
        <v/>
      </c>
      <c r="E897" s="85">
        <f>'01_원자료'!P894*'03_가중치민감도'!$B$5+'01_원자료'!Q894*'03_가중치민감도'!$C$5+'01_원자료'!R894*'03_가중치민감도'!$D$5</f>
        <v/>
      </c>
      <c r="F897" s="85">
        <f>'01_원자료'!P894*'03_가중치민감도'!$B$6+'01_원자료'!Q894*'03_가중치민감도'!$C$6+'01_원자료'!R894*'03_가중치민감도'!$D$6</f>
        <v/>
      </c>
      <c r="G897" s="85">
        <f>'01_원자료'!P894*'03_가중치민감도'!$B$7+'01_원자료'!Q894*'03_가중치민감도'!$C$7+'01_원자료'!R894*'03_가중치민감도'!$D$7</f>
        <v/>
      </c>
      <c r="H897" s="85">
        <f>'01_원자료'!P894*'03_가중치민감도'!$B$8+'01_원자료'!Q894*'03_가중치민감도'!$C$8+'01_원자료'!R894*'03_가중치민감도'!$D$8</f>
        <v/>
      </c>
      <c r="I897" s="85">
        <f>'01_원자료'!P894*'03_가중치민감도'!$B$9+'01_원자료'!Q894*'03_가중치민감도'!$C$9+'01_원자료'!R894*'03_가중치민감도'!$D$9</f>
        <v/>
      </c>
      <c r="J897" s="85">
        <f>'01_원자료'!P894*'03_가중치민감도'!$B$10+'01_원자료'!Q894*'03_가중치민감도'!$C$10+'01_원자료'!R894*'03_가중치민감도'!$D$10</f>
        <v/>
      </c>
      <c r="K897" s="99">
        <f>COUNTIF($E$5:$E$979,"&lt;"&amp;E897)+(COUNTIF($E$5:$E$979,"="&amp;E897)+1)/2</f>
        <v/>
      </c>
      <c r="L897" s="99">
        <f>COUNTIF($F$5:$F$979,"&lt;"&amp;F897)+(COUNTIF($F$5:$F$979,"="&amp;F897)+1)/2</f>
        <v/>
      </c>
      <c r="M897" s="99">
        <f>COUNTIF($G$5:$G$979,"&lt;"&amp;G897)+(COUNTIF($G$5:$G$979,"="&amp;G897)+1)/2</f>
        <v/>
      </c>
      <c r="N897" s="99">
        <f>COUNTIF($H$5:$H$979,"&lt;"&amp;H897)+(COUNTIF($H$5:$H$979,"="&amp;H897)+1)/2</f>
        <v/>
      </c>
      <c r="O897" s="99">
        <f>COUNTIF($I$5:$I$979,"&lt;"&amp;I897)+(COUNTIF($I$5:$I$979,"="&amp;I897)+1)/2</f>
        <v/>
      </c>
      <c r="P897" s="99">
        <f>COUNTIF($J$5:$J$979,"&lt;"&amp;J897)+(COUNTIF($J$5:$J$979,"="&amp;J897)+1)/2</f>
        <v/>
      </c>
    </row>
    <row r="898" ht="15" customHeight="1" s="68">
      <c r="A898" s="70">
        <f>'01_원자료'!A895</f>
        <v/>
      </c>
      <c r="B898" s="70">
        <f>'01_원자료'!B895</f>
        <v/>
      </c>
      <c r="C898" s="70">
        <f>'01_원자료'!C895</f>
        <v/>
      </c>
      <c r="E898" s="85">
        <f>'01_원자료'!P895*'03_가중치민감도'!$B$5+'01_원자료'!Q895*'03_가중치민감도'!$C$5+'01_원자료'!R895*'03_가중치민감도'!$D$5</f>
        <v/>
      </c>
      <c r="F898" s="85">
        <f>'01_원자료'!P895*'03_가중치민감도'!$B$6+'01_원자료'!Q895*'03_가중치민감도'!$C$6+'01_원자료'!R895*'03_가중치민감도'!$D$6</f>
        <v/>
      </c>
      <c r="G898" s="85">
        <f>'01_원자료'!P895*'03_가중치민감도'!$B$7+'01_원자료'!Q895*'03_가중치민감도'!$C$7+'01_원자료'!R895*'03_가중치민감도'!$D$7</f>
        <v/>
      </c>
      <c r="H898" s="85">
        <f>'01_원자료'!P895*'03_가중치민감도'!$B$8+'01_원자료'!Q895*'03_가중치민감도'!$C$8+'01_원자료'!R895*'03_가중치민감도'!$D$8</f>
        <v/>
      </c>
      <c r="I898" s="85">
        <f>'01_원자료'!P895*'03_가중치민감도'!$B$9+'01_원자료'!Q895*'03_가중치민감도'!$C$9+'01_원자료'!R895*'03_가중치민감도'!$D$9</f>
        <v/>
      </c>
      <c r="J898" s="85">
        <f>'01_원자료'!P895*'03_가중치민감도'!$B$10+'01_원자료'!Q895*'03_가중치민감도'!$C$10+'01_원자료'!R895*'03_가중치민감도'!$D$10</f>
        <v/>
      </c>
      <c r="K898" s="99">
        <f>COUNTIF($E$5:$E$979,"&lt;"&amp;E898)+(COUNTIF($E$5:$E$979,"="&amp;E898)+1)/2</f>
        <v/>
      </c>
      <c r="L898" s="99">
        <f>COUNTIF($F$5:$F$979,"&lt;"&amp;F898)+(COUNTIF($F$5:$F$979,"="&amp;F898)+1)/2</f>
        <v/>
      </c>
      <c r="M898" s="99">
        <f>COUNTIF($G$5:$G$979,"&lt;"&amp;G898)+(COUNTIF($G$5:$G$979,"="&amp;G898)+1)/2</f>
        <v/>
      </c>
      <c r="N898" s="99">
        <f>COUNTIF($H$5:$H$979,"&lt;"&amp;H898)+(COUNTIF($H$5:$H$979,"="&amp;H898)+1)/2</f>
        <v/>
      </c>
      <c r="O898" s="99">
        <f>COUNTIF($I$5:$I$979,"&lt;"&amp;I898)+(COUNTIF($I$5:$I$979,"="&amp;I898)+1)/2</f>
        <v/>
      </c>
      <c r="P898" s="99">
        <f>COUNTIF($J$5:$J$979,"&lt;"&amp;J898)+(COUNTIF($J$5:$J$979,"="&amp;J898)+1)/2</f>
        <v/>
      </c>
    </row>
    <row r="899" ht="15" customHeight="1" s="68">
      <c r="A899" s="70">
        <f>'01_원자료'!A896</f>
        <v/>
      </c>
      <c r="B899" s="70">
        <f>'01_원자료'!B896</f>
        <v/>
      </c>
      <c r="C899" s="70">
        <f>'01_원자료'!C896</f>
        <v/>
      </c>
      <c r="E899" s="85">
        <f>'01_원자료'!P896*'03_가중치민감도'!$B$5+'01_원자료'!Q896*'03_가중치민감도'!$C$5+'01_원자료'!R896*'03_가중치민감도'!$D$5</f>
        <v/>
      </c>
      <c r="F899" s="85">
        <f>'01_원자료'!P896*'03_가중치민감도'!$B$6+'01_원자료'!Q896*'03_가중치민감도'!$C$6+'01_원자료'!R896*'03_가중치민감도'!$D$6</f>
        <v/>
      </c>
      <c r="G899" s="85">
        <f>'01_원자료'!P896*'03_가중치민감도'!$B$7+'01_원자료'!Q896*'03_가중치민감도'!$C$7+'01_원자료'!R896*'03_가중치민감도'!$D$7</f>
        <v/>
      </c>
      <c r="H899" s="85">
        <f>'01_원자료'!P896*'03_가중치민감도'!$B$8+'01_원자료'!Q896*'03_가중치민감도'!$C$8+'01_원자료'!R896*'03_가중치민감도'!$D$8</f>
        <v/>
      </c>
      <c r="I899" s="85">
        <f>'01_원자료'!P896*'03_가중치민감도'!$B$9+'01_원자료'!Q896*'03_가중치민감도'!$C$9+'01_원자료'!R896*'03_가중치민감도'!$D$9</f>
        <v/>
      </c>
      <c r="J899" s="85">
        <f>'01_원자료'!P896*'03_가중치민감도'!$B$10+'01_원자료'!Q896*'03_가중치민감도'!$C$10+'01_원자료'!R896*'03_가중치민감도'!$D$10</f>
        <v/>
      </c>
      <c r="K899" s="99">
        <f>COUNTIF($E$5:$E$979,"&lt;"&amp;E899)+(COUNTIF($E$5:$E$979,"="&amp;E899)+1)/2</f>
        <v/>
      </c>
      <c r="L899" s="99">
        <f>COUNTIF($F$5:$F$979,"&lt;"&amp;F899)+(COUNTIF($F$5:$F$979,"="&amp;F899)+1)/2</f>
        <v/>
      </c>
      <c r="M899" s="99">
        <f>COUNTIF($G$5:$G$979,"&lt;"&amp;G899)+(COUNTIF($G$5:$G$979,"="&amp;G899)+1)/2</f>
        <v/>
      </c>
      <c r="N899" s="99">
        <f>COUNTIF($H$5:$H$979,"&lt;"&amp;H899)+(COUNTIF($H$5:$H$979,"="&amp;H899)+1)/2</f>
        <v/>
      </c>
      <c r="O899" s="99">
        <f>COUNTIF($I$5:$I$979,"&lt;"&amp;I899)+(COUNTIF($I$5:$I$979,"="&amp;I899)+1)/2</f>
        <v/>
      </c>
      <c r="P899" s="99">
        <f>COUNTIF($J$5:$J$979,"&lt;"&amp;J899)+(COUNTIF($J$5:$J$979,"="&amp;J899)+1)/2</f>
        <v/>
      </c>
    </row>
    <row r="900" ht="15" customHeight="1" s="68">
      <c r="A900" s="70">
        <f>'01_원자료'!A897</f>
        <v/>
      </c>
      <c r="B900" s="70">
        <f>'01_원자료'!B897</f>
        <v/>
      </c>
      <c r="C900" s="70">
        <f>'01_원자료'!C897</f>
        <v/>
      </c>
      <c r="E900" s="85">
        <f>'01_원자료'!P897*'03_가중치민감도'!$B$5+'01_원자료'!Q897*'03_가중치민감도'!$C$5+'01_원자료'!R897*'03_가중치민감도'!$D$5</f>
        <v/>
      </c>
      <c r="F900" s="85">
        <f>'01_원자료'!P897*'03_가중치민감도'!$B$6+'01_원자료'!Q897*'03_가중치민감도'!$C$6+'01_원자료'!R897*'03_가중치민감도'!$D$6</f>
        <v/>
      </c>
      <c r="G900" s="85">
        <f>'01_원자료'!P897*'03_가중치민감도'!$B$7+'01_원자료'!Q897*'03_가중치민감도'!$C$7+'01_원자료'!R897*'03_가중치민감도'!$D$7</f>
        <v/>
      </c>
      <c r="H900" s="85">
        <f>'01_원자료'!P897*'03_가중치민감도'!$B$8+'01_원자료'!Q897*'03_가중치민감도'!$C$8+'01_원자료'!R897*'03_가중치민감도'!$D$8</f>
        <v/>
      </c>
      <c r="I900" s="85">
        <f>'01_원자료'!P897*'03_가중치민감도'!$B$9+'01_원자료'!Q897*'03_가중치민감도'!$C$9+'01_원자료'!R897*'03_가중치민감도'!$D$9</f>
        <v/>
      </c>
      <c r="J900" s="85">
        <f>'01_원자료'!P897*'03_가중치민감도'!$B$10+'01_원자료'!Q897*'03_가중치민감도'!$C$10+'01_원자료'!R897*'03_가중치민감도'!$D$10</f>
        <v/>
      </c>
      <c r="K900" s="99">
        <f>COUNTIF($E$5:$E$979,"&lt;"&amp;E900)+(COUNTIF($E$5:$E$979,"="&amp;E900)+1)/2</f>
        <v/>
      </c>
      <c r="L900" s="99">
        <f>COUNTIF($F$5:$F$979,"&lt;"&amp;F900)+(COUNTIF($F$5:$F$979,"="&amp;F900)+1)/2</f>
        <v/>
      </c>
      <c r="M900" s="99">
        <f>COUNTIF($G$5:$G$979,"&lt;"&amp;G900)+(COUNTIF($G$5:$G$979,"="&amp;G900)+1)/2</f>
        <v/>
      </c>
      <c r="N900" s="99">
        <f>COUNTIF($H$5:$H$979,"&lt;"&amp;H900)+(COUNTIF($H$5:$H$979,"="&amp;H900)+1)/2</f>
        <v/>
      </c>
      <c r="O900" s="99">
        <f>COUNTIF($I$5:$I$979,"&lt;"&amp;I900)+(COUNTIF($I$5:$I$979,"="&amp;I900)+1)/2</f>
        <v/>
      </c>
      <c r="P900" s="99">
        <f>COUNTIF($J$5:$J$979,"&lt;"&amp;J900)+(COUNTIF($J$5:$J$979,"="&amp;J900)+1)/2</f>
        <v/>
      </c>
    </row>
    <row r="901" ht="15" customHeight="1" s="68">
      <c r="A901" s="70">
        <f>'01_원자료'!A898</f>
        <v/>
      </c>
      <c r="B901" s="70">
        <f>'01_원자료'!B898</f>
        <v/>
      </c>
      <c r="C901" s="70">
        <f>'01_원자료'!C898</f>
        <v/>
      </c>
      <c r="E901" s="85">
        <f>'01_원자료'!P898*'03_가중치민감도'!$B$5+'01_원자료'!Q898*'03_가중치민감도'!$C$5+'01_원자료'!R898*'03_가중치민감도'!$D$5</f>
        <v/>
      </c>
      <c r="F901" s="85">
        <f>'01_원자료'!P898*'03_가중치민감도'!$B$6+'01_원자료'!Q898*'03_가중치민감도'!$C$6+'01_원자료'!R898*'03_가중치민감도'!$D$6</f>
        <v/>
      </c>
      <c r="G901" s="85">
        <f>'01_원자료'!P898*'03_가중치민감도'!$B$7+'01_원자료'!Q898*'03_가중치민감도'!$C$7+'01_원자료'!R898*'03_가중치민감도'!$D$7</f>
        <v/>
      </c>
      <c r="H901" s="85">
        <f>'01_원자료'!P898*'03_가중치민감도'!$B$8+'01_원자료'!Q898*'03_가중치민감도'!$C$8+'01_원자료'!R898*'03_가중치민감도'!$D$8</f>
        <v/>
      </c>
      <c r="I901" s="85">
        <f>'01_원자료'!P898*'03_가중치민감도'!$B$9+'01_원자료'!Q898*'03_가중치민감도'!$C$9+'01_원자료'!R898*'03_가중치민감도'!$D$9</f>
        <v/>
      </c>
      <c r="J901" s="85">
        <f>'01_원자료'!P898*'03_가중치민감도'!$B$10+'01_원자료'!Q898*'03_가중치민감도'!$C$10+'01_원자료'!R898*'03_가중치민감도'!$D$10</f>
        <v/>
      </c>
      <c r="K901" s="99">
        <f>COUNTIF($E$5:$E$979,"&lt;"&amp;E901)+(COUNTIF($E$5:$E$979,"="&amp;E901)+1)/2</f>
        <v/>
      </c>
      <c r="L901" s="99">
        <f>COUNTIF($F$5:$F$979,"&lt;"&amp;F901)+(COUNTIF($F$5:$F$979,"="&amp;F901)+1)/2</f>
        <v/>
      </c>
      <c r="M901" s="99">
        <f>COUNTIF($G$5:$G$979,"&lt;"&amp;G901)+(COUNTIF($G$5:$G$979,"="&amp;G901)+1)/2</f>
        <v/>
      </c>
      <c r="N901" s="99">
        <f>COUNTIF($H$5:$H$979,"&lt;"&amp;H901)+(COUNTIF($H$5:$H$979,"="&amp;H901)+1)/2</f>
        <v/>
      </c>
      <c r="O901" s="99">
        <f>COUNTIF($I$5:$I$979,"&lt;"&amp;I901)+(COUNTIF($I$5:$I$979,"="&amp;I901)+1)/2</f>
        <v/>
      </c>
      <c r="P901" s="99">
        <f>COUNTIF($J$5:$J$979,"&lt;"&amp;J901)+(COUNTIF($J$5:$J$979,"="&amp;J901)+1)/2</f>
        <v/>
      </c>
    </row>
    <row r="902" ht="15" customHeight="1" s="68">
      <c r="A902" s="70">
        <f>'01_원자료'!A899</f>
        <v/>
      </c>
      <c r="B902" s="70">
        <f>'01_원자료'!B899</f>
        <v/>
      </c>
      <c r="C902" s="70">
        <f>'01_원자료'!C899</f>
        <v/>
      </c>
      <c r="E902" s="85">
        <f>'01_원자료'!P899*'03_가중치민감도'!$B$5+'01_원자료'!Q899*'03_가중치민감도'!$C$5+'01_원자료'!R899*'03_가중치민감도'!$D$5</f>
        <v/>
      </c>
      <c r="F902" s="85">
        <f>'01_원자료'!P899*'03_가중치민감도'!$B$6+'01_원자료'!Q899*'03_가중치민감도'!$C$6+'01_원자료'!R899*'03_가중치민감도'!$D$6</f>
        <v/>
      </c>
      <c r="G902" s="85">
        <f>'01_원자료'!P899*'03_가중치민감도'!$B$7+'01_원자료'!Q899*'03_가중치민감도'!$C$7+'01_원자료'!R899*'03_가중치민감도'!$D$7</f>
        <v/>
      </c>
      <c r="H902" s="85">
        <f>'01_원자료'!P899*'03_가중치민감도'!$B$8+'01_원자료'!Q899*'03_가중치민감도'!$C$8+'01_원자료'!R899*'03_가중치민감도'!$D$8</f>
        <v/>
      </c>
      <c r="I902" s="85">
        <f>'01_원자료'!P899*'03_가중치민감도'!$B$9+'01_원자료'!Q899*'03_가중치민감도'!$C$9+'01_원자료'!R899*'03_가중치민감도'!$D$9</f>
        <v/>
      </c>
      <c r="J902" s="85">
        <f>'01_원자료'!P899*'03_가중치민감도'!$B$10+'01_원자료'!Q899*'03_가중치민감도'!$C$10+'01_원자료'!R899*'03_가중치민감도'!$D$10</f>
        <v/>
      </c>
      <c r="K902" s="99">
        <f>COUNTIF($E$5:$E$979,"&lt;"&amp;E902)+(COUNTIF($E$5:$E$979,"="&amp;E902)+1)/2</f>
        <v/>
      </c>
      <c r="L902" s="99">
        <f>COUNTIF($F$5:$F$979,"&lt;"&amp;F902)+(COUNTIF($F$5:$F$979,"="&amp;F902)+1)/2</f>
        <v/>
      </c>
      <c r="M902" s="99">
        <f>COUNTIF($G$5:$G$979,"&lt;"&amp;G902)+(COUNTIF($G$5:$G$979,"="&amp;G902)+1)/2</f>
        <v/>
      </c>
      <c r="N902" s="99">
        <f>COUNTIF($H$5:$H$979,"&lt;"&amp;H902)+(COUNTIF($H$5:$H$979,"="&amp;H902)+1)/2</f>
        <v/>
      </c>
      <c r="O902" s="99">
        <f>COUNTIF($I$5:$I$979,"&lt;"&amp;I902)+(COUNTIF($I$5:$I$979,"="&amp;I902)+1)/2</f>
        <v/>
      </c>
      <c r="P902" s="99">
        <f>COUNTIF($J$5:$J$979,"&lt;"&amp;J902)+(COUNTIF($J$5:$J$979,"="&amp;J902)+1)/2</f>
        <v/>
      </c>
    </row>
    <row r="903" ht="15" customHeight="1" s="68">
      <c r="A903" s="70">
        <f>'01_원자료'!A900</f>
        <v/>
      </c>
      <c r="B903" s="70">
        <f>'01_원자료'!B900</f>
        <v/>
      </c>
      <c r="C903" s="70">
        <f>'01_원자료'!C900</f>
        <v/>
      </c>
      <c r="E903" s="85">
        <f>'01_원자료'!P900*'03_가중치민감도'!$B$5+'01_원자료'!Q900*'03_가중치민감도'!$C$5+'01_원자료'!R900*'03_가중치민감도'!$D$5</f>
        <v/>
      </c>
      <c r="F903" s="85">
        <f>'01_원자료'!P900*'03_가중치민감도'!$B$6+'01_원자료'!Q900*'03_가중치민감도'!$C$6+'01_원자료'!R900*'03_가중치민감도'!$D$6</f>
        <v/>
      </c>
      <c r="G903" s="85">
        <f>'01_원자료'!P900*'03_가중치민감도'!$B$7+'01_원자료'!Q900*'03_가중치민감도'!$C$7+'01_원자료'!R900*'03_가중치민감도'!$D$7</f>
        <v/>
      </c>
      <c r="H903" s="85">
        <f>'01_원자료'!P900*'03_가중치민감도'!$B$8+'01_원자료'!Q900*'03_가중치민감도'!$C$8+'01_원자료'!R900*'03_가중치민감도'!$D$8</f>
        <v/>
      </c>
      <c r="I903" s="85">
        <f>'01_원자료'!P900*'03_가중치민감도'!$B$9+'01_원자료'!Q900*'03_가중치민감도'!$C$9+'01_원자료'!R900*'03_가중치민감도'!$D$9</f>
        <v/>
      </c>
      <c r="J903" s="85">
        <f>'01_원자료'!P900*'03_가중치민감도'!$B$10+'01_원자료'!Q900*'03_가중치민감도'!$C$10+'01_원자료'!R900*'03_가중치민감도'!$D$10</f>
        <v/>
      </c>
      <c r="K903" s="99">
        <f>COUNTIF($E$5:$E$979,"&lt;"&amp;E903)+(COUNTIF($E$5:$E$979,"="&amp;E903)+1)/2</f>
        <v/>
      </c>
      <c r="L903" s="99">
        <f>COUNTIF($F$5:$F$979,"&lt;"&amp;F903)+(COUNTIF($F$5:$F$979,"="&amp;F903)+1)/2</f>
        <v/>
      </c>
      <c r="M903" s="99">
        <f>COUNTIF($G$5:$G$979,"&lt;"&amp;G903)+(COUNTIF($G$5:$G$979,"="&amp;G903)+1)/2</f>
        <v/>
      </c>
      <c r="N903" s="99">
        <f>COUNTIF($H$5:$H$979,"&lt;"&amp;H903)+(COUNTIF($H$5:$H$979,"="&amp;H903)+1)/2</f>
        <v/>
      </c>
      <c r="O903" s="99">
        <f>COUNTIF($I$5:$I$979,"&lt;"&amp;I903)+(COUNTIF($I$5:$I$979,"="&amp;I903)+1)/2</f>
        <v/>
      </c>
      <c r="P903" s="99">
        <f>COUNTIF($J$5:$J$979,"&lt;"&amp;J903)+(COUNTIF($J$5:$J$979,"="&amp;J903)+1)/2</f>
        <v/>
      </c>
    </row>
    <row r="904" ht="15" customHeight="1" s="68">
      <c r="A904" s="70">
        <f>'01_원자료'!A901</f>
        <v/>
      </c>
      <c r="B904" s="70">
        <f>'01_원자료'!B901</f>
        <v/>
      </c>
      <c r="C904" s="70">
        <f>'01_원자료'!C901</f>
        <v/>
      </c>
      <c r="E904" s="85">
        <f>'01_원자료'!P901*'03_가중치민감도'!$B$5+'01_원자료'!Q901*'03_가중치민감도'!$C$5+'01_원자료'!R901*'03_가중치민감도'!$D$5</f>
        <v/>
      </c>
      <c r="F904" s="85">
        <f>'01_원자료'!P901*'03_가중치민감도'!$B$6+'01_원자료'!Q901*'03_가중치민감도'!$C$6+'01_원자료'!R901*'03_가중치민감도'!$D$6</f>
        <v/>
      </c>
      <c r="G904" s="85">
        <f>'01_원자료'!P901*'03_가중치민감도'!$B$7+'01_원자료'!Q901*'03_가중치민감도'!$C$7+'01_원자료'!R901*'03_가중치민감도'!$D$7</f>
        <v/>
      </c>
      <c r="H904" s="85">
        <f>'01_원자료'!P901*'03_가중치민감도'!$B$8+'01_원자료'!Q901*'03_가중치민감도'!$C$8+'01_원자료'!R901*'03_가중치민감도'!$D$8</f>
        <v/>
      </c>
      <c r="I904" s="85">
        <f>'01_원자료'!P901*'03_가중치민감도'!$B$9+'01_원자료'!Q901*'03_가중치민감도'!$C$9+'01_원자료'!R901*'03_가중치민감도'!$D$9</f>
        <v/>
      </c>
      <c r="J904" s="85">
        <f>'01_원자료'!P901*'03_가중치민감도'!$B$10+'01_원자료'!Q901*'03_가중치민감도'!$C$10+'01_원자료'!R901*'03_가중치민감도'!$D$10</f>
        <v/>
      </c>
      <c r="K904" s="99">
        <f>COUNTIF($E$5:$E$979,"&lt;"&amp;E904)+(COUNTIF($E$5:$E$979,"="&amp;E904)+1)/2</f>
        <v/>
      </c>
      <c r="L904" s="99">
        <f>COUNTIF($F$5:$F$979,"&lt;"&amp;F904)+(COUNTIF($F$5:$F$979,"="&amp;F904)+1)/2</f>
        <v/>
      </c>
      <c r="M904" s="99">
        <f>COUNTIF($G$5:$G$979,"&lt;"&amp;G904)+(COUNTIF($G$5:$G$979,"="&amp;G904)+1)/2</f>
        <v/>
      </c>
      <c r="N904" s="99">
        <f>COUNTIF($H$5:$H$979,"&lt;"&amp;H904)+(COUNTIF($H$5:$H$979,"="&amp;H904)+1)/2</f>
        <v/>
      </c>
      <c r="O904" s="99">
        <f>COUNTIF($I$5:$I$979,"&lt;"&amp;I904)+(COUNTIF($I$5:$I$979,"="&amp;I904)+1)/2</f>
        <v/>
      </c>
      <c r="P904" s="99">
        <f>COUNTIF($J$5:$J$979,"&lt;"&amp;J904)+(COUNTIF($J$5:$J$979,"="&amp;J904)+1)/2</f>
        <v/>
      </c>
    </row>
    <row r="905" ht="15" customHeight="1" s="68">
      <c r="A905" s="70">
        <f>'01_원자료'!A902</f>
        <v/>
      </c>
      <c r="B905" s="70">
        <f>'01_원자료'!B902</f>
        <v/>
      </c>
      <c r="C905" s="70">
        <f>'01_원자료'!C902</f>
        <v/>
      </c>
      <c r="E905" s="85">
        <f>'01_원자료'!P902*'03_가중치민감도'!$B$5+'01_원자료'!Q902*'03_가중치민감도'!$C$5+'01_원자료'!R902*'03_가중치민감도'!$D$5</f>
        <v/>
      </c>
      <c r="F905" s="85">
        <f>'01_원자료'!P902*'03_가중치민감도'!$B$6+'01_원자료'!Q902*'03_가중치민감도'!$C$6+'01_원자료'!R902*'03_가중치민감도'!$D$6</f>
        <v/>
      </c>
      <c r="G905" s="85">
        <f>'01_원자료'!P902*'03_가중치민감도'!$B$7+'01_원자료'!Q902*'03_가중치민감도'!$C$7+'01_원자료'!R902*'03_가중치민감도'!$D$7</f>
        <v/>
      </c>
      <c r="H905" s="85">
        <f>'01_원자료'!P902*'03_가중치민감도'!$B$8+'01_원자료'!Q902*'03_가중치민감도'!$C$8+'01_원자료'!R902*'03_가중치민감도'!$D$8</f>
        <v/>
      </c>
      <c r="I905" s="85">
        <f>'01_원자료'!P902*'03_가중치민감도'!$B$9+'01_원자료'!Q902*'03_가중치민감도'!$C$9+'01_원자료'!R902*'03_가중치민감도'!$D$9</f>
        <v/>
      </c>
      <c r="J905" s="85">
        <f>'01_원자료'!P902*'03_가중치민감도'!$B$10+'01_원자료'!Q902*'03_가중치민감도'!$C$10+'01_원자료'!R902*'03_가중치민감도'!$D$10</f>
        <v/>
      </c>
      <c r="K905" s="99">
        <f>COUNTIF($E$5:$E$979,"&lt;"&amp;E905)+(COUNTIF($E$5:$E$979,"="&amp;E905)+1)/2</f>
        <v/>
      </c>
      <c r="L905" s="99">
        <f>COUNTIF($F$5:$F$979,"&lt;"&amp;F905)+(COUNTIF($F$5:$F$979,"="&amp;F905)+1)/2</f>
        <v/>
      </c>
      <c r="M905" s="99">
        <f>COUNTIF($G$5:$G$979,"&lt;"&amp;G905)+(COUNTIF($G$5:$G$979,"="&amp;G905)+1)/2</f>
        <v/>
      </c>
      <c r="N905" s="99">
        <f>COUNTIF($H$5:$H$979,"&lt;"&amp;H905)+(COUNTIF($H$5:$H$979,"="&amp;H905)+1)/2</f>
        <v/>
      </c>
      <c r="O905" s="99">
        <f>COUNTIF($I$5:$I$979,"&lt;"&amp;I905)+(COUNTIF($I$5:$I$979,"="&amp;I905)+1)/2</f>
        <v/>
      </c>
      <c r="P905" s="99">
        <f>COUNTIF($J$5:$J$979,"&lt;"&amp;J905)+(COUNTIF($J$5:$J$979,"="&amp;J905)+1)/2</f>
        <v/>
      </c>
    </row>
    <row r="906" ht="15" customHeight="1" s="68">
      <c r="A906" s="70">
        <f>'01_원자료'!A903</f>
        <v/>
      </c>
      <c r="B906" s="70">
        <f>'01_원자료'!B903</f>
        <v/>
      </c>
      <c r="C906" s="70">
        <f>'01_원자료'!C903</f>
        <v/>
      </c>
      <c r="E906" s="85">
        <f>'01_원자료'!P903*'03_가중치민감도'!$B$5+'01_원자료'!Q903*'03_가중치민감도'!$C$5+'01_원자료'!R903*'03_가중치민감도'!$D$5</f>
        <v/>
      </c>
      <c r="F906" s="85">
        <f>'01_원자료'!P903*'03_가중치민감도'!$B$6+'01_원자료'!Q903*'03_가중치민감도'!$C$6+'01_원자료'!R903*'03_가중치민감도'!$D$6</f>
        <v/>
      </c>
      <c r="G906" s="85">
        <f>'01_원자료'!P903*'03_가중치민감도'!$B$7+'01_원자료'!Q903*'03_가중치민감도'!$C$7+'01_원자료'!R903*'03_가중치민감도'!$D$7</f>
        <v/>
      </c>
      <c r="H906" s="85">
        <f>'01_원자료'!P903*'03_가중치민감도'!$B$8+'01_원자료'!Q903*'03_가중치민감도'!$C$8+'01_원자료'!R903*'03_가중치민감도'!$D$8</f>
        <v/>
      </c>
      <c r="I906" s="85">
        <f>'01_원자료'!P903*'03_가중치민감도'!$B$9+'01_원자료'!Q903*'03_가중치민감도'!$C$9+'01_원자료'!R903*'03_가중치민감도'!$D$9</f>
        <v/>
      </c>
      <c r="J906" s="85">
        <f>'01_원자료'!P903*'03_가중치민감도'!$B$10+'01_원자료'!Q903*'03_가중치민감도'!$C$10+'01_원자료'!R903*'03_가중치민감도'!$D$10</f>
        <v/>
      </c>
      <c r="K906" s="99">
        <f>COUNTIF($E$5:$E$979,"&lt;"&amp;E906)+(COUNTIF($E$5:$E$979,"="&amp;E906)+1)/2</f>
        <v/>
      </c>
      <c r="L906" s="99">
        <f>COUNTIF($F$5:$F$979,"&lt;"&amp;F906)+(COUNTIF($F$5:$F$979,"="&amp;F906)+1)/2</f>
        <v/>
      </c>
      <c r="M906" s="99">
        <f>COUNTIF($G$5:$G$979,"&lt;"&amp;G906)+(COUNTIF($G$5:$G$979,"="&amp;G906)+1)/2</f>
        <v/>
      </c>
      <c r="N906" s="99">
        <f>COUNTIF($H$5:$H$979,"&lt;"&amp;H906)+(COUNTIF($H$5:$H$979,"="&amp;H906)+1)/2</f>
        <v/>
      </c>
      <c r="O906" s="99">
        <f>COUNTIF($I$5:$I$979,"&lt;"&amp;I906)+(COUNTIF($I$5:$I$979,"="&amp;I906)+1)/2</f>
        <v/>
      </c>
      <c r="P906" s="99">
        <f>COUNTIF($J$5:$J$979,"&lt;"&amp;J906)+(COUNTIF($J$5:$J$979,"="&amp;J906)+1)/2</f>
        <v/>
      </c>
    </row>
    <row r="907" ht="15" customHeight="1" s="68">
      <c r="A907" s="70">
        <f>'01_원자료'!A904</f>
        <v/>
      </c>
      <c r="B907" s="70">
        <f>'01_원자료'!B904</f>
        <v/>
      </c>
      <c r="C907" s="70">
        <f>'01_원자료'!C904</f>
        <v/>
      </c>
      <c r="E907" s="85">
        <f>'01_원자료'!P904*'03_가중치민감도'!$B$5+'01_원자료'!Q904*'03_가중치민감도'!$C$5+'01_원자료'!R904*'03_가중치민감도'!$D$5</f>
        <v/>
      </c>
      <c r="F907" s="85">
        <f>'01_원자료'!P904*'03_가중치민감도'!$B$6+'01_원자료'!Q904*'03_가중치민감도'!$C$6+'01_원자료'!R904*'03_가중치민감도'!$D$6</f>
        <v/>
      </c>
      <c r="G907" s="85">
        <f>'01_원자료'!P904*'03_가중치민감도'!$B$7+'01_원자료'!Q904*'03_가중치민감도'!$C$7+'01_원자료'!R904*'03_가중치민감도'!$D$7</f>
        <v/>
      </c>
      <c r="H907" s="85">
        <f>'01_원자료'!P904*'03_가중치민감도'!$B$8+'01_원자료'!Q904*'03_가중치민감도'!$C$8+'01_원자료'!R904*'03_가중치민감도'!$D$8</f>
        <v/>
      </c>
      <c r="I907" s="85">
        <f>'01_원자료'!P904*'03_가중치민감도'!$B$9+'01_원자료'!Q904*'03_가중치민감도'!$C$9+'01_원자료'!R904*'03_가중치민감도'!$D$9</f>
        <v/>
      </c>
      <c r="J907" s="85">
        <f>'01_원자료'!P904*'03_가중치민감도'!$B$10+'01_원자료'!Q904*'03_가중치민감도'!$C$10+'01_원자료'!R904*'03_가중치민감도'!$D$10</f>
        <v/>
      </c>
      <c r="K907" s="99">
        <f>COUNTIF($E$5:$E$979,"&lt;"&amp;E907)+(COUNTIF($E$5:$E$979,"="&amp;E907)+1)/2</f>
        <v/>
      </c>
      <c r="L907" s="99">
        <f>COUNTIF($F$5:$F$979,"&lt;"&amp;F907)+(COUNTIF($F$5:$F$979,"="&amp;F907)+1)/2</f>
        <v/>
      </c>
      <c r="M907" s="99">
        <f>COUNTIF($G$5:$G$979,"&lt;"&amp;G907)+(COUNTIF($G$5:$G$979,"="&amp;G907)+1)/2</f>
        <v/>
      </c>
      <c r="N907" s="99">
        <f>COUNTIF($H$5:$H$979,"&lt;"&amp;H907)+(COUNTIF($H$5:$H$979,"="&amp;H907)+1)/2</f>
        <v/>
      </c>
      <c r="O907" s="99">
        <f>COUNTIF($I$5:$I$979,"&lt;"&amp;I907)+(COUNTIF($I$5:$I$979,"="&amp;I907)+1)/2</f>
        <v/>
      </c>
      <c r="P907" s="99">
        <f>COUNTIF($J$5:$J$979,"&lt;"&amp;J907)+(COUNTIF($J$5:$J$979,"="&amp;J907)+1)/2</f>
        <v/>
      </c>
    </row>
    <row r="908" ht="15" customHeight="1" s="68">
      <c r="A908" s="70">
        <f>'01_원자료'!A905</f>
        <v/>
      </c>
      <c r="B908" s="70">
        <f>'01_원자료'!B905</f>
        <v/>
      </c>
      <c r="C908" s="70">
        <f>'01_원자료'!C905</f>
        <v/>
      </c>
      <c r="E908" s="85">
        <f>'01_원자료'!P905*'03_가중치민감도'!$B$5+'01_원자료'!Q905*'03_가중치민감도'!$C$5+'01_원자료'!R905*'03_가중치민감도'!$D$5</f>
        <v/>
      </c>
      <c r="F908" s="85">
        <f>'01_원자료'!P905*'03_가중치민감도'!$B$6+'01_원자료'!Q905*'03_가중치민감도'!$C$6+'01_원자료'!R905*'03_가중치민감도'!$D$6</f>
        <v/>
      </c>
      <c r="G908" s="85">
        <f>'01_원자료'!P905*'03_가중치민감도'!$B$7+'01_원자료'!Q905*'03_가중치민감도'!$C$7+'01_원자료'!R905*'03_가중치민감도'!$D$7</f>
        <v/>
      </c>
      <c r="H908" s="85">
        <f>'01_원자료'!P905*'03_가중치민감도'!$B$8+'01_원자료'!Q905*'03_가중치민감도'!$C$8+'01_원자료'!R905*'03_가중치민감도'!$D$8</f>
        <v/>
      </c>
      <c r="I908" s="85">
        <f>'01_원자료'!P905*'03_가중치민감도'!$B$9+'01_원자료'!Q905*'03_가중치민감도'!$C$9+'01_원자료'!R905*'03_가중치민감도'!$D$9</f>
        <v/>
      </c>
      <c r="J908" s="85">
        <f>'01_원자료'!P905*'03_가중치민감도'!$B$10+'01_원자료'!Q905*'03_가중치민감도'!$C$10+'01_원자료'!R905*'03_가중치민감도'!$D$10</f>
        <v/>
      </c>
      <c r="K908" s="99">
        <f>COUNTIF($E$5:$E$979,"&lt;"&amp;E908)+(COUNTIF($E$5:$E$979,"="&amp;E908)+1)/2</f>
        <v/>
      </c>
      <c r="L908" s="99">
        <f>COUNTIF($F$5:$F$979,"&lt;"&amp;F908)+(COUNTIF($F$5:$F$979,"="&amp;F908)+1)/2</f>
        <v/>
      </c>
      <c r="M908" s="99">
        <f>COUNTIF($G$5:$G$979,"&lt;"&amp;G908)+(COUNTIF($G$5:$G$979,"="&amp;G908)+1)/2</f>
        <v/>
      </c>
      <c r="N908" s="99">
        <f>COUNTIF($H$5:$H$979,"&lt;"&amp;H908)+(COUNTIF($H$5:$H$979,"="&amp;H908)+1)/2</f>
        <v/>
      </c>
      <c r="O908" s="99">
        <f>COUNTIF($I$5:$I$979,"&lt;"&amp;I908)+(COUNTIF($I$5:$I$979,"="&amp;I908)+1)/2</f>
        <v/>
      </c>
      <c r="P908" s="99">
        <f>COUNTIF($J$5:$J$979,"&lt;"&amp;J908)+(COUNTIF($J$5:$J$979,"="&amp;J908)+1)/2</f>
        <v/>
      </c>
    </row>
    <row r="909" ht="15" customHeight="1" s="68">
      <c r="A909" s="70">
        <f>'01_원자료'!A906</f>
        <v/>
      </c>
      <c r="B909" s="70">
        <f>'01_원자료'!B906</f>
        <v/>
      </c>
      <c r="C909" s="70">
        <f>'01_원자료'!C906</f>
        <v/>
      </c>
      <c r="E909" s="85">
        <f>'01_원자료'!P906*'03_가중치민감도'!$B$5+'01_원자료'!Q906*'03_가중치민감도'!$C$5+'01_원자료'!R906*'03_가중치민감도'!$D$5</f>
        <v/>
      </c>
      <c r="F909" s="85">
        <f>'01_원자료'!P906*'03_가중치민감도'!$B$6+'01_원자료'!Q906*'03_가중치민감도'!$C$6+'01_원자료'!R906*'03_가중치민감도'!$D$6</f>
        <v/>
      </c>
      <c r="G909" s="85">
        <f>'01_원자료'!P906*'03_가중치민감도'!$B$7+'01_원자료'!Q906*'03_가중치민감도'!$C$7+'01_원자료'!R906*'03_가중치민감도'!$D$7</f>
        <v/>
      </c>
      <c r="H909" s="85">
        <f>'01_원자료'!P906*'03_가중치민감도'!$B$8+'01_원자료'!Q906*'03_가중치민감도'!$C$8+'01_원자료'!R906*'03_가중치민감도'!$D$8</f>
        <v/>
      </c>
      <c r="I909" s="85">
        <f>'01_원자료'!P906*'03_가중치민감도'!$B$9+'01_원자료'!Q906*'03_가중치민감도'!$C$9+'01_원자료'!R906*'03_가중치민감도'!$D$9</f>
        <v/>
      </c>
      <c r="J909" s="85">
        <f>'01_원자료'!P906*'03_가중치민감도'!$B$10+'01_원자료'!Q906*'03_가중치민감도'!$C$10+'01_원자료'!R906*'03_가중치민감도'!$D$10</f>
        <v/>
      </c>
      <c r="K909" s="99">
        <f>COUNTIF($E$5:$E$979,"&lt;"&amp;E909)+(COUNTIF($E$5:$E$979,"="&amp;E909)+1)/2</f>
        <v/>
      </c>
      <c r="L909" s="99">
        <f>COUNTIF($F$5:$F$979,"&lt;"&amp;F909)+(COUNTIF($F$5:$F$979,"="&amp;F909)+1)/2</f>
        <v/>
      </c>
      <c r="M909" s="99">
        <f>COUNTIF($G$5:$G$979,"&lt;"&amp;G909)+(COUNTIF($G$5:$G$979,"="&amp;G909)+1)/2</f>
        <v/>
      </c>
      <c r="N909" s="99">
        <f>COUNTIF($H$5:$H$979,"&lt;"&amp;H909)+(COUNTIF($H$5:$H$979,"="&amp;H909)+1)/2</f>
        <v/>
      </c>
      <c r="O909" s="99">
        <f>COUNTIF($I$5:$I$979,"&lt;"&amp;I909)+(COUNTIF($I$5:$I$979,"="&amp;I909)+1)/2</f>
        <v/>
      </c>
      <c r="P909" s="99">
        <f>COUNTIF($J$5:$J$979,"&lt;"&amp;J909)+(COUNTIF($J$5:$J$979,"="&amp;J909)+1)/2</f>
        <v/>
      </c>
    </row>
    <row r="910" ht="15" customHeight="1" s="68">
      <c r="A910" s="70">
        <f>'01_원자료'!A907</f>
        <v/>
      </c>
      <c r="B910" s="70">
        <f>'01_원자료'!B907</f>
        <v/>
      </c>
      <c r="C910" s="70">
        <f>'01_원자료'!C907</f>
        <v/>
      </c>
      <c r="E910" s="85">
        <f>'01_원자료'!P907*'03_가중치민감도'!$B$5+'01_원자료'!Q907*'03_가중치민감도'!$C$5+'01_원자료'!R907*'03_가중치민감도'!$D$5</f>
        <v/>
      </c>
      <c r="F910" s="85">
        <f>'01_원자료'!P907*'03_가중치민감도'!$B$6+'01_원자료'!Q907*'03_가중치민감도'!$C$6+'01_원자료'!R907*'03_가중치민감도'!$D$6</f>
        <v/>
      </c>
      <c r="G910" s="85">
        <f>'01_원자료'!P907*'03_가중치민감도'!$B$7+'01_원자료'!Q907*'03_가중치민감도'!$C$7+'01_원자료'!R907*'03_가중치민감도'!$D$7</f>
        <v/>
      </c>
      <c r="H910" s="85">
        <f>'01_원자료'!P907*'03_가중치민감도'!$B$8+'01_원자료'!Q907*'03_가중치민감도'!$C$8+'01_원자료'!R907*'03_가중치민감도'!$D$8</f>
        <v/>
      </c>
      <c r="I910" s="85">
        <f>'01_원자료'!P907*'03_가중치민감도'!$B$9+'01_원자료'!Q907*'03_가중치민감도'!$C$9+'01_원자료'!R907*'03_가중치민감도'!$D$9</f>
        <v/>
      </c>
      <c r="J910" s="85">
        <f>'01_원자료'!P907*'03_가중치민감도'!$B$10+'01_원자료'!Q907*'03_가중치민감도'!$C$10+'01_원자료'!R907*'03_가중치민감도'!$D$10</f>
        <v/>
      </c>
      <c r="K910" s="99">
        <f>COUNTIF($E$5:$E$979,"&lt;"&amp;E910)+(COUNTIF($E$5:$E$979,"="&amp;E910)+1)/2</f>
        <v/>
      </c>
      <c r="L910" s="99">
        <f>COUNTIF($F$5:$F$979,"&lt;"&amp;F910)+(COUNTIF($F$5:$F$979,"="&amp;F910)+1)/2</f>
        <v/>
      </c>
      <c r="M910" s="99">
        <f>COUNTIF($G$5:$G$979,"&lt;"&amp;G910)+(COUNTIF($G$5:$G$979,"="&amp;G910)+1)/2</f>
        <v/>
      </c>
      <c r="N910" s="99">
        <f>COUNTIF($H$5:$H$979,"&lt;"&amp;H910)+(COUNTIF($H$5:$H$979,"="&amp;H910)+1)/2</f>
        <v/>
      </c>
      <c r="O910" s="99">
        <f>COUNTIF($I$5:$I$979,"&lt;"&amp;I910)+(COUNTIF($I$5:$I$979,"="&amp;I910)+1)/2</f>
        <v/>
      </c>
      <c r="P910" s="99">
        <f>COUNTIF($J$5:$J$979,"&lt;"&amp;J910)+(COUNTIF($J$5:$J$979,"="&amp;J910)+1)/2</f>
        <v/>
      </c>
    </row>
    <row r="911" ht="15" customHeight="1" s="68">
      <c r="A911" s="70">
        <f>'01_원자료'!A908</f>
        <v/>
      </c>
      <c r="B911" s="70">
        <f>'01_원자료'!B908</f>
        <v/>
      </c>
      <c r="C911" s="70">
        <f>'01_원자료'!C908</f>
        <v/>
      </c>
      <c r="E911" s="85">
        <f>'01_원자료'!P908*'03_가중치민감도'!$B$5+'01_원자료'!Q908*'03_가중치민감도'!$C$5+'01_원자료'!R908*'03_가중치민감도'!$D$5</f>
        <v/>
      </c>
      <c r="F911" s="85">
        <f>'01_원자료'!P908*'03_가중치민감도'!$B$6+'01_원자료'!Q908*'03_가중치민감도'!$C$6+'01_원자료'!R908*'03_가중치민감도'!$D$6</f>
        <v/>
      </c>
      <c r="G911" s="85">
        <f>'01_원자료'!P908*'03_가중치민감도'!$B$7+'01_원자료'!Q908*'03_가중치민감도'!$C$7+'01_원자료'!R908*'03_가중치민감도'!$D$7</f>
        <v/>
      </c>
      <c r="H911" s="85">
        <f>'01_원자료'!P908*'03_가중치민감도'!$B$8+'01_원자료'!Q908*'03_가중치민감도'!$C$8+'01_원자료'!R908*'03_가중치민감도'!$D$8</f>
        <v/>
      </c>
      <c r="I911" s="85">
        <f>'01_원자료'!P908*'03_가중치민감도'!$B$9+'01_원자료'!Q908*'03_가중치민감도'!$C$9+'01_원자료'!R908*'03_가중치민감도'!$D$9</f>
        <v/>
      </c>
      <c r="J911" s="85">
        <f>'01_원자료'!P908*'03_가중치민감도'!$B$10+'01_원자료'!Q908*'03_가중치민감도'!$C$10+'01_원자료'!R908*'03_가중치민감도'!$D$10</f>
        <v/>
      </c>
      <c r="K911" s="99">
        <f>COUNTIF($E$5:$E$979,"&lt;"&amp;E911)+(COUNTIF($E$5:$E$979,"="&amp;E911)+1)/2</f>
        <v/>
      </c>
      <c r="L911" s="99">
        <f>COUNTIF($F$5:$F$979,"&lt;"&amp;F911)+(COUNTIF($F$5:$F$979,"="&amp;F911)+1)/2</f>
        <v/>
      </c>
      <c r="M911" s="99">
        <f>COUNTIF($G$5:$G$979,"&lt;"&amp;G911)+(COUNTIF($G$5:$G$979,"="&amp;G911)+1)/2</f>
        <v/>
      </c>
      <c r="N911" s="99">
        <f>COUNTIF($H$5:$H$979,"&lt;"&amp;H911)+(COUNTIF($H$5:$H$979,"="&amp;H911)+1)/2</f>
        <v/>
      </c>
      <c r="O911" s="99">
        <f>COUNTIF($I$5:$I$979,"&lt;"&amp;I911)+(COUNTIF($I$5:$I$979,"="&amp;I911)+1)/2</f>
        <v/>
      </c>
      <c r="P911" s="99">
        <f>COUNTIF($J$5:$J$979,"&lt;"&amp;J911)+(COUNTIF($J$5:$J$979,"="&amp;J911)+1)/2</f>
        <v/>
      </c>
    </row>
    <row r="912" ht="15" customHeight="1" s="68">
      <c r="A912" s="70">
        <f>'01_원자료'!A909</f>
        <v/>
      </c>
      <c r="B912" s="70">
        <f>'01_원자료'!B909</f>
        <v/>
      </c>
      <c r="C912" s="70">
        <f>'01_원자료'!C909</f>
        <v/>
      </c>
      <c r="E912" s="85">
        <f>'01_원자료'!P909*'03_가중치민감도'!$B$5+'01_원자료'!Q909*'03_가중치민감도'!$C$5+'01_원자료'!R909*'03_가중치민감도'!$D$5</f>
        <v/>
      </c>
      <c r="F912" s="85">
        <f>'01_원자료'!P909*'03_가중치민감도'!$B$6+'01_원자료'!Q909*'03_가중치민감도'!$C$6+'01_원자료'!R909*'03_가중치민감도'!$D$6</f>
        <v/>
      </c>
      <c r="G912" s="85">
        <f>'01_원자료'!P909*'03_가중치민감도'!$B$7+'01_원자료'!Q909*'03_가중치민감도'!$C$7+'01_원자료'!R909*'03_가중치민감도'!$D$7</f>
        <v/>
      </c>
      <c r="H912" s="85">
        <f>'01_원자료'!P909*'03_가중치민감도'!$B$8+'01_원자료'!Q909*'03_가중치민감도'!$C$8+'01_원자료'!R909*'03_가중치민감도'!$D$8</f>
        <v/>
      </c>
      <c r="I912" s="85">
        <f>'01_원자료'!P909*'03_가중치민감도'!$B$9+'01_원자료'!Q909*'03_가중치민감도'!$C$9+'01_원자료'!R909*'03_가중치민감도'!$D$9</f>
        <v/>
      </c>
      <c r="J912" s="85">
        <f>'01_원자료'!P909*'03_가중치민감도'!$B$10+'01_원자료'!Q909*'03_가중치민감도'!$C$10+'01_원자료'!R909*'03_가중치민감도'!$D$10</f>
        <v/>
      </c>
      <c r="K912" s="99">
        <f>COUNTIF($E$5:$E$979,"&lt;"&amp;E912)+(COUNTIF($E$5:$E$979,"="&amp;E912)+1)/2</f>
        <v/>
      </c>
      <c r="L912" s="99">
        <f>COUNTIF($F$5:$F$979,"&lt;"&amp;F912)+(COUNTIF($F$5:$F$979,"="&amp;F912)+1)/2</f>
        <v/>
      </c>
      <c r="M912" s="99">
        <f>COUNTIF($G$5:$G$979,"&lt;"&amp;G912)+(COUNTIF($G$5:$G$979,"="&amp;G912)+1)/2</f>
        <v/>
      </c>
      <c r="N912" s="99">
        <f>COUNTIF($H$5:$H$979,"&lt;"&amp;H912)+(COUNTIF($H$5:$H$979,"="&amp;H912)+1)/2</f>
        <v/>
      </c>
      <c r="O912" s="99">
        <f>COUNTIF($I$5:$I$979,"&lt;"&amp;I912)+(COUNTIF($I$5:$I$979,"="&amp;I912)+1)/2</f>
        <v/>
      </c>
      <c r="P912" s="99">
        <f>COUNTIF($J$5:$J$979,"&lt;"&amp;J912)+(COUNTIF($J$5:$J$979,"="&amp;J912)+1)/2</f>
        <v/>
      </c>
    </row>
    <row r="913" ht="15" customHeight="1" s="68">
      <c r="A913" s="70">
        <f>'01_원자료'!A910</f>
        <v/>
      </c>
      <c r="B913" s="70">
        <f>'01_원자료'!B910</f>
        <v/>
      </c>
      <c r="C913" s="70">
        <f>'01_원자료'!C910</f>
        <v/>
      </c>
      <c r="E913" s="85">
        <f>'01_원자료'!P910*'03_가중치민감도'!$B$5+'01_원자료'!Q910*'03_가중치민감도'!$C$5+'01_원자료'!R910*'03_가중치민감도'!$D$5</f>
        <v/>
      </c>
      <c r="F913" s="85">
        <f>'01_원자료'!P910*'03_가중치민감도'!$B$6+'01_원자료'!Q910*'03_가중치민감도'!$C$6+'01_원자료'!R910*'03_가중치민감도'!$D$6</f>
        <v/>
      </c>
      <c r="G913" s="85">
        <f>'01_원자료'!P910*'03_가중치민감도'!$B$7+'01_원자료'!Q910*'03_가중치민감도'!$C$7+'01_원자료'!R910*'03_가중치민감도'!$D$7</f>
        <v/>
      </c>
      <c r="H913" s="85">
        <f>'01_원자료'!P910*'03_가중치민감도'!$B$8+'01_원자료'!Q910*'03_가중치민감도'!$C$8+'01_원자료'!R910*'03_가중치민감도'!$D$8</f>
        <v/>
      </c>
      <c r="I913" s="85">
        <f>'01_원자료'!P910*'03_가중치민감도'!$B$9+'01_원자료'!Q910*'03_가중치민감도'!$C$9+'01_원자료'!R910*'03_가중치민감도'!$D$9</f>
        <v/>
      </c>
      <c r="J913" s="85">
        <f>'01_원자료'!P910*'03_가중치민감도'!$B$10+'01_원자료'!Q910*'03_가중치민감도'!$C$10+'01_원자료'!R910*'03_가중치민감도'!$D$10</f>
        <v/>
      </c>
      <c r="K913" s="99">
        <f>COUNTIF($E$5:$E$979,"&lt;"&amp;E913)+(COUNTIF($E$5:$E$979,"="&amp;E913)+1)/2</f>
        <v/>
      </c>
      <c r="L913" s="99">
        <f>COUNTIF($F$5:$F$979,"&lt;"&amp;F913)+(COUNTIF($F$5:$F$979,"="&amp;F913)+1)/2</f>
        <v/>
      </c>
      <c r="M913" s="99">
        <f>COUNTIF($G$5:$G$979,"&lt;"&amp;G913)+(COUNTIF($G$5:$G$979,"="&amp;G913)+1)/2</f>
        <v/>
      </c>
      <c r="N913" s="99">
        <f>COUNTIF($H$5:$H$979,"&lt;"&amp;H913)+(COUNTIF($H$5:$H$979,"="&amp;H913)+1)/2</f>
        <v/>
      </c>
      <c r="O913" s="99">
        <f>COUNTIF($I$5:$I$979,"&lt;"&amp;I913)+(COUNTIF($I$5:$I$979,"="&amp;I913)+1)/2</f>
        <v/>
      </c>
      <c r="P913" s="99">
        <f>COUNTIF($J$5:$J$979,"&lt;"&amp;J913)+(COUNTIF($J$5:$J$979,"="&amp;J913)+1)/2</f>
        <v/>
      </c>
    </row>
    <row r="914" ht="15" customHeight="1" s="68">
      <c r="A914" s="70">
        <f>'01_원자료'!A911</f>
        <v/>
      </c>
      <c r="B914" s="70">
        <f>'01_원자료'!B911</f>
        <v/>
      </c>
      <c r="C914" s="70">
        <f>'01_원자료'!C911</f>
        <v/>
      </c>
      <c r="E914" s="85">
        <f>'01_원자료'!P911*'03_가중치민감도'!$B$5+'01_원자료'!Q911*'03_가중치민감도'!$C$5+'01_원자료'!R911*'03_가중치민감도'!$D$5</f>
        <v/>
      </c>
      <c r="F914" s="85">
        <f>'01_원자료'!P911*'03_가중치민감도'!$B$6+'01_원자료'!Q911*'03_가중치민감도'!$C$6+'01_원자료'!R911*'03_가중치민감도'!$D$6</f>
        <v/>
      </c>
      <c r="G914" s="85">
        <f>'01_원자료'!P911*'03_가중치민감도'!$B$7+'01_원자료'!Q911*'03_가중치민감도'!$C$7+'01_원자료'!R911*'03_가중치민감도'!$D$7</f>
        <v/>
      </c>
      <c r="H914" s="85">
        <f>'01_원자료'!P911*'03_가중치민감도'!$B$8+'01_원자료'!Q911*'03_가중치민감도'!$C$8+'01_원자료'!R911*'03_가중치민감도'!$D$8</f>
        <v/>
      </c>
      <c r="I914" s="85">
        <f>'01_원자료'!P911*'03_가중치민감도'!$B$9+'01_원자료'!Q911*'03_가중치민감도'!$C$9+'01_원자료'!R911*'03_가중치민감도'!$D$9</f>
        <v/>
      </c>
      <c r="J914" s="85">
        <f>'01_원자료'!P911*'03_가중치민감도'!$B$10+'01_원자료'!Q911*'03_가중치민감도'!$C$10+'01_원자료'!R911*'03_가중치민감도'!$D$10</f>
        <v/>
      </c>
      <c r="K914" s="99">
        <f>COUNTIF($E$5:$E$979,"&lt;"&amp;E914)+(COUNTIF($E$5:$E$979,"="&amp;E914)+1)/2</f>
        <v/>
      </c>
      <c r="L914" s="99">
        <f>COUNTIF($F$5:$F$979,"&lt;"&amp;F914)+(COUNTIF($F$5:$F$979,"="&amp;F914)+1)/2</f>
        <v/>
      </c>
      <c r="M914" s="99">
        <f>COUNTIF($G$5:$G$979,"&lt;"&amp;G914)+(COUNTIF($G$5:$G$979,"="&amp;G914)+1)/2</f>
        <v/>
      </c>
      <c r="N914" s="99">
        <f>COUNTIF($H$5:$H$979,"&lt;"&amp;H914)+(COUNTIF($H$5:$H$979,"="&amp;H914)+1)/2</f>
        <v/>
      </c>
      <c r="O914" s="99">
        <f>COUNTIF($I$5:$I$979,"&lt;"&amp;I914)+(COUNTIF($I$5:$I$979,"="&amp;I914)+1)/2</f>
        <v/>
      </c>
      <c r="P914" s="99">
        <f>COUNTIF($J$5:$J$979,"&lt;"&amp;J914)+(COUNTIF($J$5:$J$979,"="&amp;J914)+1)/2</f>
        <v/>
      </c>
    </row>
    <row r="915" ht="15" customHeight="1" s="68">
      <c r="A915" s="70">
        <f>'01_원자료'!A912</f>
        <v/>
      </c>
      <c r="B915" s="70">
        <f>'01_원자료'!B912</f>
        <v/>
      </c>
      <c r="C915" s="70">
        <f>'01_원자료'!C912</f>
        <v/>
      </c>
      <c r="E915" s="85">
        <f>'01_원자료'!P912*'03_가중치민감도'!$B$5+'01_원자료'!Q912*'03_가중치민감도'!$C$5+'01_원자료'!R912*'03_가중치민감도'!$D$5</f>
        <v/>
      </c>
      <c r="F915" s="85">
        <f>'01_원자료'!P912*'03_가중치민감도'!$B$6+'01_원자료'!Q912*'03_가중치민감도'!$C$6+'01_원자료'!R912*'03_가중치민감도'!$D$6</f>
        <v/>
      </c>
      <c r="G915" s="85">
        <f>'01_원자료'!P912*'03_가중치민감도'!$B$7+'01_원자료'!Q912*'03_가중치민감도'!$C$7+'01_원자료'!R912*'03_가중치민감도'!$D$7</f>
        <v/>
      </c>
      <c r="H915" s="85">
        <f>'01_원자료'!P912*'03_가중치민감도'!$B$8+'01_원자료'!Q912*'03_가중치민감도'!$C$8+'01_원자료'!R912*'03_가중치민감도'!$D$8</f>
        <v/>
      </c>
      <c r="I915" s="85">
        <f>'01_원자료'!P912*'03_가중치민감도'!$B$9+'01_원자료'!Q912*'03_가중치민감도'!$C$9+'01_원자료'!R912*'03_가중치민감도'!$D$9</f>
        <v/>
      </c>
      <c r="J915" s="85">
        <f>'01_원자료'!P912*'03_가중치민감도'!$B$10+'01_원자료'!Q912*'03_가중치민감도'!$C$10+'01_원자료'!R912*'03_가중치민감도'!$D$10</f>
        <v/>
      </c>
      <c r="K915" s="99">
        <f>COUNTIF($E$5:$E$979,"&lt;"&amp;E915)+(COUNTIF($E$5:$E$979,"="&amp;E915)+1)/2</f>
        <v/>
      </c>
      <c r="L915" s="99">
        <f>COUNTIF($F$5:$F$979,"&lt;"&amp;F915)+(COUNTIF($F$5:$F$979,"="&amp;F915)+1)/2</f>
        <v/>
      </c>
      <c r="M915" s="99">
        <f>COUNTIF($G$5:$G$979,"&lt;"&amp;G915)+(COUNTIF($G$5:$G$979,"="&amp;G915)+1)/2</f>
        <v/>
      </c>
      <c r="N915" s="99">
        <f>COUNTIF($H$5:$H$979,"&lt;"&amp;H915)+(COUNTIF($H$5:$H$979,"="&amp;H915)+1)/2</f>
        <v/>
      </c>
      <c r="O915" s="99">
        <f>COUNTIF($I$5:$I$979,"&lt;"&amp;I915)+(COUNTIF($I$5:$I$979,"="&amp;I915)+1)/2</f>
        <v/>
      </c>
      <c r="P915" s="99">
        <f>COUNTIF($J$5:$J$979,"&lt;"&amp;J915)+(COUNTIF($J$5:$J$979,"="&amp;J915)+1)/2</f>
        <v/>
      </c>
    </row>
    <row r="916" ht="15" customHeight="1" s="68">
      <c r="A916" s="70">
        <f>'01_원자료'!A913</f>
        <v/>
      </c>
      <c r="B916" s="70">
        <f>'01_원자료'!B913</f>
        <v/>
      </c>
      <c r="C916" s="70">
        <f>'01_원자료'!C913</f>
        <v/>
      </c>
      <c r="E916" s="85">
        <f>'01_원자료'!P913*'03_가중치민감도'!$B$5+'01_원자료'!Q913*'03_가중치민감도'!$C$5+'01_원자료'!R913*'03_가중치민감도'!$D$5</f>
        <v/>
      </c>
      <c r="F916" s="85">
        <f>'01_원자료'!P913*'03_가중치민감도'!$B$6+'01_원자료'!Q913*'03_가중치민감도'!$C$6+'01_원자료'!R913*'03_가중치민감도'!$D$6</f>
        <v/>
      </c>
      <c r="G916" s="85">
        <f>'01_원자료'!P913*'03_가중치민감도'!$B$7+'01_원자료'!Q913*'03_가중치민감도'!$C$7+'01_원자료'!R913*'03_가중치민감도'!$D$7</f>
        <v/>
      </c>
      <c r="H916" s="85">
        <f>'01_원자료'!P913*'03_가중치민감도'!$B$8+'01_원자료'!Q913*'03_가중치민감도'!$C$8+'01_원자료'!R913*'03_가중치민감도'!$D$8</f>
        <v/>
      </c>
      <c r="I916" s="85">
        <f>'01_원자료'!P913*'03_가중치민감도'!$B$9+'01_원자료'!Q913*'03_가중치민감도'!$C$9+'01_원자료'!R913*'03_가중치민감도'!$D$9</f>
        <v/>
      </c>
      <c r="J916" s="85">
        <f>'01_원자료'!P913*'03_가중치민감도'!$B$10+'01_원자료'!Q913*'03_가중치민감도'!$C$10+'01_원자료'!R913*'03_가중치민감도'!$D$10</f>
        <v/>
      </c>
      <c r="K916" s="99">
        <f>COUNTIF($E$5:$E$979,"&lt;"&amp;E916)+(COUNTIF($E$5:$E$979,"="&amp;E916)+1)/2</f>
        <v/>
      </c>
      <c r="L916" s="99">
        <f>COUNTIF($F$5:$F$979,"&lt;"&amp;F916)+(COUNTIF($F$5:$F$979,"="&amp;F916)+1)/2</f>
        <v/>
      </c>
      <c r="M916" s="99">
        <f>COUNTIF($G$5:$G$979,"&lt;"&amp;G916)+(COUNTIF($G$5:$G$979,"="&amp;G916)+1)/2</f>
        <v/>
      </c>
      <c r="N916" s="99">
        <f>COUNTIF($H$5:$H$979,"&lt;"&amp;H916)+(COUNTIF($H$5:$H$979,"="&amp;H916)+1)/2</f>
        <v/>
      </c>
      <c r="O916" s="99">
        <f>COUNTIF($I$5:$I$979,"&lt;"&amp;I916)+(COUNTIF($I$5:$I$979,"="&amp;I916)+1)/2</f>
        <v/>
      </c>
      <c r="P916" s="99">
        <f>COUNTIF($J$5:$J$979,"&lt;"&amp;J916)+(COUNTIF($J$5:$J$979,"="&amp;J916)+1)/2</f>
        <v/>
      </c>
    </row>
    <row r="917" ht="15" customHeight="1" s="68">
      <c r="A917" s="70">
        <f>'01_원자료'!A914</f>
        <v/>
      </c>
      <c r="B917" s="70">
        <f>'01_원자료'!B914</f>
        <v/>
      </c>
      <c r="C917" s="70">
        <f>'01_원자료'!C914</f>
        <v/>
      </c>
      <c r="E917" s="85">
        <f>'01_원자료'!P914*'03_가중치민감도'!$B$5+'01_원자료'!Q914*'03_가중치민감도'!$C$5+'01_원자료'!R914*'03_가중치민감도'!$D$5</f>
        <v/>
      </c>
      <c r="F917" s="85">
        <f>'01_원자료'!P914*'03_가중치민감도'!$B$6+'01_원자료'!Q914*'03_가중치민감도'!$C$6+'01_원자료'!R914*'03_가중치민감도'!$D$6</f>
        <v/>
      </c>
      <c r="G917" s="85">
        <f>'01_원자료'!P914*'03_가중치민감도'!$B$7+'01_원자료'!Q914*'03_가중치민감도'!$C$7+'01_원자료'!R914*'03_가중치민감도'!$D$7</f>
        <v/>
      </c>
      <c r="H917" s="85">
        <f>'01_원자료'!P914*'03_가중치민감도'!$B$8+'01_원자료'!Q914*'03_가중치민감도'!$C$8+'01_원자료'!R914*'03_가중치민감도'!$D$8</f>
        <v/>
      </c>
      <c r="I917" s="85">
        <f>'01_원자료'!P914*'03_가중치민감도'!$B$9+'01_원자료'!Q914*'03_가중치민감도'!$C$9+'01_원자료'!R914*'03_가중치민감도'!$D$9</f>
        <v/>
      </c>
      <c r="J917" s="85">
        <f>'01_원자료'!P914*'03_가중치민감도'!$B$10+'01_원자료'!Q914*'03_가중치민감도'!$C$10+'01_원자료'!R914*'03_가중치민감도'!$D$10</f>
        <v/>
      </c>
      <c r="K917" s="99">
        <f>COUNTIF($E$5:$E$979,"&lt;"&amp;E917)+(COUNTIF($E$5:$E$979,"="&amp;E917)+1)/2</f>
        <v/>
      </c>
      <c r="L917" s="99">
        <f>COUNTIF($F$5:$F$979,"&lt;"&amp;F917)+(COUNTIF($F$5:$F$979,"="&amp;F917)+1)/2</f>
        <v/>
      </c>
      <c r="M917" s="99">
        <f>COUNTIF($G$5:$G$979,"&lt;"&amp;G917)+(COUNTIF($G$5:$G$979,"="&amp;G917)+1)/2</f>
        <v/>
      </c>
      <c r="N917" s="99">
        <f>COUNTIF($H$5:$H$979,"&lt;"&amp;H917)+(COUNTIF($H$5:$H$979,"="&amp;H917)+1)/2</f>
        <v/>
      </c>
      <c r="O917" s="99">
        <f>COUNTIF($I$5:$I$979,"&lt;"&amp;I917)+(COUNTIF($I$5:$I$979,"="&amp;I917)+1)/2</f>
        <v/>
      </c>
      <c r="P917" s="99">
        <f>COUNTIF($J$5:$J$979,"&lt;"&amp;J917)+(COUNTIF($J$5:$J$979,"="&amp;J917)+1)/2</f>
        <v/>
      </c>
    </row>
    <row r="918" ht="15" customHeight="1" s="68">
      <c r="A918" s="70">
        <f>'01_원자료'!A915</f>
        <v/>
      </c>
      <c r="B918" s="70">
        <f>'01_원자료'!B915</f>
        <v/>
      </c>
      <c r="C918" s="70">
        <f>'01_원자료'!C915</f>
        <v/>
      </c>
      <c r="E918" s="85">
        <f>'01_원자료'!P915*'03_가중치민감도'!$B$5+'01_원자료'!Q915*'03_가중치민감도'!$C$5+'01_원자료'!R915*'03_가중치민감도'!$D$5</f>
        <v/>
      </c>
      <c r="F918" s="85">
        <f>'01_원자료'!P915*'03_가중치민감도'!$B$6+'01_원자료'!Q915*'03_가중치민감도'!$C$6+'01_원자료'!R915*'03_가중치민감도'!$D$6</f>
        <v/>
      </c>
      <c r="G918" s="85">
        <f>'01_원자료'!P915*'03_가중치민감도'!$B$7+'01_원자료'!Q915*'03_가중치민감도'!$C$7+'01_원자료'!R915*'03_가중치민감도'!$D$7</f>
        <v/>
      </c>
      <c r="H918" s="85">
        <f>'01_원자료'!P915*'03_가중치민감도'!$B$8+'01_원자료'!Q915*'03_가중치민감도'!$C$8+'01_원자료'!R915*'03_가중치민감도'!$D$8</f>
        <v/>
      </c>
      <c r="I918" s="85">
        <f>'01_원자료'!P915*'03_가중치민감도'!$B$9+'01_원자료'!Q915*'03_가중치민감도'!$C$9+'01_원자료'!R915*'03_가중치민감도'!$D$9</f>
        <v/>
      </c>
      <c r="J918" s="85">
        <f>'01_원자료'!P915*'03_가중치민감도'!$B$10+'01_원자료'!Q915*'03_가중치민감도'!$C$10+'01_원자료'!R915*'03_가중치민감도'!$D$10</f>
        <v/>
      </c>
      <c r="K918" s="99">
        <f>COUNTIF($E$5:$E$979,"&lt;"&amp;E918)+(COUNTIF($E$5:$E$979,"="&amp;E918)+1)/2</f>
        <v/>
      </c>
      <c r="L918" s="99">
        <f>COUNTIF($F$5:$F$979,"&lt;"&amp;F918)+(COUNTIF($F$5:$F$979,"="&amp;F918)+1)/2</f>
        <v/>
      </c>
      <c r="M918" s="99">
        <f>COUNTIF($G$5:$G$979,"&lt;"&amp;G918)+(COUNTIF($G$5:$G$979,"="&amp;G918)+1)/2</f>
        <v/>
      </c>
      <c r="N918" s="99">
        <f>COUNTIF($H$5:$H$979,"&lt;"&amp;H918)+(COUNTIF($H$5:$H$979,"="&amp;H918)+1)/2</f>
        <v/>
      </c>
      <c r="O918" s="99">
        <f>COUNTIF($I$5:$I$979,"&lt;"&amp;I918)+(COUNTIF($I$5:$I$979,"="&amp;I918)+1)/2</f>
        <v/>
      </c>
      <c r="P918" s="99">
        <f>COUNTIF($J$5:$J$979,"&lt;"&amp;J918)+(COUNTIF($J$5:$J$979,"="&amp;J918)+1)/2</f>
        <v/>
      </c>
    </row>
    <row r="919" ht="15" customHeight="1" s="68">
      <c r="A919" s="70">
        <f>'01_원자료'!A916</f>
        <v/>
      </c>
      <c r="B919" s="70">
        <f>'01_원자료'!B916</f>
        <v/>
      </c>
      <c r="C919" s="70">
        <f>'01_원자료'!C916</f>
        <v/>
      </c>
      <c r="E919" s="85">
        <f>'01_원자료'!P916*'03_가중치민감도'!$B$5+'01_원자료'!Q916*'03_가중치민감도'!$C$5+'01_원자료'!R916*'03_가중치민감도'!$D$5</f>
        <v/>
      </c>
      <c r="F919" s="85">
        <f>'01_원자료'!P916*'03_가중치민감도'!$B$6+'01_원자료'!Q916*'03_가중치민감도'!$C$6+'01_원자료'!R916*'03_가중치민감도'!$D$6</f>
        <v/>
      </c>
      <c r="G919" s="85">
        <f>'01_원자료'!P916*'03_가중치민감도'!$B$7+'01_원자료'!Q916*'03_가중치민감도'!$C$7+'01_원자료'!R916*'03_가중치민감도'!$D$7</f>
        <v/>
      </c>
      <c r="H919" s="85">
        <f>'01_원자료'!P916*'03_가중치민감도'!$B$8+'01_원자료'!Q916*'03_가중치민감도'!$C$8+'01_원자료'!R916*'03_가중치민감도'!$D$8</f>
        <v/>
      </c>
      <c r="I919" s="85">
        <f>'01_원자료'!P916*'03_가중치민감도'!$B$9+'01_원자료'!Q916*'03_가중치민감도'!$C$9+'01_원자료'!R916*'03_가중치민감도'!$D$9</f>
        <v/>
      </c>
      <c r="J919" s="85">
        <f>'01_원자료'!P916*'03_가중치민감도'!$B$10+'01_원자료'!Q916*'03_가중치민감도'!$C$10+'01_원자료'!R916*'03_가중치민감도'!$D$10</f>
        <v/>
      </c>
      <c r="K919" s="99">
        <f>COUNTIF($E$5:$E$979,"&lt;"&amp;E919)+(COUNTIF($E$5:$E$979,"="&amp;E919)+1)/2</f>
        <v/>
      </c>
      <c r="L919" s="99">
        <f>COUNTIF($F$5:$F$979,"&lt;"&amp;F919)+(COUNTIF($F$5:$F$979,"="&amp;F919)+1)/2</f>
        <v/>
      </c>
      <c r="M919" s="99">
        <f>COUNTIF($G$5:$G$979,"&lt;"&amp;G919)+(COUNTIF($G$5:$G$979,"="&amp;G919)+1)/2</f>
        <v/>
      </c>
      <c r="N919" s="99">
        <f>COUNTIF($H$5:$H$979,"&lt;"&amp;H919)+(COUNTIF($H$5:$H$979,"="&amp;H919)+1)/2</f>
        <v/>
      </c>
      <c r="O919" s="99">
        <f>COUNTIF($I$5:$I$979,"&lt;"&amp;I919)+(COUNTIF($I$5:$I$979,"="&amp;I919)+1)/2</f>
        <v/>
      </c>
      <c r="P919" s="99">
        <f>COUNTIF($J$5:$J$979,"&lt;"&amp;J919)+(COUNTIF($J$5:$J$979,"="&amp;J919)+1)/2</f>
        <v/>
      </c>
    </row>
    <row r="920" ht="15" customHeight="1" s="68">
      <c r="A920" s="70">
        <f>'01_원자료'!A917</f>
        <v/>
      </c>
      <c r="B920" s="70">
        <f>'01_원자료'!B917</f>
        <v/>
      </c>
      <c r="C920" s="70">
        <f>'01_원자료'!C917</f>
        <v/>
      </c>
      <c r="E920" s="85">
        <f>'01_원자료'!P917*'03_가중치민감도'!$B$5+'01_원자료'!Q917*'03_가중치민감도'!$C$5+'01_원자료'!R917*'03_가중치민감도'!$D$5</f>
        <v/>
      </c>
      <c r="F920" s="85">
        <f>'01_원자료'!P917*'03_가중치민감도'!$B$6+'01_원자료'!Q917*'03_가중치민감도'!$C$6+'01_원자료'!R917*'03_가중치민감도'!$D$6</f>
        <v/>
      </c>
      <c r="G920" s="85">
        <f>'01_원자료'!P917*'03_가중치민감도'!$B$7+'01_원자료'!Q917*'03_가중치민감도'!$C$7+'01_원자료'!R917*'03_가중치민감도'!$D$7</f>
        <v/>
      </c>
      <c r="H920" s="85">
        <f>'01_원자료'!P917*'03_가중치민감도'!$B$8+'01_원자료'!Q917*'03_가중치민감도'!$C$8+'01_원자료'!R917*'03_가중치민감도'!$D$8</f>
        <v/>
      </c>
      <c r="I920" s="85">
        <f>'01_원자료'!P917*'03_가중치민감도'!$B$9+'01_원자료'!Q917*'03_가중치민감도'!$C$9+'01_원자료'!R917*'03_가중치민감도'!$D$9</f>
        <v/>
      </c>
      <c r="J920" s="85">
        <f>'01_원자료'!P917*'03_가중치민감도'!$B$10+'01_원자료'!Q917*'03_가중치민감도'!$C$10+'01_원자료'!R917*'03_가중치민감도'!$D$10</f>
        <v/>
      </c>
      <c r="K920" s="99">
        <f>COUNTIF($E$5:$E$979,"&lt;"&amp;E920)+(COUNTIF($E$5:$E$979,"="&amp;E920)+1)/2</f>
        <v/>
      </c>
      <c r="L920" s="99">
        <f>COUNTIF($F$5:$F$979,"&lt;"&amp;F920)+(COUNTIF($F$5:$F$979,"="&amp;F920)+1)/2</f>
        <v/>
      </c>
      <c r="M920" s="99">
        <f>COUNTIF($G$5:$G$979,"&lt;"&amp;G920)+(COUNTIF($G$5:$G$979,"="&amp;G920)+1)/2</f>
        <v/>
      </c>
      <c r="N920" s="99">
        <f>COUNTIF($H$5:$H$979,"&lt;"&amp;H920)+(COUNTIF($H$5:$H$979,"="&amp;H920)+1)/2</f>
        <v/>
      </c>
      <c r="O920" s="99">
        <f>COUNTIF($I$5:$I$979,"&lt;"&amp;I920)+(COUNTIF($I$5:$I$979,"="&amp;I920)+1)/2</f>
        <v/>
      </c>
      <c r="P920" s="99">
        <f>COUNTIF($J$5:$J$979,"&lt;"&amp;J920)+(COUNTIF($J$5:$J$979,"="&amp;J920)+1)/2</f>
        <v/>
      </c>
    </row>
    <row r="921" ht="15" customHeight="1" s="68">
      <c r="A921" s="70">
        <f>'01_원자료'!A918</f>
        <v/>
      </c>
      <c r="B921" s="70">
        <f>'01_원자료'!B918</f>
        <v/>
      </c>
      <c r="C921" s="70">
        <f>'01_원자료'!C918</f>
        <v/>
      </c>
      <c r="E921" s="85">
        <f>'01_원자료'!P918*'03_가중치민감도'!$B$5+'01_원자료'!Q918*'03_가중치민감도'!$C$5+'01_원자료'!R918*'03_가중치민감도'!$D$5</f>
        <v/>
      </c>
      <c r="F921" s="85">
        <f>'01_원자료'!P918*'03_가중치민감도'!$B$6+'01_원자료'!Q918*'03_가중치민감도'!$C$6+'01_원자료'!R918*'03_가중치민감도'!$D$6</f>
        <v/>
      </c>
      <c r="G921" s="85">
        <f>'01_원자료'!P918*'03_가중치민감도'!$B$7+'01_원자료'!Q918*'03_가중치민감도'!$C$7+'01_원자료'!R918*'03_가중치민감도'!$D$7</f>
        <v/>
      </c>
      <c r="H921" s="85">
        <f>'01_원자료'!P918*'03_가중치민감도'!$B$8+'01_원자료'!Q918*'03_가중치민감도'!$C$8+'01_원자료'!R918*'03_가중치민감도'!$D$8</f>
        <v/>
      </c>
      <c r="I921" s="85">
        <f>'01_원자료'!P918*'03_가중치민감도'!$B$9+'01_원자료'!Q918*'03_가중치민감도'!$C$9+'01_원자료'!R918*'03_가중치민감도'!$D$9</f>
        <v/>
      </c>
      <c r="J921" s="85">
        <f>'01_원자료'!P918*'03_가중치민감도'!$B$10+'01_원자료'!Q918*'03_가중치민감도'!$C$10+'01_원자료'!R918*'03_가중치민감도'!$D$10</f>
        <v/>
      </c>
      <c r="K921" s="99">
        <f>COUNTIF($E$5:$E$979,"&lt;"&amp;E921)+(COUNTIF($E$5:$E$979,"="&amp;E921)+1)/2</f>
        <v/>
      </c>
      <c r="L921" s="99">
        <f>COUNTIF($F$5:$F$979,"&lt;"&amp;F921)+(COUNTIF($F$5:$F$979,"="&amp;F921)+1)/2</f>
        <v/>
      </c>
      <c r="M921" s="99">
        <f>COUNTIF($G$5:$G$979,"&lt;"&amp;G921)+(COUNTIF($G$5:$G$979,"="&amp;G921)+1)/2</f>
        <v/>
      </c>
      <c r="N921" s="99">
        <f>COUNTIF($H$5:$H$979,"&lt;"&amp;H921)+(COUNTIF($H$5:$H$979,"="&amp;H921)+1)/2</f>
        <v/>
      </c>
      <c r="O921" s="99">
        <f>COUNTIF($I$5:$I$979,"&lt;"&amp;I921)+(COUNTIF($I$5:$I$979,"="&amp;I921)+1)/2</f>
        <v/>
      </c>
      <c r="P921" s="99">
        <f>COUNTIF($J$5:$J$979,"&lt;"&amp;J921)+(COUNTIF($J$5:$J$979,"="&amp;J921)+1)/2</f>
        <v/>
      </c>
    </row>
    <row r="922" ht="15" customHeight="1" s="68">
      <c r="A922" s="70">
        <f>'01_원자료'!A919</f>
        <v/>
      </c>
      <c r="B922" s="70">
        <f>'01_원자료'!B919</f>
        <v/>
      </c>
      <c r="C922" s="70">
        <f>'01_원자료'!C919</f>
        <v/>
      </c>
      <c r="E922" s="85">
        <f>'01_원자료'!P919*'03_가중치민감도'!$B$5+'01_원자료'!Q919*'03_가중치민감도'!$C$5+'01_원자료'!R919*'03_가중치민감도'!$D$5</f>
        <v/>
      </c>
      <c r="F922" s="85">
        <f>'01_원자료'!P919*'03_가중치민감도'!$B$6+'01_원자료'!Q919*'03_가중치민감도'!$C$6+'01_원자료'!R919*'03_가중치민감도'!$D$6</f>
        <v/>
      </c>
      <c r="G922" s="85">
        <f>'01_원자료'!P919*'03_가중치민감도'!$B$7+'01_원자료'!Q919*'03_가중치민감도'!$C$7+'01_원자료'!R919*'03_가중치민감도'!$D$7</f>
        <v/>
      </c>
      <c r="H922" s="85">
        <f>'01_원자료'!P919*'03_가중치민감도'!$B$8+'01_원자료'!Q919*'03_가중치민감도'!$C$8+'01_원자료'!R919*'03_가중치민감도'!$D$8</f>
        <v/>
      </c>
      <c r="I922" s="85">
        <f>'01_원자료'!P919*'03_가중치민감도'!$B$9+'01_원자료'!Q919*'03_가중치민감도'!$C$9+'01_원자료'!R919*'03_가중치민감도'!$D$9</f>
        <v/>
      </c>
      <c r="J922" s="85">
        <f>'01_원자료'!P919*'03_가중치민감도'!$B$10+'01_원자료'!Q919*'03_가중치민감도'!$C$10+'01_원자료'!R919*'03_가중치민감도'!$D$10</f>
        <v/>
      </c>
      <c r="K922" s="99">
        <f>COUNTIF($E$5:$E$979,"&lt;"&amp;E922)+(COUNTIF($E$5:$E$979,"="&amp;E922)+1)/2</f>
        <v/>
      </c>
      <c r="L922" s="99">
        <f>COUNTIF($F$5:$F$979,"&lt;"&amp;F922)+(COUNTIF($F$5:$F$979,"="&amp;F922)+1)/2</f>
        <v/>
      </c>
      <c r="M922" s="99">
        <f>COUNTIF($G$5:$G$979,"&lt;"&amp;G922)+(COUNTIF($G$5:$G$979,"="&amp;G922)+1)/2</f>
        <v/>
      </c>
      <c r="N922" s="99">
        <f>COUNTIF($H$5:$H$979,"&lt;"&amp;H922)+(COUNTIF($H$5:$H$979,"="&amp;H922)+1)/2</f>
        <v/>
      </c>
      <c r="O922" s="99">
        <f>COUNTIF($I$5:$I$979,"&lt;"&amp;I922)+(COUNTIF($I$5:$I$979,"="&amp;I922)+1)/2</f>
        <v/>
      </c>
      <c r="P922" s="99">
        <f>COUNTIF($J$5:$J$979,"&lt;"&amp;J922)+(COUNTIF($J$5:$J$979,"="&amp;J922)+1)/2</f>
        <v/>
      </c>
    </row>
    <row r="923" ht="15" customHeight="1" s="68">
      <c r="A923" s="70">
        <f>'01_원자료'!A920</f>
        <v/>
      </c>
      <c r="B923" s="70">
        <f>'01_원자료'!B920</f>
        <v/>
      </c>
      <c r="C923" s="70">
        <f>'01_원자료'!C920</f>
        <v/>
      </c>
      <c r="E923" s="85">
        <f>'01_원자료'!P920*'03_가중치민감도'!$B$5+'01_원자료'!Q920*'03_가중치민감도'!$C$5+'01_원자료'!R920*'03_가중치민감도'!$D$5</f>
        <v/>
      </c>
      <c r="F923" s="85">
        <f>'01_원자료'!P920*'03_가중치민감도'!$B$6+'01_원자료'!Q920*'03_가중치민감도'!$C$6+'01_원자료'!R920*'03_가중치민감도'!$D$6</f>
        <v/>
      </c>
      <c r="G923" s="85">
        <f>'01_원자료'!P920*'03_가중치민감도'!$B$7+'01_원자료'!Q920*'03_가중치민감도'!$C$7+'01_원자료'!R920*'03_가중치민감도'!$D$7</f>
        <v/>
      </c>
      <c r="H923" s="85">
        <f>'01_원자료'!P920*'03_가중치민감도'!$B$8+'01_원자료'!Q920*'03_가중치민감도'!$C$8+'01_원자료'!R920*'03_가중치민감도'!$D$8</f>
        <v/>
      </c>
      <c r="I923" s="85">
        <f>'01_원자료'!P920*'03_가중치민감도'!$B$9+'01_원자료'!Q920*'03_가중치민감도'!$C$9+'01_원자료'!R920*'03_가중치민감도'!$D$9</f>
        <v/>
      </c>
      <c r="J923" s="85">
        <f>'01_원자료'!P920*'03_가중치민감도'!$B$10+'01_원자료'!Q920*'03_가중치민감도'!$C$10+'01_원자료'!R920*'03_가중치민감도'!$D$10</f>
        <v/>
      </c>
      <c r="K923" s="99">
        <f>COUNTIF($E$5:$E$979,"&lt;"&amp;E923)+(COUNTIF($E$5:$E$979,"="&amp;E923)+1)/2</f>
        <v/>
      </c>
      <c r="L923" s="99">
        <f>COUNTIF($F$5:$F$979,"&lt;"&amp;F923)+(COUNTIF($F$5:$F$979,"="&amp;F923)+1)/2</f>
        <v/>
      </c>
      <c r="M923" s="99">
        <f>COUNTIF($G$5:$G$979,"&lt;"&amp;G923)+(COUNTIF($G$5:$G$979,"="&amp;G923)+1)/2</f>
        <v/>
      </c>
      <c r="N923" s="99">
        <f>COUNTIF($H$5:$H$979,"&lt;"&amp;H923)+(COUNTIF($H$5:$H$979,"="&amp;H923)+1)/2</f>
        <v/>
      </c>
      <c r="O923" s="99">
        <f>COUNTIF($I$5:$I$979,"&lt;"&amp;I923)+(COUNTIF($I$5:$I$979,"="&amp;I923)+1)/2</f>
        <v/>
      </c>
      <c r="P923" s="99">
        <f>COUNTIF($J$5:$J$979,"&lt;"&amp;J923)+(COUNTIF($J$5:$J$979,"="&amp;J923)+1)/2</f>
        <v/>
      </c>
    </row>
    <row r="924" ht="15" customHeight="1" s="68">
      <c r="A924" s="70">
        <f>'01_원자료'!A921</f>
        <v/>
      </c>
      <c r="B924" s="70">
        <f>'01_원자료'!B921</f>
        <v/>
      </c>
      <c r="C924" s="70">
        <f>'01_원자료'!C921</f>
        <v/>
      </c>
      <c r="E924" s="85">
        <f>'01_원자료'!P921*'03_가중치민감도'!$B$5+'01_원자료'!Q921*'03_가중치민감도'!$C$5+'01_원자료'!R921*'03_가중치민감도'!$D$5</f>
        <v/>
      </c>
      <c r="F924" s="85">
        <f>'01_원자료'!P921*'03_가중치민감도'!$B$6+'01_원자료'!Q921*'03_가중치민감도'!$C$6+'01_원자료'!R921*'03_가중치민감도'!$D$6</f>
        <v/>
      </c>
      <c r="G924" s="85">
        <f>'01_원자료'!P921*'03_가중치민감도'!$B$7+'01_원자료'!Q921*'03_가중치민감도'!$C$7+'01_원자료'!R921*'03_가중치민감도'!$D$7</f>
        <v/>
      </c>
      <c r="H924" s="85">
        <f>'01_원자료'!P921*'03_가중치민감도'!$B$8+'01_원자료'!Q921*'03_가중치민감도'!$C$8+'01_원자료'!R921*'03_가중치민감도'!$D$8</f>
        <v/>
      </c>
      <c r="I924" s="85">
        <f>'01_원자료'!P921*'03_가중치민감도'!$B$9+'01_원자료'!Q921*'03_가중치민감도'!$C$9+'01_원자료'!R921*'03_가중치민감도'!$D$9</f>
        <v/>
      </c>
      <c r="J924" s="85">
        <f>'01_원자료'!P921*'03_가중치민감도'!$B$10+'01_원자료'!Q921*'03_가중치민감도'!$C$10+'01_원자료'!R921*'03_가중치민감도'!$D$10</f>
        <v/>
      </c>
      <c r="K924" s="99">
        <f>COUNTIF($E$5:$E$979,"&lt;"&amp;E924)+(COUNTIF($E$5:$E$979,"="&amp;E924)+1)/2</f>
        <v/>
      </c>
      <c r="L924" s="99">
        <f>COUNTIF($F$5:$F$979,"&lt;"&amp;F924)+(COUNTIF($F$5:$F$979,"="&amp;F924)+1)/2</f>
        <v/>
      </c>
      <c r="M924" s="99">
        <f>COUNTIF($G$5:$G$979,"&lt;"&amp;G924)+(COUNTIF($G$5:$G$979,"="&amp;G924)+1)/2</f>
        <v/>
      </c>
      <c r="N924" s="99">
        <f>COUNTIF($H$5:$H$979,"&lt;"&amp;H924)+(COUNTIF($H$5:$H$979,"="&amp;H924)+1)/2</f>
        <v/>
      </c>
      <c r="O924" s="99">
        <f>COUNTIF($I$5:$I$979,"&lt;"&amp;I924)+(COUNTIF($I$5:$I$979,"="&amp;I924)+1)/2</f>
        <v/>
      </c>
      <c r="P924" s="99">
        <f>COUNTIF($J$5:$J$979,"&lt;"&amp;J924)+(COUNTIF($J$5:$J$979,"="&amp;J924)+1)/2</f>
        <v/>
      </c>
    </row>
    <row r="925" ht="15" customHeight="1" s="68">
      <c r="A925" s="70">
        <f>'01_원자료'!A922</f>
        <v/>
      </c>
      <c r="B925" s="70">
        <f>'01_원자료'!B922</f>
        <v/>
      </c>
      <c r="C925" s="70">
        <f>'01_원자료'!C922</f>
        <v/>
      </c>
      <c r="E925" s="85">
        <f>'01_원자료'!P922*'03_가중치민감도'!$B$5+'01_원자료'!Q922*'03_가중치민감도'!$C$5+'01_원자료'!R922*'03_가중치민감도'!$D$5</f>
        <v/>
      </c>
      <c r="F925" s="85">
        <f>'01_원자료'!P922*'03_가중치민감도'!$B$6+'01_원자료'!Q922*'03_가중치민감도'!$C$6+'01_원자료'!R922*'03_가중치민감도'!$D$6</f>
        <v/>
      </c>
      <c r="G925" s="85">
        <f>'01_원자료'!P922*'03_가중치민감도'!$B$7+'01_원자료'!Q922*'03_가중치민감도'!$C$7+'01_원자료'!R922*'03_가중치민감도'!$D$7</f>
        <v/>
      </c>
      <c r="H925" s="85">
        <f>'01_원자료'!P922*'03_가중치민감도'!$B$8+'01_원자료'!Q922*'03_가중치민감도'!$C$8+'01_원자료'!R922*'03_가중치민감도'!$D$8</f>
        <v/>
      </c>
      <c r="I925" s="85">
        <f>'01_원자료'!P922*'03_가중치민감도'!$B$9+'01_원자료'!Q922*'03_가중치민감도'!$C$9+'01_원자료'!R922*'03_가중치민감도'!$D$9</f>
        <v/>
      </c>
      <c r="J925" s="85">
        <f>'01_원자료'!P922*'03_가중치민감도'!$B$10+'01_원자료'!Q922*'03_가중치민감도'!$C$10+'01_원자료'!R922*'03_가중치민감도'!$D$10</f>
        <v/>
      </c>
      <c r="K925" s="99">
        <f>COUNTIF($E$5:$E$979,"&lt;"&amp;E925)+(COUNTIF($E$5:$E$979,"="&amp;E925)+1)/2</f>
        <v/>
      </c>
      <c r="L925" s="99">
        <f>COUNTIF($F$5:$F$979,"&lt;"&amp;F925)+(COUNTIF($F$5:$F$979,"="&amp;F925)+1)/2</f>
        <v/>
      </c>
      <c r="M925" s="99">
        <f>COUNTIF($G$5:$G$979,"&lt;"&amp;G925)+(COUNTIF($G$5:$G$979,"="&amp;G925)+1)/2</f>
        <v/>
      </c>
      <c r="N925" s="99">
        <f>COUNTIF($H$5:$H$979,"&lt;"&amp;H925)+(COUNTIF($H$5:$H$979,"="&amp;H925)+1)/2</f>
        <v/>
      </c>
      <c r="O925" s="99">
        <f>COUNTIF($I$5:$I$979,"&lt;"&amp;I925)+(COUNTIF($I$5:$I$979,"="&amp;I925)+1)/2</f>
        <v/>
      </c>
      <c r="P925" s="99">
        <f>COUNTIF($J$5:$J$979,"&lt;"&amp;J925)+(COUNTIF($J$5:$J$979,"="&amp;J925)+1)/2</f>
        <v/>
      </c>
    </row>
    <row r="926" ht="15" customHeight="1" s="68">
      <c r="A926" s="70">
        <f>'01_원자료'!A923</f>
        <v/>
      </c>
      <c r="B926" s="70">
        <f>'01_원자료'!B923</f>
        <v/>
      </c>
      <c r="C926" s="70">
        <f>'01_원자료'!C923</f>
        <v/>
      </c>
      <c r="E926" s="85">
        <f>'01_원자료'!P923*'03_가중치민감도'!$B$5+'01_원자료'!Q923*'03_가중치민감도'!$C$5+'01_원자료'!R923*'03_가중치민감도'!$D$5</f>
        <v/>
      </c>
      <c r="F926" s="85">
        <f>'01_원자료'!P923*'03_가중치민감도'!$B$6+'01_원자료'!Q923*'03_가중치민감도'!$C$6+'01_원자료'!R923*'03_가중치민감도'!$D$6</f>
        <v/>
      </c>
      <c r="G926" s="85">
        <f>'01_원자료'!P923*'03_가중치민감도'!$B$7+'01_원자료'!Q923*'03_가중치민감도'!$C$7+'01_원자료'!R923*'03_가중치민감도'!$D$7</f>
        <v/>
      </c>
      <c r="H926" s="85">
        <f>'01_원자료'!P923*'03_가중치민감도'!$B$8+'01_원자료'!Q923*'03_가중치민감도'!$C$8+'01_원자료'!R923*'03_가중치민감도'!$D$8</f>
        <v/>
      </c>
      <c r="I926" s="85">
        <f>'01_원자료'!P923*'03_가중치민감도'!$B$9+'01_원자료'!Q923*'03_가중치민감도'!$C$9+'01_원자료'!R923*'03_가중치민감도'!$D$9</f>
        <v/>
      </c>
      <c r="J926" s="85">
        <f>'01_원자료'!P923*'03_가중치민감도'!$B$10+'01_원자료'!Q923*'03_가중치민감도'!$C$10+'01_원자료'!R923*'03_가중치민감도'!$D$10</f>
        <v/>
      </c>
      <c r="K926" s="99">
        <f>COUNTIF($E$5:$E$979,"&lt;"&amp;E926)+(COUNTIF($E$5:$E$979,"="&amp;E926)+1)/2</f>
        <v/>
      </c>
      <c r="L926" s="99">
        <f>COUNTIF($F$5:$F$979,"&lt;"&amp;F926)+(COUNTIF($F$5:$F$979,"="&amp;F926)+1)/2</f>
        <v/>
      </c>
      <c r="M926" s="99">
        <f>COUNTIF($G$5:$G$979,"&lt;"&amp;G926)+(COUNTIF($G$5:$G$979,"="&amp;G926)+1)/2</f>
        <v/>
      </c>
      <c r="N926" s="99">
        <f>COUNTIF($H$5:$H$979,"&lt;"&amp;H926)+(COUNTIF($H$5:$H$979,"="&amp;H926)+1)/2</f>
        <v/>
      </c>
      <c r="O926" s="99">
        <f>COUNTIF($I$5:$I$979,"&lt;"&amp;I926)+(COUNTIF($I$5:$I$979,"="&amp;I926)+1)/2</f>
        <v/>
      </c>
      <c r="P926" s="99">
        <f>COUNTIF($J$5:$J$979,"&lt;"&amp;J926)+(COUNTIF($J$5:$J$979,"="&amp;J926)+1)/2</f>
        <v/>
      </c>
    </row>
    <row r="927" ht="15" customHeight="1" s="68">
      <c r="A927" s="70">
        <f>'01_원자료'!A924</f>
        <v/>
      </c>
      <c r="B927" s="70">
        <f>'01_원자료'!B924</f>
        <v/>
      </c>
      <c r="C927" s="70">
        <f>'01_원자료'!C924</f>
        <v/>
      </c>
      <c r="E927" s="85">
        <f>'01_원자료'!P924*'03_가중치민감도'!$B$5+'01_원자료'!Q924*'03_가중치민감도'!$C$5+'01_원자료'!R924*'03_가중치민감도'!$D$5</f>
        <v/>
      </c>
      <c r="F927" s="85">
        <f>'01_원자료'!P924*'03_가중치민감도'!$B$6+'01_원자료'!Q924*'03_가중치민감도'!$C$6+'01_원자료'!R924*'03_가중치민감도'!$D$6</f>
        <v/>
      </c>
      <c r="G927" s="85">
        <f>'01_원자료'!P924*'03_가중치민감도'!$B$7+'01_원자료'!Q924*'03_가중치민감도'!$C$7+'01_원자료'!R924*'03_가중치민감도'!$D$7</f>
        <v/>
      </c>
      <c r="H927" s="85">
        <f>'01_원자료'!P924*'03_가중치민감도'!$B$8+'01_원자료'!Q924*'03_가중치민감도'!$C$8+'01_원자료'!R924*'03_가중치민감도'!$D$8</f>
        <v/>
      </c>
      <c r="I927" s="85">
        <f>'01_원자료'!P924*'03_가중치민감도'!$B$9+'01_원자료'!Q924*'03_가중치민감도'!$C$9+'01_원자료'!R924*'03_가중치민감도'!$D$9</f>
        <v/>
      </c>
      <c r="J927" s="85">
        <f>'01_원자료'!P924*'03_가중치민감도'!$B$10+'01_원자료'!Q924*'03_가중치민감도'!$C$10+'01_원자료'!R924*'03_가중치민감도'!$D$10</f>
        <v/>
      </c>
      <c r="K927" s="99">
        <f>COUNTIF($E$5:$E$979,"&lt;"&amp;E927)+(COUNTIF($E$5:$E$979,"="&amp;E927)+1)/2</f>
        <v/>
      </c>
      <c r="L927" s="99">
        <f>COUNTIF($F$5:$F$979,"&lt;"&amp;F927)+(COUNTIF($F$5:$F$979,"="&amp;F927)+1)/2</f>
        <v/>
      </c>
      <c r="M927" s="99">
        <f>COUNTIF($G$5:$G$979,"&lt;"&amp;G927)+(COUNTIF($G$5:$G$979,"="&amp;G927)+1)/2</f>
        <v/>
      </c>
      <c r="N927" s="99">
        <f>COUNTIF($H$5:$H$979,"&lt;"&amp;H927)+(COUNTIF($H$5:$H$979,"="&amp;H927)+1)/2</f>
        <v/>
      </c>
      <c r="O927" s="99">
        <f>COUNTIF($I$5:$I$979,"&lt;"&amp;I927)+(COUNTIF($I$5:$I$979,"="&amp;I927)+1)/2</f>
        <v/>
      </c>
      <c r="P927" s="99">
        <f>COUNTIF($J$5:$J$979,"&lt;"&amp;J927)+(COUNTIF($J$5:$J$979,"="&amp;J927)+1)/2</f>
        <v/>
      </c>
    </row>
    <row r="928" ht="15" customHeight="1" s="68">
      <c r="A928" s="70">
        <f>'01_원자료'!A925</f>
        <v/>
      </c>
      <c r="B928" s="70">
        <f>'01_원자료'!B925</f>
        <v/>
      </c>
      <c r="C928" s="70">
        <f>'01_원자료'!C925</f>
        <v/>
      </c>
      <c r="E928" s="85">
        <f>'01_원자료'!P925*'03_가중치민감도'!$B$5+'01_원자료'!Q925*'03_가중치민감도'!$C$5+'01_원자료'!R925*'03_가중치민감도'!$D$5</f>
        <v/>
      </c>
      <c r="F928" s="85">
        <f>'01_원자료'!P925*'03_가중치민감도'!$B$6+'01_원자료'!Q925*'03_가중치민감도'!$C$6+'01_원자료'!R925*'03_가중치민감도'!$D$6</f>
        <v/>
      </c>
      <c r="G928" s="85">
        <f>'01_원자료'!P925*'03_가중치민감도'!$B$7+'01_원자료'!Q925*'03_가중치민감도'!$C$7+'01_원자료'!R925*'03_가중치민감도'!$D$7</f>
        <v/>
      </c>
      <c r="H928" s="85">
        <f>'01_원자료'!P925*'03_가중치민감도'!$B$8+'01_원자료'!Q925*'03_가중치민감도'!$C$8+'01_원자료'!R925*'03_가중치민감도'!$D$8</f>
        <v/>
      </c>
      <c r="I928" s="85">
        <f>'01_원자료'!P925*'03_가중치민감도'!$B$9+'01_원자료'!Q925*'03_가중치민감도'!$C$9+'01_원자료'!R925*'03_가중치민감도'!$D$9</f>
        <v/>
      </c>
      <c r="J928" s="85">
        <f>'01_원자료'!P925*'03_가중치민감도'!$B$10+'01_원자료'!Q925*'03_가중치민감도'!$C$10+'01_원자료'!R925*'03_가중치민감도'!$D$10</f>
        <v/>
      </c>
      <c r="K928" s="99">
        <f>COUNTIF($E$5:$E$979,"&lt;"&amp;E928)+(COUNTIF($E$5:$E$979,"="&amp;E928)+1)/2</f>
        <v/>
      </c>
      <c r="L928" s="99">
        <f>COUNTIF($F$5:$F$979,"&lt;"&amp;F928)+(COUNTIF($F$5:$F$979,"="&amp;F928)+1)/2</f>
        <v/>
      </c>
      <c r="M928" s="99">
        <f>COUNTIF($G$5:$G$979,"&lt;"&amp;G928)+(COUNTIF($G$5:$G$979,"="&amp;G928)+1)/2</f>
        <v/>
      </c>
      <c r="N928" s="99">
        <f>COUNTIF($H$5:$H$979,"&lt;"&amp;H928)+(COUNTIF($H$5:$H$979,"="&amp;H928)+1)/2</f>
        <v/>
      </c>
      <c r="O928" s="99">
        <f>COUNTIF($I$5:$I$979,"&lt;"&amp;I928)+(COUNTIF($I$5:$I$979,"="&amp;I928)+1)/2</f>
        <v/>
      </c>
      <c r="P928" s="99">
        <f>COUNTIF($J$5:$J$979,"&lt;"&amp;J928)+(COUNTIF($J$5:$J$979,"="&amp;J928)+1)/2</f>
        <v/>
      </c>
    </row>
    <row r="929" ht="15" customHeight="1" s="68">
      <c r="A929" s="70">
        <f>'01_원자료'!A926</f>
        <v/>
      </c>
      <c r="B929" s="70">
        <f>'01_원자료'!B926</f>
        <v/>
      </c>
      <c r="C929" s="70">
        <f>'01_원자료'!C926</f>
        <v/>
      </c>
      <c r="E929" s="85">
        <f>'01_원자료'!P926*'03_가중치민감도'!$B$5+'01_원자료'!Q926*'03_가중치민감도'!$C$5+'01_원자료'!R926*'03_가중치민감도'!$D$5</f>
        <v/>
      </c>
      <c r="F929" s="85">
        <f>'01_원자료'!P926*'03_가중치민감도'!$B$6+'01_원자료'!Q926*'03_가중치민감도'!$C$6+'01_원자료'!R926*'03_가중치민감도'!$D$6</f>
        <v/>
      </c>
      <c r="G929" s="85">
        <f>'01_원자료'!P926*'03_가중치민감도'!$B$7+'01_원자료'!Q926*'03_가중치민감도'!$C$7+'01_원자료'!R926*'03_가중치민감도'!$D$7</f>
        <v/>
      </c>
      <c r="H929" s="85">
        <f>'01_원자료'!P926*'03_가중치민감도'!$B$8+'01_원자료'!Q926*'03_가중치민감도'!$C$8+'01_원자료'!R926*'03_가중치민감도'!$D$8</f>
        <v/>
      </c>
      <c r="I929" s="85">
        <f>'01_원자료'!P926*'03_가중치민감도'!$B$9+'01_원자료'!Q926*'03_가중치민감도'!$C$9+'01_원자료'!R926*'03_가중치민감도'!$D$9</f>
        <v/>
      </c>
      <c r="J929" s="85">
        <f>'01_원자료'!P926*'03_가중치민감도'!$B$10+'01_원자료'!Q926*'03_가중치민감도'!$C$10+'01_원자료'!R926*'03_가중치민감도'!$D$10</f>
        <v/>
      </c>
      <c r="K929" s="99">
        <f>COUNTIF($E$5:$E$979,"&lt;"&amp;E929)+(COUNTIF($E$5:$E$979,"="&amp;E929)+1)/2</f>
        <v/>
      </c>
      <c r="L929" s="99">
        <f>COUNTIF($F$5:$F$979,"&lt;"&amp;F929)+(COUNTIF($F$5:$F$979,"="&amp;F929)+1)/2</f>
        <v/>
      </c>
      <c r="M929" s="99">
        <f>COUNTIF($G$5:$G$979,"&lt;"&amp;G929)+(COUNTIF($G$5:$G$979,"="&amp;G929)+1)/2</f>
        <v/>
      </c>
      <c r="N929" s="99">
        <f>COUNTIF($H$5:$H$979,"&lt;"&amp;H929)+(COUNTIF($H$5:$H$979,"="&amp;H929)+1)/2</f>
        <v/>
      </c>
      <c r="O929" s="99">
        <f>COUNTIF($I$5:$I$979,"&lt;"&amp;I929)+(COUNTIF($I$5:$I$979,"="&amp;I929)+1)/2</f>
        <v/>
      </c>
      <c r="P929" s="99">
        <f>COUNTIF($J$5:$J$979,"&lt;"&amp;J929)+(COUNTIF($J$5:$J$979,"="&amp;J929)+1)/2</f>
        <v/>
      </c>
    </row>
    <row r="930" ht="15" customHeight="1" s="68">
      <c r="A930" s="70">
        <f>'01_원자료'!A927</f>
        <v/>
      </c>
      <c r="B930" s="70">
        <f>'01_원자료'!B927</f>
        <v/>
      </c>
      <c r="C930" s="70">
        <f>'01_원자료'!C927</f>
        <v/>
      </c>
      <c r="E930" s="85">
        <f>'01_원자료'!P927*'03_가중치민감도'!$B$5+'01_원자료'!Q927*'03_가중치민감도'!$C$5+'01_원자료'!R927*'03_가중치민감도'!$D$5</f>
        <v/>
      </c>
      <c r="F930" s="85">
        <f>'01_원자료'!P927*'03_가중치민감도'!$B$6+'01_원자료'!Q927*'03_가중치민감도'!$C$6+'01_원자료'!R927*'03_가중치민감도'!$D$6</f>
        <v/>
      </c>
      <c r="G930" s="85">
        <f>'01_원자료'!P927*'03_가중치민감도'!$B$7+'01_원자료'!Q927*'03_가중치민감도'!$C$7+'01_원자료'!R927*'03_가중치민감도'!$D$7</f>
        <v/>
      </c>
      <c r="H930" s="85">
        <f>'01_원자료'!P927*'03_가중치민감도'!$B$8+'01_원자료'!Q927*'03_가중치민감도'!$C$8+'01_원자료'!R927*'03_가중치민감도'!$D$8</f>
        <v/>
      </c>
      <c r="I930" s="85">
        <f>'01_원자료'!P927*'03_가중치민감도'!$B$9+'01_원자료'!Q927*'03_가중치민감도'!$C$9+'01_원자료'!R927*'03_가중치민감도'!$D$9</f>
        <v/>
      </c>
      <c r="J930" s="85">
        <f>'01_원자료'!P927*'03_가중치민감도'!$B$10+'01_원자료'!Q927*'03_가중치민감도'!$C$10+'01_원자료'!R927*'03_가중치민감도'!$D$10</f>
        <v/>
      </c>
      <c r="K930" s="99">
        <f>COUNTIF($E$5:$E$979,"&lt;"&amp;E930)+(COUNTIF($E$5:$E$979,"="&amp;E930)+1)/2</f>
        <v/>
      </c>
      <c r="L930" s="99">
        <f>COUNTIF($F$5:$F$979,"&lt;"&amp;F930)+(COUNTIF($F$5:$F$979,"="&amp;F930)+1)/2</f>
        <v/>
      </c>
      <c r="M930" s="99">
        <f>COUNTIF($G$5:$G$979,"&lt;"&amp;G930)+(COUNTIF($G$5:$G$979,"="&amp;G930)+1)/2</f>
        <v/>
      </c>
      <c r="N930" s="99">
        <f>COUNTIF($H$5:$H$979,"&lt;"&amp;H930)+(COUNTIF($H$5:$H$979,"="&amp;H930)+1)/2</f>
        <v/>
      </c>
      <c r="O930" s="99">
        <f>COUNTIF($I$5:$I$979,"&lt;"&amp;I930)+(COUNTIF($I$5:$I$979,"="&amp;I930)+1)/2</f>
        <v/>
      </c>
      <c r="P930" s="99">
        <f>COUNTIF($J$5:$J$979,"&lt;"&amp;J930)+(COUNTIF($J$5:$J$979,"="&amp;J930)+1)/2</f>
        <v/>
      </c>
    </row>
    <row r="931" ht="15" customHeight="1" s="68">
      <c r="A931" s="70">
        <f>'01_원자료'!A928</f>
        <v/>
      </c>
      <c r="B931" s="70">
        <f>'01_원자료'!B928</f>
        <v/>
      </c>
      <c r="C931" s="70">
        <f>'01_원자료'!C928</f>
        <v/>
      </c>
      <c r="E931" s="85">
        <f>'01_원자료'!P928*'03_가중치민감도'!$B$5+'01_원자료'!Q928*'03_가중치민감도'!$C$5+'01_원자료'!R928*'03_가중치민감도'!$D$5</f>
        <v/>
      </c>
      <c r="F931" s="85">
        <f>'01_원자료'!P928*'03_가중치민감도'!$B$6+'01_원자료'!Q928*'03_가중치민감도'!$C$6+'01_원자료'!R928*'03_가중치민감도'!$D$6</f>
        <v/>
      </c>
      <c r="G931" s="85">
        <f>'01_원자료'!P928*'03_가중치민감도'!$B$7+'01_원자료'!Q928*'03_가중치민감도'!$C$7+'01_원자료'!R928*'03_가중치민감도'!$D$7</f>
        <v/>
      </c>
      <c r="H931" s="85">
        <f>'01_원자료'!P928*'03_가중치민감도'!$B$8+'01_원자료'!Q928*'03_가중치민감도'!$C$8+'01_원자료'!R928*'03_가중치민감도'!$D$8</f>
        <v/>
      </c>
      <c r="I931" s="85">
        <f>'01_원자료'!P928*'03_가중치민감도'!$B$9+'01_원자료'!Q928*'03_가중치민감도'!$C$9+'01_원자료'!R928*'03_가중치민감도'!$D$9</f>
        <v/>
      </c>
      <c r="J931" s="85">
        <f>'01_원자료'!P928*'03_가중치민감도'!$B$10+'01_원자료'!Q928*'03_가중치민감도'!$C$10+'01_원자료'!R928*'03_가중치민감도'!$D$10</f>
        <v/>
      </c>
      <c r="K931" s="99">
        <f>COUNTIF($E$5:$E$979,"&lt;"&amp;E931)+(COUNTIF($E$5:$E$979,"="&amp;E931)+1)/2</f>
        <v/>
      </c>
      <c r="L931" s="99">
        <f>COUNTIF($F$5:$F$979,"&lt;"&amp;F931)+(COUNTIF($F$5:$F$979,"="&amp;F931)+1)/2</f>
        <v/>
      </c>
      <c r="M931" s="99">
        <f>COUNTIF($G$5:$G$979,"&lt;"&amp;G931)+(COUNTIF($G$5:$G$979,"="&amp;G931)+1)/2</f>
        <v/>
      </c>
      <c r="N931" s="99">
        <f>COUNTIF($H$5:$H$979,"&lt;"&amp;H931)+(COUNTIF($H$5:$H$979,"="&amp;H931)+1)/2</f>
        <v/>
      </c>
      <c r="O931" s="99">
        <f>COUNTIF($I$5:$I$979,"&lt;"&amp;I931)+(COUNTIF($I$5:$I$979,"="&amp;I931)+1)/2</f>
        <v/>
      </c>
      <c r="P931" s="99">
        <f>COUNTIF($J$5:$J$979,"&lt;"&amp;J931)+(COUNTIF($J$5:$J$979,"="&amp;J931)+1)/2</f>
        <v/>
      </c>
    </row>
    <row r="932" ht="15" customHeight="1" s="68">
      <c r="A932" s="70">
        <f>'01_원자료'!A929</f>
        <v/>
      </c>
      <c r="B932" s="70">
        <f>'01_원자료'!B929</f>
        <v/>
      </c>
      <c r="C932" s="70">
        <f>'01_원자료'!C929</f>
        <v/>
      </c>
      <c r="E932" s="85">
        <f>'01_원자료'!P929*'03_가중치민감도'!$B$5+'01_원자료'!Q929*'03_가중치민감도'!$C$5+'01_원자료'!R929*'03_가중치민감도'!$D$5</f>
        <v/>
      </c>
      <c r="F932" s="85">
        <f>'01_원자료'!P929*'03_가중치민감도'!$B$6+'01_원자료'!Q929*'03_가중치민감도'!$C$6+'01_원자료'!R929*'03_가중치민감도'!$D$6</f>
        <v/>
      </c>
      <c r="G932" s="85">
        <f>'01_원자료'!P929*'03_가중치민감도'!$B$7+'01_원자료'!Q929*'03_가중치민감도'!$C$7+'01_원자료'!R929*'03_가중치민감도'!$D$7</f>
        <v/>
      </c>
      <c r="H932" s="85">
        <f>'01_원자료'!P929*'03_가중치민감도'!$B$8+'01_원자료'!Q929*'03_가중치민감도'!$C$8+'01_원자료'!R929*'03_가중치민감도'!$D$8</f>
        <v/>
      </c>
      <c r="I932" s="85">
        <f>'01_원자료'!P929*'03_가중치민감도'!$B$9+'01_원자료'!Q929*'03_가중치민감도'!$C$9+'01_원자료'!R929*'03_가중치민감도'!$D$9</f>
        <v/>
      </c>
      <c r="J932" s="85">
        <f>'01_원자료'!P929*'03_가중치민감도'!$B$10+'01_원자료'!Q929*'03_가중치민감도'!$C$10+'01_원자료'!R929*'03_가중치민감도'!$D$10</f>
        <v/>
      </c>
      <c r="K932" s="99">
        <f>COUNTIF($E$5:$E$979,"&lt;"&amp;E932)+(COUNTIF($E$5:$E$979,"="&amp;E932)+1)/2</f>
        <v/>
      </c>
      <c r="L932" s="99">
        <f>COUNTIF($F$5:$F$979,"&lt;"&amp;F932)+(COUNTIF($F$5:$F$979,"="&amp;F932)+1)/2</f>
        <v/>
      </c>
      <c r="M932" s="99">
        <f>COUNTIF($G$5:$G$979,"&lt;"&amp;G932)+(COUNTIF($G$5:$G$979,"="&amp;G932)+1)/2</f>
        <v/>
      </c>
      <c r="N932" s="99">
        <f>COUNTIF($H$5:$H$979,"&lt;"&amp;H932)+(COUNTIF($H$5:$H$979,"="&amp;H932)+1)/2</f>
        <v/>
      </c>
      <c r="O932" s="99">
        <f>COUNTIF($I$5:$I$979,"&lt;"&amp;I932)+(COUNTIF($I$5:$I$979,"="&amp;I932)+1)/2</f>
        <v/>
      </c>
      <c r="P932" s="99">
        <f>COUNTIF($J$5:$J$979,"&lt;"&amp;J932)+(COUNTIF($J$5:$J$979,"="&amp;J932)+1)/2</f>
        <v/>
      </c>
    </row>
    <row r="933" ht="15" customHeight="1" s="68">
      <c r="A933" s="70">
        <f>'01_원자료'!A930</f>
        <v/>
      </c>
      <c r="B933" s="70">
        <f>'01_원자료'!B930</f>
        <v/>
      </c>
      <c r="C933" s="70">
        <f>'01_원자료'!C930</f>
        <v/>
      </c>
      <c r="E933" s="85">
        <f>'01_원자료'!P930*'03_가중치민감도'!$B$5+'01_원자료'!Q930*'03_가중치민감도'!$C$5+'01_원자료'!R930*'03_가중치민감도'!$D$5</f>
        <v/>
      </c>
      <c r="F933" s="85">
        <f>'01_원자료'!P930*'03_가중치민감도'!$B$6+'01_원자료'!Q930*'03_가중치민감도'!$C$6+'01_원자료'!R930*'03_가중치민감도'!$D$6</f>
        <v/>
      </c>
      <c r="G933" s="85">
        <f>'01_원자료'!P930*'03_가중치민감도'!$B$7+'01_원자료'!Q930*'03_가중치민감도'!$C$7+'01_원자료'!R930*'03_가중치민감도'!$D$7</f>
        <v/>
      </c>
      <c r="H933" s="85">
        <f>'01_원자료'!P930*'03_가중치민감도'!$B$8+'01_원자료'!Q930*'03_가중치민감도'!$C$8+'01_원자료'!R930*'03_가중치민감도'!$D$8</f>
        <v/>
      </c>
      <c r="I933" s="85">
        <f>'01_원자료'!P930*'03_가중치민감도'!$B$9+'01_원자료'!Q930*'03_가중치민감도'!$C$9+'01_원자료'!R930*'03_가중치민감도'!$D$9</f>
        <v/>
      </c>
      <c r="J933" s="85">
        <f>'01_원자료'!P930*'03_가중치민감도'!$B$10+'01_원자료'!Q930*'03_가중치민감도'!$C$10+'01_원자료'!R930*'03_가중치민감도'!$D$10</f>
        <v/>
      </c>
      <c r="K933" s="99">
        <f>COUNTIF($E$5:$E$979,"&lt;"&amp;E933)+(COUNTIF($E$5:$E$979,"="&amp;E933)+1)/2</f>
        <v/>
      </c>
      <c r="L933" s="99">
        <f>COUNTIF($F$5:$F$979,"&lt;"&amp;F933)+(COUNTIF($F$5:$F$979,"="&amp;F933)+1)/2</f>
        <v/>
      </c>
      <c r="M933" s="99">
        <f>COUNTIF($G$5:$G$979,"&lt;"&amp;G933)+(COUNTIF($G$5:$G$979,"="&amp;G933)+1)/2</f>
        <v/>
      </c>
      <c r="N933" s="99">
        <f>COUNTIF($H$5:$H$979,"&lt;"&amp;H933)+(COUNTIF($H$5:$H$979,"="&amp;H933)+1)/2</f>
        <v/>
      </c>
      <c r="O933" s="99">
        <f>COUNTIF($I$5:$I$979,"&lt;"&amp;I933)+(COUNTIF($I$5:$I$979,"="&amp;I933)+1)/2</f>
        <v/>
      </c>
      <c r="P933" s="99">
        <f>COUNTIF($J$5:$J$979,"&lt;"&amp;J933)+(COUNTIF($J$5:$J$979,"="&amp;J933)+1)/2</f>
        <v/>
      </c>
    </row>
    <row r="934" ht="15" customHeight="1" s="68">
      <c r="A934" s="70">
        <f>'01_원자료'!A931</f>
        <v/>
      </c>
      <c r="B934" s="70">
        <f>'01_원자료'!B931</f>
        <v/>
      </c>
      <c r="C934" s="70">
        <f>'01_원자료'!C931</f>
        <v/>
      </c>
      <c r="E934" s="85">
        <f>'01_원자료'!P931*'03_가중치민감도'!$B$5+'01_원자료'!Q931*'03_가중치민감도'!$C$5+'01_원자료'!R931*'03_가중치민감도'!$D$5</f>
        <v/>
      </c>
      <c r="F934" s="85">
        <f>'01_원자료'!P931*'03_가중치민감도'!$B$6+'01_원자료'!Q931*'03_가중치민감도'!$C$6+'01_원자료'!R931*'03_가중치민감도'!$D$6</f>
        <v/>
      </c>
      <c r="G934" s="85">
        <f>'01_원자료'!P931*'03_가중치민감도'!$B$7+'01_원자료'!Q931*'03_가중치민감도'!$C$7+'01_원자료'!R931*'03_가중치민감도'!$D$7</f>
        <v/>
      </c>
      <c r="H934" s="85">
        <f>'01_원자료'!P931*'03_가중치민감도'!$B$8+'01_원자료'!Q931*'03_가중치민감도'!$C$8+'01_원자료'!R931*'03_가중치민감도'!$D$8</f>
        <v/>
      </c>
      <c r="I934" s="85">
        <f>'01_원자료'!P931*'03_가중치민감도'!$B$9+'01_원자료'!Q931*'03_가중치민감도'!$C$9+'01_원자료'!R931*'03_가중치민감도'!$D$9</f>
        <v/>
      </c>
      <c r="J934" s="85">
        <f>'01_원자료'!P931*'03_가중치민감도'!$B$10+'01_원자료'!Q931*'03_가중치민감도'!$C$10+'01_원자료'!R931*'03_가중치민감도'!$D$10</f>
        <v/>
      </c>
      <c r="K934" s="99">
        <f>COUNTIF($E$5:$E$979,"&lt;"&amp;E934)+(COUNTIF($E$5:$E$979,"="&amp;E934)+1)/2</f>
        <v/>
      </c>
      <c r="L934" s="99">
        <f>COUNTIF($F$5:$F$979,"&lt;"&amp;F934)+(COUNTIF($F$5:$F$979,"="&amp;F934)+1)/2</f>
        <v/>
      </c>
      <c r="M934" s="99">
        <f>COUNTIF($G$5:$G$979,"&lt;"&amp;G934)+(COUNTIF($G$5:$G$979,"="&amp;G934)+1)/2</f>
        <v/>
      </c>
      <c r="N934" s="99">
        <f>COUNTIF($H$5:$H$979,"&lt;"&amp;H934)+(COUNTIF($H$5:$H$979,"="&amp;H934)+1)/2</f>
        <v/>
      </c>
      <c r="O934" s="99">
        <f>COUNTIF($I$5:$I$979,"&lt;"&amp;I934)+(COUNTIF($I$5:$I$979,"="&amp;I934)+1)/2</f>
        <v/>
      </c>
      <c r="P934" s="99">
        <f>COUNTIF($J$5:$J$979,"&lt;"&amp;J934)+(COUNTIF($J$5:$J$979,"="&amp;J934)+1)/2</f>
        <v/>
      </c>
    </row>
    <row r="935" ht="15" customHeight="1" s="68">
      <c r="A935" s="70">
        <f>'01_원자료'!A932</f>
        <v/>
      </c>
      <c r="B935" s="70">
        <f>'01_원자료'!B932</f>
        <v/>
      </c>
      <c r="C935" s="70">
        <f>'01_원자료'!C932</f>
        <v/>
      </c>
      <c r="E935" s="85">
        <f>'01_원자료'!P932*'03_가중치민감도'!$B$5+'01_원자료'!Q932*'03_가중치민감도'!$C$5+'01_원자료'!R932*'03_가중치민감도'!$D$5</f>
        <v/>
      </c>
      <c r="F935" s="85">
        <f>'01_원자료'!P932*'03_가중치민감도'!$B$6+'01_원자료'!Q932*'03_가중치민감도'!$C$6+'01_원자료'!R932*'03_가중치민감도'!$D$6</f>
        <v/>
      </c>
      <c r="G935" s="85">
        <f>'01_원자료'!P932*'03_가중치민감도'!$B$7+'01_원자료'!Q932*'03_가중치민감도'!$C$7+'01_원자료'!R932*'03_가중치민감도'!$D$7</f>
        <v/>
      </c>
      <c r="H935" s="85">
        <f>'01_원자료'!P932*'03_가중치민감도'!$B$8+'01_원자료'!Q932*'03_가중치민감도'!$C$8+'01_원자료'!R932*'03_가중치민감도'!$D$8</f>
        <v/>
      </c>
      <c r="I935" s="85">
        <f>'01_원자료'!P932*'03_가중치민감도'!$B$9+'01_원자료'!Q932*'03_가중치민감도'!$C$9+'01_원자료'!R932*'03_가중치민감도'!$D$9</f>
        <v/>
      </c>
      <c r="J935" s="85">
        <f>'01_원자료'!P932*'03_가중치민감도'!$B$10+'01_원자료'!Q932*'03_가중치민감도'!$C$10+'01_원자료'!R932*'03_가중치민감도'!$D$10</f>
        <v/>
      </c>
      <c r="K935" s="99">
        <f>COUNTIF($E$5:$E$979,"&lt;"&amp;E935)+(COUNTIF($E$5:$E$979,"="&amp;E935)+1)/2</f>
        <v/>
      </c>
      <c r="L935" s="99">
        <f>COUNTIF($F$5:$F$979,"&lt;"&amp;F935)+(COUNTIF($F$5:$F$979,"="&amp;F935)+1)/2</f>
        <v/>
      </c>
      <c r="M935" s="99">
        <f>COUNTIF($G$5:$G$979,"&lt;"&amp;G935)+(COUNTIF($G$5:$G$979,"="&amp;G935)+1)/2</f>
        <v/>
      </c>
      <c r="N935" s="99">
        <f>COUNTIF($H$5:$H$979,"&lt;"&amp;H935)+(COUNTIF($H$5:$H$979,"="&amp;H935)+1)/2</f>
        <v/>
      </c>
      <c r="O935" s="99">
        <f>COUNTIF($I$5:$I$979,"&lt;"&amp;I935)+(COUNTIF($I$5:$I$979,"="&amp;I935)+1)/2</f>
        <v/>
      </c>
      <c r="P935" s="99">
        <f>COUNTIF($J$5:$J$979,"&lt;"&amp;J935)+(COUNTIF($J$5:$J$979,"="&amp;J935)+1)/2</f>
        <v/>
      </c>
    </row>
    <row r="936" ht="15" customHeight="1" s="68">
      <c r="A936" s="70">
        <f>'01_원자료'!A933</f>
        <v/>
      </c>
      <c r="B936" s="70">
        <f>'01_원자료'!B933</f>
        <v/>
      </c>
      <c r="C936" s="70">
        <f>'01_원자료'!C933</f>
        <v/>
      </c>
      <c r="E936" s="85">
        <f>'01_원자료'!P933*'03_가중치민감도'!$B$5+'01_원자료'!Q933*'03_가중치민감도'!$C$5+'01_원자료'!R933*'03_가중치민감도'!$D$5</f>
        <v/>
      </c>
      <c r="F936" s="85">
        <f>'01_원자료'!P933*'03_가중치민감도'!$B$6+'01_원자료'!Q933*'03_가중치민감도'!$C$6+'01_원자료'!R933*'03_가중치민감도'!$D$6</f>
        <v/>
      </c>
      <c r="G936" s="85">
        <f>'01_원자료'!P933*'03_가중치민감도'!$B$7+'01_원자료'!Q933*'03_가중치민감도'!$C$7+'01_원자료'!R933*'03_가중치민감도'!$D$7</f>
        <v/>
      </c>
      <c r="H936" s="85">
        <f>'01_원자료'!P933*'03_가중치민감도'!$B$8+'01_원자료'!Q933*'03_가중치민감도'!$C$8+'01_원자료'!R933*'03_가중치민감도'!$D$8</f>
        <v/>
      </c>
      <c r="I936" s="85">
        <f>'01_원자료'!P933*'03_가중치민감도'!$B$9+'01_원자료'!Q933*'03_가중치민감도'!$C$9+'01_원자료'!R933*'03_가중치민감도'!$D$9</f>
        <v/>
      </c>
      <c r="J936" s="85">
        <f>'01_원자료'!P933*'03_가중치민감도'!$B$10+'01_원자료'!Q933*'03_가중치민감도'!$C$10+'01_원자료'!R933*'03_가중치민감도'!$D$10</f>
        <v/>
      </c>
      <c r="K936" s="99">
        <f>COUNTIF($E$5:$E$979,"&lt;"&amp;E936)+(COUNTIF($E$5:$E$979,"="&amp;E936)+1)/2</f>
        <v/>
      </c>
      <c r="L936" s="99">
        <f>COUNTIF($F$5:$F$979,"&lt;"&amp;F936)+(COUNTIF($F$5:$F$979,"="&amp;F936)+1)/2</f>
        <v/>
      </c>
      <c r="M936" s="99">
        <f>COUNTIF($G$5:$G$979,"&lt;"&amp;G936)+(COUNTIF($G$5:$G$979,"="&amp;G936)+1)/2</f>
        <v/>
      </c>
      <c r="N936" s="99">
        <f>COUNTIF($H$5:$H$979,"&lt;"&amp;H936)+(COUNTIF($H$5:$H$979,"="&amp;H936)+1)/2</f>
        <v/>
      </c>
      <c r="O936" s="99">
        <f>COUNTIF($I$5:$I$979,"&lt;"&amp;I936)+(COUNTIF($I$5:$I$979,"="&amp;I936)+1)/2</f>
        <v/>
      </c>
      <c r="P936" s="99">
        <f>COUNTIF($J$5:$J$979,"&lt;"&amp;J936)+(COUNTIF($J$5:$J$979,"="&amp;J936)+1)/2</f>
        <v/>
      </c>
    </row>
    <row r="937" ht="15" customHeight="1" s="68">
      <c r="A937" s="70">
        <f>'01_원자료'!A934</f>
        <v/>
      </c>
      <c r="B937" s="70">
        <f>'01_원자료'!B934</f>
        <v/>
      </c>
      <c r="C937" s="70">
        <f>'01_원자료'!C934</f>
        <v/>
      </c>
      <c r="E937" s="85">
        <f>'01_원자료'!P934*'03_가중치민감도'!$B$5+'01_원자료'!Q934*'03_가중치민감도'!$C$5+'01_원자료'!R934*'03_가중치민감도'!$D$5</f>
        <v/>
      </c>
      <c r="F937" s="85">
        <f>'01_원자료'!P934*'03_가중치민감도'!$B$6+'01_원자료'!Q934*'03_가중치민감도'!$C$6+'01_원자료'!R934*'03_가중치민감도'!$D$6</f>
        <v/>
      </c>
      <c r="G937" s="85">
        <f>'01_원자료'!P934*'03_가중치민감도'!$B$7+'01_원자료'!Q934*'03_가중치민감도'!$C$7+'01_원자료'!R934*'03_가중치민감도'!$D$7</f>
        <v/>
      </c>
      <c r="H937" s="85">
        <f>'01_원자료'!P934*'03_가중치민감도'!$B$8+'01_원자료'!Q934*'03_가중치민감도'!$C$8+'01_원자료'!R934*'03_가중치민감도'!$D$8</f>
        <v/>
      </c>
      <c r="I937" s="85">
        <f>'01_원자료'!P934*'03_가중치민감도'!$B$9+'01_원자료'!Q934*'03_가중치민감도'!$C$9+'01_원자료'!R934*'03_가중치민감도'!$D$9</f>
        <v/>
      </c>
      <c r="J937" s="85">
        <f>'01_원자료'!P934*'03_가중치민감도'!$B$10+'01_원자료'!Q934*'03_가중치민감도'!$C$10+'01_원자료'!R934*'03_가중치민감도'!$D$10</f>
        <v/>
      </c>
      <c r="K937" s="99">
        <f>COUNTIF($E$5:$E$979,"&lt;"&amp;E937)+(COUNTIF($E$5:$E$979,"="&amp;E937)+1)/2</f>
        <v/>
      </c>
      <c r="L937" s="99">
        <f>COUNTIF($F$5:$F$979,"&lt;"&amp;F937)+(COUNTIF($F$5:$F$979,"="&amp;F937)+1)/2</f>
        <v/>
      </c>
      <c r="M937" s="99">
        <f>COUNTIF($G$5:$G$979,"&lt;"&amp;G937)+(COUNTIF($G$5:$G$979,"="&amp;G937)+1)/2</f>
        <v/>
      </c>
      <c r="N937" s="99">
        <f>COUNTIF($H$5:$H$979,"&lt;"&amp;H937)+(COUNTIF($H$5:$H$979,"="&amp;H937)+1)/2</f>
        <v/>
      </c>
      <c r="O937" s="99">
        <f>COUNTIF($I$5:$I$979,"&lt;"&amp;I937)+(COUNTIF($I$5:$I$979,"="&amp;I937)+1)/2</f>
        <v/>
      </c>
      <c r="P937" s="99">
        <f>COUNTIF($J$5:$J$979,"&lt;"&amp;J937)+(COUNTIF($J$5:$J$979,"="&amp;J937)+1)/2</f>
        <v/>
      </c>
    </row>
    <row r="938" ht="15" customHeight="1" s="68">
      <c r="A938" s="70">
        <f>'01_원자료'!A935</f>
        <v/>
      </c>
      <c r="B938" s="70">
        <f>'01_원자료'!B935</f>
        <v/>
      </c>
      <c r="C938" s="70">
        <f>'01_원자료'!C935</f>
        <v/>
      </c>
      <c r="E938" s="85">
        <f>'01_원자료'!P935*'03_가중치민감도'!$B$5+'01_원자료'!Q935*'03_가중치민감도'!$C$5+'01_원자료'!R935*'03_가중치민감도'!$D$5</f>
        <v/>
      </c>
      <c r="F938" s="85">
        <f>'01_원자료'!P935*'03_가중치민감도'!$B$6+'01_원자료'!Q935*'03_가중치민감도'!$C$6+'01_원자료'!R935*'03_가중치민감도'!$D$6</f>
        <v/>
      </c>
      <c r="G938" s="85">
        <f>'01_원자료'!P935*'03_가중치민감도'!$B$7+'01_원자료'!Q935*'03_가중치민감도'!$C$7+'01_원자료'!R935*'03_가중치민감도'!$D$7</f>
        <v/>
      </c>
      <c r="H938" s="85">
        <f>'01_원자료'!P935*'03_가중치민감도'!$B$8+'01_원자료'!Q935*'03_가중치민감도'!$C$8+'01_원자료'!R935*'03_가중치민감도'!$D$8</f>
        <v/>
      </c>
      <c r="I938" s="85">
        <f>'01_원자료'!P935*'03_가중치민감도'!$B$9+'01_원자료'!Q935*'03_가중치민감도'!$C$9+'01_원자료'!R935*'03_가중치민감도'!$D$9</f>
        <v/>
      </c>
      <c r="J938" s="85">
        <f>'01_원자료'!P935*'03_가중치민감도'!$B$10+'01_원자료'!Q935*'03_가중치민감도'!$C$10+'01_원자료'!R935*'03_가중치민감도'!$D$10</f>
        <v/>
      </c>
      <c r="K938" s="99">
        <f>COUNTIF($E$5:$E$979,"&lt;"&amp;E938)+(COUNTIF($E$5:$E$979,"="&amp;E938)+1)/2</f>
        <v/>
      </c>
      <c r="L938" s="99">
        <f>COUNTIF($F$5:$F$979,"&lt;"&amp;F938)+(COUNTIF($F$5:$F$979,"="&amp;F938)+1)/2</f>
        <v/>
      </c>
      <c r="M938" s="99">
        <f>COUNTIF($G$5:$G$979,"&lt;"&amp;G938)+(COUNTIF($G$5:$G$979,"="&amp;G938)+1)/2</f>
        <v/>
      </c>
      <c r="N938" s="99">
        <f>COUNTIF($H$5:$H$979,"&lt;"&amp;H938)+(COUNTIF($H$5:$H$979,"="&amp;H938)+1)/2</f>
        <v/>
      </c>
      <c r="O938" s="99">
        <f>COUNTIF($I$5:$I$979,"&lt;"&amp;I938)+(COUNTIF($I$5:$I$979,"="&amp;I938)+1)/2</f>
        <v/>
      </c>
      <c r="P938" s="99">
        <f>COUNTIF($J$5:$J$979,"&lt;"&amp;J938)+(COUNTIF($J$5:$J$979,"="&amp;J938)+1)/2</f>
        <v/>
      </c>
    </row>
    <row r="939" ht="15" customHeight="1" s="68">
      <c r="A939" s="70">
        <f>'01_원자료'!A936</f>
        <v/>
      </c>
      <c r="B939" s="70">
        <f>'01_원자료'!B936</f>
        <v/>
      </c>
      <c r="C939" s="70">
        <f>'01_원자료'!C936</f>
        <v/>
      </c>
      <c r="E939" s="85">
        <f>'01_원자료'!P936*'03_가중치민감도'!$B$5+'01_원자료'!Q936*'03_가중치민감도'!$C$5+'01_원자료'!R936*'03_가중치민감도'!$D$5</f>
        <v/>
      </c>
      <c r="F939" s="85">
        <f>'01_원자료'!P936*'03_가중치민감도'!$B$6+'01_원자료'!Q936*'03_가중치민감도'!$C$6+'01_원자료'!R936*'03_가중치민감도'!$D$6</f>
        <v/>
      </c>
      <c r="G939" s="85">
        <f>'01_원자료'!P936*'03_가중치민감도'!$B$7+'01_원자료'!Q936*'03_가중치민감도'!$C$7+'01_원자료'!R936*'03_가중치민감도'!$D$7</f>
        <v/>
      </c>
      <c r="H939" s="85">
        <f>'01_원자료'!P936*'03_가중치민감도'!$B$8+'01_원자료'!Q936*'03_가중치민감도'!$C$8+'01_원자료'!R936*'03_가중치민감도'!$D$8</f>
        <v/>
      </c>
      <c r="I939" s="85">
        <f>'01_원자료'!P936*'03_가중치민감도'!$B$9+'01_원자료'!Q936*'03_가중치민감도'!$C$9+'01_원자료'!R936*'03_가중치민감도'!$D$9</f>
        <v/>
      </c>
      <c r="J939" s="85">
        <f>'01_원자료'!P936*'03_가중치민감도'!$B$10+'01_원자료'!Q936*'03_가중치민감도'!$C$10+'01_원자료'!R936*'03_가중치민감도'!$D$10</f>
        <v/>
      </c>
      <c r="K939" s="99">
        <f>COUNTIF($E$5:$E$979,"&lt;"&amp;E939)+(COUNTIF($E$5:$E$979,"="&amp;E939)+1)/2</f>
        <v/>
      </c>
      <c r="L939" s="99">
        <f>COUNTIF($F$5:$F$979,"&lt;"&amp;F939)+(COUNTIF($F$5:$F$979,"="&amp;F939)+1)/2</f>
        <v/>
      </c>
      <c r="M939" s="99">
        <f>COUNTIF($G$5:$G$979,"&lt;"&amp;G939)+(COUNTIF($G$5:$G$979,"="&amp;G939)+1)/2</f>
        <v/>
      </c>
      <c r="N939" s="99">
        <f>COUNTIF($H$5:$H$979,"&lt;"&amp;H939)+(COUNTIF($H$5:$H$979,"="&amp;H939)+1)/2</f>
        <v/>
      </c>
      <c r="O939" s="99">
        <f>COUNTIF($I$5:$I$979,"&lt;"&amp;I939)+(COUNTIF($I$5:$I$979,"="&amp;I939)+1)/2</f>
        <v/>
      </c>
      <c r="P939" s="99">
        <f>COUNTIF($J$5:$J$979,"&lt;"&amp;J939)+(COUNTIF($J$5:$J$979,"="&amp;J939)+1)/2</f>
        <v/>
      </c>
    </row>
    <row r="940" ht="15" customHeight="1" s="68">
      <c r="A940" s="70">
        <f>'01_원자료'!A937</f>
        <v/>
      </c>
      <c r="B940" s="70">
        <f>'01_원자료'!B937</f>
        <v/>
      </c>
      <c r="C940" s="70">
        <f>'01_원자료'!C937</f>
        <v/>
      </c>
      <c r="E940" s="85">
        <f>'01_원자료'!P937*'03_가중치민감도'!$B$5+'01_원자료'!Q937*'03_가중치민감도'!$C$5+'01_원자료'!R937*'03_가중치민감도'!$D$5</f>
        <v/>
      </c>
      <c r="F940" s="85">
        <f>'01_원자료'!P937*'03_가중치민감도'!$B$6+'01_원자료'!Q937*'03_가중치민감도'!$C$6+'01_원자료'!R937*'03_가중치민감도'!$D$6</f>
        <v/>
      </c>
      <c r="G940" s="85">
        <f>'01_원자료'!P937*'03_가중치민감도'!$B$7+'01_원자료'!Q937*'03_가중치민감도'!$C$7+'01_원자료'!R937*'03_가중치민감도'!$D$7</f>
        <v/>
      </c>
      <c r="H940" s="85">
        <f>'01_원자료'!P937*'03_가중치민감도'!$B$8+'01_원자료'!Q937*'03_가중치민감도'!$C$8+'01_원자료'!R937*'03_가중치민감도'!$D$8</f>
        <v/>
      </c>
      <c r="I940" s="85">
        <f>'01_원자료'!P937*'03_가중치민감도'!$B$9+'01_원자료'!Q937*'03_가중치민감도'!$C$9+'01_원자료'!R937*'03_가중치민감도'!$D$9</f>
        <v/>
      </c>
      <c r="J940" s="85">
        <f>'01_원자료'!P937*'03_가중치민감도'!$B$10+'01_원자료'!Q937*'03_가중치민감도'!$C$10+'01_원자료'!R937*'03_가중치민감도'!$D$10</f>
        <v/>
      </c>
      <c r="K940" s="99">
        <f>COUNTIF($E$5:$E$979,"&lt;"&amp;E940)+(COUNTIF($E$5:$E$979,"="&amp;E940)+1)/2</f>
        <v/>
      </c>
      <c r="L940" s="99">
        <f>COUNTIF($F$5:$F$979,"&lt;"&amp;F940)+(COUNTIF($F$5:$F$979,"="&amp;F940)+1)/2</f>
        <v/>
      </c>
      <c r="M940" s="99">
        <f>COUNTIF($G$5:$G$979,"&lt;"&amp;G940)+(COUNTIF($G$5:$G$979,"="&amp;G940)+1)/2</f>
        <v/>
      </c>
      <c r="N940" s="99">
        <f>COUNTIF($H$5:$H$979,"&lt;"&amp;H940)+(COUNTIF($H$5:$H$979,"="&amp;H940)+1)/2</f>
        <v/>
      </c>
      <c r="O940" s="99">
        <f>COUNTIF($I$5:$I$979,"&lt;"&amp;I940)+(COUNTIF($I$5:$I$979,"="&amp;I940)+1)/2</f>
        <v/>
      </c>
      <c r="P940" s="99">
        <f>COUNTIF($J$5:$J$979,"&lt;"&amp;J940)+(COUNTIF($J$5:$J$979,"="&amp;J940)+1)/2</f>
        <v/>
      </c>
    </row>
    <row r="941" ht="15" customHeight="1" s="68">
      <c r="A941" s="70">
        <f>'01_원자료'!A938</f>
        <v/>
      </c>
      <c r="B941" s="70">
        <f>'01_원자료'!B938</f>
        <v/>
      </c>
      <c r="C941" s="70">
        <f>'01_원자료'!C938</f>
        <v/>
      </c>
      <c r="E941" s="85">
        <f>'01_원자료'!P938*'03_가중치민감도'!$B$5+'01_원자료'!Q938*'03_가중치민감도'!$C$5+'01_원자료'!R938*'03_가중치민감도'!$D$5</f>
        <v/>
      </c>
      <c r="F941" s="85">
        <f>'01_원자료'!P938*'03_가중치민감도'!$B$6+'01_원자료'!Q938*'03_가중치민감도'!$C$6+'01_원자료'!R938*'03_가중치민감도'!$D$6</f>
        <v/>
      </c>
      <c r="G941" s="85">
        <f>'01_원자료'!P938*'03_가중치민감도'!$B$7+'01_원자료'!Q938*'03_가중치민감도'!$C$7+'01_원자료'!R938*'03_가중치민감도'!$D$7</f>
        <v/>
      </c>
      <c r="H941" s="85">
        <f>'01_원자료'!P938*'03_가중치민감도'!$B$8+'01_원자료'!Q938*'03_가중치민감도'!$C$8+'01_원자료'!R938*'03_가중치민감도'!$D$8</f>
        <v/>
      </c>
      <c r="I941" s="85">
        <f>'01_원자료'!P938*'03_가중치민감도'!$B$9+'01_원자료'!Q938*'03_가중치민감도'!$C$9+'01_원자료'!R938*'03_가중치민감도'!$D$9</f>
        <v/>
      </c>
      <c r="J941" s="85">
        <f>'01_원자료'!P938*'03_가중치민감도'!$B$10+'01_원자료'!Q938*'03_가중치민감도'!$C$10+'01_원자료'!R938*'03_가중치민감도'!$D$10</f>
        <v/>
      </c>
      <c r="K941" s="99">
        <f>COUNTIF($E$5:$E$979,"&lt;"&amp;E941)+(COUNTIF($E$5:$E$979,"="&amp;E941)+1)/2</f>
        <v/>
      </c>
      <c r="L941" s="99">
        <f>COUNTIF($F$5:$F$979,"&lt;"&amp;F941)+(COUNTIF($F$5:$F$979,"="&amp;F941)+1)/2</f>
        <v/>
      </c>
      <c r="M941" s="99">
        <f>COUNTIF($G$5:$G$979,"&lt;"&amp;G941)+(COUNTIF($G$5:$G$979,"="&amp;G941)+1)/2</f>
        <v/>
      </c>
      <c r="N941" s="99">
        <f>COUNTIF($H$5:$H$979,"&lt;"&amp;H941)+(COUNTIF($H$5:$H$979,"="&amp;H941)+1)/2</f>
        <v/>
      </c>
      <c r="O941" s="99">
        <f>COUNTIF($I$5:$I$979,"&lt;"&amp;I941)+(COUNTIF($I$5:$I$979,"="&amp;I941)+1)/2</f>
        <v/>
      </c>
      <c r="P941" s="99">
        <f>COUNTIF($J$5:$J$979,"&lt;"&amp;J941)+(COUNTIF($J$5:$J$979,"="&amp;J941)+1)/2</f>
        <v/>
      </c>
    </row>
    <row r="942" ht="15" customHeight="1" s="68">
      <c r="A942" s="70">
        <f>'01_원자료'!A939</f>
        <v/>
      </c>
      <c r="B942" s="70">
        <f>'01_원자료'!B939</f>
        <v/>
      </c>
      <c r="C942" s="70">
        <f>'01_원자료'!C939</f>
        <v/>
      </c>
      <c r="E942" s="85">
        <f>'01_원자료'!P939*'03_가중치민감도'!$B$5+'01_원자료'!Q939*'03_가중치민감도'!$C$5+'01_원자료'!R939*'03_가중치민감도'!$D$5</f>
        <v/>
      </c>
      <c r="F942" s="85">
        <f>'01_원자료'!P939*'03_가중치민감도'!$B$6+'01_원자료'!Q939*'03_가중치민감도'!$C$6+'01_원자료'!R939*'03_가중치민감도'!$D$6</f>
        <v/>
      </c>
      <c r="G942" s="85">
        <f>'01_원자료'!P939*'03_가중치민감도'!$B$7+'01_원자료'!Q939*'03_가중치민감도'!$C$7+'01_원자료'!R939*'03_가중치민감도'!$D$7</f>
        <v/>
      </c>
      <c r="H942" s="85">
        <f>'01_원자료'!P939*'03_가중치민감도'!$B$8+'01_원자료'!Q939*'03_가중치민감도'!$C$8+'01_원자료'!R939*'03_가중치민감도'!$D$8</f>
        <v/>
      </c>
      <c r="I942" s="85">
        <f>'01_원자료'!P939*'03_가중치민감도'!$B$9+'01_원자료'!Q939*'03_가중치민감도'!$C$9+'01_원자료'!R939*'03_가중치민감도'!$D$9</f>
        <v/>
      </c>
      <c r="J942" s="85">
        <f>'01_원자료'!P939*'03_가중치민감도'!$B$10+'01_원자료'!Q939*'03_가중치민감도'!$C$10+'01_원자료'!R939*'03_가중치민감도'!$D$10</f>
        <v/>
      </c>
      <c r="K942" s="99">
        <f>COUNTIF($E$5:$E$979,"&lt;"&amp;E942)+(COUNTIF($E$5:$E$979,"="&amp;E942)+1)/2</f>
        <v/>
      </c>
      <c r="L942" s="99">
        <f>COUNTIF($F$5:$F$979,"&lt;"&amp;F942)+(COUNTIF($F$5:$F$979,"="&amp;F942)+1)/2</f>
        <v/>
      </c>
      <c r="M942" s="99">
        <f>COUNTIF($G$5:$G$979,"&lt;"&amp;G942)+(COUNTIF($G$5:$G$979,"="&amp;G942)+1)/2</f>
        <v/>
      </c>
      <c r="N942" s="99">
        <f>COUNTIF($H$5:$H$979,"&lt;"&amp;H942)+(COUNTIF($H$5:$H$979,"="&amp;H942)+1)/2</f>
        <v/>
      </c>
      <c r="O942" s="99">
        <f>COUNTIF($I$5:$I$979,"&lt;"&amp;I942)+(COUNTIF($I$5:$I$979,"="&amp;I942)+1)/2</f>
        <v/>
      </c>
      <c r="P942" s="99">
        <f>COUNTIF($J$5:$J$979,"&lt;"&amp;J942)+(COUNTIF($J$5:$J$979,"="&amp;J942)+1)/2</f>
        <v/>
      </c>
    </row>
    <row r="943" ht="15" customHeight="1" s="68">
      <c r="A943" s="70">
        <f>'01_원자료'!A940</f>
        <v/>
      </c>
      <c r="B943" s="70">
        <f>'01_원자료'!B940</f>
        <v/>
      </c>
      <c r="C943" s="70">
        <f>'01_원자료'!C940</f>
        <v/>
      </c>
      <c r="E943" s="85">
        <f>'01_원자료'!P940*'03_가중치민감도'!$B$5+'01_원자료'!Q940*'03_가중치민감도'!$C$5+'01_원자료'!R940*'03_가중치민감도'!$D$5</f>
        <v/>
      </c>
      <c r="F943" s="85">
        <f>'01_원자료'!P940*'03_가중치민감도'!$B$6+'01_원자료'!Q940*'03_가중치민감도'!$C$6+'01_원자료'!R940*'03_가중치민감도'!$D$6</f>
        <v/>
      </c>
      <c r="G943" s="85">
        <f>'01_원자료'!P940*'03_가중치민감도'!$B$7+'01_원자료'!Q940*'03_가중치민감도'!$C$7+'01_원자료'!R940*'03_가중치민감도'!$D$7</f>
        <v/>
      </c>
      <c r="H943" s="85">
        <f>'01_원자료'!P940*'03_가중치민감도'!$B$8+'01_원자료'!Q940*'03_가중치민감도'!$C$8+'01_원자료'!R940*'03_가중치민감도'!$D$8</f>
        <v/>
      </c>
      <c r="I943" s="85">
        <f>'01_원자료'!P940*'03_가중치민감도'!$B$9+'01_원자료'!Q940*'03_가중치민감도'!$C$9+'01_원자료'!R940*'03_가중치민감도'!$D$9</f>
        <v/>
      </c>
      <c r="J943" s="85">
        <f>'01_원자료'!P940*'03_가중치민감도'!$B$10+'01_원자료'!Q940*'03_가중치민감도'!$C$10+'01_원자료'!R940*'03_가중치민감도'!$D$10</f>
        <v/>
      </c>
      <c r="K943" s="99">
        <f>COUNTIF($E$5:$E$979,"&lt;"&amp;E943)+(COUNTIF($E$5:$E$979,"="&amp;E943)+1)/2</f>
        <v/>
      </c>
      <c r="L943" s="99">
        <f>COUNTIF($F$5:$F$979,"&lt;"&amp;F943)+(COUNTIF($F$5:$F$979,"="&amp;F943)+1)/2</f>
        <v/>
      </c>
      <c r="M943" s="99">
        <f>COUNTIF($G$5:$G$979,"&lt;"&amp;G943)+(COUNTIF($G$5:$G$979,"="&amp;G943)+1)/2</f>
        <v/>
      </c>
      <c r="N943" s="99">
        <f>COUNTIF($H$5:$H$979,"&lt;"&amp;H943)+(COUNTIF($H$5:$H$979,"="&amp;H943)+1)/2</f>
        <v/>
      </c>
      <c r="O943" s="99">
        <f>COUNTIF($I$5:$I$979,"&lt;"&amp;I943)+(COUNTIF($I$5:$I$979,"="&amp;I943)+1)/2</f>
        <v/>
      </c>
      <c r="P943" s="99">
        <f>COUNTIF($J$5:$J$979,"&lt;"&amp;J943)+(COUNTIF($J$5:$J$979,"="&amp;J943)+1)/2</f>
        <v/>
      </c>
    </row>
    <row r="944" ht="15" customHeight="1" s="68">
      <c r="A944" s="70">
        <f>'01_원자료'!A941</f>
        <v/>
      </c>
      <c r="B944" s="70">
        <f>'01_원자료'!B941</f>
        <v/>
      </c>
      <c r="C944" s="70">
        <f>'01_원자료'!C941</f>
        <v/>
      </c>
      <c r="E944" s="85">
        <f>'01_원자료'!P941*'03_가중치민감도'!$B$5+'01_원자료'!Q941*'03_가중치민감도'!$C$5+'01_원자료'!R941*'03_가중치민감도'!$D$5</f>
        <v/>
      </c>
      <c r="F944" s="85">
        <f>'01_원자료'!P941*'03_가중치민감도'!$B$6+'01_원자료'!Q941*'03_가중치민감도'!$C$6+'01_원자료'!R941*'03_가중치민감도'!$D$6</f>
        <v/>
      </c>
      <c r="G944" s="85">
        <f>'01_원자료'!P941*'03_가중치민감도'!$B$7+'01_원자료'!Q941*'03_가중치민감도'!$C$7+'01_원자료'!R941*'03_가중치민감도'!$D$7</f>
        <v/>
      </c>
      <c r="H944" s="85">
        <f>'01_원자료'!P941*'03_가중치민감도'!$B$8+'01_원자료'!Q941*'03_가중치민감도'!$C$8+'01_원자료'!R941*'03_가중치민감도'!$D$8</f>
        <v/>
      </c>
      <c r="I944" s="85">
        <f>'01_원자료'!P941*'03_가중치민감도'!$B$9+'01_원자료'!Q941*'03_가중치민감도'!$C$9+'01_원자료'!R941*'03_가중치민감도'!$D$9</f>
        <v/>
      </c>
      <c r="J944" s="85">
        <f>'01_원자료'!P941*'03_가중치민감도'!$B$10+'01_원자료'!Q941*'03_가중치민감도'!$C$10+'01_원자료'!R941*'03_가중치민감도'!$D$10</f>
        <v/>
      </c>
      <c r="K944" s="99">
        <f>COUNTIF($E$5:$E$979,"&lt;"&amp;E944)+(COUNTIF($E$5:$E$979,"="&amp;E944)+1)/2</f>
        <v/>
      </c>
      <c r="L944" s="99">
        <f>COUNTIF($F$5:$F$979,"&lt;"&amp;F944)+(COUNTIF($F$5:$F$979,"="&amp;F944)+1)/2</f>
        <v/>
      </c>
      <c r="M944" s="99">
        <f>COUNTIF($G$5:$G$979,"&lt;"&amp;G944)+(COUNTIF($G$5:$G$979,"="&amp;G944)+1)/2</f>
        <v/>
      </c>
      <c r="N944" s="99">
        <f>COUNTIF($H$5:$H$979,"&lt;"&amp;H944)+(COUNTIF($H$5:$H$979,"="&amp;H944)+1)/2</f>
        <v/>
      </c>
      <c r="O944" s="99">
        <f>COUNTIF($I$5:$I$979,"&lt;"&amp;I944)+(COUNTIF($I$5:$I$979,"="&amp;I944)+1)/2</f>
        <v/>
      </c>
      <c r="P944" s="99">
        <f>COUNTIF($J$5:$J$979,"&lt;"&amp;J944)+(COUNTIF($J$5:$J$979,"="&amp;J944)+1)/2</f>
        <v/>
      </c>
    </row>
    <row r="945" ht="15" customHeight="1" s="68">
      <c r="A945" s="70">
        <f>'01_원자료'!A942</f>
        <v/>
      </c>
      <c r="B945" s="70">
        <f>'01_원자료'!B942</f>
        <v/>
      </c>
      <c r="C945" s="70">
        <f>'01_원자료'!C942</f>
        <v/>
      </c>
      <c r="E945" s="85">
        <f>'01_원자료'!P942*'03_가중치민감도'!$B$5+'01_원자료'!Q942*'03_가중치민감도'!$C$5+'01_원자료'!R942*'03_가중치민감도'!$D$5</f>
        <v/>
      </c>
      <c r="F945" s="85">
        <f>'01_원자료'!P942*'03_가중치민감도'!$B$6+'01_원자료'!Q942*'03_가중치민감도'!$C$6+'01_원자료'!R942*'03_가중치민감도'!$D$6</f>
        <v/>
      </c>
      <c r="G945" s="85">
        <f>'01_원자료'!P942*'03_가중치민감도'!$B$7+'01_원자료'!Q942*'03_가중치민감도'!$C$7+'01_원자료'!R942*'03_가중치민감도'!$D$7</f>
        <v/>
      </c>
      <c r="H945" s="85">
        <f>'01_원자료'!P942*'03_가중치민감도'!$B$8+'01_원자료'!Q942*'03_가중치민감도'!$C$8+'01_원자료'!R942*'03_가중치민감도'!$D$8</f>
        <v/>
      </c>
      <c r="I945" s="85">
        <f>'01_원자료'!P942*'03_가중치민감도'!$B$9+'01_원자료'!Q942*'03_가중치민감도'!$C$9+'01_원자료'!R942*'03_가중치민감도'!$D$9</f>
        <v/>
      </c>
      <c r="J945" s="85">
        <f>'01_원자료'!P942*'03_가중치민감도'!$B$10+'01_원자료'!Q942*'03_가중치민감도'!$C$10+'01_원자료'!R942*'03_가중치민감도'!$D$10</f>
        <v/>
      </c>
      <c r="K945" s="99">
        <f>COUNTIF($E$5:$E$979,"&lt;"&amp;E945)+(COUNTIF($E$5:$E$979,"="&amp;E945)+1)/2</f>
        <v/>
      </c>
      <c r="L945" s="99">
        <f>COUNTIF($F$5:$F$979,"&lt;"&amp;F945)+(COUNTIF($F$5:$F$979,"="&amp;F945)+1)/2</f>
        <v/>
      </c>
      <c r="M945" s="99">
        <f>COUNTIF($G$5:$G$979,"&lt;"&amp;G945)+(COUNTIF($G$5:$G$979,"="&amp;G945)+1)/2</f>
        <v/>
      </c>
      <c r="N945" s="99">
        <f>COUNTIF($H$5:$H$979,"&lt;"&amp;H945)+(COUNTIF($H$5:$H$979,"="&amp;H945)+1)/2</f>
        <v/>
      </c>
      <c r="O945" s="99">
        <f>COUNTIF($I$5:$I$979,"&lt;"&amp;I945)+(COUNTIF($I$5:$I$979,"="&amp;I945)+1)/2</f>
        <v/>
      </c>
      <c r="P945" s="99">
        <f>COUNTIF($J$5:$J$979,"&lt;"&amp;J945)+(COUNTIF($J$5:$J$979,"="&amp;J945)+1)/2</f>
        <v/>
      </c>
    </row>
    <row r="946" ht="15" customHeight="1" s="68">
      <c r="A946" s="70">
        <f>'01_원자료'!A943</f>
        <v/>
      </c>
      <c r="B946" s="70">
        <f>'01_원자료'!B943</f>
        <v/>
      </c>
      <c r="C946" s="70">
        <f>'01_원자료'!C943</f>
        <v/>
      </c>
      <c r="E946" s="85">
        <f>'01_원자료'!P943*'03_가중치민감도'!$B$5+'01_원자료'!Q943*'03_가중치민감도'!$C$5+'01_원자료'!R943*'03_가중치민감도'!$D$5</f>
        <v/>
      </c>
      <c r="F946" s="85">
        <f>'01_원자료'!P943*'03_가중치민감도'!$B$6+'01_원자료'!Q943*'03_가중치민감도'!$C$6+'01_원자료'!R943*'03_가중치민감도'!$D$6</f>
        <v/>
      </c>
      <c r="G946" s="85">
        <f>'01_원자료'!P943*'03_가중치민감도'!$B$7+'01_원자료'!Q943*'03_가중치민감도'!$C$7+'01_원자료'!R943*'03_가중치민감도'!$D$7</f>
        <v/>
      </c>
      <c r="H946" s="85">
        <f>'01_원자료'!P943*'03_가중치민감도'!$B$8+'01_원자료'!Q943*'03_가중치민감도'!$C$8+'01_원자료'!R943*'03_가중치민감도'!$D$8</f>
        <v/>
      </c>
      <c r="I946" s="85">
        <f>'01_원자료'!P943*'03_가중치민감도'!$B$9+'01_원자료'!Q943*'03_가중치민감도'!$C$9+'01_원자료'!R943*'03_가중치민감도'!$D$9</f>
        <v/>
      </c>
      <c r="J946" s="85">
        <f>'01_원자료'!P943*'03_가중치민감도'!$B$10+'01_원자료'!Q943*'03_가중치민감도'!$C$10+'01_원자료'!R943*'03_가중치민감도'!$D$10</f>
        <v/>
      </c>
      <c r="K946" s="99">
        <f>COUNTIF($E$5:$E$979,"&lt;"&amp;E946)+(COUNTIF($E$5:$E$979,"="&amp;E946)+1)/2</f>
        <v/>
      </c>
      <c r="L946" s="99">
        <f>COUNTIF($F$5:$F$979,"&lt;"&amp;F946)+(COUNTIF($F$5:$F$979,"="&amp;F946)+1)/2</f>
        <v/>
      </c>
      <c r="M946" s="99">
        <f>COUNTIF($G$5:$G$979,"&lt;"&amp;G946)+(COUNTIF($G$5:$G$979,"="&amp;G946)+1)/2</f>
        <v/>
      </c>
      <c r="N946" s="99">
        <f>COUNTIF($H$5:$H$979,"&lt;"&amp;H946)+(COUNTIF($H$5:$H$979,"="&amp;H946)+1)/2</f>
        <v/>
      </c>
      <c r="O946" s="99">
        <f>COUNTIF($I$5:$I$979,"&lt;"&amp;I946)+(COUNTIF($I$5:$I$979,"="&amp;I946)+1)/2</f>
        <v/>
      </c>
      <c r="P946" s="99">
        <f>COUNTIF($J$5:$J$979,"&lt;"&amp;J946)+(COUNTIF($J$5:$J$979,"="&amp;J946)+1)/2</f>
        <v/>
      </c>
    </row>
    <row r="947" ht="15" customHeight="1" s="68">
      <c r="A947" s="70">
        <f>'01_원자료'!A944</f>
        <v/>
      </c>
      <c r="B947" s="70">
        <f>'01_원자료'!B944</f>
        <v/>
      </c>
      <c r="C947" s="70">
        <f>'01_원자료'!C944</f>
        <v/>
      </c>
      <c r="E947" s="85">
        <f>'01_원자료'!P944*'03_가중치민감도'!$B$5+'01_원자료'!Q944*'03_가중치민감도'!$C$5+'01_원자료'!R944*'03_가중치민감도'!$D$5</f>
        <v/>
      </c>
      <c r="F947" s="85">
        <f>'01_원자료'!P944*'03_가중치민감도'!$B$6+'01_원자료'!Q944*'03_가중치민감도'!$C$6+'01_원자료'!R944*'03_가중치민감도'!$D$6</f>
        <v/>
      </c>
      <c r="G947" s="85">
        <f>'01_원자료'!P944*'03_가중치민감도'!$B$7+'01_원자료'!Q944*'03_가중치민감도'!$C$7+'01_원자료'!R944*'03_가중치민감도'!$D$7</f>
        <v/>
      </c>
      <c r="H947" s="85">
        <f>'01_원자료'!P944*'03_가중치민감도'!$B$8+'01_원자료'!Q944*'03_가중치민감도'!$C$8+'01_원자료'!R944*'03_가중치민감도'!$D$8</f>
        <v/>
      </c>
      <c r="I947" s="85">
        <f>'01_원자료'!P944*'03_가중치민감도'!$B$9+'01_원자료'!Q944*'03_가중치민감도'!$C$9+'01_원자료'!R944*'03_가중치민감도'!$D$9</f>
        <v/>
      </c>
      <c r="J947" s="85">
        <f>'01_원자료'!P944*'03_가중치민감도'!$B$10+'01_원자료'!Q944*'03_가중치민감도'!$C$10+'01_원자료'!R944*'03_가중치민감도'!$D$10</f>
        <v/>
      </c>
      <c r="K947" s="99">
        <f>COUNTIF($E$5:$E$979,"&lt;"&amp;E947)+(COUNTIF($E$5:$E$979,"="&amp;E947)+1)/2</f>
        <v/>
      </c>
      <c r="L947" s="99">
        <f>COUNTIF($F$5:$F$979,"&lt;"&amp;F947)+(COUNTIF($F$5:$F$979,"="&amp;F947)+1)/2</f>
        <v/>
      </c>
      <c r="M947" s="99">
        <f>COUNTIF($G$5:$G$979,"&lt;"&amp;G947)+(COUNTIF($G$5:$G$979,"="&amp;G947)+1)/2</f>
        <v/>
      </c>
      <c r="N947" s="99">
        <f>COUNTIF($H$5:$H$979,"&lt;"&amp;H947)+(COUNTIF($H$5:$H$979,"="&amp;H947)+1)/2</f>
        <v/>
      </c>
      <c r="O947" s="99">
        <f>COUNTIF($I$5:$I$979,"&lt;"&amp;I947)+(COUNTIF($I$5:$I$979,"="&amp;I947)+1)/2</f>
        <v/>
      </c>
      <c r="P947" s="99">
        <f>COUNTIF($J$5:$J$979,"&lt;"&amp;J947)+(COUNTIF($J$5:$J$979,"="&amp;J947)+1)/2</f>
        <v/>
      </c>
    </row>
    <row r="948" ht="15" customHeight="1" s="68">
      <c r="A948" s="70">
        <f>'01_원자료'!A945</f>
        <v/>
      </c>
      <c r="B948" s="70">
        <f>'01_원자료'!B945</f>
        <v/>
      </c>
      <c r="C948" s="70">
        <f>'01_원자료'!C945</f>
        <v/>
      </c>
      <c r="E948" s="85">
        <f>'01_원자료'!P945*'03_가중치민감도'!$B$5+'01_원자료'!Q945*'03_가중치민감도'!$C$5+'01_원자료'!R945*'03_가중치민감도'!$D$5</f>
        <v/>
      </c>
      <c r="F948" s="85">
        <f>'01_원자료'!P945*'03_가중치민감도'!$B$6+'01_원자료'!Q945*'03_가중치민감도'!$C$6+'01_원자료'!R945*'03_가중치민감도'!$D$6</f>
        <v/>
      </c>
      <c r="G948" s="85">
        <f>'01_원자료'!P945*'03_가중치민감도'!$B$7+'01_원자료'!Q945*'03_가중치민감도'!$C$7+'01_원자료'!R945*'03_가중치민감도'!$D$7</f>
        <v/>
      </c>
      <c r="H948" s="85">
        <f>'01_원자료'!P945*'03_가중치민감도'!$B$8+'01_원자료'!Q945*'03_가중치민감도'!$C$8+'01_원자료'!R945*'03_가중치민감도'!$D$8</f>
        <v/>
      </c>
      <c r="I948" s="85">
        <f>'01_원자료'!P945*'03_가중치민감도'!$B$9+'01_원자료'!Q945*'03_가중치민감도'!$C$9+'01_원자료'!R945*'03_가중치민감도'!$D$9</f>
        <v/>
      </c>
      <c r="J948" s="85">
        <f>'01_원자료'!P945*'03_가중치민감도'!$B$10+'01_원자료'!Q945*'03_가중치민감도'!$C$10+'01_원자료'!R945*'03_가중치민감도'!$D$10</f>
        <v/>
      </c>
      <c r="K948" s="99">
        <f>COUNTIF($E$5:$E$979,"&lt;"&amp;E948)+(COUNTIF($E$5:$E$979,"="&amp;E948)+1)/2</f>
        <v/>
      </c>
      <c r="L948" s="99">
        <f>COUNTIF($F$5:$F$979,"&lt;"&amp;F948)+(COUNTIF($F$5:$F$979,"="&amp;F948)+1)/2</f>
        <v/>
      </c>
      <c r="M948" s="99">
        <f>COUNTIF($G$5:$G$979,"&lt;"&amp;G948)+(COUNTIF($G$5:$G$979,"="&amp;G948)+1)/2</f>
        <v/>
      </c>
      <c r="N948" s="99">
        <f>COUNTIF($H$5:$H$979,"&lt;"&amp;H948)+(COUNTIF($H$5:$H$979,"="&amp;H948)+1)/2</f>
        <v/>
      </c>
      <c r="O948" s="99">
        <f>COUNTIF($I$5:$I$979,"&lt;"&amp;I948)+(COUNTIF($I$5:$I$979,"="&amp;I948)+1)/2</f>
        <v/>
      </c>
      <c r="P948" s="99">
        <f>COUNTIF($J$5:$J$979,"&lt;"&amp;J948)+(COUNTIF($J$5:$J$979,"="&amp;J948)+1)/2</f>
        <v/>
      </c>
    </row>
    <row r="949" ht="15" customHeight="1" s="68">
      <c r="A949" s="70">
        <f>'01_원자료'!A946</f>
        <v/>
      </c>
      <c r="B949" s="70">
        <f>'01_원자료'!B946</f>
        <v/>
      </c>
      <c r="C949" s="70">
        <f>'01_원자료'!C946</f>
        <v/>
      </c>
      <c r="E949" s="85">
        <f>'01_원자료'!P946*'03_가중치민감도'!$B$5+'01_원자료'!Q946*'03_가중치민감도'!$C$5+'01_원자료'!R946*'03_가중치민감도'!$D$5</f>
        <v/>
      </c>
      <c r="F949" s="85">
        <f>'01_원자료'!P946*'03_가중치민감도'!$B$6+'01_원자료'!Q946*'03_가중치민감도'!$C$6+'01_원자료'!R946*'03_가중치민감도'!$D$6</f>
        <v/>
      </c>
      <c r="G949" s="85">
        <f>'01_원자료'!P946*'03_가중치민감도'!$B$7+'01_원자료'!Q946*'03_가중치민감도'!$C$7+'01_원자료'!R946*'03_가중치민감도'!$D$7</f>
        <v/>
      </c>
      <c r="H949" s="85">
        <f>'01_원자료'!P946*'03_가중치민감도'!$B$8+'01_원자료'!Q946*'03_가중치민감도'!$C$8+'01_원자료'!R946*'03_가중치민감도'!$D$8</f>
        <v/>
      </c>
      <c r="I949" s="85">
        <f>'01_원자료'!P946*'03_가중치민감도'!$B$9+'01_원자료'!Q946*'03_가중치민감도'!$C$9+'01_원자료'!R946*'03_가중치민감도'!$D$9</f>
        <v/>
      </c>
      <c r="J949" s="85">
        <f>'01_원자료'!P946*'03_가중치민감도'!$B$10+'01_원자료'!Q946*'03_가중치민감도'!$C$10+'01_원자료'!R946*'03_가중치민감도'!$D$10</f>
        <v/>
      </c>
      <c r="K949" s="99">
        <f>COUNTIF($E$5:$E$979,"&lt;"&amp;E949)+(COUNTIF($E$5:$E$979,"="&amp;E949)+1)/2</f>
        <v/>
      </c>
      <c r="L949" s="99">
        <f>COUNTIF($F$5:$F$979,"&lt;"&amp;F949)+(COUNTIF($F$5:$F$979,"="&amp;F949)+1)/2</f>
        <v/>
      </c>
      <c r="M949" s="99">
        <f>COUNTIF($G$5:$G$979,"&lt;"&amp;G949)+(COUNTIF($G$5:$G$979,"="&amp;G949)+1)/2</f>
        <v/>
      </c>
      <c r="N949" s="99">
        <f>COUNTIF($H$5:$H$979,"&lt;"&amp;H949)+(COUNTIF($H$5:$H$979,"="&amp;H949)+1)/2</f>
        <v/>
      </c>
      <c r="O949" s="99">
        <f>COUNTIF($I$5:$I$979,"&lt;"&amp;I949)+(COUNTIF($I$5:$I$979,"="&amp;I949)+1)/2</f>
        <v/>
      </c>
      <c r="P949" s="99">
        <f>COUNTIF($J$5:$J$979,"&lt;"&amp;J949)+(COUNTIF($J$5:$J$979,"="&amp;J949)+1)/2</f>
        <v/>
      </c>
    </row>
    <row r="950" ht="15" customHeight="1" s="68">
      <c r="A950" s="70">
        <f>'01_원자료'!A947</f>
        <v/>
      </c>
      <c r="B950" s="70">
        <f>'01_원자료'!B947</f>
        <v/>
      </c>
      <c r="C950" s="70">
        <f>'01_원자료'!C947</f>
        <v/>
      </c>
      <c r="E950" s="85">
        <f>'01_원자료'!P947*'03_가중치민감도'!$B$5+'01_원자료'!Q947*'03_가중치민감도'!$C$5+'01_원자료'!R947*'03_가중치민감도'!$D$5</f>
        <v/>
      </c>
      <c r="F950" s="85">
        <f>'01_원자료'!P947*'03_가중치민감도'!$B$6+'01_원자료'!Q947*'03_가중치민감도'!$C$6+'01_원자료'!R947*'03_가중치민감도'!$D$6</f>
        <v/>
      </c>
      <c r="G950" s="85">
        <f>'01_원자료'!P947*'03_가중치민감도'!$B$7+'01_원자료'!Q947*'03_가중치민감도'!$C$7+'01_원자료'!R947*'03_가중치민감도'!$D$7</f>
        <v/>
      </c>
      <c r="H950" s="85">
        <f>'01_원자료'!P947*'03_가중치민감도'!$B$8+'01_원자료'!Q947*'03_가중치민감도'!$C$8+'01_원자료'!R947*'03_가중치민감도'!$D$8</f>
        <v/>
      </c>
      <c r="I950" s="85">
        <f>'01_원자료'!P947*'03_가중치민감도'!$B$9+'01_원자료'!Q947*'03_가중치민감도'!$C$9+'01_원자료'!R947*'03_가중치민감도'!$D$9</f>
        <v/>
      </c>
      <c r="J950" s="85">
        <f>'01_원자료'!P947*'03_가중치민감도'!$B$10+'01_원자료'!Q947*'03_가중치민감도'!$C$10+'01_원자료'!R947*'03_가중치민감도'!$D$10</f>
        <v/>
      </c>
      <c r="K950" s="99">
        <f>COUNTIF($E$5:$E$979,"&lt;"&amp;E950)+(COUNTIF($E$5:$E$979,"="&amp;E950)+1)/2</f>
        <v/>
      </c>
      <c r="L950" s="99">
        <f>COUNTIF($F$5:$F$979,"&lt;"&amp;F950)+(COUNTIF($F$5:$F$979,"="&amp;F950)+1)/2</f>
        <v/>
      </c>
      <c r="M950" s="99">
        <f>COUNTIF($G$5:$G$979,"&lt;"&amp;G950)+(COUNTIF($G$5:$G$979,"="&amp;G950)+1)/2</f>
        <v/>
      </c>
      <c r="N950" s="99">
        <f>COUNTIF($H$5:$H$979,"&lt;"&amp;H950)+(COUNTIF($H$5:$H$979,"="&amp;H950)+1)/2</f>
        <v/>
      </c>
      <c r="O950" s="99">
        <f>COUNTIF($I$5:$I$979,"&lt;"&amp;I950)+(COUNTIF($I$5:$I$979,"="&amp;I950)+1)/2</f>
        <v/>
      </c>
      <c r="P950" s="99">
        <f>COUNTIF($J$5:$J$979,"&lt;"&amp;J950)+(COUNTIF($J$5:$J$979,"="&amp;J950)+1)/2</f>
        <v/>
      </c>
    </row>
    <row r="951" ht="15" customHeight="1" s="68">
      <c r="A951" s="70">
        <f>'01_원자료'!A948</f>
        <v/>
      </c>
      <c r="B951" s="70">
        <f>'01_원자료'!B948</f>
        <v/>
      </c>
      <c r="C951" s="70">
        <f>'01_원자료'!C948</f>
        <v/>
      </c>
      <c r="E951" s="85">
        <f>'01_원자료'!P948*'03_가중치민감도'!$B$5+'01_원자료'!Q948*'03_가중치민감도'!$C$5+'01_원자료'!R948*'03_가중치민감도'!$D$5</f>
        <v/>
      </c>
      <c r="F951" s="85">
        <f>'01_원자료'!P948*'03_가중치민감도'!$B$6+'01_원자료'!Q948*'03_가중치민감도'!$C$6+'01_원자료'!R948*'03_가중치민감도'!$D$6</f>
        <v/>
      </c>
      <c r="G951" s="85">
        <f>'01_원자료'!P948*'03_가중치민감도'!$B$7+'01_원자료'!Q948*'03_가중치민감도'!$C$7+'01_원자료'!R948*'03_가중치민감도'!$D$7</f>
        <v/>
      </c>
      <c r="H951" s="85">
        <f>'01_원자료'!P948*'03_가중치민감도'!$B$8+'01_원자료'!Q948*'03_가중치민감도'!$C$8+'01_원자료'!R948*'03_가중치민감도'!$D$8</f>
        <v/>
      </c>
      <c r="I951" s="85">
        <f>'01_원자료'!P948*'03_가중치민감도'!$B$9+'01_원자료'!Q948*'03_가중치민감도'!$C$9+'01_원자료'!R948*'03_가중치민감도'!$D$9</f>
        <v/>
      </c>
      <c r="J951" s="85">
        <f>'01_원자료'!P948*'03_가중치민감도'!$B$10+'01_원자료'!Q948*'03_가중치민감도'!$C$10+'01_원자료'!R948*'03_가중치민감도'!$D$10</f>
        <v/>
      </c>
      <c r="K951" s="99">
        <f>COUNTIF($E$5:$E$979,"&lt;"&amp;E951)+(COUNTIF($E$5:$E$979,"="&amp;E951)+1)/2</f>
        <v/>
      </c>
      <c r="L951" s="99">
        <f>COUNTIF($F$5:$F$979,"&lt;"&amp;F951)+(COUNTIF($F$5:$F$979,"="&amp;F951)+1)/2</f>
        <v/>
      </c>
      <c r="M951" s="99">
        <f>COUNTIF($G$5:$G$979,"&lt;"&amp;G951)+(COUNTIF($G$5:$G$979,"="&amp;G951)+1)/2</f>
        <v/>
      </c>
      <c r="N951" s="99">
        <f>COUNTIF($H$5:$H$979,"&lt;"&amp;H951)+(COUNTIF($H$5:$H$979,"="&amp;H951)+1)/2</f>
        <v/>
      </c>
      <c r="O951" s="99">
        <f>COUNTIF($I$5:$I$979,"&lt;"&amp;I951)+(COUNTIF($I$5:$I$979,"="&amp;I951)+1)/2</f>
        <v/>
      </c>
      <c r="P951" s="99">
        <f>COUNTIF($J$5:$J$979,"&lt;"&amp;J951)+(COUNTIF($J$5:$J$979,"="&amp;J951)+1)/2</f>
        <v/>
      </c>
    </row>
    <row r="952" ht="15" customHeight="1" s="68">
      <c r="A952" s="70">
        <f>'01_원자료'!A949</f>
        <v/>
      </c>
      <c r="B952" s="70">
        <f>'01_원자료'!B949</f>
        <v/>
      </c>
      <c r="C952" s="70">
        <f>'01_원자료'!C949</f>
        <v/>
      </c>
      <c r="E952" s="85">
        <f>'01_원자료'!P949*'03_가중치민감도'!$B$5+'01_원자료'!Q949*'03_가중치민감도'!$C$5+'01_원자료'!R949*'03_가중치민감도'!$D$5</f>
        <v/>
      </c>
      <c r="F952" s="85">
        <f>'01_원자료'!P949*'03_가중치민감도'!$B$6+'01_원자료'!Q949*'03_가중치민감도'!$C$6+'01_원자료'!R949*'03_가중치민감도'!$D$6</f>
        <v/>
      </c>
      <c r="G952" s="85">
        <f>'01_원자료'!P949*'03_가중치민감도'!$B$7+'01_원자료'!Q949*'03_가중치민감도'!$C$7+'01_원자료'!R949*'03_가중치민감도'!$D$7</f>
        <v/>
      </c>
      <c r="H952" s="85">
        <f>'01_원자료'!P949*'03_가중치민감도'!$B$8+'01_원자료'!Q949*'03_가중치민감도'!$C$8+'01_원자료'!R949*'03_가중치민감도'!$D$8</f>
        <v/>
      </c>
      <c r="I952" s="85">
        <f>'01_원자료'!P949*'03_가중치민감도'!$B$9+'01_원자료'!Q949*'03_가중치민감도'!$C$9+'01_원자료'!R949*'03_가중치민감도'!$D$9</f>
        <v/>
      </c>
      <c r="J952" s="85">
        <f>'01_원자료'!P949*'03_가중치민감도'!$B$10+'01_원자료'!Q949*'03_가중치민감도'!$C$10+'01_원자료'!R949*'03_가중치민감도'!$D$10</f>
        <v/>
      </c>
      <c r="K952" s="99">
        <f>COUNTIF($E$5:$E$979,"&lt;"&amp;E952)+(COUNTIF($E$5:$E$979,"="&amp;E952)+1)/2</f>
        <v/>
      </c>
      <c r="L952" s="99">
        <f>COUNTIF($F$5:$F$979,"&lt;"&amp;F952)+(COUNTIF($F$5:$F$979,"="&amp;F952)+1)/2</f>
        <v/>
      </c>
      <c r="M952" s="99">
        <f>COUNTIF($G$5:$G$979,"&lt;"&amp;G952)+(COUNTIF($G$5:$G$979,"="&amp;G952)+1)/2</f>
        <v/>
      </c>
      <c r="N952" s="99">
        <f>COUNTIF($H$5:$H$979,"&lt;"&amp;H952)+(COUNTIF($H$5:$H$979,"="&amp;H952)+1)/2</f>
        <v/>
      </c>
      <c r="O952" s="99">
        <f>COUNTIF($I$5:$I$979,"&lt;"&amp;I952)+(COUNTIF($I$5:$I$979,"="&amp;I952)+1)/2</f>
        <v/>
      </c>
      <c r="P952" s="99">
        <f>COUNTIF($J$5:$J$979,"&lt;"&amp;J952)+(COUNTIF($J$5:$J$979,"="&amp;J952)+1)/2</f>
        <v/>
      </c>
    </row>
    <row r="953" ht="15" customHeight="1" s="68">
      <c r="A953" s="70">
        <f>'01_원자료'!A950</f>
        <v/>
      </c>
      <c r="B953" s="70">
        <f>'01_원자료'!B950</f>
        <v/>
      </c>
      <c r="C953" s="70">
        <f>'01_원자료'!C950</f>
        <v/>
      </c>
      <c r="E953" s="85">
        <f>'01_원자료'!P950*'03_가중치민감도'!$B$5+'01_원자료'!Q950*'03_가중치민감도'!$C$5+'01_원자료'!R950*'03_가중치민감도'!$D$5</f>
        <v/>
      </c>
      <c r="F953" s="85">
        <f>'01_원자료'!P950*'03_가중치민감도'!$B$6+'01_원자료'!Q950*'03_가중치민감도'!$C$6+'01_원자료'!R950*'03_가중치민감도'!$D$6</f>
        <v/>
      </c>
      <c r="G953" s="85">
        <f>'01_원자료'!P950*'03_가중치민감도'!$B$7+'01_원자료'!Q950*'03_가중치민감도'!$C$7+'01_원자료'!R950*'03_가중치민감도'!$D$7</f>
        <v/>
      </c>
      <c r="H953" s="85">
        <f>'01_원자료'!P950*'03_가중치민감도'!$B$8+'01_원자료'!Q950*'03_가중치민감도'!$C$8+'01_원자료'!R950*'03_가중치민감도'!$D$8</f>
        <v/>
      </c>
      <c r="I953" s="85">
        <f>'01_원자료'!P950*'03_가중치민감도'!$B$9+'01_원자료'!Q950*'03_가중치민감도'!$C$9+'01_원자료'!R950*'03_가중치민감도'!$D$9</f>
        <v/>
      </c>
      <c r="J953" s="85">
        <f>'01_원자료'!P950*'03_가중치민감도'!$B$10+'01_원자료'!Q950*'03_가중치민감도'!$C$10+'01_원자료'!R950*'03_가중치민감도'!$D$10</f>
        <v/>
      </c>
      <c r="K953" s="99">
        <f>COUNTIF($E$5:$E$979,"&lt;"&amp;E953)+(COUNTIF($E$5:$E$979,"="&amp;E953)+1)/2</f>
        <v/>
      </c>
      <c r="L953" s="99">
        <f>COUNTIF($F$5:$F$979,"&lt;"&amp;F953)+(COUNTIF($F$5:$F$979,"="&amp;F953)+1)/2</f>
        <v/>
      </c>
      <c r="M953" s="99">
        <f>COUNTIF($G$5:$G$979,"&lt;"&amp;G953)+(COUNTIF($G$5:$G$979,"="&amp;G953)+1)/2</f>
        <v/>
      </c>
      <c r="N953" s="99">
        <f>COUNTIF($H$5:$H$979,"&lt;"&amp;H953)+(COUNTIF($H$5:$H$979,"="&amp;H953)+1)/2</f>
        <v/>
      </c>
      <c r="O953" s="99">
        <f>COUNTIF($I$5:$I$979,"&lt;"&amp;I953)+(COUNTIF($I$5:$I$979,"="&amp;I953)+1)/2</f>
        <v/>
      </c>
      <c r="P953" s="99">
        <f>COUNTIF($J$5:$J$979,"&lt;"&amp;J953)+(COUNTIF($J$5:$J$979,"="&amp;J953)+1)/2</f>
        <v/>
      </c>
    </row>
    <row r="954" ht="15" customHeight="1" s="68">
      <c r="A954" s="70">
        <f>'01_원자료'!A951</f>
        <v/>
      </c>
      <c r="B954" s="70">
        <f>'01_원자료'!B951</f>
        <v/>
      </c>
      <c r="C954" s="70">
        <f>'01_원자료'!C951</f>
        <v/>
      </c>
      <c r="E954" s="85">
        <f>'01_원자료'!P951*'03_가중치민감도'!$B$5+'01_원자료'!Q951*'03_가중치민감도'!$C$5+'01_원자료'!R951*'03_가중치민감도'!$D$5</f>
        <v/>
      </c>
      <c r="F954" s="85">
        <f>'01_원자료'!P951*'03_가중치민감도'!$B$6+'01_원자료'!Q951*'03_가중치민감도'!$C$6+'01_원자료'!R951*'03_가중치민감도'!$D$6</f>
        <v/>
      </c>
      <c r="G954" s="85">
        <f>'01_원자료'!P951*'03_가중치민감도'!$B$7+'01_원자료'!Q951*'03_가중치민감도'!$C$7+'01_원자료'!R951*'03_가중치민감도'!$D$7</f>
        <v/>
      </c>
      <c r="H954" s="85">
        <f>'01_원자료'!P951*'03_가중치민감도'!$B$8+'01_원자료'!Q951*'03_가중치민감도'!$C$8+'01_원자료'!R951*'03_가중치민감도'!$D$8</f>
        <v/>
      </c>
      <c r="I954" s="85">
        <f>'01_원자료'!P951*'03_가중치민감도'!$B$9+'01_원자료'!Q951*'03_가중치민감도'!$C$9+'01_원자료'!R951*'03_가중치민감도'!$D$9</f>
        <v/>
      </c>
      <c r="J954" s="85">
        <f>'01_원자료'!P951*'03_가중치민감도'!$B$10+'01_원자료'!Q951*'03_가중치민감도'!$C$10+'01_원자료'!R951*'03_가중치민감도'!$D$10</f>
        <v/>
      </c>
      <c r="K954" s="99">
        <f>COUNTIF($E$5:$E$979,"&lt;"&amp;E954)+(COUNTIF($E$5:$E$979,"="&amp;E954)+1)/2</f>
        <v/>
      </c>
      <c r="L954" s="99">
        <f>COUNTIF($F$5:$F$979,"&lt;"&amp;F954)+(COUNTIF($F$5:$F$979,"="&amp;F954)+1)/2</f>
        <v/>
      </c>
      <c r="M954" s="99">
        <f>COUNTIF($G$5:$G$979,"&lt;"&amp;G954)+(COUNTIF($G$5:$G$979,"="&amp;G954)+1)/2</f>
        <v/>
      </c>
      <c r="N954" s="99">
        <f>COUNTIF($H$5:$H$979,"&lt;"&amp;H954)+(COUNTIF($H$5:$H$979,"="&amp;H954)+1)/2</f>
        <v/>
      </c>
      <c r="O954" s="99">
        <f>COUNTIF($I$5:$I$979,"&lt;"&amp;I954)+(COUNTIF($I$5:$I$979,"="&amp;I954)+1)/2</f>
        <v/>
      </c>
      <c r="P954" s="99">
        <f>COUNTIF($J$5:$J$979,"&lt;"&amp;J954)+(COUNTIF($J$5:$J$979,"="&amp;J954)+1)/2</f>
        <v/>
      </c>
    </row>
    <row r="955" ht="15" customHeight="1" s="68">
      <c r="A955" s="70">
        <f>'01_원자료'!A952</f>
        <v/>
      </c>
      <c r="B955" s="70">
        <f>'01_원자료'!B952</f>
        <v/>
      </c>
      <c r="C955" s="70">
        <f>'01_원자료'!C952</f>
        <v/>
      </c>
      <c r="E955" s="85">
        <f>'01_원자료'!P952*'03_가중치민감도'!$B$5+'01_원자료'!Q952*'03_가중치민감도'!$C$5+'01_원자료'!R952*'03_가중치민감도'!$D$5</f>
        <v/>
      </c>
      <c r="F955" s="85">
        <f>'01_원자료'!P952*'03_가중치민감도'!$B$6+'01_원자료'!Q952*'03_가중치민감도'!$C$6+'01_원자료'!R952*'03_가중치민감도'!$D$6</f>
        <v/>
      </c>
      <c r="G955" s="85">
        <f>'01_원자료'!P952*'03_가중치민감도'!$B$7+'01_원자료'!Q952*'03_가중치민감도'!$C$7+'01_원자료'!R952*'03_가중치민감도'!$D$7</f>
        <v/>
      </c>
      <c r="H955" s="85">
        <f>'01_원자료'!P952*'03_가중치민감도'!$B$8+'01_원자료'!Q952*'03_가중치민감도'!$C$8+'01_원자료'!R952*'03_가중치민감도'!$D$8</f>
        <v/>
      </c>
      <c r="I955" s="85">
        <f>'01_원자료'!P952*'03_가중치민감도'!$B$9+'01_원자료'!Q952*'03_가중치민감도'!$C$9+'01_원자료'!R952*'03_가중치민감도'!$D$9</f>
        <v/>
      </c>
      <c r="J955" s="85">
        <f>'01_원자료'!P952*'03_가중치민감도'!$B$10+'01_원자료'!Q952*'03_가중치민감도'!$C$10+'01_원자료'!R952*'03_가중치민감도'!$D$10</f>
        <v/>
      </c>
      <c r="K955" s="99">
        <f>COUNTIF($E$5:$E$979,"&lt;"&amp;E955)+(COUNTIF($E$5:$E$979,"="&amp;E955)+1)/2</f>
        <v/>
      </c>
      <c r="L955" s="99">
        <f>COUNTIF($F$5:$F$979,"&lt;"&amp;F955)+(COUNTIF($F$5:$F$979,"="&amp;F955)+1)/2</f>
        <v/>
      </c>
      <c r="M955" s="99">
        <f>COUNTIF($G$5:$G$979,"&lt;"&amp;G955)+(COUNTIF($G$5:$G$979,"="&amp;G955)+1)/2</f>
        <v/>
      </c>
      <c r="N955" s="99">
        <f>COUNTIF($H$5:$H$979,"&lt;"&amp;H955)+(COUNTIF($H$5:$H$979,"="&amp;H955)+1)/2</f>
        <v/>
      </c>
      <c r="O955" s="99">
        <f>COUNTIF($I$5:$I$979,"&lt;"&amp;I955)+(COUNTIF($I$5:$I$979,"="&amp;I955)+1)/2</f>
        <v/>
      </c>
      <c r="P955" s="99">
        <f>COUNTIF($J$5:$J$979,"&lt;"&amp;J955)+(COUNTIF($J$5:$J$979,"="&amp;J955)+1)/2</f>
        <v/>
      </c>
    </row>
    <row r="956" ht="15" customHeight="1" s="68">
      <c r="A956" s="70">
        <f>'01_원자료'!A953</f>
        <v/>
      </c>
      <c r="B956" s="70">
        <f>'01_원자료'!B953</f>
        <v/>
      </c>
      <c r="C956" s="70">
        <f>'01_원자료'!C953</f>
        <v/>
      </c>
      <c r="E956" s="85">
        <f>'01_원자료'!P953*'03_가중치민감도'!$B$5+'01_원자료'!Q953*'03_가중치민감도'!$C$5+'01_원자료'!R953*'03_가중치민감도'!$D$5</f>
        <v/>
      </c>
      <c r="F956" s="85">
        <f>'01_원자료'!P953*'03_가중치민감도'!$B$6+'01_원자료'!Q953*'03_가중치민감도'!$C$6+'01_원자료'!R953*'03_가중치민감도'!$D$6</f>
        <v/>
      </c>
      <c r="G956" s="85">
        <f>'01_원자료'!P953*'03_가중치민감도'!$B$7+'01_원자료'!Q953*'03_가중치민감도'!$C$7+'01_원자료'!R953*'03_가중치민감도'!$D$7</f>
        <v/>
      </c>
      <c r="H956" s="85">
        <f>'01_원자료'!P953*'03_가중치민감도'!$B$8+'01_원자료'!Q953*'03_가중치민감도'!$C$8+'01_원자료'!R953*'03_가중치민감도'!$D$8</f>
        <v/>
      </c>
      <c r="I956" s="85">
        <f>'01_원자료'!P953*'03_가중치민감도'!$B$9+'01_원자료'!Q953*'03_가중치민감도'!$C$9+'01_원자료'!R953*'03_가중치민감도'!$D$9</f>
        <v/>
      </c>
      <c r="J956" s="85">
        <f>'01_원자료'!P953*'03_가중치민감도'!$B$10+'01_원자료'!Q953*'03_가중치민감도'!$C$10+'01_원자료'!R953*'03_가중치민감도'!$D$10</f>
        <v/>
      </c>
      <c r="K956" s="99">
        <f>COUNTIF($E$5:$E$979,"&lt;"&amp;E956)+(COUNTIF($E$5:$E$979,"="&amp;E956)+1)/2</f>
        <v/>
      </c>
      <c r="L956" s="99">
        <f>COUNTIF($F$5:$F$979,"&lt;"&amp;F956)+(COUNTIF($F$5:$F$979,"="&amp;F956)+1)/2</f>
        <v/>
      </c>
      <c r="M956" s="99">
        <f>COUNTIF($G$5:$G$979,"&lt;"&amp;G956)+(COUNTIF($G$5:$G$979,"="&amp;G956)+1)/2</f>
        <v/>
      </c>
      <c r="N956" s="99">
        <f>COUNTIF($H$5:$H$979,"&lt;"&amp;H956)+(COUNTIF($H$5:$H$979,"="&amp;H956)+1)/2</f>
        <v/>
      </c>
      <c r="O956" s="99">
        <f>COUNTIF($I$5:$I$979,"&lt;"&amp;I956)+(COUNTIF($I$5:$I$979,"="&amp;I956)+1)/2</f>
        <v/>
      </c>
      <c r="P956" s="99">
        <f>COUNTIF($J$5:$J$979,"&lt;"&amp;J956)+(COUNTIF($J$5:$J$979,"="&amp;J956)+1)/2</f>
        <v/>
      </c>
    </row>
    <row r="957" ht="15" customHeight="1" s="68">
      <c r="A957" s="70">
        <f>'01_원자료'!A954</f>
        <v/>
      </c>
      <c r="B957" s="70">
        <f>'01_원자료'!B954</f>
        <v/>
      </c>
      <c r="C957" s="70">
        <f>'01_원자료'!C954</f>
        <v/>
      </c>
      <c r="E957" s="85">
        <f>'01_원자료'!P954*'03_가중치민감도'!$B$5+'01_원자료'!Q954*'03_가중치민감도'!$C$5+'01_원자료'!R954*'03_가중치민감도'!$D$5</f>
        <v/>
      </c>
      <c r="F957" s="85">
        <f>'01_원자료'!P954*'03_가중치민감도'!$B$6+'01_원자료'!Q954*'03_가중치민감도'!$C$6+'01_원자료'!R954*'03_가중치민감도'!$D$6</f>
        <v/>
      </c>
      <c r="G957" s="85">
        <f>'01_원자료'!P954*'03_가중치민감도'!$B$7+'01_원자료'!Q954*'03_가중치민감도'!$C$7+'01_원자료'!R954*'03_가중치민감도'!$D$7</f>
        <v/>
      </c>
      <c r="H957" s="85">
        <f>'01_원자료'!P954*'03_가중치민감도'!$B$8+'01_원자료'!Q954*'03_가중치민감도'!$C$8+'01_원자료'!R954*'03_가중치민감도'!$D$8</f>
        <v/>
      </c>
      <c r="I957" s="85">
        <f>'01_원자료'!P954*'03_가중치민감도'!$B$9+'01_원자료'!Q954*'03_가중치민감도'!$C$9+'01_원자료'!R954*'03_가중치민감도'!$D$9</f>
        <v/>
      </c>
      <c r="J957" s="85">
        <f>'01_원자료'!P954*'03_가중치민감도'!$B$10+'01_원자료'!Q954*'03_가중치민감도'!$C$10+'01_원자료'!R954*'03_가중치민감도'!$D$10</f>
        <v/>
      </c>
      <c r="K957" s="99">
        <f>COUNTIF($E$5:$E$979,"&lt;"&amp;E957)+(COUNTIF($E$5:$E$979,"="&amp;E957)+1)/2</f>
        <v/>
      </c>
      <c r="L957" s="99">
        <f>COUNTIF($F$5:$F$979,"&lt;"&amp;F957)+(COUNTIF($F$5:$F$979,"="&amp;F957)+1)/2</f>
        <v/>
      </c>
      <c r="M957" s="99">
        <f>COUNTIF($G$5:$G$979,"&lt;"&amp;G957)+(COUNTIF($G$5:$G$979,"="&amp;G957)+1)/2</f>
        <v/>
      </c>
      <c r="N957" s="99">
        <f>COUNTIF($H$5:$H$979,"&lt;"&amp;H957)+(COUNTIF($H$5:$H$979,"="&amp;H957)+1)/2</f>
        <v/>
      </c>
      <c r="O957" s="99">
        <f>COUNTIF($I$5:$I$979,"&lt;"&amp;I957)+(COUNTIF($I$5:$I$979,"="&amp;I957)+1)/2</f>
        <v/>
      </c>
      <c r="P957" s="99">
        <f>COUNTIF($J$5:$J$979,"&lt;"&amp;J957)+(COUNTIF($J$5:$J$979,"="&amp;J957)+1)/2</f>
        <v/>
      </c>
    </row>
    <row r="958" ht="15" customHeight="1" s="68">
      <c r="A958" s="70">
        <f>'01_원자료'!A955</f>
        <v/>
      </c>
      <c r="B958" s="70">
        <f>'01_원자료'!B955</f>
        <v/>
      </c>
      <c r="C958" s="70">
        <f>'01_원자료'!C955</f>
        <v/>
      </c>
      <c r="E958" s="85">
        <f>'01_원자료'!P955*'03_가중치민감도'!$B$5+'01_원자료'!Q955*'03_가중치민감도'!$C$5+'01_원자료'!R955*'03_가중치민감도'!$D$5</f>
        <v/>
      </c>
      <c r="F958" s="85">
        <f>'01_원자료'!P955*'03_가중치민감도'!$B$6+'01_원자료'!Q955*'03_가중치민감도'!$C$6+'01_원자료'!R955*'03_가중치민감도'!$D$6</f>
        <v/>
      </c>
      <c r="G958" s="85">
        <f>'01_원자료'!P955*'03_가중치민감도'!$B$7+'01_원자료'!Q955*'03_가중치민감도'!$C$7+'01_원자료'!R955*'03_가중치민감도'!$D$7</f>
        <v/>
      </c>
      <c r="H958" s="85">
        <f>'01_원자료'!P955*'03_가중치민감도'!$B$8+'01_원자료'!Q955*'03_가중치민감도'!$C$8+'01_원자료'!R955*'03_가중치민감도'!$D$8</f>
        <v/>
      </c>
      <c r="I958" s="85">
        <f>'01_원자료'!P955*'03_가중치민감도'!$B$9+'01_원자료'!Q955*'03_가중치민감도'!$C$9+'01_원자료'!R955*'03_가중치민감도'!$D$9</f>
        <v/>
      </c>
      <c r="J958" s="85">
        <f>'01_원자료'!P955*'03_가중치민감도'!$B$10+'01_원자료'!Q955*'03_가중치민감도'!$C$10+'01_원자료'!R955*'03_가중치민감도'!$D$10</f>
        <v/>
      </c>
      <c r="K958" s="99">
        <f>COUNTIF($E$5:$E$979,"&lt;"&amp;E958)+(COUNTIF($E$5:$E$979,"="&amp;E958)+1)/2</f>
        <v/>
      </c>
      <c r="L958" s="99">
        <f>COUNTIF($F$5:$F$979,"&lt;"&amp;F958)+(COUNTIF($F$5:$F$979,"="&amp;F958)+1)/2</f>
        <v/>
      </c>
      <c r="M958" s="99">
        <f>COUNTIF($G$5:$G$979,"&lt;"&amp;G958)+(COUNTIF($G$5:$G$979,"="&amp;G958)+1)/2</f>
        <v/>
      </c>
      <c r="N958" s="99">
        <f>COUNTIF($H$5:$H$979,"&lt;"&amp;H958)+(COUNTIF($H$5:$H$979,"="&amp;H958)+1)/2</f>
        <v/>
      </c>
      <c r="O958" s="99">
        <f>COUNTIF($I$5:$I$979,"&lt;"&amp;I958)+(COUNTIF($I$5:$I$979,"="&amp;I958)+1)/2</f>
        <v/>
      </c>
      <c r="P958" s="99">
        <f>COUNTIF($J$5:$J$979,"&lt;"&amp;J958)+(COUNTIF($J$5:$J$979,"="&amp;J958)+1)/2</f>
        <v/>
      </c>
    </row>
    <row r="959" ht="15" customHeight="1" s="68">
      <c r="A959" s="70">
        <f>'01_원자료'!A956</f>
        <v/>
      </c>
      <c r="B959" s="70">
        <f>'01_원자료'!B956</f>
        <v/>
      </c>
      <c r="C959" s="70">
        <f>'01_원자료'!C956</f>
        <v/>
      </c>
      <c r="E959" s="85">
        <f>'01_원자료'!P956*'03_가중치민감도'!$B$5+'01_원자료'!Q956*'03_가중치민감도'!$C$5+'01_원자료'!R956*'03_가중치민감도'!$D$5</f>
        <v/>
      </c>
      <c r="F959" s="85">
        <f>'01_원자료'!P956*'03_가중치민감도'!$B$6+'01_원자료'!Q956*'03_가중치민감도'!$C$6+'01_원자료'!R956*'03_가중치민감도'!$D$6</f>
        <v/>
      </c>
      <c r="G959" s="85">
        <f>'01_원자료'!P956*'03_가중치민감도'!$B$7+'01_원자료'!Q956*'03_가중치민감도'!$C$7+'01_원자료'!R956*'03_가중치민감도'!$D$7</f>
        <v/>
      </c>
      <c r="H959" s="85">
        <f>'01_원자료'!P956*'03_가중치민감도'!$B$8+'01_원자료'!Q956*'03_가중치민감도'!$C$8+'01_원자료'!R956*'03_가중치민감도'!$D$8</f>
        <v/>
      </c>
      <c r="I959" s="85">
        <f>'01_원자료'!P956*'03_가중치민감도'!$B$9+'01_원자료'!Q956*'03_가중치민감도'!$C$9+'01_원자료'!R956*'03_가중치민감도'!$D$9</f>
        <v/>
      </c>
      <c r="J959" s="85">
        <f>'01_원자료'!P956*'03_가중치민감도'!$B$10+'01_원자료'!Q956*'03_가중치민감도'!$C$10+'01_원자료'!R956*'03_가중치민감도'!$D$10</f>
        <v/>
      </c>
      <c r="K959" s="99">
        <f>COUNTIF($E$5:$E$979,"&lt;"&amp;E959)+(COUNTIF($E$5:$E$979,"="&amp;E959)+1)/2</f>
        <v/>
      </c>
      <c r="L959" s="99">
        <f>COUNTIF($F$5:$F$979,"&lt;"&amp;F959)+(COUNTIF($F$5:$F$979,"="&amp;F959)+1)/2</f>
        <v/>
      </c>
      <c r="M959" s="99">
        <f>COUNTIF($G$5:$G$979,"&lt;"&amp;G959)+(COUNTIF($G$5:$G$979,"="&amp;G959)+1)/2</f>
        <v/>
      </c>
      <c r="N959" s="99">
        <f>COUNTIF($H$5:$H$979,"&lt;"&amp;H959)+(COUNTIF($H$5:$H$979,"="&amp;H959)+1)/2</f>
        <v/>
      </c>
      <c r="O959" s="99">
        <f>COUNTIF($I$5:$I$979,"&lt;"&amp;I959)+(COUNTIF($I$5:$I$979,"="&amp;I959)+1)/2</f>
        <v/>
      </c>
      <c r="P959" s="99">
        <f>COUNTIF($J$5:$J$979,"&lt;"&amp;J959)+(COUNTIF($J$5:$J$979,"="&amp;J959)+1)/2</f>
        <v/>
      </c>
    </row>
    <row r="960" ht="15" customHeight="1" s="68">
      <c r="A960" s="70">
        <f>'01_원자료'!A957</f>
        <v/>
      </c>
      <c r="B960" s="70">
        <f>'01_원자료'!B957</f>
        <v/>
      </c>
      <c r="C960" s="70">
        <f>'01_원자료'!C957</f>
        <v/>
      </c>
      <c r="E960" s="85">
        <f>'01_원자료'!P957*'03_가중치민감도'!$B$5+'01_원자료'!Q957*'03_가중치민감도'!$C$5+'01_원자료'!R957*'03_가중치민감도'!$D$5</f>
        <v/>
      </c>
      <c r="F960" s="85">
        <f>'01_원자료'!P957*'03_가중치민감도'!$B$6+'01_원자료'!Q957*'03_가중치민감도'!$C$6+'01_원자료'!R957*'03_가중치민감도'!$D$6</f>
        <v/>
      </c>
      <c r="G960" s="85">
        <f>'01_원자료'!P957*'03_가중치민감도'!$B$7+'01_원자료'!Q957*'03_가중치민감도'!$C$7+'01_원자료'!R957*'03_가중치민감도'!$D$7</f>
        <v/>
      </c>
      <c r="H960" s="85">
        <f>'01_원자료'!P957*'03_가중치민감도'!$B$8+'01_원자료'!Q957*'03_가중치민감도'!$C$8+'01_원자료'!R957*'03_가중치민감도'!$D$8</f>
        <v/>
      </c>
      <c r="I960" s="85">
        <f>'01_원자료'!P957*'03_가중치민감도'!$B$9+'01_원자료'!Q957*'03_가중치민감도'!$C$9+'01_원자료'!R957*'03_가중치민감도'!$D$9</f>
        <v/>
      </c>
      <c r="J960" s="85">
        <f>'01_원자료'!P957*'03_가중치민감도'!$B$10+'01_원자료'!Q957*'03_가중치민감도'!$C$10+'01_원자료'!R957*'03_가중치민감도'!$D$10</f>
        <v/>
      </c>
      <c r="K960" s="99">
        <f>COUNTIF($E$5:$E$979,"&lt;"&amp;E960)+(COUNTIF($E$5:$E$979,"="&amp;E960)+1)/2</f>
        <v/>
      </c>
      <c r="L960" s="99">
        <f>COUNTIF($F$5:$F$979,"&lt;"&amp;F960)+(COUNTIF($F$5:$F$979,"="&amp;F960)+1)/2</f>
        <v/>
      </c>
      <c r="M960" s="99">
        <f>COUNTIF($G$5:$G$979,"&lt;"&amp;G960)+(COUNTIF($G$5:$G$979,"="&amp;G960)+1)/2</f>
        <v/>
      </c>
      <c r="N960" s="99">
        <f>COUNTIF($H$5:$H$979,"&lt;"&amp;H960)+(COUNTIF($H$5:$H$979,"="&amp;H960)+1)/2</f>
        <v/>
      </c>
      <c r="O960" s="99">
        <f>COUNTIF($I$5:$I$979,"&lt;"&amp;I960)+(COUNTIF($I$5:$I$979,"="&amp;I960)+1)/2</f>
        <v/>
      </c>
      <c r="P960" s="99">
        <f>COUNTIF($J$5:$J$979,"&lt;"&amp;J960)+(COUNTIF($J$5:$J$979,"="&amp;J960)+1)/2</f>
        <v/>
      </c>
    </row>
    <row r="961" ht="15" customHeight="1" s="68">
      <c r="A961" s="70">
        <f>'01_원자료'!A958</f>
        <v/>
      </c>
      <c r="B961" s="70">
        <f>'01_원자료'!B958</f>
        <v/>
      </c>
      <c r="C961" s="70">
        <f>'01_원자료'!C958</f>
        <v/>
      </c>
      <c r="E961" s="85">
        <f>'01_원자료'!P958*'03_가중치민감도'!$B$5+'01_원자료'!Q958*'03_가중치민감도'!$C$5+'01_원자료'!R958*'03_가중치민감도'!$D$5</f>
        <v/>
      </c>
      <c r="F961" s="85">
        <f>'01_원자료'!P958*'03_가중치민감도'!$B$6+'01_원자료'!Q958*'03_가중치민감도'!$C$6+'01_원자료'!R958*'03_가중치민감도'!$D$6</f>
        <v/>
      </c>
      <c r="G961" s="85">
        <f>'01_원자료'!P958*'03_가중치민감도'!$B$7+'01_원자료'!Q958*'03_가중치민감도'!$C$7+'01_원자료'!R958*'03_가중치민감도'!$D$7</f>
        <v/>
      </c>
      <c r="H961" s="85">
        <f>'01_원자료'!P958*'03_가중치민감도'!$B$8+'01_원자료'!Q958*'03_가중치민감도'!$C$8+'01_원자료'!R958*'03_가중치민감도'!$D$8</f>
        <v/>
      </c>
      <c r="I961" s="85">
        <f>'01_원자료'!P958*'03_가중치민감도'!$B$9+'01_원자료'!Q958*'03_가중치민감도'!$C$9+'01_원자료'!R958*'03_가중치민감도'!$D$9</f>
        <v/>
      </c>
      <c r="J961" s="85">
        <f>'01_원자료'!P958*'03_가중치민감도'!$B$10+'01_원자료'!Q958*'03_가중치민감도'!$C$10+'01_원자료'!R958*'03_가중치민감도'!$D$10</f>
        <v/>
      </c>
      <c r="K961" s="99">
        <f>COUNTIF($E$5:$E$979,"&lt;"&amp;E961)+(COUNTIF($E$5:$E$979,"="&amp;E961)+1)/2</f>
        <v/>
      </c>
      <c r="L961" s="99">
        <f>COUNTIF($F$5:$F$979,"&lt;"&amp;F961)+(COUNTIF($F$5:$F$979,"="&amp;F961)+1)/2</f>
        <v/>
      </c>
      <c r="M961" s="99">
        <f>COUNTIF($G$5:$G$979,"&lt;"&amp;G961)+(COUNTIF($G$5:$G$979,"="&amp;G961)+1)/2</f>
        <v/>
      </c>
      <c r="N961" s="99">
        <f>COUNTIF($H$5:$H$979,"&lt;"&amp;H961)+(COUNTIF($H$5:$H$979,"="&amp;H961)+1)/2</f>
        <v/>
      </c>
      <c r="O961" s="99">
        <f>COUNTIF($I$5:$I$979,"&lt;"&amp;I961)+(COUNTIF($I$5:$I$979,"="&amp;I961)+1)/2</f>
        <v/>
      </c>
      <c r="P961" s="99">
        <f>COUNTIF($J$5:$J$979,"&lt;"&amp;J961)+(COUNTIF($J$5:$J$979,"="&amp;J961)+1)/2</f>
        <v/>
      </c>
    </row>
    <row r="962" ht="15" customHeight="1" s="68">
      <c r="A962" s="70">
        <f>'01_원자료'!A959</f>
        <v/>
      </c>
      <c r="B962" s="70">
        <f>'01_원자료'!B959</f>
        <v/>
      </c>
      <c r="C962" s="70">
        <f>'01_원자료'!C959</f>
        <v/>
      </c>
      <c r="E962" s="85">
        <f>'01_원자료'!P959*'03_가중치민감도'!$B$5+'01_원자료'!Q959*'03_가중치민감도'!$C$5+'01_원자료'!R959*'03_가중치민감도'!$D$5</f>
        <v/>
      </c>
      <c r="F962" s="85">
        <f>'01_원자료'!P959*'03_가중치민감도'!$B$6+'01_원자료'!Q959*'03_가중치민감도'!$C$6+'01_원자료'!R959*'03_가중치민감도'!$D$6</f>
        <v/>
      </c>
      <c r="G962" s="85">
        <f>'01_원자료'!P959*'03_가중치민감도'!$B$7+'01_원자료'!Q959*'03_가중치민감도'!$C$7+'01_원자료'!R959*'03_가중치민감도'!$D$7</f>
        <v/>
      </c>
      <c r="H962" s="85">
        <f>'01_원자료'!P959*'03_가중치민감도'!$B$8+'01_원자료'!Q959*'03_가중치민감도'!$C$8+'01_원자료'!R959*'03_가중치민감도'!$D$8</f>
        <v/>
      </c>
      <c r="I962" s="85">
        <f>'01_원자료'!P959*'03_가중치민감도'!$B$9+'01_원자료'!Q959*'03_가중치민감도'!$C$9+'01_원자료'!R959*'03_가중치민감도'!$D$9</f>
        <v/>
      </c>
      <c r="J962" s="85">
        <f>'01_원자료'!P959*'03_가중치민감도'!$B$10+'01_원자료'!Q959*'03_가중치민감도'!$C$10+'01_원자료'!R959*'03_가중치민감도'!$D$10</f>
        <v/>
      </c>
      <c r="K962" s="99">
        <f>COUNTIF($E$5:$E$979,"&lt;"&amp;E962)+(COUNTIF($E$5:$E$979,"="&amp;E962)+1)/2</f>
        <v/>
      </c>
      <c r="L962" s="99">
        <f>COUNTIF($F$5:$F$979,"&lt;"&amp;F962)+(COUNTIF($F$5:$F$979,"="&amp;F962)+1)/2</f>
        <v/>
      </c>
      <c r="M962" s="99">
        <f>COUNTIF($G$5:$G$979,"&lt;"&amp;G962)+(COUNTIF($G$5:$G$979,"="&amp;G962)+1)/2</f>
        <v/>
      </c>
      <c r="N962" s="99">
        <f>COUNTIF($H$5:$H$979,"&lt;"&amp;H962)+(COUNTIF($H$5:$H$979,"="&amp;H962)+1)/2</f>
        <v/>
      </c>
      <c r="O962" s="99">
        <f>COUNTIF($I$5:$I$979,"&lt;"&amp;I962)+(COUNTIF($I$5:$I$979,"="&amp;I962)+1)/2</f>
        <v/>
      </c>
      <c r="P962" s="99">
        <f>COUNTIF($J$5:$J$979,"&lt;"&amp;J962)+(COUNTIF($J$5:$J$979,"="&amp;J962)+1)/2</f>
        <v/>
      </c>
    </row>
    <row r="963" ht="15" customHeight="1" s="68">
      <c r="A963" s="70">
        <f>'01_원자료'!A960</f>
        <v/>
      </c>
      <c r="B963" s="70">
        <f>'01_원자료'!B960</f>
        <v/>
      </c>
      <c r="C963" s="70">
        <f>'01_원자료'!C960</f>
        <v/>
      </c>
      <c r="E963" s="85">
        <f>'01_원자료'!P960*'03_가중치민감도'!$B$5+'01_원자료'!Q960*'03_가중치민감도'!$C$5+'01_원자료'!R960*'03_가중치민감도'!$D$5</f>
        <v/>
      </c>
      <c r="F963" s="85">
        <f>'01_원자료'!P960*'03_가중치민감도'!$B$6+'01_원자료'!Q960*'03_가중치민감도'!$C$6+'01_원자료'!R960*'03_가중치민감도'!$D$6</f>
        <v/>
      </c>
      <c r="G963" s="85">
        <f>'01_원자료'!P960*'03_가중치민감도'!$B$7+'01_원자료'!Q960*'03_가중치민감도'!$C$7+'01_원자료'!R960*'03_가중치민감도'!$D$7</f>
        <v/>
      </c>
      <c r="H963" s="85">
        <f>'01_원자료'!P960*'03_가중치민감도'!$B$8+'01_원자료'!Q960*'03_가중치민감도'!$C$8+'01_원자료'!R960*'03_가중치민감도'!$D$8</f>
        <v/>
      </c>
      <c r="I963" s="85">
        <f>'01_원자료'!P960*'03_가중치민감도'!$B$9+'01_원자료'!Q960*'03_가중치민감도'!$C$9+'01_원자료'!R960*'03_가중치민감도'!$D$9</f>
        <v/>
      </c>
      <c r="J963" s="85">
        <f>'01_원자료'!P960*'03_가중치민감도'!$B$10+'01_원자료'!Q960*'03_가중치민감도'!$C$10+'01_원자료'!R960*'03_가중치민감도'!$D$10</f>
        <v/>
      </c>
      <c r="K963" s="99">
        <f>COUNTIF($E$5:$E$979,"&lt;"&amp;E963)+(COUNTIF($E$5:$E$979,"="&amp;E963)+1)/2</f>
        <v/>
      </c>
      <c r="L963" s="99">
        <f>COUNTIF($F$5:$F$979,"&lt;"&amp;F963)+(COUNTIF($F$5:$F$979,"="&amp;F963)+1)/2</f>
        <v/>
      </c>
      <c r="M963" s="99">
        <f>COUNTIF($G$5:$G$979,"&lt;"&amp;G963)+(COUNTIF($G$5:$G$979,"="&amp;G963)+1)/2</f>
        <v/>
      </c>
      <c r="N963" s="99">
        <f>COUNTIF($H$5:$H$979,"&lt;"&amp;H963)+(COUNTIF($H$5:$H$979,"="&amp;H963)+1)/2</f>
        <v/>
      </c>
      <c r="O963" s="99">
        <f>COUNTIF($I$5:$I$979,"&lt;"&amp;I963)+(COUNTIF($I$5:$I$979,"="&amp;I963)+1)/2</f>
        <v/>
      </c>
      <c r="P963" s="99">
        <f>COUNTIF($J$5:$J$979,"&lt;"&amp;J963)+(COUNTIF($J$5:$J$979,"="&amp;J963)+1)/2</f>
        <v/>
      </c>
    </row>
    <row r="964" ht="15" customHeight="1" s="68">
      <c r="A964" s="70">
        <f>'01_원자료'!A961</f>
        <v/>
      </c>
      <c r="B964" s="70">
        <f>'01_원자료'!B961</f>
        <v/>
      </c>
      <c r="C964" s="70">
        <f>'01_원자료'!C961</f>
        <v/>
      </c>
      <c r="E964" s="85">
        <f>'01_원자료'!P961*'03_가중치민감도'!$B$5+'01_원자료'!Q961*'03_가중치민감도'!$C$5+'01_원자료'!R961*'03_가중치민감도'!$D$5</f>
        <v/>
      </c>
      <c r="F964" s="85">
        <f>'01_원자료'!P961*'03_가중치민감도'!$B$6+'01_원자료'!Q961*'03_가중치민감도'!$C$6+'01_원자료'!R961*'03_가중치민감도'!$D$6</f>
        <v/>
      </c>
      <c r="G964" s="85">
        <f>'01_원자료'!P961*'03_가중치민감도'!$B$7+'01_원자료'!Q961*'03_가중치민감도'!$C$7+'01_원자료'!R961*'03_가중치민감도'!$D$7</f>
        <v/>
      </c>
      <c r="H964" s="85">
        <f>'01_원자료'!P961*'03_가중치민감도'!$B$8+'01_원자료'!Q961*'03_가중치민감도'!$C$8+'01_원자료'!R961*'03_가중치민감도'!$D$8</f>
        <v/>
      </c>
      <c r="I964" s="85">
        <f>'01_원자료'!P961*'03_가중치민감도'!$B$9+'01_원자료'!Q961*'03_가중치민감도'!$C$9+'01_원자료'!R961*'03_가중치민감도'!$D$9</f>
        <v/>
      </c>
      <c r="J964" s="85">
        <f>'01_원자료'!P961*'03_가중치민감도'!$B$10+'01_원자료'!Q961*'03_가중치민감도'!$C$10+'01_원자료'!R961*'03_가중치민감도'!$D$10</f>
        <v/>
      </c>
      <c r="K964" s="99">
        <f>COUNTIF($E$5:$E$979,"&lt;"&amp;E964)+(COUNTIF($E$5:$E$979,"="&amp;E964)+1)/2</f>
        <v/>
      </c>
      <c r="L964" s="99">
        <f>COUNTIF($F$5:$F$979,"&lt;"&amp;F964)+(COUNTIF($F$5:$F$979,"="&amp;F964)+1)/2</f>
        <v/>
      </c>
      <c r="M964" s="99">
        <f>COUNTIF($G$5:$G$979,"&lt;"&amp;G964)+(COUNTIF($G$5:$G$979,"="&amp;G964)+1)/2</f>
        <v/>
      </c>
      <c r="N964" s="99">
        <f>COUNTIF($H$5:$H$979,"&lt;"&amp;H964)+(COUNTIF($H$5:$H$979,"="&amp;H964)+1)/2</f>
        <v/>
      </c>
      <c r="O964" s="99">
        <f>COUNTIF($I$5:$I$979,"&lt;"&amp;I964)+(COUNTIF($I$5:$I$979,"="&amp;I964)+1)/2</f>
        <v/>
      </c>
      <c r="P964" s="99">
        <f>COUNTIF($J$5:$J$979,"&lt;"&amp;J964)+(COUNTIF($J$5:$J$979,"="&amp;J964)+1)/2</f>
        <v/>
      </c>
    </row>
    <row r="965" ht="15" customHeight="1" s="68">
      <c r="A965" s="70">
        <f>'01_원자료'!A962</f>
        <v/>
      </c>
      <c r="B965" s="70">
        <f>'01_원자료'!B962</f>
        <v/>
      </c>
      <c r="C965" s="70">
        <f>'01_원자료'!C962</f>
        <v/>
      </c>
      <c r="E965" s="85">
        <f>'01_원자료'!P962*'03_가중치민감도'!$B$5+'01_원자료'!Q962*'03_가중치민감도'!$C$5+'01_원자료'!R962*'03_가중치민감도'!$D$5</f>
        <v/>
      </c>
      <c r="F965" s="85">
        <f>'01_원자료'!P962*'03_가중치민감도'!$B$6+'01_원자료'!Q962*'03_가중치민감도'!$C$6+'01_원자료'!R962*'03_가중치민감도'!$D$6</f>
        <v/>
      </c>
      <c r="G965" s="85">
        <f>'01_원자료'!P962*'03_가중치민감도'!$B$7+'01_원자료'!Q962*'03_가중치민감도'!$C$7+'01_원자료'!R962*'03_가중치민감도'!$D$7</f>
        <v/>
      </c>
      <c r="H965" s="85">
        <f>'01_원자료'!P962*'03_가중치민감도'!$B$8+'01_원자료'!Q962*'03_가중치민감도'!$C$8+'01_원자료'!R962*'03_가중치민감도'!$D$8</f>
        <v/>
      </c>
      <c r="I965" s="85">
        <f>'01_원자료'!P962*'03_가중치민감도'!$B$9+'01_원자료'!Q962*'03_가중치민감도'!$C$9+'01_원자료'!R962*'03_가중치민감도'!$D$9</f>
        <v/>
      </c>
      <c r="J965" s="85">
        <f>'01_원자료'!P962*'03_가중치민감도'!$B$10+'01_원자료'!Q962*'03_가중치민감도'!$C$10+'01_원자료'!R962*'03_가중치민감도'!$D$10</f>
        <v/>
      </c>
      <c r="K965" s="99">
        <f>COUNTIF($E$5:$E$979,"&lt;"&amp;E965)+(COUNTIF($E$5:$E$979,"="&amp;E965)+1)/2</f>
        <v/>
      </c>
      <c r="L965" s="99">
        <f>COUNTIF($F$5:$F$979,"&lt;"&amp;F965)+(COUNTIF($F$5:$F$979,"="&amp;F965)+1)/2</f>
        <v/>
      </c>
      <c r="M965" s="99">
        <f>COUNTIF($G$5:$G$979,"&lt;"&amp;G965)+(COUNTIF($G$5:$G$979,"="&amp;G965)+1)/2</f>
        <v/>
      </c>
      <c r="N965" s="99">
        <f>COUNTIF($H$5:$H$979,"&lt;"&amp;H965)+(COUNTIF($H$5:$H$979,"="&amp;H965)+1)/2</f>
        <v/>
      </c>
      <c r="O965" s="99">
        <f>COUNTIF($I$5:$I$979,"&lt;"&amp;I965)+(COUNTIF($I$5:$I$979,"="&amp;I965)+1)/2</f>
        <v/>
      </c>
      <c r="P965" s="99">
        <f>COUNTIF($J$5:$J$979,"&lt;"&amp;J965)+(COUNTIF($J$5:$J$979,"="&amp;J965)+1)/2</f>
        <v/>
      </c>
    </row>
    <row r="966" ht="15" customHeight="1" s="68">
      <c r="A966" s="70">
        <f>'01_원자료'!A963</f>
        <v/>
      </c>
      <c r="B966" s="70">
        <f>'01_원자료'!B963</f>
        <v/>
      </c>
      <c r="C966" s="70">
        <f>'01_원자료'!C963</f>
        <v/>
      </c>
      <c r="E966" s="85">
        <f>'01_원자료'!P963*'03_가중치민감도'!$B$5+'01_원자료'!Q963*'03_가중치민감도'!$C$5+'01_원자료'!R963*'03_가중치민감도'!$D$5</f>
        <v/>
      </c>
      <c r="F966" s="85">
        <f>'01_원자료'!P963*'03_가중치민감도'!$B$6+'01_원자료'!Q963*'03_가중치민감도'!$C$6+'01_원자료'!R963*'03_가중치민감도'!$D$6</f>
        <v/>
      </c>
      <c r="G966" s="85">
        <f>'01_원자료'!P963*'03_가중치민감도'!$B$7+'01_원자료'!Q963*'03_가중치민감도'!$C$7+'01_원자료'!R963*'03_가중치민감도'!$D$7</f>
        <v/>
      </c>
      <c r="H966" s="85">
        <f>'01_원자료'!P963*'03_가중치민감도'!$B$8+'01_원자료'!Q963*'03_가중치민감도'!$C$8+'01_원자료'!R963*'03_가중치민감도'!$D$8</f>
        <v/>
      </c>
      <c r="I966" s="85">
        <f>'01_원자료'!P963*'03_가중치민감도'!$B$9+'01_원자료'!Q963*'03_가중치민감도'!$C$9+'01_원자료'!R963*'03_가중치민감도'!$D$9</f>
        <v/>
      </c>
      <c r="J966" s="85">
        <f>'01_원자료'!P963*'03_가중치민감도'!$B$10+'01_원자료'!Q963*'03_가중치민감도'!$C$10+'01_원자료'!R963*'03_가중치민감도'!$D$10</f>
        <v/>
      </c>
      <c r="K966" s="99">
        <f>COUNTIF($E$5:$E$979,"&lt;"&amp;E966)+(COUNTIF($E$5:$E$979,"="&amp;E966)+1)/2</f>
        <v/>
      </c>
      <c r="L966" s="99">
        <f>COUNTIF($F$5:$F$979,"&lt;"&amp;F966)+(COUNTIF($F$5:$F$979,"="&amp;F966)+1)/2</f>
        <v/>
      </c>
      <c r="M966" s="99">
        <f>COUNTIF($G$5:$G$979,"&lt;"&amp;G966)+(COUNTIF($G$5:$G$979,"="&amp;G966)+1)/2</f>
        <v/>
      </c>
      <c r="N966" s="99">
        <f>COUNTIF($H$5:$H$979,"&lt;"&amp;H966)+(COUNTIF($H$5:$H$979,"="&amp;H966)+1)/2</f>
        <v/>
      </c>
      <c r="O966" s="99">
        <f>COUNTIF($I$5:$I$979,"&lt;"&amp;I966)+(COUNTIF($I$5:$I$979,"="&amp;I966)+1)/2</f>
        <v/>
      </c>
      <c r="P966" s="99">
        <f>COUNTIF($J$5:$J$979,"&lt;"&amp;J966)+(COUNTIF($J$5:$J$979,"="&amp;J966)+1)/2</f>
        <v/>
      </c>
    </row>
    <row r="967" ht="15" customHeight="1" s="68">
      <c r="A967" s="70">
        <f>'01_원자료'!A964</f>
        <v/>
      </c>
      <c r="B967" s="70">
        <f>'01_원자료'!B964</f>
        <v/>
      </c>
      <c r="C967" s="70">
        <f>'01_원자료'!C964</f>
        <v/>
      </c>
      <c r="E967" s="85">
        <f>'01_원자료'!P964*'03_가중치민감도'!$B$5+'01_원자료'!Q964*'03_가중치민감도'!$C$5+'01_원자료'!R964*'03_가중치민감도'!$D$5</f>
        <v/>
      </c>
      <c r="F967" s="85">
        <f>'01_원자료'!P964*'03_가중치민감도'!$B$6+'01_원자료'!Q964*'03_가중치민감도'!$C$6+'01_원자료'!R964*'03_가중치민감도'!$D$6</f>
        <v/>
      </c>
      <c r="G967" s="85">
        <f>'01_원자료'!P964*'03_가중치민감도'!$B$7+'01_원자료'!Q964*'03_가중치민감도'!$C$7+'01_원자료'!R964*'03_가중치민감도'!$D$7</f>
        <v/>
      </c>
      <c r="H967" s="85">
        <f>'01_원자료'!P964*'03_가중치민감도'!$B$8+'01_원자료'!Q964*'03_가중치민감도'!$C$8+'01_원자료'!R964*'03_가중치민감도'!$D$8</f>
        <v/>
      </c>
      <c r="I967" s="85">
        <f>'01_원자료'!P964*'03_가중치민감도'!$B$9+'01_원자료'!Q964*'03_가중치민감도'!$C$9+'01_원자료'!R964*'03_가중치민감도'!$D$9</f>
        <v/>
      </c>
      <c r="J967" s="85">
        <f>'01_원자료'!P964*'03_가중치민감도'!$B$10+'01_원자료'!Q964*'03_가중치민감도'!$C$10+'01_원자료'!R964*'03_가중치민감도'!$D$10</f>
        <v/>
      </c>
      <c r="K967" s="99">
        <f>COUNTIF($E$5:$E$979,"&lt;"&amp;E967)+(COUNTIF($E$5:$E$979,"="&amp;E967)+1)/2</f>
        <v/>
      </c>
      <c r="L967" s="99">
        <f>COUNTIF($F$5:$F$979,"&lt;"&amp;F967)+(COUNTIF($F$5:$F$979,"="&amp;F967)+1)/2</f>
        <v/>
      </c>
      <c r="M967" s="99">
        <f>COUNTIF($G$5:$G$979,"&lt;"&amp;G967)+(COUNTIF($G$5:$G$979,"="&amp;G967)+1)/2</f>
        <v/>
      </c>
      <c r="N967" s="99">
        <f>COUNTIF($H$5:$H$979,"&lt;"&amp;H967)+(COUNTIF($H$5:$H$979,"="&amp;H967)+1)/2</f>
        <v/>
      </c>
      <c r="O967" s="99">
        <f>COUNTIF($I$5:$I$979,"&lt;"&amp;I967)+(COUNTIF($I$5:$I$979,"="&amp;I967)+1)/2</f>
        <v/>
      </c>
      <c r="P967" s="99">
        <f>COUNTIF($J$5:$J$979,"&lt;"&amp;J967)+(COUNTIF($J$5:$J$979,"="&amp;J967)+1)/2</f>
        <v/>
      </c>
    </row>
    <row r="968" ht="15" customHeight="1" s="68">
      <c r="A968" s="70">
        <f>'01_원자료'!A965</f>
        <v/>
      </c>
      <c r="B968" s="70">
        <f>'01_원자료'!B965</f>
        <v/>
      </c>
      <c r="C968" s="70">
        <f>'01_원자료'!C965</f>
        <v/>
      </c>
      <c r="E968" s="85">
        <f>'01_원자료'!P965*'03_가중치민감도'!$B$5+'01_원자료'!Q965*'03_가중치민감도'!$C$5+'01_원자료'!R965*'03_가중치민감도'!$D$5</f>
        <v/>
      </c>
      <c r="F968" s="85">
        <f>'01_원자료'!P965*'03_가중치민감도'!$B$6+'01_원자료'!Q965*'03_가중치민감도'!$C$6+'01_원자료'!R965*'03_가중치민감도'!$D$6</f>
        <v/>
      </c>
      <c r="G968" s="85">
        <f>'01_원자료'!P965*'03_가중치민감도'!$B$7+'01_원자료'!Q965*'03_가중치민감도'!$C$7+'01_원자료'!R965*'03_가중치민감도'!$D$7</f>
        <v/>
      </c>
      <c r="H968" s="85">
        <f>'01_원자료'!P965*'03_가중치민감도'!$B$8+'01_원자료'!Q965*'03_가중치민감도'!$C$8+'01_원자료'!R965*'03_가중치민감도'!$D$8</f>
        <v/>
      </c>
      <c r="I968" s="85">
        <f>'01_원자료'!P965*'03_가중치민감도'!$B$9+'01_원자료'!Q965*'03_가중치민감도'!$C$9+'01_원자료'!R965*'03_가중치민감도'!$D$9</f>
        <v/>
      </c>
      <c r="J968" s="85">
        <f>'01_원자료'!P965*'03_가중치민감도'!$B$10+'01_원자료'!Q965*'03_가중치민감도'!$C$10+'01_원자료'!R965*'03_가중치민감도'!$D$10</f>
        <v/>
      </c>
      <c r="K968" s="99">
        <f>COUNTIF($E$5:$E$979,"&lt;"&amp;E968)+(COUNTIF($E$5:$E$979,"="&amp;E968)+1)/2</f>
        <v/>
      </c>
      <c r="L968" s="99">
        <f>COUNTIF($F$5:$F$979,"&lt;"&amp;F968)+(COUNTIF($F$5:$F$979,"="&amp;F968)+1)/2</f>
        <v/>
      </c>
      <c r="M968" s="99">
        <f>COUNTIF($G$5:$G$979,"&lt;"&amp;G968)+(COUNTIF($G$5:$G$979,"="&amp;G968)+1)/2</f>
        <v/>
      </c>
      <c r="N968" s="99">
        <f>COUNTIF($H$5:$H$979,"&lt;"&amp;H968)+(COUNTIF($H$5:$H$979,"="&amp;H968)+1)/2</f>
        <v/>
      </c>
      <c r="O968" s="99">
        <f>COUNTIF($I$5:$I$979,"&lt;"&amp;I968)+(COUNTIF($I$5:$I$979,"="&amp;I968)+1)/2</f>
        <v/>
      </c>
      <c r="P968" s="99">
        <f>COUNTIF($J$5:$J$979,"&lt;"&amp;J968)+(COUNTIF($J$5:$J$979,"="&amp;J968)+1)/2</f>
        <v/>
      </c>
    </row>
    <row r="969" ht="15" customHeight="1" s="68">
      <c r="A969" s="70">
        <f>'01_원자료'!A966</f>
        <v/>
      </c>
      <c r="B969" s="70">
        <f>'01_원자료'!B966</f>
        <v/>
      </c>
      <c r="C969" s="70">
        <f>'01_원자료'!C966</f>
        <v/>
      </c>
      <c r="E969" s="85">
        <f>'01_원자료'!P966*'03_가중치민감도'!$B$5+'01_원자료'!Q966*'03_가중치민감도'!$C$5+'01_원자료'!R966*'03_가중치민감도'!$D$5</f>
        <v/>
      </c>
      <c r="F969" s="85">
        <f>'01_원자료'!P966*'03_가중치민감도'!$B$6+'01_원자료'!Q966*'03_가중치민감도'!$C$6+'01_원자료'!R966*'03_가중치민감도'!$D$6</f>
        <v/>
      </c>
      <c r="G969" s="85">
        <f>'01_원자료'!P966*'03_가중치민감도'!$B$7+'01_원자료'!Q966*'03_가중치민감도'!$C$7+'01_원자료'!R966*'03_가중치민감도'!$D$7</f>
        <v/>
      </c>
      <c r="H969" s="85">
        <f>'01_원자료'!P966*'03_가중치민감도'!$B$8+'01_원자료'!Q966*'03_가중치민감도'!$C$8+'01_원자료'!R966*'03_가중치민감도'!$D$8</f>
        <v/>
      </c>
      <c r="I969" s="85">
        <f>'01_원자료'!P966*'03_가중치민감도'!$B$9+'01_원자료'!Q966*'03_가중치민감도'!$C$9+'01_원자료'!R966*'03_가중치민감도'!$D$9</f>
        <v/>
      </c>
      <c r="J969" s="85">
        <f>'01_원자료'!P966*'03_가중치민감도'!$B$10+'01_원자료'!Q966*'03_가중치민감도'!$C$10+'01_원자료'!R966*'03_가중치민감도'!$D$10</f>
        <v/>
      </c>
      <c r="K969" s="99">
        <f>COUNTIF($E$5:$E$979,"&lt;"&amp;E969)+(COUNTIF($E$5:$E$979,"="&amp;E969)+1)/2</f>
        <v/>
      </c>
      <c r="L969" s="99">
        <f>COUNTIF($F$5:$F$979,"&lt;"&amp;F969)+(COUNTIF($F$5:$F$979,"="&amp;F969)+1)/2</f>
        <v/>
      </c>
      <c r="M969" s="99">
        <f>COUNTIF($G$5:$G$979,"&lt;"&amp;G969)+(COUNTIF($G$5:$G$979,"="&amp;G969)+1)/2</f>
        <v/>
      </c>
      <c r="N969" s="99">
        <f>COUNTIF($H$5:$H$979,"&lt;"&amp;H969)+(COUNTIF($H$5:$H$979,"="&amp;H969)+1)/2</f>
        <v/>
      </c>
      <c r="O969" s="99">
        <f>COUNTIF($I$5:$I$979,"&lt;"&amp;I969)+(COUNTIF($I$5:$I$979,"="&amp;I969)+1)/2</f>
        <v/>
      </c>
      <c r="P969" s="99">
        <f>COUNTIF($J$5:$J$979,"&lt;"&amp;J969)+(COUNTIF($J$5:$J$979,"="&amp;J969)+1)/2</f>
        <v/>
      </c>
    </row>
    <row r="970" ht="15" customHeight="1" s="68">
      <c r="A970" s="70">
        <f>'01_원자료'!A967</f>
        <v/>
      </c>
      <c r="B970" s="70">
        <f>'01_원자료'!B967</f>
        <v/>
      </c>
      <c r="C970" s="70">
        <f>'01_원자료'!C967</f>
        <v/>
      </c>
      <c r="E970" s="85">
        <f>'01_원자료'!P967*'03_가중치민감도'!$B$5+'01_원자료'!Q967*'03_가중치민감도'!$C$5+'01_원자료'!R967*'03_가중치민감도'!$D$5</f>
        <v/>
      </c>
      <c r="F970" s="85">
        <f>'01_원자료'!P967*'03_가중치민감도'!$B$6+'01_원자료'!Q967*'03_가중치민감도'!$C$6+'01_원자료'!R967*'03_가중치민감도'!$D$6</f>
        <v/>
      </c>
      <c r="G970" s="85">
        <f>'01_원자료'!P967*'03_가중치민감도'!$B$7+'01_원자료'!Q967*'03_가중치민감도'!$C$7+'01_원자료'!R967*'03_가중치민감도'!$D$7</f>
        <v/>
      </c>
      <c r="H970" s="85">
        <f>'01_원자료'!P967*'03_가중치민감도'!$B$8+'01_원자료'!Q967*'03_가중치민감도'!$C$8+'01_원자료'!R967*'03_가중치민감도'!$D$8</f>
        <v/>
      </c>
      <c r="I970" s="85">
        <f>'01_원자료'!P967*'03_가중치민감도'!$B$9+'01_원자료'!Q967*'03_가중치민감도'!$C$9+'01_원자료'!R967*'03_가중치민감도'!$D$9</f>
        <v/>
      </c>
      <c r="J970" s="85">
        <f>'01_원자료'!P967*'03_가중치민감도'!$B$10+'01_원자료'!Q967*'03_가중치민감도'!$C$10+'01_원자료'!R967*'03_가중치민감도'!$D$10</f>
        <v/>
      </c>
      <c r="K970" s="99">
        <f>COUNTIF($E$5:$E$979,"&lt;"&amp;E970)+(COUNTIF($E$5:$E$979,"="&amp;E970)+1)/2</f>
        <v/>
      </c>
      <c r="L970" s="99">
        <f>COUNTIF($F$5:$F$979,"&lt;"&amp;F970)+(COUNTIF($F$5:$F$979,"="&amp;F970)+1)/2</f>
        <v/>
      </c>
      <c r="M970" s="99">
        <f>COUNTIF($G$5:$G$979,"&lt;"&amp;G970)+(COUNTIF($G$5:$G$979,"="&amp;G970)+1)/2</f>
        <v/>
      </c>
      <c r="N970" s="99">
        <f>COUNTIF($H$5:$H$979,"&lt;"&amp;H970)+(COUNTIF($H$5:$H$979,"="&amp;H970)+1)/2</f>
        <v/>
      </c>
      <c r="O970" s="99">
        <f>COUNTIF($I$5:$I$979,"&lt;"&amp;I970)+(COUNTIF($I$5:$I$979,"="&amp;I970)+1)/2</f>
        <v/>
      </c>
      <c r="P970" s="99">
        <f>COUNTIF($J$5:$J$979,"&lt;"&amp;J970)+(COUNTIF($J$5:$J$979,"="&amp;J970)+1)/2</f>
        <v/>
      </c>
    </row>
    <row r="971" ht="15" customHeight="1" s="68">
      <c r="A971" s="70">
        <f>'01_원자료'!A968</f>
        <v/>
      </c>
      <c r="B971" s="70">
        <f>'01_원자료'!B968</f>
        <v/>
      </c>
      <c r="C971" s="70">
        <f>'01_원자료'!C968</f>
        <v/>
      </c>
      <c r="E971" s="85">
        <f>'01_원자료'!P968*'03_가중치민감도'!$B$5+'01_원자료'!Q968*'03_가중치민감도'!$C$5+'01_원자료'!R968*'03_가중치민감도'!$D$5</f>
        <v/>
      </c>
      <c r="F971" s="85">
        <f>'01_원자료'!P968*'03_가중치민감도'!$B$6+'01_원자료'!Q968*'03_가중치민감도'!$C$6+'01_원자료'!R968*'03_가중치민감도'!$D$6</f>
        <v/>
      </c>
      <c r="G971" s="85">
        <f>'01_원자료'!P968*'03_가중치민감도'!$B$7+'01_원자료'!Q968*'03_가중치민감도'!$C$7+'01_원자료'!R968*'03_가중치민감도'!$D$7</f>
        <v/>
      </c>
      <c r="H971" s="85">
        <f>'01_원자료'!P968*'03_가중치민감도'!$B$8+'01_원자료'!Q968*'03_가중치민감도'!$C$8+'01_원자료'!R968*'03_가중치민감도'!$D$8</f>
        <v/>
      </c>
      <c r="I971" s="85">
        <f>'01_원자료'!P968*'03_가중치민감도'!$B$9+'01_원자료'!Q968*'03_가중치민감도'!$C$9+'01_원자료'!R968*'03_가중치민감도'!$D$9</f>
        <v/>
      </c>
      <c r="J971" s="85">
        <f>'01_원자료'!P968*'03_가중치민감도'!$B$10+'01_원자료'!Q968*'03_가중치민감도'!$C$10+'01_원자료'!R968*'03_가중치민감도'!$D$10</f>
        <v/>
      </c>
      <c r="K971" s="99">
        <f>COUNTIF($E$5:$E$979,"&lt;"&amp;E971)+(COUNTIF($E$5:$E$979,"="&amp;E971)+1)/2</f>
        <v/>
      </c>
      <c r="L971" s="99">
        <f>COUNTIF($F$5:$F$979,"&lt;"&amp;F971)+(COUNTIF($F$5:$F$979,"="&amp;F971)+1)/2</f>
        <v/>
      </c>
      <c r="M971" s="99">
        <f>COUNTIF($G$5:$G$979,"&lt;"&amp;G971)+(COUNTIF($G$5:$G$979,"="&amp;G971)+1)/2</f>
        <v/>
      </c>
      <c r="N971" s="99">
        <f>COUNTIF($H$5:$H$979,"&lt;"&amp;H971)+(COUNTIF($H$5:$H$979,"="&amp;H971)+1)/2</f>
        <v/>
      </c>
      <c r="O971" s="99">
        <f>COUNTIF($I$5:$I$979,"&lt;"&amp;I971)+(COUNTIF($I$5:$I$979,"="&amp;I971)+1)/2</f>
        <v/>
      </c>
      <c r="P971" s="99">
        <f>COUNTIF($J$5:$J$979,"&lt;"&amp;J971)+(COUNTIF($J$5:$J$979,"="&amp;J971)+1)/2</f>
        <v/>
      </c>
    </row>
    <row r="972" ht="15" customHeight="1" s="68">
      <c r="A972" s="70">
        <f>'01_원자료'!A969</f>
        <v/>
      </c>
      <c r="B972" s="70">
        <f>'01_원자료'!B969</f>
        <v/>
      </c>
      <c r="C972" s="70">
        <f>'01_원자료'!C969</f>
        <v/>
      </c>
      <c r="E972" s="85">
        <f>'01_원자료'!P969*'03_가중치민감도'!$B$5+'01_원자료'!Q969*'03_가중치민감도'!$C$5+'01_원자료'!R969*'03_가중치민감도'!$D$5</f>
        <v/>
      </c>
      <c r="F972" s="85">
        <f>'01_원자료'!P969*'03_가중치민감도'!$B$6+'01_원자료'!Q969*'03_가중치민감도'!$C$6+'01_원자료'!R969*'03_가중치민감도'!$D$6</f>
        <v/>
      </c>
      <c r="G972" s="85">
        <f>'01_원자료'!P969*'03_가중치민감도'!$B$7+'01_원자료'!Q969*'03_가중치민감도'!$C$7+'01_원자료'!R969*'03_가중치민감도'!$D$7</f>
        <v/>
      </c>
      <c r="H972" s="85">
        <f>'01_원자료'!P969*'03_가중치민감도'!$B$8+'01_원자료'!Q969*'03_가중치민감도'!$C$8+'01_원자료'!R969*'03_가중치민감도'!$D$8</f>
        <v/>
      </c>
      <c r="I972" s="85">
        <f>'01_원자료'!P969*'03_가중치민감도'!$B$9+'01_원자료'!Q969*'03_가중치민감도'!$C$9+'01_원자료'!R969*'03_가중치민감도'!$D$9</f>
        <v/>
      </c>
      <c r="J972" s="85">
        <f>'01_원자료'!P969*'03_가중치민감도'!$B$10+'01_원자료'!Q969*'03_가중치민감도'!$C$10+'01_원자료'!R969*'03_가중치민감도'!$D$10</f>
        <v/>
      </c>
      <c r="K972" s="99">
        <f>COUNTIF($E$5:$E$979,"&lt;"&amp;E972)+(COUNTIF($E$5:$E$979,"="&amp;E972)+1)/2</f>
        <v/>
      </c>
      <c r="L972" s="99">
        <f>COUNTIF($F$5:$F$979,"&lt;"&amp;F972)+(COUNTIF($F$5:$F$979,"="&amp;F972)+1)/2</f>
        <v/>
      </c>
      <c r="M972" s="99">
        <f>COUNTIF($G$5:$G$979,"&lt;"&amp;G972)+(COUNTIF($G$5:$G$979,"="&amp;G972)+1)/2</f>
        <v/>
      </c>
      <c r="N972" s="99">
        <f>COUNTIF($H$5:$H$979,"&lt;"&amp;H972)+(COUNTIF($H$5:$H$979,"="&amp;H972)+1)/2</f>
        <v/>
      </c>
      <c r="O972" s="99">
        <f>COUNTIF($I$5:$I$979,"&lt;"&amp;I972)+(COUNTIF($I$5:$I$979,"="&amp;I972)+1)/2</f>
        <v/>
      </c>
      <c r="P972" s="99">
        <f>COUNTIF($J$5:$J$979,"&lt;"&amp;J972)+(COUNTIF($J$5:$J$979,"="&amp;J972)+1)/2</f>
        <v/>
      </c>
    </row>
    <row r="973" ht="15" customHeight="1" s="68">
      <c r="A973" s="70">
        <f>'01_원자료'!A970</f>
        <v/>
      </c>
      <c r="B973" s="70">
        <f>'01_원자료'!B970</f>
        <v/>
      </c>
      <c r="C973" s="70">
        <f>'01_원자료'!C970</f>
        <v/>
      </c>
      <c r="E973" s="85">
        <f>'01_원자료'!P970*'03_가중치민감도'!$B$5+'01_원자료'!Q970*'03_가중치민감도'!$C$5+'01_원자료'!R970*'03_가중치민감도'!$D$5</f>
        <v/>
      </c>
      <c r="F973" s="85">
        <f>'01_원자료'!P970*'03_가중치민감도'!$B$6+'01_원자료'!Q970*'03_가중치민감도'!$C$6+'01_원자료'!R970*'03_가중치민감도'!$D$6</f>
        <v/>
      </c>
      <c r="G973" s="85">
        <f>'01_원자료'!P970*'03_가중치민감도'!$B$7+'01_원자료'!Q970*'03_가중치민감도'!$C$7+'01_원자료'!R970*'03_가중치민감도'!$D$7</f>
        <v/>
      </c>
      <c r="H973" s="85">
        <f>'01_원자료'!P970*'03_가중치민감도'!$B$8+'01_원자료'!Q970*'03_가중치민감도'!$C$8+'01_원자료'!R970*'03_가중치민감도'!$D$8</f>
        <v/>
      </c>
      <c r="I973" s="85">
        <f>'01_원자료'!P970*'03_가중치민감도'!$B$9+'01_원자료'!Q970*'03_가중치민감도'!$C$9+'01_원자료'!R970*'03_가중치민감도'!$D$9</f>
        <v/>
      </c>
      <c r="J973" s="85">
        <f>'01_원자료'!P970*'03_가중치민감도'!$B$10+'01_원자료'!Q970*'03_가중치민감도'!$C$10+'01_원자료'!R970*'03_가중치민감도'!$D$10</f>
        <v/>
      </c>
      <c r="K973" s="99">
        <f>COUNTIF($E$5:$E$979,"&lt;"&amp;E973)+(COUNTIF($E$5:$E$979,"="&amp;E973)+1)/2</f>
        <v/>
      </c>
      <c r="L973" s="99">
        <f>COUNTIF($F$5:$F$979,"&lt;"&amp;F973)+(COUNTIF($F$5:$F$979,"="&amp;F973)+1)/2</f>
        <v/>
      </c>
      <c r="M973" s="99">
        <f>COUNTIF($G$5:$G$979,"&lt;"&amp;G973)+(COUNTIF($G$5:$G$979,"="&amp;G973)+1)/2</f>
        <v/>
      </c>
      <c r="N973" s="99">
        <f>COUNTIF($H$5:$H$979,"&lt;"&amp;H973)+(COUNTIF($H$5:$H$979,"="&amp;H973)+1)/2</f>
        <v/>
      </c>
      <c r="O973" s="99">
        <f>COUNTIF($I$5:$I$979,"&lt;"&amp;I973)+(COUNTIF($I$5:$I$979,"="&amp;I973)+1)/2</f>
        <v/>
      </c>
      <c r="P973" s="99">
        <f>COUNTIF($J$5:$J$979,"&lt;"&amp;J973)+(COUNTIF($J$5:$J$979,"="&amp;J973)+1)/2</f>
        <v/>
      </c>
    </row>
    <row r="974" ht="15" customHeight="1" s="68">
      <c r="A974" s="70">
        <f>'01_원자료'!A971</f>
        <v/>
      </c>
      <c r="B974" s="70">
        <f>'01_원자료'!B971</f>
        <v/>
      </c>
      <c r="C974" s="70">
        <f>'01_원자료'!C971</f>
        <v/>
      </c>
      <c r="E974" s="85">
        <f>'01_원자료'!P971*'03_가중치민감도'!$B$5+'01_원자료'!Q971*'03_가중치민감도'!$C$5+'01_원자료'!R971*'03_가중치민감도'!$D$5</f>
        <v/>
      </c>
      <c r="F974" s="85">
        <f>'01_원자료'!P971*'03_가중치민감도'!$B$6+'01_원자료'!Q971*'03_가중치민감도'!$C$6+'01_원자료'!R971*'03_가중치민감도'!$D$6</f>
        <v/>
      </c>
      <c r="G974" s="85">
        <f>'01_원자료'!P971*'03_가중치민감도'!$B$7+'01_원자료'!Q971*'03_가중치민감도'!$C$7+'01_원자료'!R971*'03_가중치민감도'!$D$7</f>
        <v/>
      </c>
      <c r="H974" s="85">
        <f>'01_원자료'!P971*'03_가중치민감도'!$B$8+'01_원자료'!Q971*'03_가중치민감도'!$C$8+'01_원자료'!R971*'03_가중치민감도'!$D$8</f>
        <v/>
      </c>
      <c r="I974" s="85">
        <f>'01_원자료'!P971*'03_가중치민감도'!$B$9+'01_원자료'!Q971*'03_가중치민감도'!$C$9+'01_원자료'!R971*'03_가중치민감도'!$D$9</f>
        <v/>
      </c>
      <c r="J974" s="85">
        <f>'01_원자료'!P971*'03_가중치민감도'!$B$10+'01_원자료'!Q971*'03_가중치민감도'!$C$10+'01_원자료'!R971*'03_가중치민감도'!$D$10</f>
        <v/>
      </c>
      <c r="K974" s="99">
        <f>COUNTIF($E$5:$E$979,"&lt;"&amp;E974)+(COUNTIF($E$5:$E$979,"="&amp;E974)+1)/2</f>
        <v/>
      </c>
      <c r="L974" s="99">
        <f>COUNTIF($F$5:$F$979,"&lt;"&amp;F974)+(COUNTIF($F$5:$F$979,"="&amp;F974)+1)/2</f>
        <v/>
      </c>
      <c r="M974" s="99">
        <f>COUNTIF($G$5:$G$979,"&lt;"&amp;G974)+(COUNTIF($G$5:$G$979,"="&amp;G974)+1)/2</f>
        <v/>
      </c>
      <c r="N974" s="99">
        <f>COUNTIF($H$5:$H$979,"&lt;"&amp;H974)+(COUNTIF($H$5:$H$979,"="&amp;H974)+1)/2</f>
        <v/>
      </c>
      <c r="O974" s="99">
        <f>COUNTIF($I$5:$I$979,"&lt;"&amp;I974)+(COUNTIF($I$5:$I$979,"="&amp;I974)+1)/2</f>
        <v/>
      </c>
      <c r="P974" s="99">
        <f>COUNTIF($J$5:$J$979,"&lt;"&amp;J974)+(COUNTIF($J$5:$J$979,"="&amp;J974)+1)/2</f>
        <v/>
      </c>
    </row>
    <row r="975" ht="15" customHeight="1" s="68">
      <c r="A975" s="70">
        <f>'01_원자료'!A972</f>
        <v/>
      </c>
      <c r="B975" s="70">
        <f>'01_원자료'!B972</f>
        <v/>
      </c>
      <c r="C975" s="70">
        <f>'01_원자료'!C972</f>
        <v/>
      </c>
      <c r="E975" s="85">
        <f>'01_원자료'!P972*'03_가중치민감도'!$B$5+'01_원자료'!Q972*'03_가중치민감도'!$C$5+'01_원자료'!R972*'03_가중치민감도'!$D$5</f>
        <v/>
      </c>
      <c r="F975" s="85">
        <f>'01_원자료'!P972*'03_가중치민감도'!$B$6+'01_원자료'!Q972*'03_가중치민감도'!$C$6+'01_원자료'!R972*'03_가중치민감도'!$D$6</f>
        <v/>
      </c>
      <c r="G975" s="85">
        <f>'01_원자료'!P972*'03_가중치민감도'!$B$7+'01_원자료'!Q972*'03_가중치민감도'!$C$7+'01_원자료'!R972*'03_가중치민감도'!$D$7</f>
        <v/>
      </c>
      <c r="H975" s="85">
        <f>'01_원자료'!P972*'03_가중치민감도'!$B$8+'01_원자료'!Q972*'03_가중치민감도'!$C$8+'01_원자료'!R972*'03_가중치민감도'!$D$8</f>
        <v/>
      </c>
      <c r="I975" s="85">
        <f>'01_원자료'!P972*'03_가중치민감도'!$B$9+'01_원자료'!Q972*'03_가중치민감도'!$C$9+'01_원자료'!R972*'03_가중치민감도'!$D$9</f>
        <v/>
      </c>
      <c r="J975" s="85">
        <f>'01_원자료'!P972*'03_가중치민감도'!$B$10+'01_원자료'!Q972*'03_가중치민감도'!$C$10+'01_원자료'!R972*'03_가중치민감도'!$D$10</f>
        <v/>
      </c>
      <c r="K975" s="99">
        <f>COUNTIF($E$5:$E$979,"&lt;"&amp;E975)+(COUNTIF($E$5:$E$979,"="&amp;E975)+1)/2</f>
        <v/>
      </c>
      <c r="L975" s="99">
        <f>COUNTIF($F$5:$F$979,"&lt;"&amp;F975)+(COUNTIF($F$5:$F$979,"="&amp;F975)+1)/2</f>
        <v/>
      </c>
      <c r="M975" s="99">
        <f>COUNTIF($G$5:$G$979,"&lt;"&amp;G975)+(COUNTIF($G$5:$G$979,"="&amp;G975)+1)/2</f>
        <v/>
      </c>
      <c r="N975" s="99">
        <f>COUNTIF($H$5:$H$979,"&lt;"&amp;H975)+(COUNTIF($H$5:$H$979,"="&amp;H975)+1)/2</f>
        <v/>
      </c>
      <c r="O975" s="99">
        <f>COUNTIF($I$5:$I$979,"&lt;"&amp;I975)+(COUNTIF($I$5:$I$979,"="&amp;I975)+1)/2</f>
        <v/>
      </c>
      <c r="P975" s="99">
        <f>COUNTIF($J$5:$J$979,"&lt;"&amp;J975)+(COUNTIF($J$5:$J$979,"="&amp;J975)+1)/2</f>
        <v/>
      </c>
    </row>
    <row r="976" ht="15" customHeight="1" s="68">
      <c r="A976" s="70">
        <f>'01_원자료'!A973</f>
        <v/>
      </c>
      <c r="B976" s="70">
        <f>'01_원자료'!B973</f>
        <v/>
      </c>
      <c r="C976" s="70">
        <f>'01_원자료'!C973</f>
        <v/>
      </c>
      <c r="E976" s="85">
        <f>'01_원자료'!P973*'03_가중치민감도'!$B$5+'01_원자료'!Q973*'03_가중치민감도'!$C$5+'01_원자료'!R973*'03_가중치민감도'!$D$5</f>
        <v/>
      </c>
      <c r="F976" s="85">
        <f>'01_원자료'!P973*'03_가중치민감도'!$B$6+'01_원자료'!Q973*'03_가중치민감도'!$C$6+'01_원자료'!R973*'03_가중치민감도'!$D$6</f>
        <v/>
      </c>
      <c r="G976" s="85">
        <f>'01_원자료'!P973*'03_가중치민감도'!$B$7+'01_원자료'!Q973*'03_가중치민감도'!$C$7+'01_원자료'!R973*'03_가중치민감도'!$D$7</f>
        <v/>
      </c>
      <c r="H976" s="85">
        <f>'01_원자료'!P973*'03_가중치민감도'!$B$8+'01_원자료'!Q973*'03_가중치민감도'!$C$8+'01_원자료'!R973*'03_가중치민감도'!$D$8</f>
        <v/>
      </c>
      <c r="I976" s="85">
        <f>'01_원자료'!P973*'03_가중치민감도'!$B$9+'01_원자료'!Q973*'03_가중치민감도'!$C$9+'01_원자료'!R973*'03_가중치민감도'!$D$9</f>
        <v/>
      </c>
      <c r="J976" s="85">
        <f>'01_원자료'!P973*'03_가중치민감도'!$B$10+'01_원자료'!Q973*'03_가중치민감도'!$C$10+'01_원자료'!R973*'03_가중치민감도'!$D$10</f>
        <v/>
      </c>
      <c r="K976" s="99">
        <f>COUNTIF($E$5:$E$979,"&lt;"&amp;E976)+(COUNTIF($E$5:$E$979,"="&amp;E976)+1)/2</f>
        <v/>
      </c>
      <c r="L976" s="99">
        <f>COUNTIF($F$5:$F$979,"&lt;"&amp;F976)+(COUNTIF($F$5:$F$979,"="&amp;F976)+1)/2</f>
        <v/>
      </c>
      <c r="M976" s="99">
        <f>COUNTIF($G$5:$G$979,"&lt;"&amp;G976)+(COUNTIF($G$5:$G$979,"="&amp;G976)+1)/2</f>
        <v/>
      </c>
      <c r="N976" s="99">
        <f>COUNTIF($H$5:$H$979,"&lt;"&amp;H976)+(COUNTIF($H$5:$H$979,"="&amp;H976)+1)/2</f>
        <v/>
      </c>
      <c r="O976" s="99">
        <f>COUNTIF($I$5:$I$979,"&lt;"&amp;I976)+(COUNTIF($I$5:$I$979,"="&amp;I976)+1)/2</f>
        <v/>
      </c>
      <c r="P976" s="99">
        <f>COUNTIF($J$5:$J$979,"&lt;"&amp;J976)+(COUNTIF($J$5:$J$979,"="&amp;J976)+1)/2</f>
        <v/>
      </c>
    </row>
    <row r="977" ht="15" customHeight="1" s="68">
      <c r="A977" s="70">
        <f>'01_원자료'!A974</f>
        <v/>
      </c>
      <c r="B977" s="70">
        <f>'01_원자료'!B974</f>
        <v/>
      </c>
      <c r="C977" s="70">
        <f>'01_원자료'!C974</f>
        <v/>
      </c>
      <c r="E977" s="85">
        <f>'01_원자료'!P974*'03_가중치민감도'!$B$5+'01_원자료'!Q974*'03_가중치민감도'!$C$5+'01_원자료'!R974*'03_가중치민감도'!$D$5</f>
        <v/>
      </c>
      <c r="F977" s="85">
        <f>'01_원자료'!P974*'03_가중치민감도'!$B$6+'01_원자료'!Q974*'03_가중치민감도'!$C$6+'01_원자료'!R974*'03_가중치민감도'!$D$6</f>
        <v/>
      </c>
      <c r="G977" s="85">
        <f>'01_원자료'!P974*'03_가중치민감도'!$B$7+'01_원자료'!Q974*'03_가중치민감도'!$C$7+'01_원자료'!R974*'03_가중치민감도'!$D$7</f>
        <v/>
      </c>
      <c r="H977" s="85">
        <f>'01_원자료'!P974*'03_가중치민감도'!$B$8+'01_원자료'!Q974*'03_가중치민감도'!$C$8+'01_원자료'!R974*'03_가중치민감도'!$D$8</f>
        <v/>
      </c>
      <c r="I977" s="85">
        <f>'01_원자료'!P974*'03_가중치민감도'!$B$9+'01_원자료'!Q974*'03_가중치민감도'!$C$9+'01_원자료'!R974*'03_가중치민감도'!$D$9</f>
        <v/>
      </c>
      <c r="J977" s="85">
        <f>'01_원자료'!P974*'03_가중치민감도'!$B$10+'01_원자료'!Q974*'03_가중치민감도'!$C$10+'01_원자료'!R974*'03_가중치민감도'!$D$10</f>
        <v/>
      </c>
      <c r="K977" s="99">
        <f>COUNTIF($E$5:$E$979,"&lt;"&amp;E977)+(COUNTIF($E$5:$E$979,"="&amp;E977)+1)/2</f>
        <v/>
      </c>
      <c r="L977" s="99">
        <f>COUNTIF($F$5:$F$979,"&lt;"&amp;F977)+(COUNTIF($F$5:$F$979,"="&amp;F977)+1)/2</f>
        <v/>
      </c>
      <c r="M977" s="99">
        <f>COUNTIF($G$5:$G$979,"&lt;"&amp;G977)+(COUNTIF($G$5:$G$979,"="&amp;G977)+1)/2</f>
        <v/>
      </c>
      <c r="N977" s="99">
        <f>COUNTIF($H$5:$H$979,"&lt;"&amp;H977)+(COUNTIF($H$5:$H$979,"="&amp;H977)+1)/2</f>
        <v/>
      </c>
      <c r="O977" s="99">
        <f>COUNTIF($I$5:$I$979,"&lt;"&amp;I977)+(COUNTIF($I$5:$I$979,"="&amp;I977)+1)/2</f>
        <v/>
      </c>
      <c r="P977" s="99">
        <f>COUNTIF($J$5:$J$979,"&lt;"&amp;J977)+(COUNTIF($J$5:$J$979,"="&amp;J977)+1)/2</f>
        <v/>
      </c>
    </row>
    <row r="978" ht="15" customHeight="1" s="68">
      <c r="A978" s="70">
        <f>'01_원자료'!A975</f>
        <v/>
      </c>
      <c r="B978" s="70">
        <f>'01_원자료'!B975</f>
        <v/>
      </c>
      <c r="C978" s="70">
        <f>'01_원자료'!C975</f>
        <v/>
      </c>
      <c r="E978" s="85">
        <f>'01_원자료'!P975*'03_가중치민감도'!$B$5+'01_원자료'!Q975*'03_가중치민감도'!$C$5+'01_원자료'!R975*'03_가중치민감도'!$D$5</f>
        <v/>
      </c>
      <c r="F978" s="85">
        <f>'01_원자료'!P975*'03_가중치민감도'!$B$6+'01_원자료'!Q975*'03_가중치민감도'!$C$6+'01_원자료'!R975*'03_가중치민감도'!$D$6</f>
        <v/>
      </c>
      <c r="G978" s="85">
        <f>'01_원자료'!P975*'03_가중치민감도'!$B$7+'01_원자료'!Q975*'03_가중치민감도'!$C$7+'01_원자료'!R975*'03_가중치민감도'!$D$7</f>
        <v/>
      </c>
      <c r="H978" s="85">
        <f>'01_원자료'!P975*'03_가중치민감도'!$B$8+'01_원자료'!Q975*'03_가중치민감도'!$C$8+'01_원자료'!R975*'03_가중치민감도'!$D$8</f>
        <v/>
      </c>
      <c r="I978" s="85">
        <f>'01_원자료'!P975*'03_가중치민감도'!$B$9+'01_원자료'!Q975*'03_가중치민감도'!$C$9+'01_원자료'!R975*'03_가중치민감도'!$D$9</f>
        <v/>
      </c>
      <c r="J978" s="85">
        <f>'01_원자료'!P975*'03_가중치민감도'!$B$10+'01_원자료'!Q975*'03_가중치민감도'!$C$10+'01_원자료'!R975*'03_가중치민감도'!$D$10</f>
        <v/>
      </c>
      <c r="K978" s="99">
        <f>COUNTIF($E$5:$E$979,"&lt;"&amp;E978)+(COUNTIF($E$5:$E$979,"="&amp;E978)+1)/2</f>
        <v/>
      </c>
      <c r="L978" s="99">
        <f>COUNTIF($F$5:$F$979,"&lt;"&amp;F978)+(COUNTIF($F$5:$F$979,"="&amp;F978)+1)/2</f>
        <v/>
      </c>
      <c r="M978" s="99">
        <f>COUNTIF($G$5:$G$979,"&lt;"&amp;G978)+(COUNTIF($G$5:$G$979,"="&amp;G978)+1)/2</f>
        <v/>
      </c>
      <c r="N978" s="99">
        <f>COUNTIF($H$5:$H$979,"&lt;"&amp;H978)+(COUNTIF($H$5:$H$979,"="&amp;H978)+1)/2</f>
        <v/>
      </c>
      <c r="O978" s="99">
        <f>COUNTIF($I$5:$I$979,"&lt;"&amp;I978)+(COUNTIF($I$5:$I$979,"="&amp;I978)+1)/2</f>
        <v/>
      </c>
      <c r="P978" s="99">
        <f>COUNTIF($J$5:$J$979,"&lt;"&amp;J978)+(COUNTIF($J$5:$J$979,"="&amp;J978)+1)/2</f>
        <v/>
      </c>
    </row>
    <row r="979" ht="15" customHeight="1" s="68">
      <c r="A979" s="70">
        <f>'01_원자료'!A976</f>
        <v/>
      </c>
      <c r="B979" s="70">
        <f>'01_원자료'!B976</f>
        <v/>
      </c>
      <c r="C979" s="70">
        <f>'01_원자료'!C976</f>
        <v/>
      </c>
      <c r="E979" s="85">
        <f>'01_원자료'!P976*'03_가중치민감도'!$B$5+'01_원자료'!Q976*'03_가중치민감도'!$C$5+'01_원자료'!R976*'03_가중치민감도'!$D$5</f>
        <v/>
      </c>
      <c r="F979" s="85">
        <f>'01_원자료'!P976*'03_가중치민감도'!$B$6+'01_원자료'!Q976*'03_가중치민감도'!$C$6+'01_원자료'!R976*'03_가중치민감도'!$D$6</f>
        <v/>
      </c>
      <c r="G979" s="85">
        <f>'01_원자료'!P976*'03_가중치민감도'!$B$7+'01_원자료'!Q976*'03_가중치민감도'!$C$7+'01_원자료'!R976*'03_가중치민감도'!$D$7</f>
        <v/>
      </c>
      <c r="H979" s="85">
        <f>'01_원자료'!P976*'03_가중치민감도'!$B$8+'01_원자료'!Q976*'03_가중치민감도'!$C$8+'01_원자료'!R976*'03_가중치민감도'!$D$8</f>
        <v/>
      </c>
      <c r="I979" s="85">
        <f>'01_원자료'!P976*'03_가중치민감도'!$B$9+'01_원자료'!Q976*'03_가중치민감도'!$C$9+'01_원자료'!R976*'03_가중치민감도'!$D$9</f>
        <v/>
      </c>
      <c r="J979" s="85">
        <f>'01_원자료'!P976*'03_가중치민감도'!$B$10+'01_원자료'!Q976*'03_가중치민감도'!$C$10+'01_원자료'!R976*'03_가중치민감도'!$D$10</f>
        <v/>
      </c>
      <c r="K979" s="99">
        <f>COUNTIF($E$5:$E$979,"&lt;"&amp;E979)+(COUNTIF($E$5:$E$979,"="&amp;E979)+1)/2</f>
        <v/>
      </c>
      <c r="L979" s="99">
        <f>COUNTIF($F$5:$F$979,"&lt;"&amp;F979)+(COUNTIF($F$5:$F$979,"="&amp;F979)+1)/2</f>
        <v/>
      </c>
      <c r="M979" s="99">
        <f>COUNTIF($G$5:$G$979,"&lt;"&amp;G979)+(COUNTIF($G$5:$G$979,"="&amp;G979)+1)/2</f>
        <v/>
      </c>
      <c r="N979" s="99">
        <f>COUNTIF($H$5:$H$979,"&lt;"&amp;H979)+(COUNTIF($H$5:$H$979,"="&amp;H979)+1)/2</f>
        <v/>
      </c>
      <c r="O979" s="99">
        <f>COUNTIF($I$5:$I$979,"&lt;"&amp;I979)+(COUNTIF($I$5:$I$979,"="&amp;I979)+1)/2</f>
        <v/>
      </c>
      <c r="P979" s="99">
        <f>COUNTIF($J$5:$J$979,"&lt;"&amp;J979)+(COUNTIF($J$5:$J$979,"="&amp;J979)+1)/2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67" min="1" max="1"/>
    <col width="12" customWidth="1" style="67" min="2" max="4"/>
    <col width="16" customWidth="1" style="67" min="5" max="5"/>
    <col width="14" customWidth="1" style="67" min="6" max="6"/>
  </cols>
  <sheetData>
    <row r="1" ht="21.6" customHeight="1" s="68">
      <c r="A1" s="89" t="inlineStr">
        <is>
          <t>레퍼런스 x 모델 교차표 (Overall Score 셀 평균)</t>
        </is>
      </c>
    </row>
    <row r="2" ht="15" customHeight="1" s="68">
      <c r="A2" s="70" t="inlineStr">
        <is>
          <t>각 셀 = 문서 65건 평균. 이 표가 이원분산분석·계열편향 분석의 공통 입력이다.</t>
        </is>
      </c>
    </row>
    <row r="4" ht="15" customHeight="1" s="68">
      <c r="A4" s="82" t="inlineStr">
        <is>
          <t>reference_model</t>
        </is>
      </c>
      <c r="B4" s="82" t="inlineStr">
        <is>
          <t>gemma</t>
        </is>
      </c>
      <c r="C4" s="82" t="inlineStr">
        <is>
          <t>ministral</t>
        </is>
      </c>
      <c r="D4" s="82" t="inlineStr">
        <is>
          <t>qwen</t>
        </is>
      </c>
      <c r="E4" s="78" t="inlineStr">
        <is>
          <t>행평균(관대함)</t>
        </is>
      </c>
      <c r="F4" s="78" t="inlineStr">
        <is>
          <t>표시명</t>
        </is>
      </c>
    </row>
    <row r="5" ht="15" customHeight="1" s="68">
      <c r="A5" s="74" t="inlineStr">
        <is>
          <t>chatgpt</t>
        </is>
      </c>
      <c r="B5" s="96">
        <f>AVERAGEIFS('01_원자료'!$S$2:$S$976,'01_원자료'!$B$2:$B$976,$A5,'01_원자료'!$C$2:$C$976,B$4)</f>
        <v/>
      </c>
      <c r="C5" s="96">
        <f>AVERAGEIFS('01_원자료'!$S$2:$S$976,'01_원자료'!$B$2:$B$976,$A5,'01_원자료'!$C$2:$C$976,C$4)</f>
        <v/>
      </c>
      <c r="D5" s="96">
        <f>AVERAGEIFS('01_원자료'!$S$2:$S$976,'01_원자료'!$B$2:$B$976,$A5,'01_원자료'!$C$2:$C$976,D$4)</f>
        <v/>
      </c>
      <c r="E5" s="100">
        <f>AVERAGEIFS('01_원자료'!$S$2:$S$976,'01_원자료'!$B$2:$B$976,$A5)</f>
        <v/>
      </c>
      <c r="F5" s="79" t="inlineStr">
        <is>
          <t>ChatGPT</t>
        </is>
      </c>
    </row>
    <row r="6" ht="15" customHeight="1" s="68">
      <c r="A6" s="74" t="inlineStr">
        <is>
          <t>claude</t>
        </is>
      </c>
      <c r="B6" s="96">
        <f>AVERAGEIFS('01_원자료'!$S$2:$S$976,'01_원자료'!$B$2:$B$976,$A6,'01_원자료'!$C$2:$C$976,B$4)</f>
        <v/>
      </c>
      <c r="C6" s="96">
        <f>AVERAGEIFS('01_원자료'!$S$2:$S$976,'01_원자료'!$B$2:$B$976,$A6,'01_원자료'!$C$2:$C$976,C$4)</f>
        <v/>
      </c>
      <c r="D6" s="96">
        <f>AVERAGEIFS('01_원자료'!$S$2:$S$976,'01_원자료'!$B$2:$B$976,$A6,'01_원자료'!$C$2:$C$976,D$4)</f>
        <v/>
      </c>
      <c r="E6" s="100">
        <f>AVERAGEIFS('01_원자료'!$S$2:$S$976,'01_원자료'!$B$2:$B$976,$A6)</f>
        <v/>
      </c>
      <c r="F6" s="79" t="inlineStr">
        <is>
          <t>Claude</t>
        </is>
      </c>
    </row>
    <row r="7" ht="15" customHeight="1" s="68">
      <c r="A7" s="74" t="inlineStr">
        <is>
          <t>gemini</t>
        </is>
      </c>
      <c r="B7" s="96">
        <f>AVERAGEIFS('01_원자료'!$S$2:$S$976,'01_원자료'!$B$2:$B$976,$A7,'01_원자료'!$C$2:$C$976,B$4)</f>
        <v/>
      </c>
      <c r="C7" s="96">
        <f>AVERAGEIFS('01_원자료'!$S$2:$S$976,'01_원자료'!$B$2:$B$976,$A7,'01_원자료'!$C$2:$C$976,C$4)</f>
        <v/>
      </c>
      <c r="D7" s="96">
        <f>AVERAGEIFS('01_원자료'!$S$2:$S$976,'01_원자료'!$B$2:$B$976,$A7,'01_원자료'!$C$2:$C$976,D$4)</f>
        <v/>
      </c>
      <c r="E7" s="100">
        <f>AVERAGEIFS('01_원자료'!$S$2:$S$976,'01_원자료'!$B$2:$B$976,$A7)</f>
        <v/>
      </c>
      <c r="F7" s="79" t="inlineStr">
        <is>
          <t>Gemini</t>
        </is>
      </c>
    </row>
    <row r="8" ht="15" customHeight="1" s="68">
      <c r="A8" s="74" t="inlineStr">
        <is>
          <t>mistral</t>
        </is>
      </c>
      <c r="B8" s="96">
        <f>AVERAGEIFS('01_원자료'!$S$2:$S$976,'01_원자료'!$B$2:$B$976,$A8,'01_원자료'!$C$2:$C$976,B$4)</f>
        <v/>
      </c>
      <c r="C8" s="96">
        <f>AVERAGEIFS('01_원자료'!$S$2:$S$976,'01_원자료'!$B$2:$B$976,$A8,'01_원자료'!$C$2:$C$976,C$4)</f>
        <v/>
      </c>
      <c r="D8" s="96">
        <f>AVERAGEIFS('01_원자료'!$S$2:$S$976,'01_원자료'!$B$2:$B$976,$A8,'01_원자료'!$C$2:$C$976,D$4)</f>
        <v/>
      </c>
      <c r="E8" s="100">
        <f>AVERAGEIFS('01_원자료'!$S$2:$S$976,'01_원자료'!$B$2:$B$976,$A8)</f>
        <v/>
      </c>
      <c r="F8" s="79" t="inlineStr">
        <is>
          <t>Mistral</t>
        </is>
      </c>
    </row>
    <row r="9" ht="15" customHeight="1" s="68">
      <c r="A9" s="74" t="inlineStr">
        <is>
          <t>qwen3_6</t>
        </is>
      </c>
      <c r="B9" s="96">
        <f>AVERAGEIFS('01_원자료'!$S$2:$S$976,'01_원자료'!$B$2:$B$976,$A9,'01_원자료'!$C$2:$C$976,B$4)</f>
        <v/>
      </c>
      <c r="C9" s="96">
        <f>AVERAGEIFS('01_원자료'!$S$2:$S$976,'01_원자료'!$B$2:$B$976,$A9,'01_원자료'!$C$2:$C$976,C$4)</f>
        <v/>
      </c>
      <c r="D9" s="96">
        <f>AVERAGEIFS('01_원자료'!$S$2:$S$976,'01_원자료'!$B$2:$B$976,$A9,'01_원자료'!$C$2:$C$976,D$4)</f>
        <v/>
      </c>
      <c r="E9" s="100">
        <f>AVERAGEIFS('01_원자료'!$S$2:$S$976,'01_원자료'!$B$2:$B$976,$A9)</f>
        <v/>
      </c>
      <c r="F9" s="79" t="inlineStr">
        <is>
          <t>Qwen3.6</t>
        </is>
      </c>
    </row>
    <row r="10" ht="15" customHeight="1" s="68">
      <c r="A10" s="72" t="inlineStr">
        <is>
          <t>열평균(모델)</t>
        </is>
      </c>
      <c r="B10" s="100">
        <f>AVERAGEIFS('01_원자료'!$S$2:$S$976,'01_원자료'!$C$2:$C$976,B$4)</f>
        <v/>
      </c>
      <c r="C10" s="100">
        <f>AVERAGEIFS('01_원자료'!$S$2:$S$976,'01_원자료'!$C$2:$C$976,C$4)</f>
        <v/>
      </c>
      <c r="D10" s="100">
        <f>AVERAGEIFS('01_원자료'!$S$2:$S$976,'01_원자료'!$C$2:$C$976,D$4)</f>
        <v/>
      </c>
      <c r="E10" s="97">
        <f>AVERAGE('01_원자료'!$S$2:$S$976)</f>
        <v/>
      </c>
      <c r="F10" s="70" t="inlineStr">
        <is>
          <t>← 총평균 G</t>
        </is>
      </c>
    </row>
    <row r="11" ht="15" customHeight="1" s="68">
      <c r="A11" s="70" t="inlineStr">
        <is>
          <t>셀당 관측수 n</t>
        </is>
      </c>
      <c r="B11" s="70">
        <f>COUNTIFS('01_원자료'!$B$2:$B$976,$A$5,'01_원자료'!$C$2:$C$976,B$4)</f>
        <v/>
      </c>
      <c r="C11" s="70">
        <f>COUNTIFS('01_원자료'!$B$2:$B$976,$A$5,'01_원자료'!$C$2:$C$976,C$4)</f>
        <v/>
      </c>
      <c r="D11" s="70">
        <f>COUNTIFS('01_원자료'!$B$2:$B$976,$A$5,'01_원자료'!$C$2:$C$976,D$4)</f>
        <v/>
      </c>
    </row>
    <row r="13" ht="17.15" customHeight="1" s="68">
      <c r="A13" s="71" t="inlineStr">
        <is>
          <t>이중 중심화 잔차 D* = (셀) - (행평균) - (열평균) + (총평균)</t>
        </is>
      </c>
    </row>
    <row r="14" ht="15" customHeight="1" s="68">
      <c r="A14" s="70" t="inlineStr">
        <is>
          <t>레퍼런스의 관대함과 모델의 실력을 동시에 제거한, 조합 고유의 상호작용 성분이다.</t>
        </is>
      </c>
    </row>
    <row r="15" ht="15" customHeight="1" s="68">
      <c r="A15" s="82" t="inlineStr">
        <is>
          <t>reference_model</t>
        </is>
      </c>
      <c r="B15" s="82" t="inlineStr">
        <is>
          <t>gemma</t>
        </is>
      </c>
      <c r="C15" s="82" t="inlineStr">
        <is>
          <t>ministral</t>
        </is>
      </c>
      <c r="D15" s="82" t="inlineStr">
        <is>
          <t>qwen</t>
        </is>
      </c>
    </row>
    <row r="16" ht="15" customHeight="1" s="68">
      <c r="A16" s="74" t="inlineStr">
        <is>
          <t>chatgpt</t>
        </is>
      </c>
      <c r="B16" s="96">
        <f>B5-$E5-B$10+$E$10</f>
        <v/>
      </c>
      <c r="C16" s="96">
        <f>C5-$E5-C$10+$E$10</f>
        <v/>
      </c>
      <c r="D16" s="96">
        <f>D5-$E5-D$10+$E$10</f>
        <v/>
      </c>
    </row>
    <row r="17" ht="15" customHeight="1" s="68">
      <c r="A17" s="74" t="inlineStr">
        <is>
          <t>claude</t>
        </is>
      </c>
      <c r="B17" s="96">
        <f>B6-$E6-B$10+$E$10</f>
        <v/>
      </c>
      <c r="C17" s="96">
        <f>C6-$E6-C$10+$E$10</f>
        <v/>
      </c>
      <c r="D17" s="96">
        <f>D6-$E6-D$10+$E$10</f>
        <v/>
      </c>
    </row>
    <row r="18" ht="15" customHeight="1" s="68">
      <c r="A18" s="74" t="inlineStr">
        <is>
          <t>gemini</t>
        </is>
      </c>
      <c r="B18" s="96">
        <f>B7-$E7-B$10+$E$10</f>
        <v/>
      </c>
      <c r="C18" s="96">
        <f>C7-$E7-C$10+$E$10</f>
        <v/>
      </c>
      <c r="D18" s="96">
        <f>D7-$E7-D$10+$E$10</f>
        <v/>
      </c>
    </row>
    <row r="19" ht="15" customHeight="1" s="68">
      <c r="A19" s="74" t="inlineStr">
        <is>
          <t>mistral</t>
        </is>
      </c>
      <c r="B19" s="96">
        <f>B8-$E8-B$10+$E$10</f>
        <v/>
      </c>
      <c r="C19" s="96">
        <f>C8-$E8-C$10+$E$10</f>
        <v/>
      </c>
      <c r="D19" s="96">
        <f>D8-$E8-D$10+$E$10</f>
        <v/>
      </c>
    </row>
    <row r="20" ht="15" customHeight="1" s="68">
      <c r="A20" s="74" t="inlineStr">
        <is>
          <t>qwen3_6</t>
        </is>
      </c>
      <c r="B20" s="96">
        <f>B9-$E9-B$10+$E$10</f>
        <v/>
      </c>
      <c r="C20" s="96">
        <f>C9-$E9-C$10+$E$10</f>
        <v/>
      </c>
      <c r="D20" s="96">
        <f>D9-$E9-D$10+$E$10</f>
        <v/>
      </c>
    </row>
    <row r="21" ht="15" customHeight="1" s="68">
      <c r="A21" s="70" t="inlineStr">
        <is>
          <t>합계(검산)</t>
        </is>
      </c>
      <c r="B21" s="88">
        <f>SUM(B16:B20)</f>
        <v/>
      </c>
      <c r="C21" s="88">
        <f>SUM(C16:C20)</f>
        <v/>
      </c>
      <c r="D21" s="88">
        <f>SUM(D16:D20)</f>
        <v/>
      </c>
    </row>
    <row r="22" ht="15" customHeight="1" s="68">
      <c r="A22" s="70" t="inlineStr">
        <is>
          <t>검산: 이중 중심화 잔차는 행 방향·열 방향 합이 모두 0이 되어야 한다.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6" customWidth="1" style="67" min="1" max="1"/>
    <col width="14" customWidth="1" style="67" min="2" max="2"/>
    <col width="46" customWidth="1" style="67" min="3" max="3"/>
    <col width="10" customWidth="1" style="67" min="4" max="4"/>
    <col width="12" customWidth="1" style="67" min="5" max="5"/>
    <col width="9" customWidth="1" style="67" min="6" max="6"/>
    <col width="12" customWidth="1" style="67" min="7" max="8"/>
  </cols>
  <sheetData>
    <row r="1" ht="21.6" customHeight="1" s="68">
      <c r="A1" s="89" t="inlineStr">
        <is>
          <t>이원분산분석: 레퍼런스 효과 / 모델 효과 / 상호작용 (논문 4.2)</t>
        </is>
      </c>
    </row>
    <row r="2" ht="15" customHeight="1" s="68">
      <c r="A2" s="70" t="inlineStr">
        <is>
          <t>평방합 분해로 Overall Score 총변동을 세 요인에 배분한다. 설계: 레퍼런스 5 x 모델 3 x 문서 65 = 975 (균형설계)</t>
        </is>
      </c>
    </row>
    <row r="4" ht="15" customHeight="1" s="68">
      <c r="A4" s="71" t="inlineStr">
        <is>
          <t>기본량</t>
        </is>
      </c>
    </row>
    <row r="6" ht="15" customHeight="1" s="68">
      <c r="A6" s="74" t="inlineStr">
        <is>
          <t>N (총 관측수)</t>
        </is>
      </c>
      <c r="B6" s="101">
        <f>COUNT('01_원자료'!$S$2:$S$976)</f>
        <v/>
      </c>
    </row>
    <row r="7" ht="15" customHeight="1" s="68">
      <c r="A7" s="74" t="inlineStr">
        <is>
          <t>a (레퍼런스 수준수)</t>
        </is>
      </c>
      <c r="B7" s="101">
        <f>COUNTA('04_교차표'!A5:A9)</f>
        <v/>
      </c>
    </row>
    <row r="8" ht="15" customHeight="1" s="68">
      <c r="A8" s="74" t="inlineStr">
        <is>
          <t>b (모델 수준수)</t>
        </is>
      </c>
      <c r="B8" s="101">
        <f>COUNTA('04_교차표'!B4:D4)</f>
        <v/>
      </c>
    </row>
    <row r="9" ht="15" customHeight="1" s="68">
      <c r="A9" s="74" t="inlineStr">
        <is>
          <t>r (셀당 반복수 = 문서 수)</t>
        </is>
      </c>
      <c r="B9" s="101">
        <f>'04_교차표'!B11</f>
        <v/>
      </c>
    </row>
    <row r="10" ht="15" customHeight="1" s="68">
      <c r="A10" s="74" t="inlineStr">
        <is>
          <t>G (총평균)</t>
        </is>
      </c>
      <c r="B10" s="85">
        <f>'04_교차표'!E10</f>
        <v/>
      </c>
    </row>
    <row r="11" ht="15" customHeight="1" s="68">
      <c r="A11" s="71" t="inlineStr">
        <is>
          <t>평방합 분해</t>
        </is>
      </c>
    </row>
    <row r="12" ht="15" customHeight="1" s="68">
      <c r="A12" s="78" t="inlineStr">
        <is>
          <t>요인</t>
        </is>
      </c>
      <c r="B12" s="78" t="inlineStr">
        <is>
          <t>평방합 SS</t>
        </is>
      </c>
      <c r="C12" s="78" t="inlineStr">
        <is>
          <t>산식</t>
        </is>
      </c>
      <c r="D12" s="78" t="inlineStr">
        <is>
          <t>자유도 df</t>
        </is>
      </c>
      <c r="E12" s="78" t="inlineStr">
        <is>
          <t>평균제곱 MS</t>
        </is>
      </c>
      <c r="F12" s="82" t="inlineStr">
        <is>
          <t>F</t>
        </is>
      </c>
      <c r="G12" s="82" t="inlineStr">
        <is>
          <t>p</t>
        </is>
      </c>
      <c r="H12" s="82" t="inlineStr">
        <is>
          <t>eta squared</t>
        </is>
      </c>
    </row>
    <row r="13" ht="15" customHeight="1" s="68">
      <c r="A13" s="72" t="inlineStr">
        <is>
          <t>레퍼런스 (A)</t>
        </is>
      </c>
      <c r="B13" s="85">
        <f>$B$8*$B$9*SUMPRODUCT(('04_교차표'!E5:E9-$B$10)^2)</f>
        <v/>
      </c>
      <c r="C13" s="79" t="inlineStr">
        <is>
          <t>SS_A = b·r·Σ_i (행평균_i − G)²</t>
        </is>
      </c>
      <c r="D13" s="101">
        <f>$B$7-1</f>
        <v/>
      </c>
      <c r="E13" s="85">
        <f>B13/D13</f>
        <v/>
      </c>
      <c r="F13" s="102">
        <f>E13/$E$16</f>
        <v/>
      </c>
      <c r="G13" s="103">
        <f>FDIST(F13,D13,$D$16)</f>
        <v/>
      </c>
      <c r="H13" s="97">
        <f>B13/$B$17</f>
        <v/>
      </c>
    </row>
    <row r="14" ht="15" customHeight="1" s="68">
      <c r="A14" s="72" t="inlineStr">
        <is>
          <t>모델 (B)</t>
        </is>
      </c>
      <c r="B14" s="85">
        <f>$B$7*$B$9*SUMPRODUCT(('04_교차표'!B10:D10-$B$10)^2)</f>
        <v/>
      </c>
      <c r="C14" s="79" t="inlineStr">
        <is>
          <t>SS_B = a·r·Σ_j (열평균_j − G)²</t>
        </is>
      </c>
      <c r="D14" s="101">
        <f>$B$8-1</f>
        <v/>
      </c>
      <c r="E14" s="85">
        <f>B14/D14</f>
        <v/>
      </c>
      <c r="F14" s="102">
        <f>E14/$E$16</f>
        <v/>
      </c>
      <c r="G14" s="103">
        <f>FDIST(F14,D14,$D$16)</f>
        <v/>
      </c>
      <c r="H14" s="97">
        <f>B14/$B$17</f>
        <v/>
      </c>
    </row>
    <row r="15" ht="15" customHeight="1" s="68">
      <c r="A15" s="72" t="inlineStr">
        <is>
          <t>상호작용 (AxB)</t>
        </is>
      </c>
      <c r="B15" s="85">
        <f>$B$9*SUMPRODUCT('04_교차표'!B16:D20,'04_교차표'!B16:D20)</f>
        <v/>
      </c>
      <c r="C15" s="79" t="inlineStr">
        <is>
          <t>SS_AB = r·Σ_ij (셀_ij − 행_i − 열_j + G)²  ← 04_교차표 B16:D20</t>
        </is>
      </c>
      <c r="D15" s="101">
        <f>($B$7-1)*($B$8-1)</f>
        <v/>
      </c>
      <c r="E15" s="85">
        <f>B15/D15</f>
        <v/>
      </c>
      <c r="F15" s="102">
        <f>E15/$E$16</f>
        <v/>
      </c>
      <c r="G15" s="103">
        <f>FDIST(F15,D15,$D$16)</f>
        <v/>
      </c>
      <c r="H15" s="97">
        <f>B15/$B$17</f>
        <v/>
      </c>
    </row>
    <row r="16" ht="15" customHeight="1" s="68">
      <c r="A16" s="72" t="inlineStr">
        <is>
          <t>오차 (잔차)</t>
        </is>
      </c>
      <c r="B16" s="85">
        <f>B17-B13-B14-B15</f>
        <v/>
      </c>
      <c r="C16" s="79" t="inlineStr">
        <is>
          <t>SS_E = SS_T − SS_A − SS_B − SS_AB</t>
        </is>
      </c>
      <c r="D16" s="101">
        <f>$B$6-$B$7*$B$8</f>
        <v/>
      </c>
      <c r="E16" s="85">
        <f>B16/D16</f>
        <v/>
      </c>
    </row>
    <row r="17" ht="15" customHeight="1" s="68">
      <c r="A17" s="72" t="inlineStr">
        <is>
          <t>총변동</t>
        </is>
      </c>
      <c r="B17" s="104">
        <f>SUMPRODUCT(('01_원자료'!$S$2:$S$976-$B$10)^2)</f>
        <v/>
      </c>
      <c r="C17" s="79" t="inlineStr">
        <is>
          <t>SS_T = Σ (y − G)²</t>
        </is>
      </c>
      <c r="D17" s="101">
        <f>$B$6-1</f>
        <v/>
      </c>
    </row>
    <row r="19" ht="15" customHeight="1" s="68">
      <c r="A19" s="71" t="inlineStr">
        <is>
          <t>결과 요약</t>
        </is>
      </c>
    </row>
    <row r="20" ht="15" customHeight="1" s="68">
      <c r="A20" s="74" t="inlineStr">
        <is>
          <t>eta² 레퍼런스</t>
        </is>
      </c>
      <c r="B20" s="100">
        <f>H13</f>
        <v/>
      </c>
      <c r="C20" s="70" t="inlineStr">
        <is>
          <t>기준을 바꿀 때 점수가 이동하는 정도</t>
        </is>
      </c>
    </row>
    <row r="21" ht="15" customHeight="1" s="68">
      <c r="A21" s="74" t="inlineStr">
        <is>
          <t>eta² 모델</t>
        </is>
      </c>
      <c r="B21" s="100">
        <f>H14</f>
        <v/>
      </c>
      <c r="C21" s="70" t="inlineStr">
        <is>
          <t>피평가 모델을 바꿀 때 점수가 이동하는 정도</t>
        </is>
      </c>
    </row>
    <row r="22" ht="15" customHeight="1" s="68">
      <c r="A22" s="74" t="inlineStr">
        <is>
          <t>eta² 상호작용</t>
        </is>
      </c>
      <c r="B22" s="100">
        <f>H15</f>
        <v/>
      </c>
      <c r="C22" s="70" t="inlineStr">
        <is>
          <t>특정 레퍼런스-모델 조합에서만 나타나는 고유 효과</t>
        </is>
      </c>
    </row>
    <row r="23" ht="15" customHeight="1" s="68">
      <c r="A23" s="72" t="inlineStr">
        <is>
          <t>레퍼런스 관련 합 (A+AxB)</t>
        </is>
      </c>
      <c r="B23" s="97">
        <f>H13+H15</f>
        <v/>
      </c>
    </row>
    <row r="24" ht="15" customHeight="1" s="68">
      <c r="A24" s="74" t="inlineStr">
        <is>
          <t>eta² 비 (레퍼런스/모델)</t>
        </is>
      </c>
      <c r="B24" s="93">
        <f>B20/B21</f>
        <v/>
      </c>
      <c r="C24" s="70" t="inlineStr">
        <is>
          <t>단일 요인끼리의 분산 배분 비교 (논문 본문의 "1.15배")</t>
        </is>
      </c>
    </row>
    <row r="25" ht="15" customHeight="1" s="68">
      <c r="A25" s="72" t="inlineStr">
        <is>
          <t>레퍼런스 주변평균 범위</t>
        </is>
      </c>
      <c r="B25" s="96">
        <f>MAX('04_교차표'!E5:E9)-MIN('04_교차표'!E5:E9)</f>
        <v/>
      </c>
      <c r="C25" s="70" t="inlineStr">
        <is>
          <t>가장 관대한 레퍼런스 − 가장 박한 레퍼런스</t>
        </is>
      </c>
    </row>
    <row r="26" ht="15" customHeight="1" s="68">
      <c r="A26" s="72" t="inlineStr">
        <is>
          <t>모델 주변평균 범위</t>
        </is>
      </c>
      <c r="B26" s="96">
        <f>MAX('04_교차표'!B10:D10)-MIN('04_교차표'!B10:D10)</f>
        <v/>
      </c>
      <c r="C26" s="70" t="inlineStr">
        <is>
          <t>최고 성능 모델 − 최저 성능 모델</t>
        </is>
      </c>
    </row>
    <row r="27" ht="15" customHeight="1" s="68">
      <c r="A27" s="72" t="inlineStr">
        <is>
          <t>점수 이동 비 (레퍼런스/모델)</t>
        </is>
      </c>
      <c r="B27" s="105">
        <f>B25/B26</f>
        <v/>
      </c>
      <c r="C27" s="70" t="inlineStr">
        <is>
          <t>기준을 바꿀 때의 점수 이동이 대상을 바꿀 때보다 몇 배 큰가 (논문 본문의 "약 1.4배")</t>
        </is>
      </c>
    </row>
    <row r="29" ht="15" customHeight="1" s="68">
      <c r="A29" s="79" t="inlineStr">
        <is>
          <t>eta²의 의미: 총변동 100 중 해당 요인이 설명하는 몫. eta²=0.282는 Overall Score 변동의 28.2%가 어느 레퍼런스를 기준으로 삼았는지로 설명된다는 뜻이다.</t>
        </is>
      </c>
    </row>
    <row r="30" ht="15" customHeight="1" s="68">
      <c r="A30" s="70" t="inlineStr">
        <is>
          <t>주의: 본 설계는 반복측정(같은 문서가 15개 셀에 모두 등장) 구조를 갖는다. 이원분산분석은 이를 완전히 모델링하지 못하므로 06_ICC에서 문서 효과를 분리해 확인한다.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L5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67" min="1" max="1"/>
    <col width="14" customWidth="1" style="67" min="2" max="2"/>
    <col width="8" customWidth="1" style="67" min="3" max="3"/>
    <col width="12" customWidth="1" style="67" min="4" max="6"/>
    <col width="10" customWidth="1" style="67" min="7" max="7"/>
    <col width="12" customWidth="1" style="67" min="8" max="8"/>
    <col width="13" customWidth="1" style="67" min="9" max="9"/>
    <col width="11" customWidth="1" style="67" min="10" max="10"/>
    <col width="10" customWidth="1" style="67" min="11" max="11"/>
    <col width="15" customWidth="1" style="67" min="12" max="12"/>
  </cols>
  <sheetData>
    <row r="1" ht="21.6" customHeight="1" s="68">
      <c r="A1" s="89" t="inlineStr">
        <is>
          <t>분산분석의 가정 검정: 정규성과 등분산성 (논문 3.4)</t>
        </is>
      </c>
    </row>
    <row r="2" ht="15" customHeight="1" s="68">
      <c r="A2" s="70" t="inlineStr">
        <is>
          <t>이원분산분석이 전제하는 두 가정이 충족되는지 확인한다. 위반 시 비모수 검정으로 결론을 교차 확인한다.</t>
        </is>
      </c>
    </row>
    <row r="4" ht="15" customHeight="1" s="68">
      <c r="A4" s="82" t="inlineStr">
        <is>
          <t>reference</t>
        </is>
      </c>
      <c r="B4" s="82" t="inlineStr">
        <is>
          <t>model</t>
        </is>
      </c>
      <c r="C4" s="82" t="inlineStr">
        <is>
          <t>n</t>
        </is>
      </c>
      <c r="D4" s="78" t="inlineStr">
        <is>
          <t>평균</t>
        </is>
      </c>
      <c r="E4" s="78" t="inlineStr">
        <is>
          <t>중앙값</t>
        </is>
      </c>
      <c r="F4" s="78" t="inlineStr">
        <is>
          <t>표준편차</t>
        </is>
      </c>
      <c r="G4" s="78" t="inlineStr">
        <is>
          <t>왜도</t>
        </is>
      </c>
      <c r="H4" s="78" t="inlineStr">
        <is>
          <t>첨도(초과)</t>
        </is>
      </c>
      <c r="I4" s="82" t="inlineStr">
        <is>
          <t>Jarque-Bera</t>
        </is>
      </c>
      <c r="J4" s="82" t="inlineStr">
        <is>
          <t>p</t>
        </is>
      </c>
      <c r="K4" s="78" t="inlineStr">
        <is>
          <t>정규성</t>
        </is>
      </c>
      <c r="L4" s="82" t="inlineStr">
        <is>
          <t>Levene Z 평균</t>
        </is>
      </c>
    </row>
    <row r="5" ht="15" customHeight="1" s="68">
      <c r="A5" s="74" t="inlineStr">
        <is>
          <t>chatgpt</t>
        </is>
      </c>
      <c r="B5" s="74" t="inlineStr">
        <is>
          <t>gemma</t>
        </is>
      </c>
      <c r="C5" s="101">
        <f>COUNTIFS('01_원자료'!$B$2:$B$976,$A5,'01_원자료'!$C$2:$C$976,$B5)</f>
        <v/>
      </c>
      <c r="D5" s="85">
        <f>AVERAGEIFS('01_원자료'!$S$2:$S$976,'01_원자료'!$B$2:$B$976,$A5,'01_원자료'!$C$2:$C$976,$B5)</f>
        <v/>
      </c>
      <c r="E5" s="85">
        <f>SUMPRODUCT(('01_원자료'!$B$2:$B$976=$A5)*('01_원자료'!$C$2:$C$976=$B5)*('01_원자료'!$Z$2:$Z$976=($C5+1)/2)*'01_원자료'!$S$2:$S$976)</f>
        <v/>
      </c>
      <c r="F5" s="85">
        <f>SQRT(SUMPRODUCT(('01_원자료'!$B$2:$B$976=$A5)*('01_원자료'!$C$2:$C$976=$B5)*('01_원자료'!$S$2:$S$976-$D5)^2)/($C5-1))</f>
        <v/>
      </c>
      <c r="G5" s="106">
        <f>$C5/(($C5-1)*($C5-2))*SUMPRODUCT(('01_원자료'!$B$2:$B$976=$A5)*('01_원자료'!$C$2:$C$976=$B5)*(('01_원자료'!$S$2:$S$976-$D5)/$F5)^3)</f>
        <v/>
      </c>
      <c r="H5" s="106">
        <f>$C5*($C5+1)/(($C5-1)*($C5-2)*($C5-3))*SUMPRODUCT(('01_원자료'!$B$2:$B$976=$A5)*('01_원자료'!$C$2:$C$976=$B5)*(('01_원자료'!$S$2:$S$976-$D5)/$F5)^4)-3*($C5-1)^2/(($C5-2)*($C5-3))</f>
        <v/>
      </c>
      <c r="I5" s="93">
        <f>$C5/6*(G5^2+H5^2/4)</f>
        <v/>
      </c>
      <c r="J5" s="96">
        <f>CHIDIST(I5,2)</f>
        <v/>
      </c>
      <c r="K5" s="72">
        <f>IF(J5&lt;0.05,"위반","충족")</f>
        <v/>
      </c>
      <c r="L5" s="85">
        <f>AVERAGEIFS('01_원자료'!$AA$2:$AA$976,'01_원자료'!$B$2:$B$976,$A5,'01_원자료'!$C$2:$C$976,$B5)</f>
        <v/>
      </c>
    </row>
    <row r="6" ht="15" customHeight="1" s="68">
      <c r="A6" s="74" t="inlineStr">
        <is>
          <t>chatgpt</t>
        </is>
      </c>
      <c r="B6" s="74" t="inlineStr">
        <is>
          <t>ministral</t>
        </is>
      </c>
      <c r="C6" s="101">
        <f>COUNTIFS('01_원자료'!$B$2:$B$976,$A6,'01_원자료'!$C$2:$C$976,$B6)</f>
        <v/>
      </c>
      <c r="D6" s="85">
        <f>AVERAGEIFS('01_원자료'!$S$2:$S$976,'01_원자료'!$B$2:$B$976,$A6,'01_원자료'!$C$2:$C$976,$B6)</f>
        <v/>
      </c>
      <c r="E6" s="85">
        <f>SUMPRODUCT(('01_원자료'!$B$2:$B$976=$A6)*('01_원자료'!$C$2:$C$976=$B6)*('01_원자료'!$Z$2:$Z$976=($C6+1)/2)*'01_원자료'!$S$2:$S$976)</f>
        <v/>
      </c>
      <c r="F6" s="85">
        <f>SQRT(SUMPRODUCT(('01_원자료'!$B$2:$B$976=$A6)*('01_원자료'!$C$2:$C$976=$B6)*('01_원자료'!$S$2:$S$976-$D6)^2)/($C6-1))</f>
        <v/>
      </c>
      <c r="G6" s="106">
        <f>$C6/(($C6-1)*($C6-2))*SUMPRODUCT(('01_원자료'!$B$2:$B$976=$A6)*('01_원자료'!$C$2:$C$976=$B6)*(('01_원자료'!$S$2:$S$976-$D6)/$F6)^3)</f>
        <v/>
      </c>
      <c r="H6" s="106">
        <f>$C6*($C6+1)/(($C6-1)*($C6-2)*($C6-3))*SUMPRODUCT(('01_원자료'!$B$2:$B$976=$A6)*('01_원자료'!$C$2:$C$976=$B6)*(('01_원자료'!$S$2:$S$976-$D6)/$F6)^4)-3*($C6-1)^2/(($C6-2)*($C6-3))</f>
        <v/>
      </c>
      <c r="I6" s="93">
        <f>$C6/6*(G6^2+H6^2/4)</f>
        <v/>
      </c>
      <c r="J6" s="96">
        <f>CHIDIST(I6,2)</f>
        <v/>
      </c>
      <c r="K6" s="72">
        <f>IF(J6&lt;0.05,"위반","충족")</f>
        <v/>
      </c>
      <c r="L6" s="85">
        <f>AVERAGEIFS('01_원자료'!$AA$2:$AA$976,'01_원자료'!$B$2:$B$976,$A6,'01_원자료'!$C$2:$C$976,$B6)</f>
        <v/>
      </c>
    </row>
    <row r="7" ht="15" customHeight="1" s="68">
      <c r="A7" s="74" t="inlineStr">
        <is>
          <t>chatgpt</t>
        </is>
      </c>
      <c r="B7" s="74" t="inlineStr">
        <is>
          <t>qwen</t>
        </is>
      </c>
      <c r="C7" s="101">
        <f>COUNTIFS('01_원자료'!$B$2:$B$976,$A7,'01_원자료'!$C$2:$C$976,$B7)</f>
        <v/>
      </c>
      <c r="D7" s="85">
        <f>AVERAGEIFS('01_원자료'!$S$2:$S$976,'01_원자료'!$B$2:$B$976,$A7,'01_원자료'!$C$2:$C$976,$B7)</f>
        <v/>
      </c>
      <c r="E7" s="85">
        <f>SUMPRODUCT(('01_원자료'!$B$2:$B$976=$A7)*('01_원자료'!$C$2:$C$976=$B7)*('01_원자료'!$Z$2:$Z$976=($C7+1)/2)*'01_원자료'!$S$2:$S$976)</f>
        <v/>
      </c>
      <c r="F7" s="85">
        <f>SQRT(SUMPRODUCT(('01_원자료'!$B$2:$B$976=$A7)*('01_원자료'!$C$2:$C$976=$B7)*('01_원자료'!$S$2:$S$976-$D7)^2)/($C7-1))</f>
        <v/>
      </c>
      <c r="G7" s="106">
        <f>$C7/(($C7-1)*($C7-2))*SUMPRODUCT(('01_원자료'!$B$2:$B$976=$A7)*('01_원자료'!$C$2:$C$976=$B7)*(('01_원자료'!$S$2:$S$976-$D7)/$F7)^3)</f>
        <v/>
      </c>
      <c r="H7" s="106">
        <f>$C7*($C7+1)/(($C7-1)*($C7-2)*($C7-3))*SUMPRODUCT(('01_원자료'!$B$2:$B$976=$A7)*('01_원자료'!$C$2:$C$976=$B7)*(('01_원자료'!$S$2:$S$976-$D7)/$F7)^4)-3*($C7-1)^2/(($C7-2)*($C7-3))</f>
        <v/>
      </c>
      <c r="I7" s="93">
        <f>$C7/6*(G7^2+H7^2/4)</f>
        <v/>
      </c>
      <c r="J7" s="96">
        <f>CHIDIST(I7,2)</f>
        <v/>
      </c>
      <c r="K7" s="72">
        <f>IF(J7&lt;0.05,"위반","충족")</f>
        <v/>
      </c>
      <c r="L7" s="85">
        <f>AVERAGEIFS('01_원자료'!$AA$2:$AA$976,'01_원자료'!$B$2:$B$976,$A7,'01_원자료'!$C$2:$C$976,$B7)</f>
        <v/>
      </c>
    </row>
    <row r="8" ht="15" customHeight="1" s="68">
      <c r="A8" s="74" t="inlineStr">
        <is>
          <t>claude</t>
        </is>
      </c>
      <c r="B8" s="74" t="inlineStr">
        <is>
          <t>gemma</t>
        </is>
      </c>
      <c r="C8" s="101">
        <f>COUNTIFS('01_원자료'!$B$2:$B$976,$A8,'01_원자료'!$C$2:$C$976,$B8)</f>
        <v/>
      </c>
      <c r="D8" s="85">
        <f>AVERAGEIFS('01_원자료'!$S$2:$S$976,'01_원자료'!$B$2:$B$976,$A8,'01_원자료'!$C$2:$C$976,$B8)</f>
        <v/>
      </c>
      <c r="E8" s="85">
        <f>SUMPRODUCT(('01_원자료'!$B$2:$B$976=$A8)*('01_원자료'!$C$2:$C$976=$B8)*('01_원자료'!$Z$2:$Z$976=($C8+1)/2)*'01_원자료'!$S$2:$S$976)</f>
        <v/>
      </c>
      <c r="F8" s="85">
        <f>SQRT(SUMPRODUCT(('01_원자료'!$B$2:$B$976=$A8)*('01_원자료'!$C$2:$C$976=$B8)*('01_원자료'!$S$2:$S$976-$D8)^2)/($C8-1))</f>
        <v/>
      </c>
      <c r="G8" s="106">
        <f>$C8/(($C8-1)*($C8-2))*SUMPRODUCT(('01_원자료'!$B$2:$B$976=$A8)*('01_원자료'!$C$2:$C$976=$B8)*(('01_원자료'!$S$2:$S$976-$D8)/$F8)^3)</f>
        <v/>
      </c>
      <c r="H8" s="106">
        <f>$C8*($C8+1)/(($C8-1)*($C8-2)*($C8-3))*SUMPRODUCT(('01_원자료'!$B$2:$B$976=$A8)*('01_원자료'!$C$2:$C$976=$B8)*(('01_원자료'!$S$2:$S$976-$D8)/$F8)^4)-3*($C8-1)^2/(($C8-2)*($C8-3))</f>
        <v/>
      </c>
      <c r="I8" s="93">
        <f>$C8/6*(G8^2+H8^2/4)</f>
        <v/>
      </c>
      <c r="J8" s="96">
        <f>CHIDIST(I8,2)</f>
        <v/>
      </c>
      <c r="K8" s="72">
        <f>IF(J8&lt;0.05,"위반","충족")</f>
        <v/>
      </c>
      <c r="L8" s="85">
        <f>AVERAGEIFS('01_원자료'!$AA$2:$AA$976,'01_원자료'!$B$2:$B$976,$A8,'01_원자료'!$C$2:$C$976,$B8)</f>
        <v/>
      </c>
    </row>
    <row r="9" ht="15" customHeight="1" s="68">
      <c r="A9" s="74" t="inlineStr">
        <is>
          <t>claude</t>
        </is>
      </c>
      <c r="B9" s="74" t="inlineStr">
        <is>
          <t>ministral</t>
        </is>
      </c>
      <c r="C9" s="101">
        <f>COUNTIFS('01_원자료'!$B$2:$B$976,$A9,'01_원자료'!$C$2:$C$976,$B9)</f>
        <v/>
      </c>
      <c r="D9" s="85">
        <f>AVERAGEIFS('01_원자료'!$S$2:$S$976,'01_원자료'!$B$2:$B$976,$A9,'01_원자료'!$C$2:$C$976,$B9)</f>
        <v/>
      </c>
      <c r="E9" s="85">
        <f>SUMPRODUCT(('01_원자료'!$B$2:$B$976=$A9)*('01_원자료'!$C$2:$C$976=$B9)*('01_원자료'!$Z$2:$Z$976=($C9+1)/2)*'01_원자료'!$S$2:$S$976)</f>
        <v/>
      </c>
      <c r="F9" s="85">
        <f>SQRT(SUMPRODUCT(('01_원자료'!$B$2:$B$976=$A9)*('01_원자료'!$C$2:$C$976=$B9)*('01_원자료'!$S$2:$S$976-$D9)^2)/($C9-1))</f>
        <v/>
      </c>
      <c r="G9" s="106">
        <f>$C9/(($C9-1)*($C9-2))*SUMPRODUCT(('01_원자료'!$B$2:$B$976=$A9)*('01_원자료'!$C$2:$C$976=$B9)*(('01_원자료'!$S$2:$S$976-$D9)/$F9)^3)</f>
        <v/>
      </c>
      <c r="H9" s="106">
        <f>$C9*($C9+1)/(($C9-1)*($C9-2)*($C9-3))*SUMPRODUCT(('01_원자료'!$B$2:$B$976=$A9)*('01_원자료'!$C$2:$C$976=$B9)*(('01_원자료'!$S$2:$S$976-$D9)/$F9)^4)-3*($C9-1)^2/(($C9-2)*($C9-3))</f>
        <v/>
      </c>
      <c r="I9" s="93">
        <f>$C9/6*(G9^2+H9^2/4)</f>
        <v/>
      </c>
      <c r="J9" s="96">
        <f>CHIDIST(I9,2)</f>
        <v/>
      </c>
      <c r="K9" s="72">
        <f>IF(J9&lt;0.05,"위반","충족")</f>
        <v/>
      </c>
      <c r="L9" s="85">
        <f>AVERAGEIFS('01_원자료'!$AA$2:$AA$976,'01_원자료'!$B$2:$B$976,$A9,'01_원자료'!$C$2:$C$976,$B9)</f>
        <v/>
      </c>
    </row>
    <row r="10" ht="15" customHeight="1" s="68">
      <c r="A10" s="74" t="inlineStr">
        <is>
          <t>claude</t>
        </is>
      </c>
      <c r="B10" s="74" t="inlineStr">
        <is>
          <t>qwen</t>
        </is>
      </c>
      <c r="C10" s="101">
        <f>COUNTIFS('01_원자료'!$B$2:$B$976,$A10,'01_원자료'!$C$2:$C$976,$B10)</f>
        <v/>
      </c>
      <c r="D10" s="85">
        <f>AVERAGEIFS('01_원자료'!$S$2:$S$976,'01_원자료'!$B$2:$B$976,$A10,'01_원자료'!$C$2:$C$976,$B10)</f>
        <v/>
      </c>
      <c r="E10" s="85">
        <f>SUMPRODUCT(('01_원자료'!$B$2:$B$976=$A10)*('01_원자료'!$C$2:$C$976=$B10)*('01_원자료'!$Z$2:$Z$976=($C10+1)/2)*'01_원자료'!$S$2:$S$976)</f>
        <v/>
      </c>
      <c r="F10" s="85">
        <f>SQRT(SUMPRODUCT(('01_원자료'!$B$2:$B$976=$A10)*('01_원자료'!$C$2:$C$976=$B10)*('01_원자료'!$S$2:$S$976-$D10)^2)/($C10-1))</f>
        <v/>
      </c>
      <c r="G10" s="106">
        <f>$C10/(($C10-1)*($C10-2))*SUMPRODUCT(('01_원자료'!$B$2:$B$976=$A10)*('01_원자료'!$C$2:$C$976=$B10)*(('01_원자료'!$S$2:$S$976-$D10)/$F10)^3)</f>
        <v/>
      </c>
      <c r="H10" s="106">
        <f>$C10*($C10+1)/(($C10-1)*($C10-2)*($C10-3))*SUMPRODUCT(('01_원자료'!$B$2:$B$976=$A10)*('01_원자료'!$C$2:$C$976=$B10)*(('01_원자료'!$S$2:$S$976-$D10)/$F10)^4)-3*($C10-1)^2/(($C10-2)*($C10-3))</f>
        <v/>
      </c>
      <c r="I10" s="93">
        <f>$C10/6*(G10^2+H10^2/4)</f>
        <v/>
      </c>
      <c r="J10" s="96">
        <f>CHIDIST(I10,2)</f>
        <v/>
      </c>
      <c r="K10" s="72">
        <f>IF(J10&lt;0.05,"위반","충족")</f>
        <v/>
      </c>
      <c r="L10" s="85">
        <f>AVERAGEIFS('01_원자료'!$AA$2:$AA$976,'01_원자료'!$B$2:$B$976,$A10,'01_원자료'!$C$2:$C$976,$B10)</f>
        <v/>
      </c>
    </row>
    <row r="11" ht="15" customHeight="1" s="68">
      <c r="A11" s="74" t="inlineStr">
        <is>
          <t>gemini</t>
        </is>
      </c>
      <c r="B11" s="74" t="inlineStr">
        <is>
          <t>gemma</t>
        </is>
      </c>
      <c r="C11" s="101">
        <f>COUNTIFS('01_원자료'!$B$2:$B$976,$A11,'01_원자료'!$C$2:$C$976,$B11)</f>
        <v/>
      </c>
      <c r="D11" s="85">
        <f>AVERAGEIFS('01_원자료'!$S$2:$S$976,'01_원자료'!$B$2:$B$976,$A11,'01_원자료'!$C$2:$C$976,$B11)</f>
        <v/>
      </c>
      <c r="E11" s="85">
        <f>SUMPRODUCT(('01_원자료'!$B$2:$B$976=$A11)*('01_원자료'!$C$2:$C$976=$B11)*('01_원자료'!$Z$2:$Z$976=($C11+1)/2)*'01_원자료'!$S$2:$S$976)</f>
        <v/>
      </c>
      <c r="F11" s="85">
        <f>SQRT(SUMPRODUCT(('01_원자료'!$B$2:$B$976=$A11)*('01_원자료'!$C$2:$C$976=$B11)*('01_원자료'!$S$2:$S$976-$D11)^2)/($C11-1))</f>
        <v/>
      </c>
      <c r="G11" s="106">
        <f>$C11/(($C11-1)*($C11-2))*SUMPRODUCT(('01_원자료'!$B$2:$B$976=$A11)*('01_원자료'!$C$2:$C$976=$B11)*(('01_원자료'!$S$2:$S$976-$D11)/$F11)^3)</f>
        <v/>
      </c>
      <c r="H11" s="106">
        <f>$C11*($C11+1)/(($C11-1)*($C11-2)*($C11-3))*SUMPRODUCT(('01_원자료'!$B$2:$B$976=$A11)*('01_원자료'!$C$2:$C$976=$B11)*(('01_원자료'!$S$2:$S$976-$D11)/$F11)^4)-3*($C11-1)^2/(($C11-2)*($C11-3))</f>
        <v/>
      </c>
      <c r="I11" s="93">
        <f>$C11/6*(G11^2+H11^2/4)</f>
        <v/>
      </c>
      <c r="J11" s="96">
        <f>CHIDIST(I11,2)</f>
        <v/>
      </c>
      <c r="K11" s="72">
        <f>IF(J11&lt;0.05,"위반","충족")</f>
        <v/>
      </c>
      <c r="L11" s="85">
        <f>AVERAGEIFS('01_원자료'!$AA$2:$AA$976,'01_원자료'!$B$2:$B$976,$A11,'01_원자료'!$C$2:$C$976,$B11)</f>
        <v/>
      </c>
    </row>
    <row r="12" ht="15" customHeight="1" s="68">
      <c r="A12" s="74" t="inlineStr">
        <is>
          <t>gemini</t>
        </is>
      </c>
      <c r="B12" s="74" t="inlineStr">
        <is>
          <t>ministral</t>
        </is>
      </c>
      <c r="C12" s="101">
        <f>COUNTIFS('01_원자료'!$B$2:$B$976,$A12,'01_원자료'!$C$2:$C$976,$B12)</f>
        <v/>
      </c>
      <c r="D12" s="85">
        <f>AVERAGEIFS('01_원자료'!$S$2:$S$976,'01_원자료'!$B$2:$B$976,$A12,'01_원자료'!$C$2:$C$976,$B12)</f>
        <v/>
      </c>
      <c r="E12" s="85">
        <f>SUMPRODUCT(('01_원자료'!$B$2:$B$976=$A12)*('01_원자료'!$C$2:$C$976=$B12)*('01_원자료'!$Z$2:$Z$976=($C12+1)/2)*'01_원자료'!$S$2:$S$976)</f>
        <v/>
      </c>
      <c r="F12" s="85">
        <f>SQRT(SUMPRODUCT(('01_원자료'!$B$2:$B$976=$A12)*('01_원자료'!$C$2:$C$976=$B12)*('01_원자료'!$S$2:$S$976-$D12)^2)/($C12-1))</f>
        <v/>
      </c>
      <c r="G12" s="106">
        <f>$C12/(($C12-1)*($C12-2))*SUMPRODUCT(('01_원자료'!$B$2:$B$976=$A12)*('01_원자료'!$C$2:$C$976=$B12)*(('01_원자료'!$S$2:$S$976-$D12)/$F12)^3)</f>
        <v/>
      </c>
      <c r="H12" s="106">
        <f>$C12*($C12+1)/(($C12-1)*($C12-2)*($C12-3))*SUMPRODUCT(('01_원자료'!$B$2:$B$976=$A12)*('01_원자료'!$C$2:$C$976=$B12)*(('01_원자료'!$S$2:$S$976-$D12)/$F12)^4)-3*($C12-1)^2/(($C12-2)*($C12-3))</f>
        <v/>
      </c>
      <c r="I12" s="93">
        <f>$C12/6*(G12^2+H12^2/4)</f>
        <v/>
      </c>
      <c r="J12" s="96">
        <f>CHIDIST(I12,2)</f>
        <v/>
      </c>
      <c r="K12" s="72">
        <f>IF(J12&lt;0.05,"위반","충족")</f>
        <v/>
      </c>
      <c r="L12" s="85">
        <f>AVERAGEIFS('01_원자료'!$AA$2:$AA$976,'01_원자료'!$B$2:$B$976,$A12,'01_원자료'!$C$2:$C$976,$B12)</f>
        <v/>
      </c>
    </row>
    <row r="13" ht="15" customHeight="1" s="68">
      <c r="A13" s="74" t="inlineStr">
        <is>
          <t>gemini</t>
        </is>
      </c>
      <c r="B13" s="74" t="inlineStr">
        <is>
          <t>qwen</t>
        </is>
      </c>
      <c r="C13" s="101">
        <f>COUNTIFS('01_원자료'!$B$2:$B$976,$A13,'01_원자료'!$C$2:$C$976,$B13)</f>
        <v/>
      </c>
      <c r="D13" s="85">
        <f>AVERAGEIFS('01_원자료'!$S$2:$S$976,'01_원자료'!$B$2:$B$976,$A13,'01_원자료'!$C$2:$C$976,$B13)</f>
        <v/>
      </c>
      <c r="E13" s="85">
        <f>SUMPRODUCT(('01_원자료'!$B$2:$B$976=$A13)*('01_원자료'!$C$2:$C$976=$B13)*('01_원자료'!$Z$2:$Z$976=($C13+1)/2)*'01_원자료'!$S$2:$S$976)</f>
        <v/>
      </c>
      <c r="F13" s="85">
        <f>SQRT(SUMPRODUCT(('01_원자료'!$B$2:$B$976=$A13)*('01_원자료'!$C$2:$C$976=$B13)*('01_원자료'!$S$2:$S$976-$D13)^2)/($C13-1))</f>
        <v/>
      </c>
      <c r="G13" s="106">
        <f>$C13/(($C13-1)*($C13-2))*SUMPRODUCT(('01_원자료'!$B$2:$B$976=$A13)*('01_원자료'!$C$2:$C$976=$B13)*(('01_원자료'!$S$2:$S$976-$D13)/$F13)^3)</f>
        <v/>
      </c>
      <c r="H13" s="106">
        <f>$C13*($C13+1)/(($C13-1)*($C13-2)*($C13-3))*SUMPRODUCT(('01_원자료'!$B$2:$B$976=$A13)*('01_원자료'!$C$2:$C$976=$B13)*(('01_원자료'!$S$2:$S$976-$D13)/$F13)^4)-3*($C13-1)^2/(($C13-2)*($C13-3))</f>
        <v/>
      </c>
      <c r="I13" s="93">
        <f>$C13/6*(G13^2+H13^2/4)</f>
        <v/>
      </c>
      <c r="J13" s="96">
        <f>CHIDIST(I13,2)</f>
        <v/>
      </c>
      <c r="K13" s="72">
        <f>IF(J13&lt;0.05,"위반","충족")</f>
        <v/>
      </c>
      <c r="L13" s="85">
        <f>AVERAGEIFS('01_원자료'!$AA$2:$AA$976,'01_원자료'!$B$2:$B$976,$A13,'01_원자료'!$C$2:$C$976,$B13)</f>
        <v/>
      </c>
    </row>
    <row r="14" ht="15" customHeight="1" s="68">
      <c r="A14" s="74" t="inlineStr">
        <is>
          <t>mistral</t>
        </is>
      </c>
      <c r="B14" s="74" t="inlineStr">
        <is>
          <t>gemma</t>
        </is>
      </c>
      <c r="C14" s="101">
        <f>COUNTIFS('01_원자료'!$B$2:$B$976,$A14,'01_원자료'!$C$2:$C$976,$B14)</f>
        <v/>
      </c>
      <c r="D14" s="85">
        <f>AVERAGEIFS('01_원자료'!$S$2:$S$976,'01_원자료'!$B$2:$B$976,$A14,'01_원자료'!$C$2:$C$976,$B14)</f>
        <v/>
      </c>
      <c r="E14" s="85">
        <f>SUMPRODUCT(('01_원자료'!$B$2:$B$976=$A14)*('01_원자료'!$C$2:$C$976=$B14)*('01_원자료'!$Z$2:$Z$976=($C14+1)/2)*'01_원자료'!$S$2:$S$976)</f>
        <v/>
      </c>
      <c r="F14" s="85">
        <f>SQRT(SUMPRODUCT(('01_원자료'!$B$2:$B$976=$A14)*('01_원자료'!$C$2:$C$976=$B14)*('01_원자료'!$S$2:$S$976-$D14)^2)/($C14-1))</f>
        <v/>
      </c>
      <c r="G14" s="106">
        <f>$C14/(($C14-1)*($C14-2))*SUMPRODUCT(('01_원자료'!$B$2:$B$976=$A14)*('01_원자료'!$C$2:$C$976=$B14)*(('01_원자료'!$S$2:$S$976-$D14)/$F14)^3)</f>
        <v/>
      </c>
      <c r="H14" s="106">
        <f>$C14*($C14+1)/(($C14-1)*($C14-2)*($C14-3))*SUMPRODUCT(('01_원자료'!$B$2:$B$976=$A14)*('01_원자료'!$C$2:$C$976=$B14)*(('01_원자료'!$S$2:$S$976-$D14)/$F14)^4)-3*($C14-1)^2/(($C14-2)*($C14-3))</f>
        <v/>
      </c>
      <c r="I14" s="93">
        <f>$C14/6*(G14^2+H14^2/4)</f>
        <v/>
      </c>
      <c r="J14" s="96">
        <f>CHIDIST(I14,2)</f>
        <v/>
      </c>
      <c r="K14" s="72">
        <f>IF(J14&lt;0.05,"위반","충족")</f>
        <v/>
      </c>
      <c r="L14" s="85">
        <f>AVERAGEIFS('01_원자료'!$AA$2:$AA$976,'01_원자료'!$B$2:$B$976,$A14,'01_원자료'!$C$2:$C$976,$B14)</f>
        <v/>
      </c>
    </row>
    <row r="15" ht="15" customHeight="1" s="68">
      <c r="A15" s="74" t="inlineStr">
        <is>
          <t>mistral</t>
        </is>
      </c>
      <c r="B15" s="74" t="inlineStr">
        <is>
          <t>ministral</t>
        </is>
      </c>
      <c r="C15" s="101">
        <f>COUNTIFS('01_원자료'!$B$2:$B$976,$A15,'01_원자료'!$C$2:$C$976,$B15)</f>
        <v/>
      </c>
      <c r="D15" s="85">
        <f>AVERAGEIFS('01_원자료'!$S$2:$S$976,'01_원자료'!$B$2:$B$976,$A15,'01_원자료'!$C$2:$C$976,$B15)</f>
        <v/>
      </c>
      <c r="E15" s="85">
        <f>SUMPRODUCT(('01_원자료'!$B$2:$B$976=$A15)*('01_원자료'!$C$2:$C$976=$B15)*('01_원자료'!$Z$2:$Z$976=($C15+1)/2)*'01_원자료'!$S$2:$S$976)</f>
        <v/>
      </c>
      <c r="F15" s="85">
        <f>SQRT(SUMPRODUCT(('01_원자료'!$B$2:$B$976=$A15)*('01_원자료'!$C$2:$C$976=$B15)*('01_원자료'!$S$2:$S$976-$D15)^2)/($C15-1))</f>
        <v/>
      </c>
      <c r="G15" s="106">
        <f>$C15/(($C15-1)*($C15-2))*SUMPRODUCT(('01_원자료'!$B$2:$B$976=$A15)*('01_원자료'!$C$2:$C$976=$B15)*(('01_원자료'!$S$2:$S$976-$D15)/$F15)^3)</f>
        <v/>
      </c>
      <c r="H15" s="106">
        <f>$C15*($C15+1)/(($C15-1)*($C15-2)*($C15-3))*SUMPRODUCT(('01_원자료'!$B$2:$B$976=$A15)*('01_원자료'!$C$2:$C$976=$B15)*(('01_원자료'!$S$2:$S$976-$D15)/$F15)^4)-3*($C15-1)^2/(($C15-2)*($C15-3))</f>
        <v/>
      </c>
      <c r="I15" s="93">
        <f>$C15/6*(G15^2+H15^2/4)</f>
        <v/>
      </c>
      <c r="J15" s="96">
        <f>CHIDIST(I15,2)</f>
        <v/>
      </c>
      <c r="K15" s="72">
        <f>IF(J15&lt;0.05,"위반","충족")</f>
        <v/>
      </c>
      <c r="L15" s="85">
        <f>AVERAGEIFS('01_원자료'!$AA$2:$AA$976,'01_원자료'!$B$2:$B$976,$A15,'01_원자료'!$C$2:$C$976,$B15)</f>
        <v/>
      </c>
    </row>
    <row r="16" ht="15" customHeight="1" s="68">
      <c r="A16" s="74" t="inlineStr">
        <is>
          <t>mistral</t>
        </is>
      </c>
      <c r="B16" s="74" t="inlineStr">
        <is>
          <t>qwen</t>
        </is>
      </c>
      <c r="C16" s="101">
        <f>COUNTIFS('01_원자료'!$B$2:$B$976,$A16,'01_원자료'!$C$2:$C$976,$B16)</f>
        <v/>
      </c>
      <c r="D16" s="85">
        <f>AVERAGEIFS('01_원자료'!$S$2:$S$976,'01_원자료'!$B$2:$B$976,$A16,'01_원자료'!$C$2:$C$976,$B16)</f>
        <v/>
      </c>
      <c r="E16" s="85">
        <f>SUMPRODUCT(('01_원자료'!$B$2:$B$976=$A16)*('01_원자료'!$C$2:$C$976=$B16)*('01_원자료'!$Z$2:$Z$976=($C16+1)/2)*'01_원자료'!$S$2:$S$976)</f>
        <v/>
      </c>
      <c r="F16" s="85">
        <f>SQRT(SUMPRODUCT(('01_원자료'!$B$2:$B$976=$A16)*('01_원자료'!$C$2:$C$976=$B16)*('01_원자료'!$S$2:$S$976-$D16)^2)/($C16-1))</f>
        <v/>
      </c>
      <c r="G16" s="106">
        <f>$C16/(($C16-1)*($C16-2))*SUMPRODUCT(('01_원자료'!$B$2:$B$976=$A16)*('01_원자료'!$C$2:$C$976=$B16)*(('01_원자료'!$S$2:$S$976-$D16)/$F16)^3)</f>
        <v/>
      </c>
      <c r="H16" s="106">
        <f>$C16*($C16+1)/(($C16-1)*($C16-2)*($C16-3))*SUMPRODUCT(('01_원자료'!$B$2:$B$976=$A16)*('01_원자료'!$C$2:$C$976=$B16)*(('01_원자료'!$S$2:$S$976-$D16)/$F16)^4)-3*($C16-1)^2/(($C16-2)*($C16-3))</f>
        <v/>
      </c>
      <c r="I16" s="93">
        <f>$C16/6*(G16^2+H16^2/4)</f>
        <v/>
      </c>
      <c r="J16" s="96">
        <f>CHIDIST(I16,2)</f>
        <v/>
      </c>
      <c r="K16" s="72">
        <f>IF(J16&lt;0.05,"위반","충족")</f>
        <v/>
      </c>
      <c r="L16" s="85">
        <f>AVERAGEIFS('01_원자료'!$AA$2:$AA$976,'01_원자료'!$B$2:$B$976,$A16,'01_원자료'!$C$2:$C$976,$B16)</f>
        <v/>
      </c>
    </row>
    <row r="17" ht="15" customHeight="1" s="68">
      <c r="A17" s="74" t="inlineStr">
        <is>
          <t>qwen3_6</t>
        </is>
      </c>
      <c r="B17" s="74" t="inlineStr">
        <is>
          <t>gemma</t>
        </is>
      </c>
      <c r="C17" s="101">
        <f>COUNTIFS('01_원자료'!$B$2:$B$976,$A17,'01_원자료'!$C$2:$C$976,$B17)</f>
        <v/>
      </c>
      <c r="D17" s="85">
        <f>AVERAGEIFS('01_원자료'!$S$2:$S$976,'01_원자료'!$B$2:$B$976,$A17,'01_원자료'!$C$2:$C$976,$B17)</f>
        <v/>
      </c>
      <c r="E17" s="85">
        <f>SUMPRODUCT(('01_원자료'!$B$2:$B$976=$A17)*('01_원자료'!$C$2:$C$976=$B17)*('01_원자료'!$Z$2:$Z$976=($C17+1)/2)*'01_원자료'!$S$2:$S$976)</f>
        <v/>
      </c>
      <c r="F17" s="85">
        <f>SQRT(SUMPRODUCT(('01_원자료'!$B$2:$B$976=$A17)*('01_원자료'!$C$2:$C$976=$B17)*('01_원자료'!$S$2:$S$976-$D17)^2)/($C17-1))</f>
        <v/>
      </c>
      <c r="G17" s="106">
        <f>$C17/(($C17-1)*($C17-2))*SUMPRODUCT(('01_원자료'!$B$2:$B$976=$A17)*('01_원자료'!$C$2:$C$976=$B17)*(('01_원자료'!$S$2:$S$976-$D17)/$F17)^3)</f>
        <v/>
      </c>
      <c r="H17" s="106">
        <f>$C17*($C17+1)/(($C17-1)*($C17-2)*($C17-3))*SUMPRODUCT(('01_원자료'!$B$2:$B$976=$A17)*('01_원자료'!$C$2:$C$976=$B17)*(('01_원자료'!$S$2:$S$976-$D17)/$F17)^4)-3*($C17-1)^2/(($C17-2)*($C17-3))</f>
        <v/>
      </c>
      <c r="I17" s="93">
        <f>$C17/6*(G17^2+H17^2/4)</f>
        <v/>
      </c>
      <c r="J17" s="96">
        <f>CHIDIST(I17,2)</f>
        <v/>
      </c>
      <c r="K17" s="72">
        <f>IF(J17&lt;0.05,"위반","충족")</f>
        <v/>
      </c>
      <c r="L17" s="85">
        <f>AVERAGEIFS('01_원자료'!$AA$2:$AA$976,'01_원자료'!$B$2:$B$976,$A17,'01_원자료'!$C$2:$C$976,$B17)</f>
        <v/>
      </c>
    </row>
    <row r="18" ht="15" customHeight="1" s="68">
      <c r="A18" s="74" t="inlineStr">
        <is>
          <t>qwen3_6</t>
        </is>
      </c>
      <c r="B18" s="74" t="inlineStr">
        <is>
          <t>ministral</t>
        </is>
      </c>
      <c r="C18" s="101">
        <f>COUNTIFS('01_원자료'!$B$2:$B$976,$A18,'01_원자료'!$C$2:$C$976,$B18)</f>
        <v/>
      </c>
      <c r="D18" s="85">
        <f>AVERAGEIFS('01_원자료'!$S$2:$S$976,'01_원자료'!$B$2:$B$976,$A18,'01_원자료'!$C$2:$C$976,$B18)</f>
        <v/>
      </c>
      <c r="E18" s="85">
        <f>SUMPRODUCT(('01_원자료'!$B$2:$B$976=$A18)*('01_원자료'!$C$2:$C$976=$B18)*('01_원자료'!$Z$2:$Z$976=($C18+1)/2)*'01_원자료'!$S$2:$S$976)</f>
        <v/>
      </c>
      <c r="F18" s="85">
        <f>SQRT(SUMPRODUCT(('01_원자료'!$B$2:$B$976=$A18)*('01_원자료'!$C$2:$C$976=$B18)*('01_원자료'!$S$2:$S$976-$D18)^2)/($C18-1))</f>
        <v/>
      </c>
      <c r="G18" s="106">
        <f>$C18/(($C18-1)*($C18-2))*SUMPRODUCT(('01_원자료'!$B$2:$B$976=$A18)*('01_원자료'!$C$2:$C$976=$B18)*(('01_원자료'!$S$2:$S$976-$D18)/$F18)^3)</f>
        <v/>
      </c>
      <c r="H18" s="106">
        <f>$C18*($C18+1)/(($C18-1)*($C18-2)*($C18-3))*SUMPRODUCT(('01_원자료'!$B$2:$B$976=$A18)*('01_원자료'!$C$2:$C$976=$B18)*(('01_원자료'!$S$2:$S$976-$D18)/$F18)^4)-3*($C18-1)^2/(($C18-2)*($C18-3))</f>
        <v/>
      </c>
      <c r="I18" s="93">
        <f>$C18/6*(G18^2+H18^2/4)</f>
        <v/>
      </c>
      <c r="J18" s="96">
        <f>CHIDIST(I18,2)</f>
        <v/>
      </c>
      <c r="K18" s="72">
        <f>IF(J18&lt;0.05,"위반","충족")</f>
        <v/>
      </c>
      <c r="L18" s="85">
        <f>AVERAGEIFS('01_원자료'!$AA$2:$AA$976,'01_원자료'!$B$2:$B$976,$A18,'01_원자료'!$C$2:$C$976,$B18)</f>
        <v/>
      </c>
    </row>
    <row r="19" ht="15" customHeight="1" s="68">
      <c r="A19" s="74" t="inlineStr">
        <is>
          <t>qwen3_6</t>
        </is>
      </c>
      <c r="B19" s="74" t="inlineStr">
        <is>
          <t>qwen</t>
        </is>
      </c>
      <c r="C19" s="101">
        <f>COUNTIFS('01_원자료'!$B$2:$B$976,$A19,'01_원자료'!$C$2:$C$976,$B19)</f>
        <v/>
      </c>
      <c r="D19" s="85">
        <f>AVERAGEIFS('01_원자료'!$S$2:$S$976,'01_원자료'!$B$2:$B$976,$A19,'01_원자료'!$C$2:$C$976,$B19)</f>
        <v/>
      </c>
      <c r="E19" s="85">
        <f>SUMPRODUCT(('01_원자료'!$B$2:$B$976=$A19)*('01_원자료'!$C$2:$C$976=$B19)*('01_원자료'!$Z$2:$Z$976=($C19+1)/2)*'01_원자료'!$S$2:$S$976)</f>
        <v/>
      </c>
      <c r="F19" s="85">
        <f>SQRT(SUMPRODUCT(('01_원자료'!$B$2:$B$976=$A19)*('01_원자료'!$C$2:$C$976=$B19)*('01_원자료'!$S$2:$S$976-$D19)^2)/($C19-1))</f>
        <v/>
      </c>
      <c r="G19" s="106">
        <f>$C19/(($C19-1)*($C19-2))*SUMPRODUCT(('01_원자료'!$B$2:$B$976=$A19)*('01_원자료'!$C$2:$C$976=$B19)*(('01_원자료'!$S$2:$S$976-$D19)/$F19)^3)</f>
        <v/>
      </c>
      <c r="H19" s="106">
        <f>$C19*($C19+1)/(($C19-1)*($C19-2)*($C19-3))*SUMPRODUCT(('01_원자료'!$B$2:$B$976=$A19)*('01_원자료'!$C$2:$C$976=$B19)*(('01_원자료'!$S$2:$S$976-$D19)/$F19)^4)-3*($C19-1)^2/(($C19-2)*($C19-3))</f>
        <v/>
      </c>
      <c r="I19" s="93">
        <f>$C19/6*(G19^2+H19^2/4)</f>
        <v/>
      </c>
      <c r="J19" s="96">
        <f>CHIDIST(I19,2)</f>
        <v/>
      </c>
      <c r="K19" s="72">
        <f>IF(J19&lt;0.05,"위반","충족")</f>
        <v/>
      </c>
      <c r="L19" s="85">
        <f>AVERAGEIFS('01_원자료'!$AA$2:$AA$976,'01_원자료'!$B$2:$B$976,$A19,'01_원자료'!$C$2:$C$976,$B19)</f>
        <v/>
      </c>
    </row>
    <row r="21" ht="17.15" customHeight="1" s="68">
      <c r="A21" s="94" t="inlineStr">
        <is>
          <t>2단계: 정규성 요약</t>
        </is>
      </c>
    </row>
    <row r="22" ht="15" customHeight="1" s="68">
      <c r="A22" s="74" t="inlineStr">
        <is>
          <t>Jarque-Bera 위반 셀 수</t>
        </is>
      </c>
      <c r="C22" s="98">
        <f>COUNTIF(K5:K19,"위반")&amp;" / "&amp;COUNTA(K5:K19)</f>
        <v/>
      </c>
    </row>
    <row r="23" ht="15" customHeight="1" s="68">
      <c r="A23" s="74" t="inlineStr">
        <is>
          <t>Shapiro-Wilk 위반 셀 수</t>
        </is>
      </c>
      <c r="C23" s="107" t="inlineStr">
        <is>
          <t>13 / 15</t>
        </is>
      </c>
      <c r="D23" s="70" t="inlineStr">
        <is>
          <t>← 엑셀 재현 불가, 외부 계산값(scipy 1.11)</t>
        </is>
      </c>
    </row>
    <row r="24" ht="15" customHeight="1" s="68">
      <c r="A24" s="79" t="inlineStr">
        <is>
          <t>Jarque-Bera는 왜도와 첨도만으로 정규성을 검정하므로 엑셀 수식으로 완전히 재현되지만, n=65 규모에서는 Shapiro-Wilk보다 검정력이 낮다. 두 검정의 위반 셀 수가 다른 것은 이 검정력 차이 때문이며, 결론(다수 셀에서 정규성 위반)은 동일하다.</t>
        </is>
      </c>
    </row>
    <row r="25" ht="15" customHeight="1" s="68">
      <c r="A25" s="70" t="inlineStr">
        <is>
          <t>논문은 Shapiro-Wilk 결과를 보고한다. 위반 정도가 가장 심한 셀은 qwen 열이며, 왜도가 −3 이하이고 초과첨도가 +13 이상으로 좌측 꼬리가 매우 긴 분포를 보인다.</t>
        </is>
      </c>
    </row>
    <row r="27" ht="17.15" customHeight="1" s="68">
      <c r="A27" s="94" t="inlineStr">
        <is>
          <t>3단계: 등분산성 — Levene 검정 (중앙값 기준, Brown-Forsythe)</t>
        </is>
      </c>
    </row>
    <row r="28" ht="15" customHeight="1" s="68">
      <c r="A28" s="79" t="inlineStr">
        <is>
          <t>Z_ij = |y_ij − 셀 중앙값| 로 변환한 뒤 Z에 대한 일원분산분석을 수행한다. 중앙값을 중심으로 삼는 변형은 정규성이 위반된 자료에서 표준 권고이며 scipy.stats.levene의 기본값이다.</t>
        </is>
      </c>
    </row>
    <row r="29" ht="15" customHeight="1" s="68">
      <c r="A29" s="74" t="inlineStr">
        <is>
          <t>k (집단 수)</t>
        </is>
      </c>
      <c r="B29" s="101">
        <f>COUNTA(A5:A19)</f>
        <v/>
      </c>
      <c r="D29" s="79" t="inlineStr">
        <is>
          <t>15개 셀</t>
        </is>
      </c>
    </row>
    <row r="30" ht="15" customHeight="1" s="68">
      <c r="A30" s="74" t="inlineStr">
        <is>
          <t>N (총 관측수)</t>
        </is>
      </c>
      <c r="B30" s="101">
        <f>COUNT('01_원자료'!$AA$2:$AA$976)</f>
        <v/>
      </c>
      <c r="D30" s="79" t="inlineStr">
        <is>
          <t>975</t>
        </is>
      </c>
    </row>
    <row r="31" ht="15" customHeight="1" s="68">
      <c r="A31" s="74" t="inlineStr">
        <is>
          <t>Z 전체평균</t>
        </is>
      </c>
      <c r="B31" s="85">
        <f>AVERAGE('01_원자료'!$AA$2:$AA$976)</f>
        <v/>
      </c>
      <c r="D31" s="70" t="inlineStr">
        <is>
          <t>모든 Z의 평균</t>
        </is>
      </c>
    </row>
    <row r="32" ht="15" customHeight="1" s="68">
      <c r="A32" s="74" t="inlineStr">
        <is>
          <t>SS_between</t>
        </is>
      </c>
      <c r="B32" s="85">
        <f>65*SUMPRODUCT((L5:L19-B31)^2)</f>
        <v/>
      </c>
      <c r="D32" s="79" t="inlineStr">
        <is>
          <t>n·Σ(Z̄_j − Z̄)²</t>
        </is>
      </c>
    </row>
    <row r="33" ht="15" customHeight="1" s="68">
      <c r="A33" s="74" t="inlineStr">
        <is>
          <t>SS_total</t>
        </is>
      </c>
      <c r="B33" s="85">
        <f>SUMPRODUCT(('01_원자료'!$AA$2:$AA$976-B31)^2)</f>
        <v/>
      </c>
      <c r="D33" s="79" t="inlineStr">
        <is>
          <t>Σ(Z − Z̄)²</t>
        </is>
      </c>
    </row>
    <row r="34" ht="15" customHeight="1" s="68">
      <c r="A34" s="74" t="inlineStr">
        <is>
          <t>SS_within</t>
        </is>
      </c>
      <c r="B34" s="85">
        <f>B33-B32</f>
        <v/>
      </c>
      <c r="D34" s="79" t="inlineStr">
        <is>
          <t>SS_total − SS_between</t>
        </is>
      </c>
    </row>
    <row r="35" ht="15" customHeight="1" s="68">
      <c r="A35" s="74" t="inlineStr">
        <is>
          <t>df1</t>
        </is>
      </c>
      <c r="B35" s="101">
        <f>B29-1</f>
        <v/>
      </c>
      <c r="D35" s="79" t="inlineStr">
        <is>
          <t>k − 1</t>
        </is>
      </c>
    </row>
    <row r="36" ht="15" customHeight="1" s="68">
      <c r="A36" s="74" t="inlineStr">
        <is>
          <t>df2</t>
        </is>
      </c>
      <c r="B36" s="101">
        <f>B30-B29</f>
        <v/>
      </c>
      <c r="D36" s="79" t="inlineStr">
        <is>
          <t>N − k</t>
        </is>
      </c>
    </row>
    <row r="37" ht="15" customHeight="1" s="68">
      <c r="A37" s="74" t="inlineStr">
        <is>
          <t>F</t>
        </is>
      </c>
      <c r="B37" s="108">
        <f>(B32/B35)/(B34/B36)</f>
        <v/>
      </c>
      <c r="D37" s="79" t="inlineStr">
        <is>
          <t>(SS_b/df1) / (SS_w/df2)</t>
        </is>
      </c>
    </row>
    <row r="38" ht="15" customHeight="1" s="68">
      <c r="A38" s="74" t="inlineStr">
        <is>
          <t>p</t>
        </is>
      </c>
      <c r="B38" s="109">
        <f>FDIST(B37,B35,B36)</f>
        <v/>
      </c>
      <c r="D38" s="79" t="inlineStr">
        <is>
          <t>FDIST</t>
        </is>
      </c>
    </row>
    <row r="39" ht="15" customHeight="1" s="68">
      <c r="A39" s="72" t="inlineStr">
        <is>
          <t>등분산성</t>
        </is>
      </c>
      <c r="B39" s="98">
        <f>IF(B38&lt;0.05,"위반","충족")</f>
        <v/>
      </c>
      <c r="D39" s="70" t="n"/>
    </row>
    <row r="41" ht="17.15" customHeight="1" s="68">
      <c r="A41" s="94" t="inlineStr">
        <is>
          <t>4단계: 전체 잔차의 정규성 (잔차 = y − 셀평균, 01_원자료 AB열)</t>
        </is>
      </c>
    </row>
    <row r="42" ht="15" customHeight="1" s="68">
      <c r="A42" s="74" t="inlineStr">
        <is>
          <t>n</t>
        </is>
      </c>
      <c r="B42" s="81">
        <f>COUNT('01_원자료'!$AB$2:$AB$976)</f>
        <v/>
      </c>
    </row>
    <row r="43" ht="15" customHeight="1" s="68">
      <c r="A43" s="72" t="inlineStr">
        <is>
          <t>왜도</t>
        </is>
      </c>
      <c r="B43" s="110">
        <f>SKEW('01_원자료'!$AB$2:$AB$976)</f>
        <v/>
      </c>
    </row>
    <row r="44" ht="15" customHeight="1" s="68">
      <c r="A44" s="72" t="inlineStr">
        <is>
          <t>첨도(초과)</t>
        </is>
      </c>
      <c r="B44" s="110">
        <f>KURT('01_원자료'!$AB$2:$AB$976)</f>
        <v/>
      </c>
    </row>
    <row r="45" ht="15" customHeight="1" s="68">
      <c r="A45" s="74" t="inlineStr">
        <is>
          <t>Jarque-Bera</t>
        </is>
      </c>
      <c r="B45" s="111">
        <f>B42/6*(B43^2+B44^2/4)</f>
        <v/>
      </c>
    </row>
    <row r="46" ht="15" customHeight="1" s="68">
      <c r="A46" s="74" t="inlineStr">
        <is>
          <t>p</t>
        </is>
      </c>
      <c r="B46" s="112">
        <f>CHIDIST(B45,2)</f>
        <v/>
      </c>
    </row>
    <row r="47" ht="15" customHeight="1" s="68">
      <c r="A47" s="74" t="inlineStr">
        <is>
          <t>Shapiro-Wilk W</t>
        </is>
      </c>
      <c r="B47" s="97" t="n">
        <v>0.8491</v>
      </c>
      <c r="D47" s="70" t="inlineStr">
        <is>
          <t>← 엑셀 재현 불가, 외부 계산값(scipy 1.11), p&lt;.001</t>
        </is>
      </c>
    </row>
    <row r="49" ht="15" customHeight="1" s="68">
      <c r="A49" s="71" t="inlineStr">
        <is>
          <t>결론</t>
        </is>
      </c>
    </row>
    <row r="50" ht="15" customHeight="1" s="68">
      <c r="A50" s="70" t="inlineStr">
        <is>
          <t>정규성과 등분산성이 모두 위반되었다. 따라서 이원분산분석의 p값은 그대로 신뢰할 수 없으며, 본 연구는 (1) 문서를 무작위 효과로 둔 혼합모형을 주 분석으로 삼고, (2) Kruskal-Wallis 비모수 검정으로 주효과의 결론을 교차 확인하며, (3) 이원분산분석은 효과 크기(η²) 산출과 방향 확인에만 사용한다.</t>
        </is>
      </c>
    </row>
    <row r="51" ht="15" customHeight="1" s="68">
      <c r="A51" s="70" t="inlineStr">
        <is>
          <t>표본이 N=975로 충분히 크고 세 접근이 동일한 결론을 주므로, 가정 위반이 결론의 방향을 바꾸지는 않는다. 다만 극단적으로 작은 p값은 과장될 수 있어 논문은 p&lt;.001로 통일 표기한다.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C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67" min="1" max="1"/>
    <col width="30" customWidth="1" style="67" min="2" max="2"/>
    <col width="60" customWidth="1" style="67" min="3" max="3"/>
  </cols>
  <sheetData>
    <row r="1" ht="21.6" customHeight="1" s="68">
      <c r="A1" s="89" t="inlineStr">
        <is>
          <t>문서 효과 분리와 급내상관 ICC (논문 4.2 강건성 확인)</t>
        </is>
      </c>
    </row>
    <row r="2" ht="15" customHeight="1" s="68">
      <c r="A2" s="70" t="inlineStr">
        <is>
          <t>같은 문서가 15개 조합에 반복 등장하므로, 문서 자체의 난이도 차이를 분산성분으로 분리한다.</t>
        </is>
      </c>
    </row>
    <row r="4" ht="17.15" customHeight="1" s="68">
      <c r="A4" s="71" t="inlineStr">
        <is>
          <t>적률법(method of moments)에 의한 분산성분 추정</t>
        </is>
      </c>
    </row>
    <row r="5" ht="15" customHeight="1" s="68">
      <c r="A5" s="70" t="inlineStr">
        <is>
          <t>모형: y_ijk = μ + α_i(레퍼런스) + β_j(모델) + (αβ)_ij + d_k(문서, 확률효과) + e_ijk</t>
        </is>
      </c>
    </row>
    <row r="6" ht="15" customHeight="1" s="68">
      <c r="A6" s="70" t="inlineStr">
        <is>
          <t>균형설계이므로 혼합모형(LMM)의 REML 추정치와 아래 적률 추정치가 일치한다.</t>
        </is>
      </c>
    </row>
    <row r="8" ht="15" customHeight="1" s="68">
      <c r="A8" s="74" t="inlineStr">
        <is>
          <t>SS_문서</t>
        </is>
      </c>
      <c r="B8" s="85">
        <f>15*SUMPRODUCT(('11_문서단위'!$B$5:$B$69-'05_이원분산분석'!$B$10)^2)</f>
        <v/>
      </c>
      <c r="C8" s="79" t="inlineStr">
        <is>
          <t>SS_D = k·Σ_k (문서평균_k − G)²,  k=15</t>
        </is>
      </c>
    </row>
    <row r="9" ht="15" customHeight="1" s="68">
      <c r="A9" s="74" t="inlineStr">
        <is>
          <t>SS_잔차</t>
        </is>
      </c>
      <c r="B9" s="85">
        <f>'05_이원분산분석'!B17-'05_이원분산분석'!B13-'05_이원분산분석'!B14-'05_이원분산분석'!B15-B8</f>
        <v/>
      </c>
      <c r="C9" s="79" t="inlineStr">
        <is>
          <t>SS_R = SS_T − SS_A − SS_B − SS_AB − SS_D</t>
        </is>
      </c>
    </row>
    <row r="10" ht="15" customHeight="1" s="68">
      <c r="A10" s="74" t="inlineStr">
        <is>
          <t>df_문서</t>
        </is>
      </c>
      <c r="B10" s="101">
        <f>'04_교차표'!B11-1</f>
        <v/>
      </c>
      <c r="C10" s="79" t="inlineStr">
        <is>
          <t>r − 1 = 64</t>
        </is>
      </c>
    </row>
    <row r="11" ht="15" customHeight="1" s="68">
      <c r="A11" s="74" t="inlineStr">
        <is>
          <t>df_잔차</t>
        </is>
      </c>
      <c r="B11" s="101">
        <f>(('04_교차표'!B11)-1)*(5*3-1)</f>
        <v/>
      </c>
      <c r="C11" s="79" t="inlineStr">
        <is>
          <t>(r−1)(ab−1) = 64 × 14 = 896</t>
        </is>
      </c>
    </row>
    <row r="12" ht="15" customHeight="1" s="68">
      <c r="A12" s="74" t="inlineStr">
        <is>
          <t>MS_문서</t>
        </is>
      </c>
      <c r="B12" s="85">
        <f>B8/B10</f>
        <v/>
      </c>
      <c r="C12" s="79" t="inlineStr">
        <is>
          <t>SS_D / df_D</t>
        </is>
      </c>
    </row>
    <row r="13" ht="15" customHeight="1" s="68">
      <c r="A13" s="74" t="inlineStr">
        <is>
          <t>MS_잔차</t>
        </is>
      </c>
      <c r="B13" s="85">
        <f>B9/B11</f>
        <v/>
      </c>
      <c r="C13" s="79" t="inlineStr">
        <is>
          <t>SS_R / df_R</t>
        </is>
      </c>
    </row>
    <row r="14" ht="15" customHeight="1" s="68">
      <c r="A14" s="74" t="inlineStr">
        <is>
          <t>sigma²_문서</t>
        </is>
      </c>
      <c r="B14" s="85">
        <f>(B12-B13)/15</f>
        <v/>
      </c>
      <c r="C14" s="79" t="inlineStr">
        <is>
          <t>(MS_D − MS_R) / k</t>
        </is>
      </c>
    </row>
    <row r="15" ht="15" customHeight="1" s="68">
      <c r="A15" s="74" t="inlineStr">
        <is>
          <t>sigma²_잔차</t>
        </is>
      </c>
      <c r="B15" s="85">
        <f>B13</f>
        <v/>
      </c>
      <c r="C15" s="79" t="inlineStr">
        <is>
          <t>← MS_R 과 동일</t>
        </is>
      </c>
    </row>
    <row r="16" ht="15" customHeight="1" s="68">
      <c r="A16" s="74" t="inlineStr">
        <is>
          <t>ICC</t>
        </is>
      </c>
      <c r="B16" s="97">
        <f>B14/(B14+B15)</f>
        <v/>
      </c>
      <c r="C16" s="79" t="inlineStr">
        <is>
          <t>σ²_문서 / (σ²_문서 + σ²_잔차)</t>
        </is>
      </c>
    </row>
    <row r="18" ht="15" customHeight="1" s="68">
      <c r="A18" s="79" t="inlineStr">
        <is>
          <t>ICC 해석: 총 잔여변동 중 문서 자체의 난이도 차이가 차지하는 몫. ICC≈0.27은 같은 문서에 대한 15개 점수가 서로 중간 정도로 닮았다는 뜻이며, 레퍼런스·모델 효과를 제거하고도 문서 단위 군집이 남아 있음을 보여준다.</t>
        </is>
      </c>
    </row>
    <row r="19" ht="15" customHeight="1" s="68">
      <c r="A19" s="70" t="inlineStr">
        <is>
          <t>중요: ICC가 0이 아니므로 관측치 975개를 독립표본으로 간주할 수 없다. 그럼에도 05의 결론(레퍼런스 효과 &gt; 모델 효과)은 혼합모형과 Kruskal-Wallis(08)에서 동일하게 유지된다.</t>
        </is>
      </c>
    </row>
    <row r="21" ht="17.15" customHeight="1" s="68">
      <c r="A21" s="71" t="inlineStr">
        <is>
          <t>혼합모형(LMM) 교차확인 — 엑셀 재현 불가, 참고값</t>
        </is>
      </c>
    </row>
    <row r="22" ht="15" customHeight="1" s="68">
      <c r="A22" s="78" t="inlineStr">
        <is>
          <t>항목</t>
        </is>
      </c>
      <c r="B22" s="78" t="inlineStr">
        <is>
          <t>값</t>
        </is>
      </c>
      <c r="C22" s="78" t="inlineStr">
        <is>
          <t>비고</t>
        </is>
      </c>
    </row>
    <row r="23" ht="15" customHeight="1" s="68">
      <c r="A23" s="72" t="inlineStr">
        <is>
          <t>추정 방법</t>
        </is>
      </c>
      <c r="B23" s="83" t="inlineStr">
        <is>
          <t>REML (statsmodels MixedLM)</t>
        </is>
      </c>
      <c r="C23" s="70" t="inlineStr">
        <is>
          <t>문서 확률절편 + 레퍼런스×모델 고정효과</t>
        </is>
      </c>
    </row>
    <row r="24" ht="15" customHeight="1" s="68">
      <c r="A24" s="74" t="inlineStr">
        <is>
          <t>sigma²_문서</t>
        </is>
      </c>
      <c r="B24" s="84" t="n">
        <v>0.000623</v>
      </c>
      <c r="C24" s="79" t="inlineStr">
        <is>
          <t>B14와 일치</t>
        </is>
      </c>
    </row>
    <row r="25" ht="15" customHeight="1" s="68">
      <c r="A25" s="74" t="inlineStr">
        <is>
          <t>sigma²_잔차</t>
        </is>
      </c>
      <c r="B25" s="84" t="n">
        <v>0.001694</v>
      </c>
      <c r="C25" s="79" t="inlineStr">
        <is>
          <t>B15와 일치</t>
        </is>
      </c>
    </row>
    <row r="26" ht="15" customHeight="1" s="68">
      <c r="A26" s="74" t="inlineStr">
        <is>
          <t>ICC</t>
        </is>
      </c>
      <c r="B26" s="84" t="n">
        <v>0.2687</v>
      </c>
      <c r="C26" s="79" t="inlineStr">
        <is>
          <t>B16과 일치</t>
        </is>
      </c>
    </row>
    <row r="27" ht="15" customHeight="1" s="68">
      <c r="A27" s="72" t="inlineStr">
        <is>
          <t>동일계열 계수</t>
        </is>
      </c>
      <c r="B27" s="84" t="n">
        <v>0.0288</v>
      </c>
      <c r="C27" s="79" t="inlineStr">
        <is>
          <t>SE 0.0040, p&lt;.001 → 10_계열편향 참조</t>
        </is>
      </c>
    </row>
    <row r="29" ht="15" customHeight="1" s="68">
      <c r="A29" s="79" t="inlineStr">
        <is>
          <t>LMM은 엑셀에서 직접 계산할 수 없으나, 균형설계에서는 위 적률법 결과와 수치가 일치하므로 B8:B16의 수식만으로 ICC를 완전히 재현할 수 있다.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I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7" customWidth="1" style="67" min="1" max="1"/>
    <col width="11" customWidth="1" style="67" min="2" max="2"/>
    <col width="14" customWidth="1" style="67" min="3" max="3"/>
    <col width="12" customWidth="1" style="67" min="4" max="4"/>
    <col width="10" customWidth="1" style="67" min="5" max="5"/>
    <col width="13" customWidth="1" style="67" min="6" max="7"/>
    <col width="17" customWidth="1" style="67" min="8" max="8"/>
    <col width="20" customWidth="1" style="67" min="9" max="9"/>
  </cols>
  <sheetData>
    <row r="1" ht="21.6" customHeight="1" s="68">
      <c r="A1" s="89" t="inlineStr">
        <is>
          <t>표 4. 레퍼런스별 점수 변동성 분해 — 관대함과 변별력 두 축</t>
        </is>
      </c>
    </row>
    <row r="2" ht="15" customHeight="1" s="68">
      <c r="A2" s="70" t="inlineStr">
        <is>
          <t>레퍼런스는 (1) 평균 점수를 얼마나 후하게 주는가(관대함), (2) 모델 간 점수를 얼마나 벌리는가(변별력)로 기술된다.</t>
        </is>
      </c>
    </row>
    <row r="4" ht="15" customHeight="1" s="68">
      <c r="A4" s="82" t="inlineStr">
        <is>
          <t>reference_model</t>
        </is>
      </c>
      <c r="B4" s="78" t="inlineStr">
        <is>
          <t>표시명</t>
        </is>
      </c>
      <c r="C4" s="78" t="inlineStr">
        <is>
          <t>평균(관대함)</t>
        </is>
      </c>
      <c r="D4" s="78" t="inlineStr">
        <is>
          <t>표준편차</t>
        </is>
      </c>
      <c r="E4" s="82" t="inlineStr">
        <is>
          <t>CV(%)</t>
        </is>
      </c>
      <c r="F4" s="78" t="inlineStr">
        <is>
          <t>최고 모델</t>
        </is>
      </c>
      <c r="G4" s="78" t="inlineStr">
        <is>
          <t>최저 모델</t>
        </is>
      </c>
      <c r="H4" s="78" t="inlineStr">
        <is>
          <t>변별폭(최고-최저)</t>
        </is>
      </c>
      <c r="I4" s="78" t="inlineStr">
        <is>
          <t>모델간 분산 비중(%)</t>
        </is>
      </c>
    </row>
    <row r="5" ht="15" customHeight="1" s="68">
      <c r="A5" s="74" t="inlineStr">
        <is>
          <t>chatgpt</t>
        </is>
      </c>
      <c r="B5" s="73" t="inlineStr">
        <is>
          <t>ChatGPT</t>
        </is>
      </c>
      <c r="C5" s="97">
        <f>'04_교차표'!E5</f>
        <v/>
      </c>
      <c r="D5" s="96">
        <f>SQRT(SUMPRODUCT(('01_원자료'!$B$2:$B$976=$A5)*('01_원자료'!$S$2:$S$976-$C5)^2)/(COUNTIF('01_원자료'!$B$2:$B$976,$A5)-1))</f>
        <v/>
      </c>
      <c r="E5" s="86">
        <f>D5/C5*100</f>
        <v/>
      </c>
      <c r="F5" s="73">
        <f>INDEX('04_교차표'!$B$4:$D$4,MATCH(MAX('04_교차표'!B5:D5),'04_교차표'!B5:D5,0))</f>
        <v/>
      </c>
      <c r="G5" s="73">
        <f>INDEX('04_교차표'!$B$4:$D$4,MATCH(MIN('04_교차표'!B5:D5),'04_교차표'!B5:D5,0))</f>
        <v/>
      </c>
      <c r="H5" s="108">
        <f>MAX('04_교차표'!B5:D5)-MIN('04_교차표'!B5:D5)</f>
        <v/>
      </c>
      <c r="I5" s="81">
        <f>65*SUMPRODUCT(('04_교차표'!B5:D5-'04_교차표'!E5)^2)/SUMPRODUCT(('01_원자료'!$B$2:$B$976=$A5)*('01_원자료'!$S$2:$S$976-'04_교차표'!E5)^2)*100</f>
        <v/>
      </c>
    </row>
    <row r="6" ht="15" customHeight="1" s="68">
      <c r="A6" s="74" t="inlineStr">
        <is>
          <t>claude</t>
        </is>
      </c>
      <c r="B6" s="73" t="inlineStr">
        <is>
          <t>Claude</t>
        </is>
      </c>
      <c r="C6" s="97">
        <f>'04_교차표'!E6</f>
        <v/>
      </c>
      <c r="D6" s="96">
        <f>SQRT(SUMPRODUCT(('01_원자료'!$B$2:$B$976=$A6)*('01_원자료'!$S$2:$S$976-$C6)^2)/(COUNTIF('01_원자료'!$B$2:$B$976,$A6)-1))</f>
        <v/>
      </c>
      <c r="E6" s="86">
        <f>D6/C6*100</f>
        <v/>
      </c>
      <c r="F6" s="73">
        <f>INDEX('04_교차표'!$B$4:$D$4,MATCH(MAX('04_교차표'!B6:D6),'04_교차표'!B6:D6,0))</f>
        <v/>
      </c>
      <c r="G6" s="73">
        <f>INDEX('04_교차표'!$B$4:$D$4,MATCH(MIN('04_교차표'!B6:D6),'04_교차표'!B6:D6,0))</f>
        <v/>
      </c>
      <c r="H6" s="108">
        <f>MAX('04_교차표'!B6:D6)-MIN('04_교차표'!B6:D6)</f>
        <v/>
      </c>
      <c r="I6" s="81">
        <f>65*SUMPRODUCT(('04_교차표'!B6:D6-'04_교차표'!E6)^2)/SUMPRODUCT(('01_원자료'!$B$2:$B$976=$A6)*('01_원자료'!$S$2:$S$976-'04_교차표'!E6)^2)*100</f>
        <v/>
      </c>
    </row>
    <row r="7" ht="15" customHeight="1" s="68">
      <c r="A7" s="74" t="inlineStr">
        <is>
          <t>gemini</t>
        </is>
      </c>
      <c r="B7" s="73" t="inlineStr">
        <is>
          <t>Gemini</t>
        </is>
      </c>
      <c r="C7" s="97">
        <f>'04_교차표'!E7</f>
        <v/>
      </c>
      <c r="D7" s="96">
        <f>SQRT(SUMPRODUCT(('01_원자료'!$B$2:$B$976=$A7)*('01_원자료'!$S$2:$S$976-$C7)^2)/(COUNTIF('01_원자료'!$B$2:$B$976,$A7)-1))</f>
        <v/>
      </c>
      <c r="E7" s="86">
        <f>D7/C7*100</f>
        <v/>
      </c>
      <c r="F7" s="73">
        <f>INDEX('04_교차표'!$B$4:$D$4,MATCH(MAX('04_교차표'!B7:D7),'04_교차표'!B7:D7,0))</f>
        <v/>
      </c>
      <c r="G7" s="73">
        <f>INDEX('04_교차표'!$B$4:$D$4,MATCH(MIN('04_교차표'!B7:D7),'04_교차표'!B7:D7,0))</f>
        <v/>
      </c>
      <c r="H7" s="108">
        <f>MAX('04_교차표'!B7:D7)-MIN('04_교차표'!B7:D7)</f>
        <v/>
      </c>
      <c r="I7" s="81">
        <f>65*SUMPRODUCT(('04_교차표'!B7:D7-'04_교차표'!E7)^2)/SUMPRODUCT(('01_원자료'!$B$2:$B$976=$A7)*('01_원자료'!$S$2:$S$976-'04_교차표'!E7)^2)*100</f>
        <v/>
      </c>
    </row>
    <row r="8" ht="15" customHeight="1" s="68">
      <c r="A8" s="74" t="inlineStr">
        <is>
          <t>mistral</t>
        </is>
      </c>
      <c r="B8" s="73" t="inlineStr">
        <is>
          <t>Mistral</t>
        </is>
      </c>
      <c r="C8" s="97">
        <f>'04_교차표'!E8</f>
        <v/>
      </c>
      <c r="D8" s="96">
        <f>SQRT(SUMPRODUCT(('01_원자료'!$B$2:$B$976=$A8)*('01_원자료'!$S$2:$S$976-$C8)^2)/(COUNTIF('01_원자료'!$B$2:$B$976,$A8)-1))</f>
        <v/>
      </c>
      <c r="E8" s="86">
        <f>D8/C8*100</f>
        <v/>
      </c>
      <c r="F8" s="73">
        <f>INDEX('04_교차표'!$B$4:$D$4,MATCH(MAX('04_교차표'!B8:D8),'04_교차표'!B8:D8,0))</f>
        <v/>
      </c>
      <c r="G8" s="73">
        <f>INDEX('04_교차표'!$B$4:$D$4,MATCH(MIN('04_교차표'!B8:D8),'04_교차표'!B8:D8,0))</f>
        <v/>
      </c>
      <c r="H8" s="108">
        <f>MAX('04_교차표'!B8:D8)-MIN('04_교차표'!B8:D8)</f>
        <v/>
      </c>
      <c r="I8" s="81">
        <f>65*SUMPRODUCT(('04_교차표'!B8:D8-'04_교차표'!E8)^2)/SUMPRODUCT(('01_원자료'!$B$2:$B$976=$A8)*('01_원자료'!$S$2:$S$976-'04_교차표'!E8)^2)*100</f>
        <v/>
      </c>
    </row>
    <row r="9" ht="15" customHeight="1" s="68">
      <c r="A9" s="74" t="inlineStr">
        <is>
          <t>qwen3_6</t>
        </is>
      </c>
      <c r="B9" s="73" t="inlineStr">
        <is>
          <t>Qwen3.6</t>
        </is>
      </c>
      <c r="C9" s="97">
        <f>'04_교차표'!E9</f>
        <v/>
      </c>
      <c r="D9" s="96">
        <f>SQRT(SUMPRODUCT(('01_원자료'!$B$2:$B$976=$A9)*('01_원자료'!$S$2:$S$976-$C9)^2)/(COUNTIF('01_원자료'!$B$2:$B$976,$A9)-1))</f>
        <v/>
      </c>
      <c r="E9" s="86">
        <f>D9/C9*100</f>
        <v/>
      </c>
      <c r="F9" s="73">
        <f>INDEX('04_교차표'!$B$4:$D$4,MATCH(MAX('04_교차표'!B9:D9),'04_교차표'!B9:D9,0))</f>
        <v/>
      </c>
      <c r="G9" s="73">
        <f>INDEX('04_교차표'!$B$4:$D$4,MATCH(MIN('04_교차표'!B9:D9),'04_교차표'!B9:D9,0))</f>
        <v/>
      </c>
      <c r="H9" s="108">
        <f>MAX('04_교차표'!B9:D9)-MIN('04_교차표'!B9:D9)</f>
        <v/>
      </c>
      <c r="I9" s="81">
        <f>65*SUMPRODUCT(('04_교차표'!B9:D9-'04_교차표'!E9)^2)/SUMPRODUCT(('01_원자료'!$B$2:$B$976=$A9)*('01_원자료'!$S$2:$S$976-'04_교차표'!E9)^2)*100</f>
        <v/>
      </c>
    </row>
    <row r="11" ht="15" customHeight="1" s="68">
      <c r="A11" s="71" t="inlineStr">
        <is>
          <t>산식</t>
        </is>
      </c>
    </row>
    <row r="12" ht="15" customHeight="1" s="68">
      <c r="A12" s="70" t="inlineStr">
        <is>
          <t>변별폭 = 해당 레퍼런스 기준으로 매긴 3개 모델 평균의 최댓값 − 최솟값. 레퍼런스가 모델을 얼마나 벌려놓는지를 원 점수 단위로 나타낸다.</t>
        </is>
      </c>
    </row>
    <row r="13" ht="15" customHeight="1" s="68">
      <c r="A13" s="70" t="inlineStr">
        <is>
          <t>모델간 분산 비중 = r·Σ_j(셀_ij − 행평균_i)² / Σ(y − 행평균_i)² × 100. 해당 레퍼런스 안에서 발생한 총변동 중 "모델이 달라서" 생긴 몫의 백분율이며, 나머지는 문서 차이와 잔차다.</t>
        </is>
      </c>
    </row>
    <row r="15" ht="15" customHeight="1" s="68">
      <c r="A15" s="70" t="inlineStr">
        <is>
          <t>해석: ChatGPT는 가장 박하면서(0.5455) 모델을 거의 구분하지 못한다(변별폭 0.029, 분산비중 10%). Qwen3.6은 관대한 편이면서 변별력이 가장 높다(변별폭 0.148, 65%).</t>
        </is>
      </c>
    </row>
    <row r="16" ht="15" customHeight="1" s="68">
      <c r="A16" s="70" t="inlineStr">
        <is>
          <t>두 축은 독립이다. 관대한 레퍼런스가 반드시 변별력이 높지 않고 그 역도 성립하지 않는다. CV만 보면 Gemini·Qwen3.6이 "고변동"으로 보이지만, 그 변동의 실체는 잡음이 아니라 모델을 실제로 구분해낸 신호다.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O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0" customWidth="1" style="67" min="1" max="1"/>
    <col width="9" customWidth="1" style="67" min="2" max="2"/>
    <col width="11" customWidth="1" style="67" min="3" max="3"/>
    <col width="7" customWidth="1" style="67" min="4" max="4"/>
    <col width="11" customWidth="1" style="67" min="5" max="5"/>
    <col width="7" customWidth="1" style="67" min="6" max="6"/>
    <col width="11" customWidth="1" style="67" min="7" max="7"/>
    <col width="9" customWidth="1" style="67" min="8" max="8"/>
    <col width="8" customWidth="1" style="67" min="9" max="9"/>
    <col width="12" customWidth="1" style="67" min="10" max="10"/>
    <col width="7" customWidth="1" style="67" min="11" max="11"/>
    <col width="10" customWidth="1" style="67" min="12" max="12"/>
    <col width="12" customWidth="1" style="67" min="13" max="13"/>
    <col width="9" customWidth="1" style="67" min="14" max="14"/>
    <col width="14" customWidth="1" style="67" min="15" max="15"/>
  </cols>
  <sheetData>
    <row r="1" ht="21.6" customHeight="1" s="68">
      <c r="A1" s="89" t="inlineStr">
        <is>
          <t>표 5. 모델 간 Overall Score 차이의 비모수 검정</t>
        </is>
      </c>
    </row>
    <row r="2" ht="15" customHeight="1" s="68">
      <c r="A2" s="70" t="inlineStr">
        <is>
          <t>점수 분포가 정규성을 만족하지 않으므로 순위 기반 검정을 사용한다. 순위는 01_원자료 V~Y열에서 계산된다.</t>
        </is>
      </c>
    </row>
    <row r="4" ht="17.15" customHeight="1" s="68">
      <c r="A4" s="94" t="inlineStr">
        <is>
          <t>1단계: Kruskal-Wallis 전체 검정</t>
        </is>
      </c>
    </row>
    <row r="5" ht="15" customHeight="1" s="68">
      <c r="A5" s="79" t="inlineStr">
        <is>
          <t>H = 12/(N(N+1)) · Σ_j (R_j²/n_j) − 3(N+1).  R_j = 모델 j에 속한 관측치들의 전체 순위합</t>
        </is>
      </c>
    </row>
    <row r="6" ht="15" customHeight="1" s="68">
      <c r="A6" s="78" t="inlineStr">
        <is>
          <t>모델</t>
        </is>
      </c>
      <c r="B6" s="82" t="inlineStr">
        <is>
          <t>n_j</t>
        </is>
      </c>
      <c r="C6" s="78" t="inlineStr">
        <is>
          <t>순위합 R_j</t>
        </is>
      </c>
      <c r="D6" s="82" t="inlineStr">
        <is>
          <t>R_j²/n_j</t>
        </is>
      </c>
      <c r="E6" s="78" t="inlineStr">
        <is>
          <t>평균순위</t>
        </is>
      </c>
    </row>
    <row r="7" ht="15" customHeight="1" s="68">
      <c r="A7" s="74" t="inlineStr">
        <is>
          <t>gemma</t>
        </is>
      </c>
      <c r="B7" s="101">
        <f>COUNTIF('01_원자료'!$C$2:$C$976,$A7)</f>
        <v/>
      </c>
      <c r="C7" s="86">
        <f>SUMPRODUCT(('01_원자료'!$C$2:$C$976=$A7)*'01_원자료'!$V$2:$V$976)</f>
        <v/>
      </c>
      <c r="D7" s="86">
        <f>C7^2/B7</f>
        <v/>
      </c>
      <c r="E7" s="86">
        <f>C7/B7</f>
        <v/>
      </c>
    </row>
    <row r="8" ht="15" customHeight="1" s="68">
      <c r="A8" s="74" t="inlineStr">
        <is>
          <t>ministral</t>
        </is>
      </c>
      <c r="B8" s="101">
        <f>COUNTIF('01_원자료'!$C$2:$C$976,$A8)</f>
        <v/>
      </c>
      <c r="C8" s="86">
        <f>SUMPRODUCT(('01_원자료'!$C$2:$C$976=$A8)*'01_원자료'!$V$2:$V$976)</f>
        <v/>
      </c>
      <c r="D8" s="86">
        <f>C8^2/B8</f>
        <v/>
      </c>
      <c r="E8" s="86">
        <f>C8/B8</f>
        <v/>
      </c>
    </row>
    <row r="9" ht="15" customHeight="1" s="68">
      <c r="A9" s="74" t="inlineStr">
        <is>
          <t>qwen</t>
        </is>
      </c>
      <c r="B9" s="101">
        <f>COUNTIF('01_원자료'!$C$2:$C$976,$A9)</f>
        <v/>
      </c>
      <c r="C9" s="86">
        <f>SUMPRODUCT(('01_원자료'!$C$2:$C$976=$A9)*'01_원자료'!$V$2:$V$976)</f>
        <v/>
      </c>
      <c r="D9" s="86">
        <f>C9^2/B9</f>
        <v/>
      </c>
      <c r="E9" s="86">
        <f>C9/B9</f>
        <v/>
      </c>
    </row>
    <row r="10" ht="15" customHeight="1" s="68">
      <c r="A10" s="72" t="inlineStr">
        <is>
          <t>합계</t>
        </is>
      </c>
      <c r="B10" s="81">
        <f>SUM(B7:B9)</f>
        <v/>
      </c>
      <c r="D10" s="113">
        <f>SUM(D7:D9)</f>
        <v/>
      </c>
    </row>
    <row r="12" ht="15" customHeight="1" s="68">
      <c r="A12" s="74" t="inlineStr">
        <is>
          <t>N</t>
        </is>
      </c>
      <c r="B12" s="101">
        <f>B10</f>
        <v/>
      </c>
    </row>
    <row r="13" ht="15" customHeight="1" s="68">
      <c r="A13" s="74" t="inlineStr">
        <is>
          <t>H 통계량</t>
        </is>
      </c>
      <c r="B13" s="105">
        <f>12/(B12*(B12+1))*D10-3*(B12+1)</f>
        <v/>
      </c>
    </row>
    <row r="14" ht="15" customHeight="1" s="68">
      <c r="A14" s="72" t="inlineStr">
        <is>
          <t>자유도</t>
        </is>
      </c>
      <c r="B14" s="101">
        <f>COUNTA(A7:A9)-1</f>
        <v/>
      </c>
    </row>
    <row r="15" ht="15" customHeight="1" s="68">
      <c r="A15" s="74" t="inlineStr">
        <is>
          <t>p</t>
        </is>
      </c>
      <c r="B15" s="103">
        <f>CHIDIST(B13,B14)</f>
        <v/>
      </c>
    </row>
    <row r="16" ht="15" customHeight="1" s="68">
      <c r="A16" s="74" t="inlineStr">
        <is>
          <t>epsilon²(효과크기)</t>
        </is>
      </c>
      <c r="B16" s="96">
        <f>(B13-B14)/(B12-COUNTA(A7:A9))</f>
        <v/>
      </c>
    </row>
    <row r="17" ht="15" customHeight="1" s="68">
      <c r="A17" s="70" t="inlineStr">
        <is>
          <t>동점(tie)이 없는 연속 점수이므로 tie 보정계수는 1이다.</t>
        </is>
      </c>
    </row>
    <row r="19" ht="17.15" customHeight="1" s="68">
      <c r="A19" s="94" t="inlineStr">
        <is>
          <t>2단계: 쌍별 Mann-Whitney U 검정 + Holm-Bonferroni 보정</t>
        </is>
      </c>
    </row>
    <row r="20" ht="15" customHeight="1" s="68">
      <c r="A20" s="79" t="inlineStr">
        <is>
          <t>U = R₁ − n₁(n₁+1)/2.  R₁ = 두 모델만 모은 표본 내에서 모델1 관측치의 순위합 (01_원자료 W~Y열이 쌍별 순위를 계산한다)</t>
        </is>
      </c>
    </row>
    <row r="21" ht="15" customHeight="1" s="68">
      <c r="A21" s="79" t="inlineStr">
        <is>
          <t>z = (U − n₁n₂/2) / sqrt(n₁n₂(n₁+n₂+1)/12),  p = 2(1 − Φ(|z|))</t>
        </is>
      </c>
    </row>
    <row r="22" ht="15" customHeight="1" s="68">
      <c r="A22" s="79" t="inlineStr">
        <is>
          <t>rank-biserial r = 2U/(n₁n₂) − 1.  0=차이없음, ±1=완전분리</t>
        </is>
      </c>
    </row>
    <row r="23" ht="15" customHeight="1" s="68">
      <c r="A23" s="78" t="inlineStr">
        <is>
          <t>비교</t>
        </is>
      </c>
      <c r="B23" s="78" t="inlineStr">
        <is>
          <t>순위열</t>
        </is>
      </c>
      <c r="C23" s="78" t="inlineStr">
        <is>
          <t>모델1</t>
        </is>
      </c>
      <c r="D23" s="82" t="inlineStr">
        <is>
          <t>n₁</t>
        </is>
      </c>
      <c r="E23" s="78" t="inlineStr">
        <is>
          <t>모델2</t>
        </is>
      </c>
      <c r="F23" s="82" t="inlineStr">
        <is>
          <t>n₂</t>
        </is>
      </c>
      <c r="G23" s="82" t="inlineStr">
        <is>
          <t>R₁</t>
        </is>
      </c>
      <c r="H23" s="82" t="inlineStr">
        <is>
          <t>U</t>
        </is>
      </c>
      <c r="I23" s="82" t="inlineStr">
        <is>
          <t>z</t>
        </is>
      </c>
      <c r="J23" s="82" t="inlineStr">
        <is>
          <t>p (원)</t>
        </is>
      </c>
      <c r="K23" s="78" t="inlineStr">
        <is>
          <t>순위</t>
        </is>
      </c>
      <c r="L23" s="82" t="inlineStr">
        <is>
          <t>Holm 배수</t>
        </is>
      </c>
      <c r="M23" s="82" t="inlineStr">
        <is>
          <t>Holm p</t>
        </is>
      </c>
      <c r="N23" s="82" t="inlineStr">
        <is>
          <t>r</t>
        </is>
      </c>
      <c r="O23" s="78" t="inlineStr">
        <is>
          <t>판정</t>
        </is>
      </c>
    </row>
    <row r="24" ht="15" customHeight="1" s="68">
      <c r="A24" s="74" t="inlineStr">
        <is>
          <t>Gemma vs Ministral</t>
        </is>
      </c>
      <c r="B24" s="79" t="inlineStr">
        <is>
          <t>W열</t>
        </is>
      </c>
      <c r="C24" s="73" t="inlineStr">
        <is>
          <t>gemma</t>
        </is>
      </c>
      <c r="D24" s="101">
        <f>COUNTIF('01_원자료'!$C$2:$C$976,C24)</f>
        <v/>
      </c>
      <c r="E24" s="73" t="inlineStr">
        <is>
          <t>ministral</t>
        </is>
      </c>
      <c r="F24" s="101">
        <f>COUNTIF('01_원자료'!$C$2:$C$976,E24)</f>
        <v/>
      </c>
      <c r="G24" s="86">
        <f>SUMPRODUCT(('01_원자료'!$C$2:$C$976=C24)*'01_원자료'!$W$2:$W$976)</f>
        <v/>
      </c>
      <c r="H24" s="81">
        <f>G24-D24*(D24+1)/2</f>
        <v/>
      </c>
      <c r="I24" s="102">
        <f>(H24-D24*F24/2)/SQRT(D24*F24*(D24+F24+1)/12)</f>
        <v/>
      </c>
      <c r="J24" s="103">
        <f>2*(1-NORMSDIST(ABS(I24)))</f>
        <v/>
      </c>
      <c r="K24" s="101">
        <f>RANK(J24,$J$24:$J$26,1)</f>
        <v/>
      </c>
      <c r="L24" s="101">
        <f>COUNTA($A$24:$A$26)-K24+1</f>
        <v/>
      </c>
      <c r="M24" s="109">
        <f>MIN(1,MAX(J24*L24,IF(K24=1,0,MIN(1,SMALL($J$24:$J$26,K24-1)*(COUNTA($A$24:$A$26)-K24+2)))))</f>
        <v/>
      </c>
      <c r="N24" s="114">
        <f>2*H24/(D24*F24)-1</f>
        <v/>
      </c>
      <c r="O24" s="73">
        <f>IF(M24&lt;0.05,"유의","유의하지 않음")</f>
        <v/>
      </c>
    </row>
    <row r="25" ht="15" customHeight="1" s="68">
      <c r="A25" s="74" t="inlineStr">
        <is>
          <t>Gemma vs Qwen</t>
        </is>
      </c>
      <c r="B25" s="79" t="inlineStr">
        <is>
          <t>X열</t>
        </is>
      </c>
      <c r="C25" s="73" t="inlineStr">
        <is>
          <t>gemma</t>
        </is>
      </c>
      <c r="D25" s="101">
        <f>COUNTIF('01_원자료'!$C$2:$C$976,C25)</f>
        <v/>
      </c>
      <c r="E25" s="73" t="inlineStr">
        <is>
          <t>qwen</t>
        </is>
      </c>
      <c r="F25" s="101">
        <f>COUNTIF('01_원자료'!$C$2:$C$976,E25)</f>
        <v/>
      </c>
      <c r="G25" s="86">
        <f>SUMPRODUCT(('01_원자료'!$C$2:$C$976=C25)*'01_원자료'!$X$2:$X$976)</f>
        <v/>
      </c>
      <c r="H25" s="81">
        <f>G25-D25*(D25+1)/2</f>
        <v/>
      </c>
      <c r="I25" s="102">
        <f>(H25-D25*F25/2)/SQRT(D25*F25*(D25+F25+1)/12)</f>
        <v/>
      </c>
      <c r="J25" s="103">
        <f>2*(1-NORMSDIST(ABS(I25)))</f>
        <v/>
      </c>
      <c r="K25" s="101">
        <f>RANK(J25,$J$24:$J$26,1)</f>
        <v/>
      </c>
      <c r="L25" s="101">
        <f>COUNTA($A$24:$A$26)-K25+1</f>
        <v/>
      </c>
      <c r="M25" s="109">
        <f>MIN(1,MAX(J25*L25,IF(K25=1,0,MIN(1,SMALL($J$24:$J$26,K25-1)*(COUNTA($A$24:$A$26)-K25+2)))))</f>
        <v/>
      </c>
      <c r="N25" s="114">
        <f>2*H25/(D25*F25)-1</f>
        <v/>
      </c>
      <c r="O25" s="73">
        <f>IF(M25&lt;0.05,"유의","유의하지 않음")</f>
        <v/>
      </c>
    </row>
    <row r="26" ht="15" customHeight="1" s="68">
      <c r="A26" s="74" t="inlineStr">
        <is>
          <t>Ministral vs Qwen</t>
        </is>
      </c>
      <c r="B26" s="79" t="inlineStr">
        <is>
          <t>Y열</t>
        </is>
      </c>
      <c r="C26" s="73" t="inlineStr">
        <is>
          <t>ministral</t>
        </is>
      </c>
      <c r="D26" s="101">
        <f>COUNTIF('01_원자료'!$C$2:$C$976,C26)</f>
        <v/>
      </c>
      <c r="E26" s="73" t="inlineStr">
        <is>
          <t>qwen</t>
        </is>
      </c>
      <c r="F26" s="101">
        <f>COUNTIF('01_원자료'!$C$2:$C$976,E26)</f>
        <v/>
      </c>
      <c r="G26" s="86">
        <f>SUMPRODUCT(('01_원자료'!$C$2:$C$976=C26)*'01_원자료'!$Y$2:$Y$976)</f>
        <v/>
      </c>
      <c r="H26" s="81">
        <f>G26-D26*(D26+1)/2</f>
        <v/>
      </c>
      <c r="I26" s="102">
        <f>(H26-D26*F26/2)/SQRT(D26*F26*(D26+F26+1)/12)</f>
        <v/>
      </c>
      <c r="J26" s="103">
        <f>2*(1-NORMSDIST(ABS(I26)))</f>
        <v/>
      </c>
      <c r="K26" s="101">
        <f>RANK(J26,$J$24:$J$26,1)</f>
        <v/>
      </c>
      <c r="L26" s="101">
        <f>COUNTA($A$24:$A$26)-K26+1</f>
        <v/>
      </c>
      <c r="M26" s="109">
        <f>MIN(1,MAX(J26*L26,IF(K26=1,0,MIN(1,SMALL($J$24:$J$26,K26-1)*(COUNTA($A$24:$A$26)-K26+2)))))</f>
        <v/>
      </c>
      <c r="N26" s="114">
        <f>2*H26/(D26*F26)-1</f>
        <v/>
      </c>
      <c r="O26" s="73">
        <f>IF(M26&lt;0.05,"유의","유의하지 않음")</f>
        <v/>
      </c>
    </row>
    <row r="28" ht="15" customHeight="1" s="68">
      <c r="A28" s="70" t="inlineStr">
        <is>
          <t>해석: Ministral은 다른 두 모델보다 유의하게 낮다(|r|&gt;0.6, 큰 효과). Gemma와 Qwen 사이에는 차이가 없다(r=+0.014, p=0.76). 즉 로컬 모델 3종은 실질적으로 2개 계층으로 나뉜다.</t>
        </is>
      </c>
    </row>
    <row r="29" ht="15" customHeight="1" s="68">
      <c r="A29" s="70" t="inlineStr">
        <is>
          <t>주의: p가 0으로 표시되는 것은 정규근사에서 |z|&gt;13이라 배정밀도 하한 아래로 내려간 것이며, 실제로는 p&lt;1e-40 수준이다.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95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0" customWidth="1" style="68" min="1" max="1"/>
    <col width="10" customWidth="1" style="68" min="2" max="2"/>
    <col width="10" customWidth="1" style="68" min="3" max="3"/>
    <col width="10" customWidth="1" style="68" min="4" max="4"/>
    <col width="10" customWidth="1" style="68" min="5" max="5"/>
    <col width="10" customWidth="1" style="68" min="6" max="6"/>
    <col width="9" customWidth="1" style="68" min="7" max="7"/>
    <col width="12" customWidth="1" style="68" min="8" max="8"/>
    <col width="7" customWidth="1" style="68" min="9" max="9"/>
    <col width="10" customWidth="1" style="68" min="10" max="10"/>
    <col width="12" customWidth="1" style="68" min="11" max="11"/>
    <col width="10" customWidth="1" style="68" min="12" max="12"/>
    <col width="11" customWidth="1" style="68" min="13" max="13"/>
    <col width="11" customWidth="1" style="68" min="14" max="14"/>
    <col width="13" customWidth="1" style="68" min="15" max="15"/>
  </cols>
  <sheetData>
    <row r="1">
      <c r="A1" s="115" t="inlineStr">
        <is>
          <t>표 5(개정). 모델 간 Overall Score 차이 — 반복측정 구조를 반영한 비모수 검정</t>
        </is>
      </c>
    </row>
    <row r="2">
      <c r="A2" t="inlineStr">
        <is>
          <t>975개 평가쌍은 65개 문서가 15개 모델-레퍼런스 조합에 반복 측정된 구조이므로 975개의 독립 표본이 아니다.</t>
        </is>
      </c>
    </row>
    <row r="3">
      <c r="A3" t="inlineStr">
        <is>
          <t>따라서 독립표본을 전제하는 Kruskal-Wallis와 Mann-Whitney U 대신, 블록(문서)을 대응시키는 Friedman과 Wilcoxon 부호순위 검정을 사용한다.</t>
        </is>
      </c>
    </row>
    <row r="4">
      <c r="A4" t="inlineStr">
        <is>
          <t>대응 단위는 문서(n=65)이며 각 모델 점수는 레퍼런스 5종 평균으로 집계하여 레퍼런스 주효과를 상쇄한다.</t>
        </is>
      </c>
    </row>
    <row r="5">
      <c r="A5" t="inlineStr">
        <is>
          <t>Wilcoxon:  W = min(R+, R−),  z = (W − n(n+1)/4)/sqrt(n(n+1)(2n+1)/24),  p = 2(1 − Φ(|z|))</t>
        </is>
      </c>
    </row>
    <row r="6">
      <c r="A6" t="inlineStr">
        <is>
          <t>Friedman:  χ² = 12/(n·k(k+1)) · Σ Rj² − 3n(k+1),  Kendall W = χ²/(n(k−1))</t>
        </is>
      </c>
    </row>
    <row r="7">
      <c r="A7" t="inlineStr">
        <is>
          <t>효과크기:  대응 rank-biserial r = (R+ − R−)/(R+ + R−),  Cohen dz = mean(d)/sd(d)</t>
        </is>
      </c>
    </row>
    <row r="8">
      <c r="A8" s="116" t="inlineStr">
        <is>
          <t>1단계: 문서 단위 집계 · 쌍별 차이 · 절대값 순위 · 행 내 순위</t>
        </is>
      </c>
    </row>
    <row r="9">
      <c r="A9" s="117" t="inlineStr">
        <is>
          <t>document_id</t>
        </is>
      </c>
      <c r="B9" s="117" t="inlineStr">
        <is>
          <t>Gemma</t>
        </is>
      </c>
      <c r="C9" s="117" t="inlineStr">
        <is>
          <t>Ministral</t>
        </is>
      </c>
      <c r="D9" s="117" t="inlineStr">
        <is>
          <t>Qwen</t>
        </is>
      </c>
      <c r="E9" s="117" t="inlineStr">
        <is>
          <t>d1 = G−M</t>
        </is>
      </c>
      <c r="F9" s="117" t="inlineStr">
        <is>
          <t>d2 = G−Q</t>
        </is>
      </c>
      <c r="G9" s="117" t="inlineStr">
        <is>
          <t>d3 = Q−M</t>
        </is>
      </c>
      <c r="H9" s="117" t="inlineStr">
        <is>
          <t>|d1| 순위</t>
        </is>
      </c>
      <c r="I9" s="117" t="inlineStr">
        <is>
          <t>|d2| 순위</t>
        </is>
      </c>
      <c r="J9" s="117" t="inlineStr">
        <is>
          <t>|d3| 순위</t>
        </is>
      </c>
      <c r="K9" s="117" t="inlineStr">
        <is>
          <t>행순위 G</t>
        </is>
      </c>
      <c r="L9" s="117" t="inlineStr">
        <is>
          <t>행순위 M</t>
        </is>
      </c>
      <c r="M9" s="117" t="inlineStr">
        <is>
          <t>행순위 Q</t>
        </is>
      </c>
    </row>
    <row r="10">
      <c r="A10" t="inlineStr">
        <is>
          <t>PAT-01</t>
        </is>
      </c>
      <c r="B10" s="118">
        <f>AVERAGEIFS('01_원자료'!$S$2:$S$976,'01_원자료'!$A$2:$A$976,$A10,'01_원자료'!$C$2:$C$976,"gemma")</f>
        <v/>
      </c>
      <c r="C10" s="118">
        <f>AVERAGEIFS('01_원자료'!$S$2:$S$976,'01_원자료'!$A$2:$A$976,$A10,'01_원자료'!$C$2:$C$976,"ministral")</f>
        <v/>
      </c>
      <c r="D10" s="118">
        <f>AVERAGEIFS('01_원자료'!$S$2:$S$976,'01_원자료'!$A$2:$A$976,$A10,'01_원자료'!$C$2:$C$976,"qwen")</f>
        <v/>
      </c>
      <c r="E10" s="118">
        <f>B10-C10</f>
        <v/>
      </c>
      <c r="F10" s="118">
        <f>B10-D10</f>
        <v/>
      </c>
      <c r="G10" s="118">
        <f>D10-C10</f>
        <v/>
      </c>
      <c r="H10" s="119">
        <f>SUMPRODUCT((ABS($E$10:$E$74)&lt;ABS(E10))*1)+(SUMPRODUCT((ABS($E$10:$E$74)=ABS(E10))*1)+1)/2</f>
        <v/>
      </c>
      <c r="I10" s="119">
        <f>SUMPRODUCT((ABS($F$10:$F$74)&lt;ABS(F10))*1)+(SUMPRODUCT((ABS($F$10:$F$74)=ABS(F10))*1)+1)/2</f>
        <v/>
      </c>
      <c r="J10" s="119">
        <f>SUMPRODUCT((ABS($G$10:$G$74)&lt;ABS(G10))*1)+(SUMPRODUCT((ABS($G$10:$G$74)=ABS(G10))*1)+1)/2</f>
        <v/>
      </c>
      <c r="K10">
        <f>RANK(B10,$B10:$D10,1)</f>
        <v/>
      </c>
      <c r="L10">
        <f>RANK(C10,$B10:$D10,1)</f>
        <v/>
      </c>
      <c r="M10">
        <f>RANK(D10,$B10:$D10,1)</f>
        <v/>
      </c>
    </row>
    <row r="11">
      <c r="A11" t="inlineStr">
        <is>
          <t>PAT-02</t>
        </is>
      </c>
      <c r="B11" s="118">
        <f>AVERAGEIFS('01_원자료'!$S$2:$S$976,'01_원자료'!$A$2:$A$976,$A11,'01_원자료'!$C$2:$C$976,"gemma")</f>
        <v/>
      </c>
      <c r="C11" s="118">
        <f>AVERAGEIFS('01_원자료'!$S$2:$S$976,'01_원자료'!$A$2:$A$976,$A11,'01_원자료'!$C$2:$C$976,"ministral")</f>
        <v/>
      </c>
      <c r="D11" s="118">
        <f>AVERAGEIFS('01_원자료'!$S$2:$S$976,'01_원자료'!$A$2:$A$976,$A11,'01_원자료'!$C$2:$C$976,"qwen")</f>
        <v/>
      </c>
      <c r="E11" s="118">
        <f>B11-C11</f>
        <v/>
      </c>
      <c r="F11" s="118">
        <f>B11-D11</f>
        <v/>
      </c>
      <c r="G11" s="118">
        <f>D11-C11</f>
        <v/>
      </c>
      <c r="H11" s="119">
        <f>SUMPRODUCT((ABS($E$10:$E$74)&lt;ABS(E11))*1)+(SUMPRODUCT((ABS($E$10:$E$74)=ABS(E11))*1)+1)/2</f>
        <v/>
      </c>
      <c r="I11" s="119">
        <f>SUMPRODUCT((ABS($F$10:$F$74)&lt;ABS(F11))*1)+(SUMPRODUCT((ABS($F$10:$F$74)=ABS(F11))*1)+1)/2</f>
        <v/>
      </c>
      <c r="J11" s="119">
        <f>SUMPRODUCT((ABS($G$10:$G$74)&lt;ABS(G11))*1)+(SUMPRODUCT((ABS($G$10:$G$74)=ABS(G11))*1)+1)/2</f>
        <v/>
      </c>
      <c r="K11">
        <f>RANK(B11,$B11:$D11,1)</f>
        <v/>
      </c>
      <c r="L11">
        <f>RANK(C11,$B11:$D11,1)</f>
        <v/>
      </c>
      <c r="M11">
        <f>RANK(D11,$B11:$D11,1)</f>
        <v/>
      </c>
    </row>
    <row r="12">
      <c r="A12" t="inlineStr">
        <is>
          <t>PAT-03</t>
        </is>
      </c>
      <c r="B12" s="118">
        <f>AVERAGEIFS('01_원자료'!$S$2:$S$976,'01_원자료'!$A$2:$A$976,$A12,'01_원자료'!$C$2:$C$976,"gemma")</f>
        <v/>
      </c>
      <c r="C12" s="118">
        <f>AVERAGEIFS('01_원자료'!$S$2:$S$976,'01_원자료'!$A$2:$A$976,$A12,'01_원자료'!$C$2:$C$976,"ministral")</f>
        <v/>
      </c>
      <c r="D12" s="118">
        <f>AVERAGEIFS('01_원자료'!$S$2:$S$976,'01_원자료'!$A$2:$A$976,$A12,'01_원자료'!$C$2:$C$976,"qwen")</f>
        <v/>
      </c>
      <c r="E12" s="118">
        <f>B12-C12</f>
        <v/>
      </c>
      <c r="F12" s="118">
        <f>B12-D12</f>
        <v/>
      </c>
      <c r="G12" s="118">
        <f>D12-C12</f>
        <v/>
      </c>
      <c r="H12" s="119">
        <f>SUMPRODUCT((ABS($E$10:$E$74)&lt;ABS(E12))*1)+(SUMPRODUCT((ABS($E$10:$E$74)=ABS(E12))*1)+1)/2</f>
        <v/>
      </c>
      <c r="I12" s="119">
        <f>SUMPRODUCT((ABS($F$10:$F$74)&lt;ABS(F12))*1)+(SUMPRODUCT((ABS($F$10:$F$74)=ABS(F12))*1)+1)/2</f>
        <v/>
      </c>
      <c r="J12" s="119">
        <f>SUMPRODUCT((ABS($G$10:$G$74)&lt;ABS(G12))*1)+(SUMPRODUCT((ABS($G$10:$G$74)=ABS(G12))*1)+1)/2</f>
        <v/>
      </c>
      <c r="K12">
        <f>RANK(B12,$B12:$D12,1)</f>
        <v/>
      </c>
      <c r="L12">
        <f>RANK(C12,$B12:$D12,1)</f>
        <v/>
      </c>
      <c r="M12">
        <f>RANK(D12,$B12:$D12,1)</f>
        <v/>
      </c>
    </row>
    <row r="13">
      <c r="A13" t="inlineStr">
        <is>
          <t>PAT-04</t>
        </is>
      </c>
      <c r="B13" s="118">
        <f>AVERAGEIFS('01_원자료'!$S$2:$S$976,'01_원자료'!$A$2:$A$976,$A13,'01_원자료'!$C$2:$C$976,"gemma")</f>
        <v/>
      </c>
      <c r="C13" s="118">
        <f>AVERAGEIFS('01_원자료'!$S$2:$S$976,'01_원자료'!$A$2:$A$976,$A13,'01_원자료'!$C$2:$C$976,"ministral")</f>
        <v/>
      </c>
      <c r="D13" s="118">
        <f>AVERAGEIFS('01_원자료'!$S$2:$S$976,'01_원자료'!$A$2:$A$976,$A13,'01_원자료'!$C$2:$C$976,"qwen")</f>
        <v/>
      </c>
      <c r="E13" s="118">
        <f>B13-C13</f>
        <v/>
      </c>
      <c r="F13" s="118">
        <f>B13-D13</f>
        <v/>
      </c>
      <c r="G13" s="118">
        <f>D13-C13</f>
        <v/>
      </c>
      <c r="H13" s="119">
        <f>SUMPRODUCT((ABS($E$10:$E$74)&lt;ABS(E13))*1)+(SUMPRODUCT((ABS($E$10:$E$74)=ABS(E13))*1)+1)/2</f>
        <v/>
      </c>
      <c r="I13" s="119">
        <f>SUMPRODUCT((ABS($F$10:$F$74)&lt;ABS(F13))*1)+(SUMPRODUCT((ABS($F$10:$F$74)=ABS(F13))*1)+1)/2</f>
        <v/>
      </c>
      <c r="J13" s="119">
        <f>SUMPRODUCT((ABS($G$10:$G$74)&lt;ABS(G13))*1)+(SUMPRODUCT((ABS($G$10:$G$74)=ABS(G13))*1)+1)/2</f>
        <v/>
      </c>
      <c r="K13">
        <f>RANK(B13,$B13:$D13,1)</f>
        <v/>
      </c>
      <c r="L13">
        <f>RANK(C13,$B13:$D13,1)</f>
        <v/>
      </c>
      <c r="M13">
        <f>RANK(D13,$B13:$D13,1)</f>
        <v/>
      </c>
    </row>
    <row r="14">
      <c r="A14" t="inlineStr">
        <is>
          <t>PAT-05</t>
        </is>
      </c>
      <c r="B14" s="118">
        <f>AVERAGEIFS('01_원자료'!$S$2:$S$976,'01_원자료'!$A$2:$A$976,$A14,'01_원자료'!$C$2:$C$976,"gemma")</f>
        <v/>
      </c>
      <c r="C14" s="118">
        <f>AVERAGEIFS('01_원자료'!$S$2:$S$976,'01_원자료'!$A$2:$A$976,$A14,'01_원자료'!$C$2:$C$976,"ministral")</f>
        <v/>
      </c>
      <c r="D14" s="118">
        <f>AVERAGEIFS('01_원자료'!$S$2:$S$976,'01_원자료'!$A$2:$A$976,$A14,'01_원자료'!$C$2:$C$976,"qwen")</f>
        <v/>
      </c>
      <c r="E14" s="118">
        <f>B14-C14</f>
        <v/>
      </c>
      <c r="F14" s="118">
        <f>B14-D14</f>
        <v/>
      </c>
      <c r="G14" s="118">
        <f>D14-C14</f>
        <v/>
      </c>
      <c r="H14" s="119">
        <f>SUMPRODUCT((ABS($E$10:$E$74)&lt;ABS(E14))*1)+(SUMPRODUCT((ABS($E$10:$E$74)=ABS(E14))*1)+1)/2</f>
        <v/>
      </c>
      <c r="I14" s="119">
        <f>SUMPRODUCT((ABS($F$10:$F$74)&lt;ABS(F14))*1)+(SUMPRODUCT((ABS($F$10:$F$74)=ABS(F14))*1)+1)/2</f>
        <v/>
      </c>
      <c r="J14" s="119">
        <f>SUMPRODUCT((ABS($G$10:$G$74)&lt;ABS(G14))*1)+(SUMPRODUCT((ABS($G$10:$G$74)=ABS(G14))*1)+1)/2</f>
        <v/>
      </c>
      <c r="K14">
        <f>RANK(B14,$B14:$D14,1)</f>
        <v/>
      </c>
      <c r="L14">
        <f>RANK(C14,$B14:$D14,1)</f>
        <v/>
      </c>
      <c r="M14">
        <f>RANK(D14,$B14:$D14,1)</f>
        <v/>
      </c>
    </row>
    <row r="15">
      <c r="A15" t="inlineStr">
        <is>
          <t>PAT-06</t>
        </is>
      </c>
      <c r="B15" s="118">
        <f>AVERAGEIFS('01_원자료'!$S$2:$S$976,'01_원자료'!$A$2:$A$976,$A15,'01_원자료'!$C$2:$C$976,"gemma")</f>
        <v/>
      </c>
      <c r="C15" s="118">
        <f>AVERAGEIFS('01_원자료'!$S$2:$S$976,'01_원자료'!$A$2:$A$976,$A15,'01_원자료'!$C$2:$C$976,"ministral")</f>
        <v/>
      </c>
      <c r="D15" s="118">
        <f>AVERAGEIFS('01_원자료'!$S$2:$S$976,'01_원자료'!$A$2:$A$976,$A15,'01_원자료'!$C$2:$C$976,"qwen")</f>
        <v/>
      </c>
      <c r="E15" s="118">
        <f>B15-C15</f>
        <v/>
      </c>
      <c r="F15" s="118">
        <f>B15-D15</f>
        <v/>
      </c>
      <c r="G15" s="118">
        <f>D15-C15</f>
        <v/>
      </c>
      <c r="H15" s="119">
        <f>SUMPRODUCT((ABS($E$10:$E$74)&lt;ABS(E15))*1)+(SUMPRODUCT((ABS($E$10:$E$74)=ABS(E15))*1)+1)/2</f>
        <v/>
      </c>
      <c r="I15" s="119">
        <f>SUMPRODUCT((ABS($F$10:$F$74)&lt;ABS(F15))*1)+(SUMPRODUCT((ABS($F$10:$F$74)=ABS(F15))*1)+1)/2</f>
        <v/>
      </c>
      <c r="J15" s="119">
        <f>SUMPRODUCT((ABS($G$10:$G$74)&lt;ABS(G15))*1)+(SUMPRODUCT((ABS($G$10:$G$74)=ABS(G15))*1)+1)/2</f>
        <v/>
      </c>
      <c r="K15">
        <f>RANK(B15,$B15:$D15,1)</f>
        <v/>
      </c>
      <c r="L15">
        <f>RANK(C15,$B15:$D15,1)</f>
        <v/>
      </c>
      <c r="M15">
        <f>RANK(D15,$B15:$D15,1)</f>
        <v/>
      </c>
    </row>
    <row r="16">
      <c r="A16" t="inlineStr">
        <is>
          <t>PAT-07</t>
        </is>
      </c>
      <c r="B16" s="118">
        <f>AVERAGEIFS('01_원자료'!$S$2:$S$976,'01_원자료'!$A$2:$A$976,$A16,'01_원자료'!$C$2:$C$976,"gemma")</f>
        <v/>
      </c>
      <c r="C16" s="118">
        <f>AVERAGEIFS('01_원자료'!$S$2:$S$976,'01_원자료'!$A$2:$A$976,$A16,'01_원자료'!$C$2:$C$976,"ministral")</f>
        <v/>
      </c>
      <c r="D16" s="118">
        <f>AVERAGEIFS('01_원자료'!$S$2:$S$976,'01_원자료'!$A$2:$A$976,$A16,'01_원자료'!$C$2:$C$976,"qwen")</f>
        <v/>
      </c>
      <c r="E16" s="118">
        <f>B16-C16</f>
        <v/>
      </c>
      <c r="F16" s="118">
        <f>B16-D16</f>
        <v/>
      </c>
      <c r="G16" s="118">
        <f>D16-C16</f>
        <v/>
      </c>
      <c r="H16" s="119">
        <f>SUMPRODUCT((ABS($E$10:$E$74)&lt;ABS(E16))*1)+(SUMPRODUCT((ABS($E$10:$E$74)=ABS(E16))*1)+1)/2</f>
        <v/>
      </c>
      <c r="I16" s="119">
        <f>SUMPRODUCT((ABS($F$10:$F$74)&lt;ABS(F16))*1)+(SUMPRODUCT((ABS($F$10:$F$74)=ABS(F16))*1)+1)/2</f>
        <v/>
      </c>
      <c r="J16" s="119">
        <f>SUMPRODUCT((ABS($G$10:$G$74)&lt;ABS(G16))*1)+(SUMPRODUCT((ABS($G$10:$G$74)=ABS(G16))*1)+1)/2</f>
        <v/>
      </c>
      <c r="K16">
        <f>RANK(B16,$B16:$D16,1)</f>
        <v/>
      </c>
      <c r="L16">
        <f>RANK(C16,$B16:$D16,1)</f>
        <v/>
      </c>
      <c r="M16">
        <f>RANK(D16,$B16:$D16,1)</f>
        <v/>
      </c>
    </row>
    <row r="17">
      <c r="A17" t="inlineStr">
        <is>
          <t>PAT-08</t>
        </is>
      </c>
      <c r="B17" s="118">
        <f>AVERAGEIFS('01_원자료'!$S$2:$S$976,'01_원자료'!$A$2:$A$976,$A17,'01_원자료'!$C$2:$C$976,"gemma")</f>
        <v/>
      </c>
      <c r="C17" s="118">
        <f>AVERAGEIFS('01_원자료'!$S$2:$S$976,'01_원자료'!$A$2:$A$976,$A17,'01_원자료'!$C$2:$C$976,"ministral")</f>
        <v/>
      </c>
      <c r="D17" s="118">
        <f>AVERAGEIFS('01_원자료'!$S$2:$S$976,'01_원자료'!$A$2:$A$976,$A17,'01_원자료'!$C$2:$C$976,"qwen")</f>
        <v/>
      </c>
      <c r="E17" s="118">
        <f>B17-C17</f>
        <v/>
      </c>
      <c r="F17" s="118">
        <f>B17-D17</f>
        <v/>
      </c>
      <c r="G17" s="118">
        <f>D17-C17</f>
        <v/>
      </c>
      <c r="H17" s="119">
        <f>SUMPRODUCT((ABS($E$10:$E$74)&lt;ABS(E17))*1)+(SUMPRODUCT((ABS($E$10:$E$74)=ABS(E17))*1)+1)/2</f>
        <v/>
      </c>
      <c r="I17" s="119">
        <f>SUMPRODUCT((ABS($F$10:$F$74)&lt;ABS(F17))*1)+(SUMPRODUCT((ABS($F$10:$F$74)=ABS(F17))*1)+1)/2</f>
        <v/>
      </c>
      <c r="J17" s="119">
        <f>SUMPRODUCT((ABS($G$10:$G$74)&lt;ABS(G17))*1)+(SUMPRODUCT((ABS($G$10:$G$74)=ABS(G17))*1)+1)/2</f>
        <v/>
      </c>
      <c r="K17">
        <f>RANK(B17,$B17:$D17,1)</f>
        <v/>
      </c>
      <c r="L17">
        <f>RANK(C17,$B17:$D17,1)</f>
        <v/>
      </c>
      <c r="M17">
        <f>RANK(D17,$B17:$D17,1)</f>
        <v/>
      </c>
    </row>
    <row r="18">
      <c r="A18" t="inlineStr">
        <is>
          <t>PAT-09</t>
        </is>
      </c>
      <c r="B18" s="118">
        <f>AVERAGEIFS('01_원자료'!$S$2:$S$976,'01_원자료'!$A$2:$A$976,$A18,'01_원자료'!$C$2:$C$976,"gemma")</f>
        <v/>
      </c>
      <c r="C18" s="118">
        <f>AVERAGEIFS('01_원자료'!$S$2:$S$976,'01_원자료'!$A$2:$A$976,$A18,'01_원자료'!$C$2:$C$976,"ministral")</f>
        <v/>
      </c>
      <c r="D18" s="118">
        <f>AVERAGEIFS('01_원자료'!$S$2:$S$976,'01_원자료'!$A$2:$A$976,$A18,'01_원자료'!$C$2:$C$976,"qwen")</f>
        <v/>
      </c>
      <c r="E18" s="118">
        <f>B18-C18</f>
        <v/>
      </c>
      <c r="F18" s="118">
        <f>B18-D18</f>
        <v/>
      </c>
      <c r="G18" s="118">
        <f>D18-C18</f>
        <v/>
      </c>
      <c r="H18" s="119">
        <f>SUMPRODUCT((ABS($E$10:$E$74)&lt;ABS(E18))*1)+(SUMPRODUCT((ABS($E$10:$E$74)=ABS(E18))*1)+1)/2</f>
        <v/>
      </c>
      <c r="I18" s="119">
        <f>SUMPRODUCT((ABS($F$10:$F$74)&lt;ABS(F18))*1)+(SUMPRODUCT((ABS($F$10:$F$74)=ABS(F18))*1)+1)/2</f>
        <v/>
      </c>
      <c r="J18" s="119">
        <f>SUMPRODUCT((ABS($G$10:$G$74)&lt;ABS(G18))*1)+(SUMPRODUCT((ABS($G$10:$G$74)=ABS(G18))*1)+1)/2</f>
        <v/>
      </c>
      <c r="K18">
        <f>RANK(B18,$B18:$D18,1)</f>
        <v/>
      </c>
      <c r="L18">
        <f>RANK(C18,$B18:$D18,1)</f>
        <v/>
      </c>
      <c r="M18">
        <f>RANK(D18,$B18:$D18,1)</f>
        <v/>
      </c>
    </row>
    <row r="19">
      <c r="A19" t="inlineStr">
        <is>
          <t>PAT-10</t>
        </is>
      </c>
      <c r="B19" s="118">
        <f>AVERAGEIFS('01_원자료'!$S$2:$S$976,'01_원자료'!$A$2:$A$976,$A19,'01_원자료'!$C$2:$C$976,"gemma")</f>
        <v/>
      </c>
      <c r="C19" s="118">
        <f>AVERAGEIFS('01_원자료'!$S$2:$S$976,'01_원자료'!$A$2:$A$976,$A19,'01_원자료'!$C$2:$C$976,"ministral")</f>
        <v/>
      </c>
      <c r="D19" s="118">
        <f>AVERAGEIFS('01_원자료'!$S$2:$S$976,'01_원자료'!$A$2:$A$976,$A19,'01_원자료'!$C$2:$C$976,"qwen")</f>
        <v/>
      </c>
      <c r="E19" s="118">
        <f>B19-C19</f>
        <v/>
      </c>
      <c r="F19" s="118">
        <f>B19-D19</f>
        <v/>
      </c>
      <c r="G19" s="118">
        <f>D19-C19</f>
        <v/>
      </c>
      <c r="H19" s="119">
        <f>SUMPRODUCT((ABS($E$10:$E$74)&lt;ABS(E19))*1)+(SUMPRODUCT((ABS($E$10:$E$74)=ABS(E19))*1)+1)/2</f>
        <v/>
      </c>
      <c r="I19" s="119">
        <f>SUMPRODUCT((ABS($F$10:$F$74)&lt;ABS(F19))*1)+(SUMPRODUCT((ABS($F$10:$F$74)=ABS(F19))*1)+1)/2</f>
        <v/>
      </c>
      <c r="J19" s="119">
        <f>SUMPRODUCT((ABS($G$10:$G$74)&lt;ABS(G19))*1)+(SUMPRODUCT((ABS($G$10:$G$74)=ABS(G19))*1)+1)/2</f>
        <v/>
      </c>
      <c r="K19">
        <f>RANK(B19,$B19:$D19,1)</f>
        <v/>
      </c>
      <c r="L19">
        <f>RANK(C19,$B19:$D19,1)</f>
        <v/>
      </c>
      <c r="M19">
        <f>RANK(D19,$B19:$D19,1)</f>
        <v/>
      </c>
    </row>
    <row r="20">
      <c r="A20" t="inlineStr">
        <is>
          <t>PAT-11</t>
        </is>
      </c>
      <c r="B20" s="118">
        <f>AVERAGEIFS('01_원자료'!$S$2:$S$976,'01_원자료'!$A$2:$A$976,$A20,'01_원자료'!$C$2:$C$976,"gemma")</f>
        <v/>
      </c>
      <c r="C20" s="118">
        <f>AVERAGEIFS('01_원자료'!$S$2:$S$976,'01_원자료'!$A$2:$A$976,$A20,'01_원자료'!$C$2:$C$976,"ministral")</f>
        <v/>
      </c>
      <c r="D20" s="118">
        <f>AVERAGEIFS('01_원자료'!$S$2:$S$976,'01_원자료'!$A$2:$A$976,$A20,'01_원자료'!$C$2:$C$976,"qwen")</f>
        <v/>
      </c>
      <c r="E20" s="118">
        <f>B20-C20</f>
        <v/>
      </c>
      <c r="F20" s="118">
        <f>B20-D20</f>
        <v/>
      </c>
      <c r="G20" s="118">
        <f>D20-C20</f>
        <v/>
      </c>
      <c r="H20" s="119">
        <f>SUMPRODUCT((ABS($E$10:$E$74)&lt;ABS(E20))*1)+(SUMPRODUCT((ABS($E$10:$E$74)=ABS(E20))*1)+1)/2</f>
        <v/>
      </c>
      <c r="I20" s="119">
        <f>SUMPRODUCT((ABS($F$10:$F$74)&lt;ABS(F20))*1)+(SUMPRODUCT((ABS($F$10:$F$74)=ABS(F20))*1)+1)/2</f>
        <v/>
      </c>
      <c r="J20" s="119">
        <f>SUMPRODUCT((ABS($G$10:$G$74)&lt;ABS(G20))*1)+(SUMPRODUCT((ABS($G$10:$G$74)=ABS(G20))*1)+1)/2</f>
        <v/>
      </c>
      <c r="K20">
        <f>RANK(B20,$B20:$D20,1)</f>
        <v/>
      </c>
      <c r="L20">
        <f>RANK(C20,$B20:$D20,1)</f>
        <v/>
      </c>
      <c r="M20">
        <f>RANK(D20,$B20:$D20,1)</f>
        <v/>
      </c>
    </row>
    <row r="21">
      <c r="A21" t="inlineStr">
        <is>
          <t>PAT-12</t>
        </is>
      </c>
      <c r="B21" s="118">
        <f>AVERAGEIFS('01_원자료'!$S$2:$S$976,'01_원자료'!$A$2:$A$976,$A21,'01_원자료'!$C$2:$C$976,"gemma")</f>
        <v/>
      </c>
      <c r="C21" s="118">
        <f>AVERAGEIFS('01_원자료'!$S$2:$S$976,'01_원자료'!$A$2:$A$976,$A21,'01_원자료'!$C$2:$C$976,"ministral")</f>
        <v/>
      </c>
      <c r="D21" s="118">
        <f>AVERAGEIFS('01_원자료'!$S$2:$S$976,'01_원자료'!$A$2:$A$976,$A21,'01_원자료'!$C$2:$C$976,"qwen")</f>
        <v/>
      </c>
      <c r="E21" s="118">
        <f>B21-C21</f>
        <v/>
      </c>
      <c r="F21" s="118">
        <f>B21-D21</f>
        <v/>
      </c>
      <c r="G21" s="118">
        <f>D21-C21</f>
        <v/>
      </c>
      <c r="H21" s="119">
        <f>SUMPRODUCT((ABS($E$10:$E$74)&lt;ABS(E21))*1)+(SUMPRODUCT((ABS($E$10:$E$74)=ABS(E21))*1)+1)/2</f>
        <v/>
      </c>
      <c r="I21" s="119">
        <f>SUMPRODUCT((ABS($F$10:$F$74)&lt;ABS(F21))*1)+(SUMPRODUCT((ABS($F$10:$F$74)=ABS(F21))*1)+1)/2</f>
        <v/>
      </c>
      <c r="J21" s="119">
        <f>SUMPRODUCT((ABS($G$10:$G$74)&lt;ABS(G21))*1)+(SUMPRODUCT((ABS($G$10:$G$74)=ABS(G21))*1)+1)/2</f>
        <v/>
      </c>
      <c r="K21">
        <f>RANK(B21,$B21:$D21,1)</f>
        <v/>
      </c>
      <c r="L21">
        <f>RANK(C21,$B21:$D21,1)</f>
        <v/>
      </c>
      <c r="M21">
        <f>RANK(D21,$B21:$D21,1)</f>
        <v/>
      </c>
    </row>
    <row r="22">
      <c r="A22" t="inlineStr">
        <is>
          <t>PAT-13</t>
        </is>
      </c>
      <c r="B22" s="118">
        <f>AVERAGEIFS('01_원자료'!$S$2:$S$976,'01_원자료'!$A$2:$A$976,$A22,'01_원자료'!$C$2:$C$976,"gemma")</f>
        <v/>
      </c>
      <c r="C22" s="118">
        <f>AVERAGEIFS('01_원자료'!$S$2:$S$976,'01_원자료'!$A$2:$A$976,$A22,'01_원자료'!$C$2:$C$976,"ministral")</f>
        <v/>
      </c>
      <c r="D22" s="118">
        <f>AVERAGEIFS('01_원자료'!$S$2:$S$976,'01_원자료'!$A$2:$A$976,$A22,'01_원자료'!$C$2:$C$976,"qwen")</f>
        <v/>
      </c>
      <c r="E22" s="118">
        <f>B22-C22</f>
        <v/>
      </c>
      <c r="F22" s="118">
        <f>B22-D22</f>
        <v/>
      </c>
      <c r="G22" s="118">
        <f>D22-C22</f>
        <v/>
      </c>
      <c r="H22" s="119">
        <f>SUMPRODUCT((ABS($E$10:$E$74)&lt;ABS(E22))*1)+(SUMPRODUCT((ABS($E$10:$E$74)=ABS(E22))*1)+1)/2</f>
        <v/>
      </c>
      <c r="I22" s="119">
        <f>SUMPRODUCT((ABS($F$10:$F$74)&lt;ABS(F22))*1)+(SUMPRODUCT((ABS($F$10:$F$74)=ABS(F22))*1)+1)/2</f>
        <v/>
      </c>
      <c r="J22" s="119">
        <f>SUMPRODUCT((ABS($G$10:$G$74)&lt;ABS(G22))*1)+(SUMPRODUCT((ABS($G$10:$G$74)=ABS(G22))*1)+1)/2</f>
        <v/>
      </c>
      <c r="K22">
        <f>RANK(B22,$B22:$D22,1)</f>
        <v/>
      </c>
      <c r="L22">
        <f>RANK(C22,$B22:$D22,1)</f>
        <v/>
      </c>
      <c r="M22">
        <f>RANK(D22,$B22:$D22,1)</f>
        <v/>
      </c>
    </row>
    <row r="23">
      <c r="A23" t="inlineStr">
        <is>
          <t>PAT-14</t>
        </is>
      </c>
      <c r="B23" s="118">
        <f>AVERAGEIFS('01_원자료'!$S$2:$S$976,'01_원자료'!$A$2:$A$976,$A23,'01_원자료'!$C$2:$C$976,"gemma")</f>
        <v/>
      </c>
      <c r="C23" s="118">
        <f>AVERAGEIFS('01_원자료'!$S$2:$S$976,'01_원자료'!$A$2:$A$976,$A23,'01_원자료'!$C$2:$C$976,"ministral")</f>
        <v/>
      </c>
      <c r="D23" s="118">
        <f>AVERAGEIFS('01_원자료'!$S$2:$S$976,'01_원자료'!$A$2:$A$976,$A23,'01_원자료'!$C$2:$C$976,"qwen")</f>
        <v/>
      </c>
      <c r="E23" s="118">
        <f>B23-C23</f>
        <v/>
      </c>
      <c r="F23" s="118">
        <f>B23-D23</f>
        <v/>
      </c>
      <c r="G23" s="118">
        <f>D23-C23</f>
        <v/>
      </c>
      <c r="H23" s="119">
        <f>SUMPRODUCT((ABS($E$10:$E$74)&lt;ABS(E23))*1)+(SUMPRODUCT((ABS($E$10:$E$74)=ABS(E23))*1)+1)/2</f>
        <v/>
      </c>
      <c r="I23" s="119">
        <f>SUMPRODUCT((ABS($F$10:$F$74)&lt;ABS(F23))*1)+(SUMPRODUCT((ABS($F$10:$F$74)=ABS(F23))*1)+1)/2</f>
        <v/>
      </c>
      <c r="J23" s="119">
        <f>SUMPRODUCT((ABS($G$10:$G$74)&lt;ABS(G23))*1)+(SUMPRODUCT((ABS($G$10:$G$74)=ABS(G23))*1)+1)/2</f>
        <v/>
      </c>
      <c r="K23">
        <f>RANK(B23,$B23:$D23,1)</f>
        <v/>
      </c>
      <c r="L23">
        <f>RANK(C23,$B23:$D23,1)</f>
        <v/>
      </c>
      <c r="M23">
        <f>RANK(D23,$B23:$D23,1)</f>
        <v/>
      </c>
    </row>
    <row r="24">
      <c r="A24" t="inlineStr">
        <is>
          <t>PAT-15</t>
        </is>
      </c>
      <c r="B24" s="118">
        <f>AVERAGEIFS('01_원자료'!$S$2:$S$976,'01_원자료'!$A$2:$A$976,$A24,'01_원자료'!$C$2:$C$976,"gemma")</f>
        <v/>
      </c>
      <c r="C24" s="118">
        <f>AVERAGEIFS('01_원자료'!$S$2:$S$976,'01_원자료'!$A$2:$A$976,$A24,'01_원자료'!$C$2:$C$976,"ministral")</f>
        <v/>
      </c>
      <c r="D24" s="118">
        <f>AVERAGEIFS('01_원자료'!$S$2:$S$976,'01_원자료'!$A$2:$A$976,$A24,'01_원자료'!$C$2:$C$976,"qwen")</f>
        <v/>
      </c>
      <c r="E24" s="118">
        <f>B24-C24</f>
        <v/>
      </c>
      <c r="F24" s="118">
        <f>B24-D24</f>
        <v/>
      </c>
      <c r="G24" s="118">
        <f>D24-C24</f>
        <v/>
      </c>
      <c r="H24" s="119">
        <f>SUMPRODUCT((ABS($E$10:$E$74)&lt;ABS(E24))*1)+(SUMPRODUCT((ABS($E$10:$E$74)=ABS(E24))*1)+1)/2</f>
        <v/>
      </c>
      <c r="I24" s="119">
        <f>SUMPRODUCT((ABS($F$10:$F$74)&lt;ABS(F24))*1)+(SUMPRODUCT((ABS($F$10:$F$74)=ABS(F24))*1)+1)/2</f>
        <v/>
      </c>
      <c r="J24" s="119">
        <f>SUMPRODUCT((ABS($G$10:$G$74)&lt;ABS(G24))*1)+(SUMPRODUCT((ABS($G$10:$G$74)=ABS(G24))*1)+1)/2</f>
        <v/>
      </c>
      <c r="K24">
        <f>RANK(B24,$B24:$D24,1)</f>
        <v/>
      </c>
      <c r="L24">
        <f>RANK(C24,$B24:$D24,1)</f>
        <v/>
      </c>
      <c r="M24">
        <f>RANK(D24,$B24:$D24,1)</f>
        <v/>
      </c>
    </row>
    <row r="25">
      <c r="A25" t="inlineStr">
        <is>
          <t>PAT-16</t>
        </is>
      </c>
      <c r="B25" s="118">
        <f>AVERAGEIFS('01_원자료'!$S$2:$S$976,'01_원자료'!$A$2:$A$976,$A25,'01_원자료'!$C$2:$C$976,"gemma")</f>
        <v/>
      </c>
      <c r="C25" s="118">
        <f>AVERAGEIFS('01_원자료'!$S$2:$S$976,'01_원자료'!$A$2:$A$976,$A25,'01_원자료'!$C$2:$C$976,"ministral")</f>
        <v/>
      </c>
      <c r="D25" s="118">
        <f>AVERAGEIFS('01_원자료'!$S$2:$S$976,'01_원자료'!$A$2:$A$976,$A25,'01_원자료'!$C$2:$C$976,"qwen")</f>
        <v/>
      </c>
      <c r="E25" s="118">
        <f>B25-C25</f>
        <v/>
      </c>
      <c r="F25" s="118">
        <f>B25-D25</f>
        <v/>
      </c>
      <c r="G25" s="118">
        <f>D25-C25</f>
        <v/>
      </c>
      <c r="H25" s="119">
        <f>SUMPRODUCT((ABS($E$10:$E$74)&lt;ABS(E25))*1)+(SUMPRODUCT((ABS($E$10:$E$74)=ABS(E25))*1)+1)/2</f>
        <v/>
      </c>
      <c r="I25" s="119">
        <f>SUMPRODUCT((ABS($F$10:$F$74)&lt;ABS(F25))*1)+(SUMPRODUCT((ABS($F$10:$F$74)=ABS(F25))*1)+1)/2</f>
        <v/>
      </c>
      <c r="J25" s="119">
        <f>SUMPRODUCT((ABS($G$10:$G$74)&lt;ABS(G25))*1)+(SUMPRODUCT((ABS($G$10:$G$74)=ABS(G25))*1)+1)/2</f>
        <v/>
      </c>
      <c r="K25">
        <f>RANK(B25,$B25:$D25,1)</f>
        <v/>
      </c>
      <c r="L25">
        <f>RANK(C25,$B25:$D25,1)</f>
        <v/>
      </c>
      <c r="M25">
        <f>RANK(D25,$B25:$D25,1)</f>
        <v/>
      </c>
    </row>
    <row r="26">
      <c r="A26" t="inlineStr">
        <is>
          <t>PAT-17</t>
        </is>
      </c>
      <c r="B26" s="118">
        <f>AVERAGEIFS('01_원자료'!$S$2:$S$976,'01_원자료'!$A$2:$A$976,$A26,'01_원자료'!$C$2:$C$976,"gemma")</f>
        <v/>
      </c>
      <c r="C26" s="118">
        <f>AVERAGEIFS('01_원자료'!$S$2:$S$976,'01_원자료'!$A$2:$A$976,$A26,'01_원자료'!$C$2:$C$976,"ministral")</f>
        <v/>
      </c>
      <c r="D26" s="118">
        <f>AVERAGEIFS('01_원자료'!$S$2:$S$976,'01_원자료'!$A$2:$A$976,$A26,'01_원자료'!$C$2:$C$976,"qwen")</f>
        <v/>
      </c>
      <c r="E26" s="118">
        <f>B26-C26</f>
        <v/>
      </c>
      <c r="F26" s="118">
        <f>B26-D26</f>
        <v/>
      </c>
      <c r="G26" s="118">
        <f>D26-C26</f>
        <v/>
      </c>
      <c r="H26" s="119">
        <f>SUMPRODUCT((ABS($E$10:$E$74)&lt;ABS(E26))*1)+(SUMPRODUCT((ABS($E$10:$E$74)=ABS(E26))*1)+1)/2</f>
        <v/>
      </c>
      <c r="I26" s="119">
        <f>SUMPRODUCT((ABS($F$10:$F$74)&lt;ABS(F26))*1)+(SUMPRODUCT((ABS($F$10:$F$74)=ABS(F26))*1)+1)/2</f>
        <v/>
      </c>
      <c r="J26" s="119">
        <f>SUMPRODUCT((ABS($G$10:$G$74)&lt;ABS(G26))*1)+(SUMPRODUCT((ABS($G$10:$G$74)=ABS(G26))*1)+1)/2</f>
        <v/>
      </c>
      <c r="K26">
        <f>RANK(B26,$B26:$D26,1)</f>
        <v/>
      </c>
      <c r="L26">
        <f>RANK(C26,$B26:$D26,1)</f>
        <v/>
      </c>
      <c r="M26">
        <f>RANK(D26,$B26:$D26,1)</f>
        <v/>
      </c>
    </row>
    <row r="27">
      <c r="A27" t="inlineStr">
        <is>
          <t>PAT-18</t>
        </is>
      </c>
      <c r="B27" s="118">
        <f>AVERAGEIFS('01_원자료'!$S$2:$S$976,'01_원자료'!$A$2:$A$976,$A27,'01_원자료'!$C$2:$C$976,"gemma")</f>
        <v/>
      </c>
      <c r="C27" s="118">
        <f>AVERAGEIFS('01_원자료'!$S$2:$S$976,'01_원자료'!$A$2:$A$976,$A27,'01_원자료'!$C$2:$C$976,"ministral")</f>
        <v/>
      </c>
      <c r="D27" s="118">
        <f>AVERAGEIFS('01_원자료'!$S$2:$S$976,'01_원자료'!$A$2:$A$976,$A27,'01_원자료'!$C$2:$C$976,"qwen")</f>
        <v/>
      </c>
      <c r="E27" s="118">
        <f>B27-C27</f>
        <v/>
      </c>
      <c r="F27" s="118">
        <f>B27-D27</f>
        <v/>
      </c>
      <c r="G27" s="118">
        <f>D27-C27</f>
        <v/>
      </c>
      <c r="H27" s="119">
        <f>SUMPRODUCT((ABS($E$10:$E$74)&lt;ABS(E27))*1)+(SUMPRODUCT((ABS($E$10:$E$74)=ABS(E27))*1)+1)/2</f>
        <v/>
      </c>
      <c r="I27" s="119">
        <f>SUMPRODUCT((ABS($F$10:$F$74)&lt;ABS(F27))*1)+(SUMPRODUCT((ABS($F$10:$F$74)=ABS(F27))*1)+1)/2</f>
        <v/>
      </c>
      <c r="J27" s="119">
        <f>SUMPRODUCT((ABS($G$10:$G$74)&lt;ABS(G27))*1)+(SUMPRODUCT((ABS($G$10:$G$74)=ABS(G27))*1)+1)/2</f>
        <v/>
      </c>
      <c r="K27">
        <f>RANK(B27,$B27:$D27,1)</f>
        <v/>
      </c>
      <c r="L27">
        <f>RANK(C27,$B27:$D27,1)</f>
        <v/>
      </c>
      <c r="M27">
        <f>RANK(D27,$B27:$D27,1)</f>
        <v/>
      </c>
    </row>
    <row r="28">
      <c r="A28" t="inlineStr">
        <is>
          <t>PAT-19</t>
        </is>
      </c>
      <c r="B28" s="118">
        <f>AVERAGEIFS('01_원자료'!$S$2:$S$976,'01_원자료'!$A$2:$A$976,$A28,'01_원자료'!$C$2:$C$976,"gemma")</f>
        <v/>
      </c>
      <c r="C28" s="118">
        <f>AVERAGEIFS('01_원자료'!$S$2:$S$976,'01_원자료'!$A$2:$A$976,$A28,'01_원자료'!$C$2:$C$976,"ministral")</f>
        <v/>
      </c>
      <c r="D28" s="118">
        <f>AVERAGEIFS('01_원자료'!$S$2:$S$976,'01_원자료'!$A$2:$A$976,$A28,'01_원자료'!$C$2:$C$976,"qwen")</f>
        <v/>
      </c>
      <c r="E28" s="118">
        <f>B28-C28</f>
        <v/>
      </c>
      <c r="F28" s="118">
        <f>B28-D28</f>
        <v/>
      </c>
      <c r="G28" s="118">
        <f>D28-C28</f>
        <v/>
      </c>
      <c r="H28" s="119">
        <f>SUMPRODUCT((ABS($E$10:$E$74)&lt;ABS(E28))*1)+(SUMPRODUCT((ABS($E$10:$E$74)=ABS(E28))*1)+1)/2</f>
        <v/>
      </c>
      <c r="I28" s="119">
        <f>SUMPRODUCT((ABS($F$10:$F$74)&lt;ABS(F28))*1)+(SUMPRODUCT((ABS($F$10:$F$74)=ABS(F28))*1)+1)/2</f>
        <v/>
      </c>
      <c r="J28" s="119">
        <f>SUMPRODUCT((ABS($G$10:$G$74)&lt;ABS(G28))*1)+(SUMPRODUCT((ABS($G$10:$G$74)=ABS(G28))*1)+1)/2</f>
        <v/>
      </c>
      <c r="K28">
        <f>RANK(B28,$B28:$D28,1)</f>
        <v/>
      </c>
      <c r="L28">
        <f>RANK(C28,$B28:$D28,1)</f>
        <v/>
      </c>
      <c r="M28">
        <f>RANK(D28,$B28:$D28,1)</f>
        <v/>
      </c>
    </row>
    <row r="29">
      <c r="A29" t="inlineStr">
        <is>
          <t>PAT-20</t>
        </is>
      </c>
      <c r="B29" s="118">
        <f>AVERAGEIFS('01_원자료'!$S$2:$S$976,'01_원자료'!$A$2:$A$976,$A29,'01_원자료'!$C$2:$C$976,"gemma")</f>
        <v/>
      </c>
      <c r="C29" s="118">
        <f>AVERAGEIFS('01_원자료'!$S$2:$S$976,'01_원자료'!$A$2:$A$976,$A29,'01_원자료'!$C$2:$C$976,"ministral")</f>
        <v/>
      </c>
      <c r="D29" s="118">
        <f>AVERAGEIFS('01_원자료'!$S$2:$S$976,'01_원자료'!$A$2:$A$976,$A29,'01_원자료'!$C$2:$C$976,"qwen")</f>
        <v/>
      </c>
      <c r="E29" s="118">
        <f>B29-C29</f>
        <v/>
      </c>
      <c r="F29" s="118">
        <f>B29-D29</f>
        <v/>
      </c>
      <c r="G29" s="118">
        <f>D29-C29</f>
        <v/>
      </c>
      <c r="H29" s="119">
        <f>SUMPRODUCT((ABS($E$10:$E$74)&lt;ABS(E29))*1)+(SUMPRODUCT((ABS($E$10:$E$74)=ABS(E29))*1)+1)/2</f>
        <v/>
      </c>
      <c r="I29" s="119">
        <f>SUMPRODUCT((ABS($F$10:$F$74)&lt;ABS(F29))*1)+(SUMPRODUCT((ABS($F$10:$F$74)=ABS(F29))*1)+1)/2</f>
        <v/>
      </c>
      <c r="J29" s="119">
        <f>SUMPRODUCT((ABS($G$10:$G$74)&lt;ABS(G29))*1)+(SUMPRODUCT((ABS($G$10:$G$74)=ABS(G29))*1)+1)/2</f>
        <v/>
      </c>
      <c r="K29">
        <f>RANK(B29,$B29:$D29,1)</f>
        <v/>
      </c>
      <c r="L29">
        <f>RANK(C29,$B29:$D29,1)</f>
        <v/>
      </c>
      <c r="M29">
        <f>RANK(D29,$B29:$D29,1)</f>
        <v/>
      </c>
    </row>
    <row r="30">
      <c r="A30" t="inlineStr">
        <is>
          <t>PAT-21</t>
        </is>
      </c>
      <c r="B30" s="118">
        <f>AVERAGEIFS('01_원자료'!$S$2:$S$976,'01_원자료'!$A$2:$A$976,$A30,'01_원자료'!$C$2:$C$976,"gemma")</f>
        <v/>
      </c>
      <c r="C30" s="118">
        <f>AVERAGEIFS('01_원자료'!$S$2:$S$976,'01_원자료'!$A$2:$A$976,$A30,'01_원자료'!$C$2:$C$976,"ministral")</f>
        <v/>
      </c>
      <c r="D30" s="118">
        <f>AVERAGEIFS('01_원자료'!$S$2:$S$976,'01_원자료'!$A$2:$A$976,$A30,'01_원자료'!$C$2:$C$976,"qwen")</f>
        <v/>
      </c>
      <c r="E30" s="118">
        <f>B30-C30</f>
        <v/>
      </c>
      <c r="F30" s="118">
        <f>B30-D30</f>
        <v/>
      </c>
      <c r="G30" s="118">
        <f>D30-C30</f>
        <v/>
      </c>
      <c r="H30" s="119">
        <f>SUMPRODUCT((ABS($E$10:$E$74)&lt;ABS(E30))*1)+(SUMPRODUCT((ABS($E$10:$E$74)=ABS(E30))*1)+1)/2</f>
        <v/>
      </c>
      <c r="I30" s="119">
        <f>SUMPRODUCT((ABS($F$10:$F$74)&lt;ABS(F30))*1)+(SUMPRODUCT((ABS($F$10:$F$74)=ABS(F30))*1)+1)/2</f>
        <v/>
      </c>
      <c r="J30" s="119">
        <f>SUMPRODUCT((ABS($G$10:$G$74)&lt;ABS(G30))*1)+(SUMPRODUCT((ABS($G$10:$G$74)=ABS(G30))*1)+1)/2</f>
        <v/>
      </c>
      <c r="K30">
        <f>RANK(B30,$B30:$D30,1)</f>
        <v/>
      </c>
      <c r="L30">
        <f>RANK(C30,$B30:$D30,1)</f>
        <v/>
      </c>
      <c r="M30">
        <f>RANK(D30,$B30:$D30,1)</f>
        <v/>
      </c>
    </row>
    <row r="31">
      <c r="A31" t="inlineStr">
        <is>
          <t>PAT-22</t>
        </is>
      </c>
      <c r="B31" s="118">
        <f>AVERAGEIFS('01_원자료'!$S$2:$S$976,'01_원자료'!$A$2:$A$976,$A31,'01_원자료'!$C$2:$C$976,"gemma")</f>
        <v/>
      </c>
      <c r="C31" s="118">
        <f>AVERAGEIFS('01_원자료'!$S$2:$S$976,'01_원자료'!$A$2:$A$976,$A31,'01_원자료'!$C$2:$C$976,"ministral")</f>
        <v/>
      </c>
      <c r="D31" s="118">
        <f>AVERAGEIFS('01_원자료'!$S$2:$S$976,'01_원자료'!$A$2:$A$976,$A31,'01_원자료'!$C$2:$C$976,"qwen")</f>
        <v/>
      </c>
      <c r="E31" s="118">
        <f>B31-C31</f>
        <v/>
      </c>
      <c r="F31" s="118">
        <f>B31-D31</f>
        <v/>
      </c>
      <c r="G31" s="118">
        <f>D31-C31</f>
        <v/>
      </c>
      <c r="H31" s="119">
        <f>SUMPRODUCT((ABS($E$10:$E$74)&lt;ABS(E31))*1)+(SUMPRODUCT((ABS($E$10:$E$74)=ABS(E31))*1)+1)/2</f>
        <v/>
      </c>
      <c r="I31" s="119">
        <f>SUMPRODUCT((ABS($F$10:$F$74)&lt;ABS(F31))*1)+(SUMPRODUCT((ABS($F$10:$F$74)=ABS(F31))*1)+1)/2</f>
        <v/>
      </c>
      <c r="J31" s="119">
        <f>SUMPRODUCT((ABS($G$10:$G$74)&lt;ABS(G31))*1)+(SUMPRODUCT((ABS($G$10:$G$74)=ABS(G31))*1)+1)/2</f>
        <v/>
      </c>
      <c r="K31">
        <f>RANK(B31,$B31:$D31,1)</f>
        <v/>
      </c>
      <c r="L31">
        <f>RANK(C31,$B31:$D31,1)</f>
        <v/>
      </c>
      <c r="M31">
        <f>RANK(D31,$B31:$D31,1)</f>
        <v/>
      </c>
    </row>
    <row r="32">
      <c r="A32" t="inlineStr">
        <is>
          <t>PAT-23</t>
        </is>
      </c>
      <c r="B32" s="118">
        <f>AVERAGEIFS('01_원자료'!$S$2:$S$976,'01_원자료'!$A$2:$A$976,$A32,'01_원자료'!$C$2:$C$976,"gemma")</f>
        <v/>
      </c>
      <c r="C32" s="118">
        <f>AVERAGEIFS('01_원자료'!$S$2:$S$976,'01_원자료'!$A$2:$A$976,$A32,'01_원자료'!$C$2:$C$976,"ministral")</f>
        <v/>
      </c>
      <c r="D32" s="118">
        <f>AVERAGEIFS('01_원자료'!$S$2:$S$976,'01_원자료'!$A$2:$A$976,$A32,'01_원자료'!$C$2:$C$976,"qwen")</f>
        <v/>
      </c>
      <c r="E32" s="118">
        <f>B32-C32</f>
        <v/>
      </c>
      <c r="F32" s="118">
        <f>B32-D32</f>
        <v/>
      </c>
      <c r="G32" s="118">
        <f>D32-C32</f>
        <v/>
      </c>
      <c r="H32" s="119">
        <f>SUMPRODUCT((ABS($E$10:$E$74)&lt;ABS(E32))*1)+(SUMPRODUCT((ABS($E$10:$E$74)=ABS(E32))*1)+1)/2</f>
        <v/>
      </c>
      <c r="I32" s="119">
        <f>SUMPRODUCT((ABS($F$10:$F$74)&lt;ABS(F32))*1)+(SUMPRODUCT((ABS($F$10:$F$74)=ABS(F32))*1)+1)/2</f>
        <v/>
      </c>
      <c r="J32" s="119">
        <f>SUMPRODUCT((ABS($G$10:$G$74)&lt;ABS(G32))*1)+(SUMPRODUCT((ABS($G$10:$G$74)=ABS(G32))*1)+1)/2</f>
        <v/>
      </c>
      <c r="K32">
        <f>RANK(B32,$B32:$D32,1)</f>
        <v/>
      </c>
      <c r="L32">
        <f>RANK(C32,$B32:$D32,1)</f>
        <v/>
      </c>
      <c r="M32">
        <f>RANK(D32,$B32:$D32,1)</f>
        <v/>
      </c>
    </row>
    <row r="33">
      <c r="A33" t="inlineStr">
        <is>
          <t>PAT-24</t>
        </is>
      </c>
      <c r="B33" s="118">
        <f>AVERAGEIFS('01_원자료'!$S$2:$S$976,'01_원자료'!$A$2:$A$976,$A33,'01_원자료'!$C$2:$C$976,"gemma")</f>
        <v/>
      </c>
      <c r="C33" s="118">
        <f>AVERAGEIFS('01_원자료'!$S$2:$S$976,'01_원자료'!$A$2:$A$976,$A33,'01_원자료'!$C$2:$C$976,"ministral")</f>
        <v/>
      </c>
      <c r="D33" s="118">
        <f>AVERAGEIFS('01_원자료'!$S$2:$S$976,'01_원자료'!$A$2:$A$976,$A33,'01_원자료'!$C$2:$C$976,"qwen")</f>
        <v/>
      </c>
      <c r="E33" s="118">
        <f>B33-C33</f>
        <v/>
      </c>
      <c r="F33" s="118">
        <f>B33-D33</f>
        <v/>
      </c>
      <c r="G33" s="118">
        <f>D33-C33</f>
        <v/>
      </c>
      <c r="H33" s="119">
        <f>SUMPRODUCT((ABS($E$10:$E$74)&lt;ABS(E33))*1)+(SUMPRODUCT((ABS($E$10:$E$74)=ABS(E33))*1)+1)/2</f>
        <v/>
      </c>
      <c r="I33" s="119">
        <f>SUMPRODUCT((ABS($F$10:$F$74)&lt;ABS(F33))*1)+(SUMPRODUCT((ABS($F$10:$F$74)=ABS(F33))*1)+1)/2</f>
        <v/>
      </c>
      <c r="J33" s="119">
        <f>SUMPRODUCT((ABS($G$10:$G$74)&lt;ABS(G33))*1)+(SUMPRODUCT((ABS($G$10:$G$74)=ABS(G33))*1)+1)/2</f>
        <v/>
      </c>
      <c r="K33">
        <f>RANK(B33,$B33:$D33,1)</f>
        <v/>
      </c>
      <c r="L33">
        <f>RANK(C33,$B33:$D33,1)</f>
        <v/>
      </c>
      <c r="M33">
        <f>RANK(D33,$B33:$D33,1)</f>
        <v/>
      </c>
    </row>
    <row r="34">
      <c r="A34" t="inlineStr">
        <is>
          <t>PAT-25</t>
        </is>
      </c>
      <c r="B34" s="118">
        <f>AVERAGEIFS('01_원자료'!$S$2:$S$976,'01_원자료'!$A$2:$A$976,$A34,'01_원자료'!$C$2:$C$976,"gemma")</f>
        <v/>
      </c>
      <c r="C34" s="118">
        <f>AVERAGEIFS('01_원자료'!$S$2:$S$976,'01_원자료'!$A$2:$A$976,$A34,'01_원자료'!$C$2:$C$976,"ministral")</f>
        <v/>
      </c>
      <c r="D34" s="118">
        <f>AVERAGEIFS('01_원자료'!$S$2:$S$976,'01_원자료'!$A$2:$A$976,$A34,'01_원자료'!$C$2:$C$976,"qwen")</f>
        <v/>
      </c>
      <c r="E34" s="118">
        <f>B34-C34</f>
        <v/>
      </c>
      <c r="F34" s="118">
        <f>B34-D34</f>
        <v/>
      </c>
      <c r="G34" s="118">
        <f>D34-C34</f>
        <v/>
      </c>
      <c r="H34" s="119">
        <f>SUMPRODUCT((ABS($E$10:$E$74)&lt;ABS(E34))*1)+(SUMPRODUCT((ABS($E$10:$E$74)=ABS(E34))*1)+1)/2</f>
        <v/>
      </c>
      <c r="I34" s="119">
        <f>SUMPRODUCT((ABS($F$10:$F$74)&lt;ABS(F34))*1)+(SUMPRODUCT((ABS($F$10:$F$74)=ABS(F34))*1)+1)/2</f>
        <v/>
      </c>
      <c r="J34" s="119">
        <f>SUMPRODUCT((ABS($G$10:$G$74)&lt;ABS(G34))*1)+(SUMPRODUCT((ABS($G$10:$G$74)=ABS(G34))*1)+1)/2</f>
        <v/>
      </c>
      <c r="K34">
        <f>RANK(B34,$B34:$D34,1)</f>
        <v/>
      </c>
      <c r="L34">
        <f>RANK(C34,$B34:$D34,1)</f>
        <v/>
      </c>
      <c r="M34">
        <f>RANK(D34,$B34:$D34,1)</f>
        <v/>
      </c>
    </row>
    <row r="35">
      <c r="A35" t="inlineStr">
        <is>
          <t>PAT-26</t>
        </is>
      </c>
      <c r="B35" s="118">
        <f>AVERAGEIFS('01_원자료'!$S$2:$S$976,'01_원자료'!$A$2:$A$976,$A35,'01_원자료'!$C$2:$C$976,"gemma")</f>
        <v/>
      </c>
      <c r="C35" s="118">
        <f>AVERAGEIFS('01_원자료'!$S$2:$S$976,'01_원자료'!$A$2:$A$976,$A35,'01_원자료'!$C$2:$C$976,"ministral")</f>
        <v/>
      </c>
      <c r="D35" s="118">
        <f>AVERAGEIFS('01_원자료'!$S$2:$S$976,'01_원자료'!$A$2:$A$976,$A35,'01_원자료'!$C$2:$C$976,"qwen")</f>
        <v/>
      </c>
      <c r="E35" s="118">
        <f>B35-C35</f>
        <v/>
      </c>
      <c r="F35" s="118">
        <f>B35-D35</f>
        <v/>
      </c>
      <c r="G35" s="118">
        <f>D35-C35</f>
        <v/>
      </c>
      <c r="H35" s="119">
        <f>SUMPRODUCT((ABS($E$10:$E$74)&lt;ABS(E35))*1)+(SUMPRODUCT((ABS($E$10:$E$74)=ABS(E35))*1)+1)/2</f>
        <v/>
      </c>
      <c r="I35" s="119">
        <f>SUMPRODUCT((ABS($F$10:$F$74)&lt;ABS(F35))*1)+(SUMPRODUCT((ABS($F$10:$F$74)=ABS(F35))*1)+1)/2</f>
        <v/>
      </c>
      <c r="J35" s="119">
        <f>SUMPRODUCT((ABS($G$10:$G$74)&lt;ABS(G35))*1)+(SUMPRODUCT((ABS($G$10:$G$74)=ABS(G35))*1)+1)/2</f>
        <v/>
      </c>
      <c r="K35">
        <f>RANK(B35,$B35:$D35,1)</f>
        <v/>
      </c>
      <c r="L35">
        <f>RANK(C35,$B35:$D35,1)</f>
        <v/>
      </c>
      <c r="M35">
        <f>RANK(D35,$B35:$D35,1)</f>
        <v/>
      </c>
    </row>
    <row r="36">
      <c r="A36" t="inlineStr">
        <is>
          <t>PAT-27</t>
        </is>
      </c>
      <c r="B36" s="118">
        <f>AVERAGEIFS('01_원자료'!$S$2:$S$976,'01_원자료'!$A$2:$A$976,$A36,'01_원자료'!$C$2:$C$976,"gemma")</f>
        <v/>
      </c>
      <c r="C36" s="118">
        <f>AVERAGEIFS('01_원자료'!$S$2:$S$976,'01_원자료'!$A$2:$A$976,$A36,'01_원자료'!$C$2:$C$976,"ministral")</f>
        <v/>
      </c>
      <c r="D36" s="118">
        <f>AVERAGEIFS('01_원자료'!$S$2:$S$976,'01_원자료'!$A$2:$A$976,$A36,'01_원자료'!$C$2:$C$976,"qwen")</f>
        <v/>
      </c>
      <c r="E36" s="118">
        <f>B36-C36</f>
        <v/>
      </c>
      <c r="F36" s="118">
        <f>B36-D36</f>
        <v/>
      </c>
      <c r="G36" s="118">
        <f>D36-C36</f>
        <v/>
      </c>
      <c r="H36" s="119">
        <f>SUMPRODUCT((ABS($E$10:$E$74)&lt;ABS(E36))*1)+(SUMPRODUCT((ABS($E$10:$E$74)=ABS(E36))*1)+1)/2</f>
        <v/>
      </c>
      <c r="I36" s="119">
        <f>SUMPRODUCT((ABS($F$10:$F$74)&lt;ABS(F36))*1)+(SUMPRODUCT((ABS($F$10:$F$74)=ABS(F36))*1)+1)/2</f>
        <v/>
      </c>
      <c r="J36" s="119">
        <f>SUMPRODUCT((ABS($G$10:$G$74)&lt;ABS(G36))*1)+(SUMPRODUCT((ABS($G$10:$G$74)=ABS(G36))*1)+1)/2</f>
        <v/>
      </c>
      <c r="K36">
        <f>RANK(B36,$B36:$D36,1)</f>
        <v/>
      </c>
      <c r="L36">
        <f>RANK(C36,$B36:$D36,1)</f>
        <v/>
      </c>
      <c r="M36">
        <f>RANK(D36,$B36:$D36,1)</f>
        <v/>
      </c>
    </row>
    <row r="37">
      <c r="A37" t="inlineStr">
        <is>
          <t>PAT-28</t>
        </is>
      </c>
      <c r="B37" s="118">
        <f>AVERAGEIFS('01_원자료'!$S$2:$S$976,'01_원자료'!$A$2:$A$976,$A37,'01_원자료'!$C$2:$C$976,"gemma")</f>
        <v/>
      </c>
      <c r="C37" s="118">
        <f>AVERAGEIFS('01_원자료'!$S$2:$S$976,'01_원자료'!$A$2:$A$976,$A37,'01_원자료'!$C$2:$C$976,"ministral")</f>
        <v/>
      </c>
      <c r="D37" s="118">
        <f>AVERAGEIFS('01_원자료'!$S$2:$S$976,'01_원자료'!$A$2:$A$976,$A37,'01_원자료'!$C$2:$C$976,"qwen")</f>
        <v/>
      </c>
      <c r="E37" s="118">
        <f>B37-C37</f>
        <v/>
      </c>
      <c r="F37" s="118">
        <f>B37-D37</f>
        <v/>
      </c>
      <c r="G37" s="118">
        <f>D37-C37</f>
        <v/>
      </c>
      <c r="H37" s="119">
        <f>SUMPRODUCT((ABS($E$10:$E$74)&lt;ABS(E37))*1)+(SUMPRODUCT((ABS($E$10:$E$74)=ABS(E37))*1)+1)/2</f>
        <v/>
      </c>
      <c r="I37" s="119">
        <f>SUMPRODUCT((ABS($F$10:$F$74)&lt;ABS(F37))*1)+(SUMPRODUCT((ABS($F$10:$F$74)=ABS(F37))*1)+1)/2</f>
        <v/>
      </c>
      <c r="J37" s="119">
        <f>SUMPRODUCT((ABS($G$10:$G$74)&lt;ABS(G37))*1)+(SUMPRODUCT((ABS($G$10:$G$74)=ABS(G37))*1)+1)/2</f>
        <v/>
      </c>
      <c r="K37">
        <f>RANK(B37,$B37:$D37,1)</f>
        <v/>
      </c>
      <c r="L37">
        <f>RANK(C37,$B37:$D37,1)</f>
        <v/>
      </c>
      <c r="M37">
        <f>RANK(D37,$B37:$D37,1)</f>
        <v/>
      </c>
    </row>
    <row r="38">
      <c r="A38" t="inlineStr">
        <is>
          <t>PAT-29</t>
        </is>
      </c>
      <c r="B38" s="118">
        <f>AVERAGEIFS('01_원자료'!$S$2:$S$976,'01_원자료'!$A$2:$A$976,$A38,'01_원자료'!$C$2:$C$976,"gemma")</f>
        <v/>
      </c>
      <c r="C38" s="118">
        <f>AVERAGEIFS('01_원자료'!$S$2:$S$976,'01_원자료'!$A$2:$A$976,$A38,'01_원자료'!$C$2:$C$976,"ministral")</f>
        <v/>
      </c>
      <c r="D38" s="118">
        <f>AVERAGEIFS('01_원자료'!$S$2:$S$976,'01_원자료'!$A$2:$A$976,$A38,'01_원자료'!$C$2:$C$976,"qwen")</f>
        <v/>
      </c>
      <c r="E38" s="118">
        <f>B38-C38</f>
        <v/>
      </c>
      <c r="F38" s="118">
        <f>B38-D38</f>
        <v/>
      </c>
      <c r="G38" s="118">
        <f>D38-C38</f>
        <v/>
      </c>
      <c r="H38" s="119">
        <f>SUMPRODUCT((ABS($E$10:$E$74)&lt;ABS(E38))*1)+(SUMPRODUCT((ABS($E$10:$E$74)=ABS(E38))*1)+1)/2</f>
        <v/>
      </c>
      <c r="I38" s="119">
        <f>SUMPRODUCT((ABS($F$10:$F$74)&lt;ABS(F38))*1)+(SUMPRODUCT((ABS($F$10:$F$74)=ABS(F38))*1)+1)/2</f>
        <v/>
      </c>
      <c r="J38" s="119">
        <f>SUMPRODUCT((ABS($G$10:$G$74)&lt;ABS(G38))*1)+(SUMPRODUCT((ABS($G$10:$G$74)=ABS(G38))*1)+1)/2</f>
        <v/>
      </c>
      <c r="K38">
        <f>RANK(B38,$B38:$D38,1)</f>
        <v/>
      </c>
      <c r="L38">
        <f>RANK(C38,$B38:$D38,1)</f>
        <v/>
      </c>
      <c r="M38">
        <f>RANK(D38,$B38:$D38,1)</f>
        <v/>
      </c>
    </row>
    <row r="39">
      <c r="A39" t="inlineStr">
        <is>
          <t>PAT-30</t>
        </is>
      </c>
      <c r="B39" s="118">
        <f>AVERAGEIFS('01_원자료'!$S$2:$S$976,'01_원자료'!$A$2:$A$976,$A39,'01_원자료'!$C$2:$C$976,"gemma")</f>
        <v/>
      </c>
      <c r="C39" s="118">
        <f>AVERAGEIFS('01_원자료'!$S$2:$S$976,'01_원자료'!$A$2:$A$976,$A39,'01_원자료'!$C$2:$C$976,"ministral")</f>
        <v/>
      </c>
      <c r="D39" s="118">
        <f>AVERAGEIFS('01_원자료'!$S$2:$S$976,'01_원자료'!$A$2:$A$976,$A39,'01_원자료'!$C$2:$C$976,"qwen")</f>
        <v/>
      </c>
      <c r="E39" s="118">
        <f>B39-C39</f>
        <v/>
      </c>
      <c r="F39" s="118">
        <f>B39-D39</f>
        <v/>
      </c>
      <c r="G39" s="118">
        <f>D39-C39</f>
        <v/>
      </c>
      <c r="H39" s="119">
        <f>SUMPRODUCT((ABS($E$10:$E$74)&lt;ABS(E39))*1)+(SUMPRODUCT((ABS($E$10:$E$74)=ABS(E39))*1)+1)/2</f>
        <v/>
      </c>
      <c r="I39" s="119">
        <f>SUMPRODUCT((ABS($F$10:$F$74)&lt;ABS(F39))*1)+(SUMPRODUCT((ABS($F$10:$F$74)=ABS(F39))*1)+1)/2</f>
        <v/>
      </c>
      <c r="J39" s="119">
        <f>SUMPRODUCT((ABS($G$10:$G$74)&lt;ABS(G39))*1)+(SUMPRODUCT((ABS($G$10:$G$74)=ABS(G39))*1)+1)/2</f>
        <v/>
      </c>
      <c r="K39">
        <f>RANK(B39,$B39:$D39,1)</f>
        <v/>
      </c>
      <c r="L39">
        <f>RANK(C39,$B39:$D39,1)</f>
        <v/>
      </c>
      <c r="M39">
        <f>RANK(D39,$B39:$D39,1)</f>
        <v/>
      </c>
    </row>
    <row r="40">
      <c r="A40" t="inlineStr">
        <is>
          <t>PAT-31</t>
        </is>
      </c>
      <c r="B40" s="118">
        <f>AVERAGEIFS('01_원자료'!$S$2:$S$976,'01_원자료'!$A$2:$A$976,$A40,'01_원자료'!$C$2:$C$976,"gemma")</f>
        <v/>
      </c>
      <c r="C40" s="118">
        <f>AVERAGEIFS('01_원자료'!$S$2:$S$976,'01_원자료'!$A$2:$A$976,$A40,'01_원자료'!$C$2:$C$976,"ministral")</f>
        <v/>
      </c>
      <c r="D40" s="118">
        <f>AVERAGEIFS('01_원자료'!$S$2:$S$976,'01_원자료'!$A$2:$A$976,$A40,'01_원자료'!$C$2:$C$976,"qwen")</f>
        <v/>
      </c>
      <c r="E40" s="118">
        <f>B40-C40</f>
        <v/>
      </c>
      <c r="F40" s="118">
        <f>B40-D40</f>
        <v/>
      </c>
      <c r="G40" s="118">
        <f>D40-C40</f>
        <v/>
      </c>
      <c r="H40" s="119">
        <f>SUMPRODUCT((ABS($E$10:$E$74)&lt;ABS(E40))*1)+(SUMPRODUCT((ABS($E$10:$E$74)=ABS(E40))*1)+1)/2</f>
        <v/>
      </c>
      <c r="I40" s="119">
        <f>SUMPRODUCT((ABS($F$10:$F$74)&lt;ABS(F40))*1)+(SUMPRODUCT((ABS($F$10:$F$74)=ABS(F40))*1)+1)/2</f>
        <v/>
      </c>
      <c r="J40" s="119">
        <f>SUMPRODUCT((ABS($G$10:$G$74)&lt;ABS(G40))*1)+(SUMPRODUCT((ABS($G$10:$G$74)=ABS(G40))*1)+1)/2</f>
        <v/>
      </c>
      <c r="K40">
        <f>RANK(B40,$B40:$D40,1)</f>
        <v/>
      </c>
      <c r="L40">
        <f>RANK(C40,$B40:$D40,1)</f>
        <v/>
      </c>
      <c r="M40">
        <f>RANK(D40,$B40:$D40,1)</f>
        <v/>
      </c>
    </row>
    <row r="41">
      <c r="A41" t="inlineStr">
        <is>
          <t>RPT-01</t>
        </is>
      </c>
      <c r="B41" s="118">
        <f>AVERAGEIFS('01_원자료'!$S$2:$S$976,'01_원자료'!$A$2:$A$976,$A41,'01_원자료'!$C$2:$C$976,"gemma")</f>
        <v/>
      </c>
      <c r="C41" s="118">
        <f>AVERAGEIFS('01_원자료'!$S$2:$S$976,'01_원자료'!$A$2:$A$976,$A41,'01_원자료'!$C$2:$C$976,"ministral")</f>
        <v/>
      </c>
      <c r="D41" s="118">
        <f>AVERAGEIFS('01_원자료'!$S$2:$S$976,'01_원자료'!$A$2:$A$976,$A41,'01_원자료'!$C$2:$C$976,"qwen")</f>
        <v/>
      </c>
      <c r="E41" s="118">
        <f>B41-C41</f>
        <v/>
      </c>
      <c r="F41" s="118">
        <f>B41-D41</f>
        <v/>
      </c>
      <c r="G41" s="118">
        <f>D41-C41</f>
        <v/>
      </c>
      <c r="H41" s="119">
        <f>SUMPRODUCT((ABS($E$10:$E$74)&lt;ABS(E41))*1)+(SUMPRODUCT((ABS($E$10:$E$74)=ABS(E41))*1)+1)/2</f>
        <v/>
      </c>
      <c r="I41" s="119">
        <f>SUMPRODUCT((ABS($F$10:$F$74)&lt;ABS(F41))*1)+(SUMPRODUCT((ABS($F$10:$F$74)=ABS(F41))*1)+1)/2</f>
        <v/>
      </c>
      <c r="J41" s="119">
        <f>SUMPRODUCT((ABS($G$10:$G$74)&lt;ABS(G41))*1)+(SUMPRODUCT((ABS($G$10:$G$74)=ABS(G41))*1)+1)/2</f>
        <v/>
      </c>
      <c r="K41">
        <f>RANK(B41,$B41:$D41,1)</f>
        <v/>
      </c>
      <c r="L41">
        <f>RANK(C41,$B41:$D41,1)</f>
        <v/>
      </c>
      <c r="M41">
        <f>RANK(D41,$B41:$D41,1)</f>
        <v/>
      </c>
    </row>
    <row r="42">
      <c r="A42" t="inlineStr">
        <is>
          <t>RPT-02</t>
        </is>
      </c>
      <c r="B42" s="118">
        <f>AVERAGEIFS('01_원자료'!$S$2:$S$976,'01_원자료'!$A$2:$A$976,$A42,'01_원자료'!$C$2:$C$976,"gemma")</f>
        <v/>
      </c>
      <c r="C42" s="118">
        <f>AVERAGEIFS('01_원자료'!$S$2:$S$976,'01_원자료'!$A$2:$A$976,$A42,'01_원자료'!$C$2:$C$976,"ministral")</f>
        <v/>
      </c>
      <c r="D42" s="118">
        <f>AVERAGEIFS('01_원자료'!$S$2:$S$976,'01_원자료'!$A$2:$A$976,$A42,'01_원자료'!$C$2:$C$976,"qwen")</f>
        <v/>
      </c>
      <c r="E42" s="118">
        <f>B42-C42</f>
        <v/>
      </c>
      <c r="F42" s="118">
        <f>B42-D42</f>
        <v/>
      </c>
      <c r="G42" s="118">
        <f>D42-C42</f>
        <v/>
      </c>
      <c r="H42" s="119">
        <f>SUMPRODUCT((ABS($E$10:$E$74)&lt;ABS(E42))*1)+(SUMPRODUCT((ABS($E$10:$E$74)=ABS(E42))*1)+1)/2</f>
        <v/>
      </c>
      <c r="I42" s="119">
        <f>SUMPRODUCT((ABS($F$10:$F$74)&lt;ABS(F42))*1)+(SUMPRODUCT((ABS($F$10:$F$74)=ABS(F42))*1)+1)/2</f>
        <v/>
      </c>
      <c r="J42" s="119">
        <f>SUMPRODUCT((ABS($G$10:$G$74)&lt;ABS(G42))*1)+(SUMPRODUCT((ABS($G$10:$G$74)=ABS(G42))*1)+1)/2</f>
        <v/>
      </c>
      <c r="K42">
        <f>RANK(B42,$B42:$D42,1)</f>
        <v/>
      </c>
      <c r="L42">
        <f>RANK(C42,$B42:$D42,1)</f>
        <v/>
      </c>
      <c r="M42">
        <f>RANK(D42,$B42:$D42,1)</f>
        <v/>
      </c>
    </row>
    <row r="43">
      <c r="A43" t="inlineStr">
        <is>
          <t>RPT-03</t>
        </is>
      </c>
      <c r="B43" s="118">
        <f>AVERAGEIFS('01_원자료'!$S$2:$S$976,'01_원자료'!$A$2:$A$976,$A43,'01_원자료'!$C$2:$C$976,"gemma")</f>
        <v/>
      </c>
      <c r="C43" s="118">
        <f>AVERAGEIFS('01_원자료'!$S$2:$S$976,'01_원자료'!$A$2:$A$976,$A43,'01_원자료'!$C$2:$C$976,"ministral")</f>
        <v/>
      </c>
      <c r="D43" s="118">
        <f>AVERAGEIFS('01_원자료'!$S$2:$S$976,'01_원자료'!$A$2:$A$976,$A43,'01_원자료'!$C$2:$C$976,"qwen")</f>
        <v/>
      </c>
      <c r="E43" s="118">
        <f>B43-C43</f>
        <v/>
      </c>
      <c r="F43" s="118">
        <f>B43-D43</f>
        <v/>
      </c>
      <c r="G43" s="118">
        <f>D43-C43</f>
        <v/>
      </c>
      <c r="H43" s="119">
        <f>SUMPRODUCT((ABS($E$10:$E$74)&lt;ABS(E43))*1)+(SUMPRODUCT((ABS($E$10:$E$74)=ABS(E43))*1)+1)/2</f>
        <v/>
      </c>
      <c r="I43" s="119">
        <f>SUMPRODUCT((ABS($F$10:$F$74)&lt;ABS(F43))*1)+(SUMPRODUCT((ABS($F$10:$F$74)=ABS(F43))*1)+1)/2</f>
        <v/>
      </c>
      <c r="J43" s="119">
        <f>SUMPRODUCT((ABS($G$10:$G$74)&lt;ABS(G43))*1)+(SUMPRODUCT((ABS($G$10:$G$74)=ABS(G43))*1)+1)/2</f>
        <v/>
      </c>
      <c r="K43">
        <f>RANK(B43,$B43:$D43,1)</f>
        <v/>
      </c>
      <c r="L43">
        <f>RANK(C43,$B43:$D43,1)</f>
        <v/>
      </c>
      <c r="M43">
        <f>RANK(D43,$B43:$D43,1)</f>
        <v/>
      </c>
    </row>
    <row r="44">
      <c r="A44" t="inlineStr">
        <is>
          <t>RPT-04</t>
        </is>
      </c>
      <c r="B44" s="118">
        <f>AVERAGEIFS('01_원자료'!$S$2:$S$976,'01_원자료'!$A$2:$A$976,$A44,'01_원자료'!$C$2:$C$976,"gemma")</f>
        <v/>
      </c>
      <c r="C44" s="118">
        <f>AVERAGEIFS('01_원자료'!$S$2:$S$976,'01_원자료'!$A$2:$A$976,$A44,'01_원자료'!$C$2:$C$976,"ministral")</f>
        <v/>
      </c>
      <c r="D44" s="118">
        <f>AVERAGEIFS('01_원자료'!$S$2:$S$976,'01_원자료'!$A$2:$A$976,$A44,'01_원자료'!$C$2:$C$976,"qwen")</f>
        <v/>
      </c>
      <c r="E44" s="118">
        <f>B44-C44</f>
        <v/>
      </c>
      <c r="F44" s="118">
        <f>B44-D44</f>
        <v/>
      </c>
      <c r="G44" s="118">
        <f>D44-C44</f>
        <v/>
      </c>
      <c r="H44" s="119">
        <f>SUMPRODUCT((ABS($E$10:$E$74)&lt;ABS(E44))*1)+(SUMPRODUCT((ABS($E$10:$E$74)=ABS(E44))*1)+1)/2</f>
        <v/>
      </c>
      <c r="I44" s="119">
        <f>SUMPRODUCT((ABS($F$10:$F$74)&lt;ABS(F44))*1)+(SUMPRODUCT((ABS($F$10:$F$74)=ABS(F44))*1)+1)/2</f>
        <v/>
      </c>
      <c r="J44" s="119">
        <f>SUMPRODUCT((ABS($G$10:$G$74)&lt;ABS(G44))*1)+(SUMPRODUCT((ABS($G$10:$G$74)=ABS(G44))*1)+1)/2</f>
        <v/>
      </c>
      <c r="K44">
        <f>RANK(B44,$B44:$D44,1)</f>
        <v/>
      </c>
      <c r="L44">
        <f>RANK(C44,$B44:$D44,1)</f>
        <v/>
      </c>
      <c r="M44">
        <f>RANK(D44,$B44:$D44,1)</f>
        <v/>
      </c>
    </row>
    <row r="45">
      <c r="A45" t="inlineStr">
        <is>
          <t>RPT-05</t>
        </is>
      </c>
      <c r="B45" s="118">
        <f>AVERAGEIFS('01_원자료'!$S$2:$S$976,'01_원자료'!$A$2:$A$976,$A45,'01_원자료'!$C$2:$C$976,"gemma")</f>
        <v/>
      </c>
      <c r="C45" s="118">
        <f>AVERAGEIFS('01_원자료'!$S$2:$S$976,'01_원자료'!$A$2:$A$976,$A45,'01_원자료'!$C$2:$C$976,"ministral")</f>
        <v/>
      </c>
      <c r="D45" s="118">
        <f>AVERAGEIFS('01_원자료'!$S$2:$S$976,'01_원자료'!$A$2:$A$976,$A45,'01_원자료'!$C$2:$C$976,"qwen")</f>
        <v/>
      </c>
      <c r="E45" s="118">
        <f>B45-C45</f>
        <v/>
      </c>
      <c r="F45" s="118">
        <f>B45-D45</f>
        <v/>
      </c>
      <c r="G45" s="118">
        <f>D45-C45</f>
        <v/>
      </c>
      <c r="H45" s="119">
        <f>SUMPRODUCT((ABS($E$10:$E$74)&lt;ABS(E45))*1)+(SUMPRODUCT((ABS($E$10:$E$74)=ABS(E45))*1)+1)/2</f>
        <v/>
      </c>
      <c r="I45" s="119">
        <f>SUMPRODUCT((ABS($F$10:$F$74)&lt;ABS(F45))*1)+(SUMPRODUCT((ABS($F$10:$F$74)=ABS(F45))*1)+1)/2</f>
        <v/>
      </c>
      <c r="J45" s="119">
        <f>SUMPRODUCT((ABS($G$10:$G$74)&lt;ABS(G45))*1)+(SUMPRODUCT((ABS($G$10:$G$74)=ABS(G45))*1)+1)/2</f>
        <v/>
      </c>
      <c r="K45">
        <f>RANK(B45,$B45:$D45,1)</f>
        <v/>
      </c>
      <c r="L45">
        <f>RANK(C45,$B45:$D45,1)</f>
        <v/>
      </c>
      <c r="M45">
        <f>RANK(D45,$B45:$D45,1)</f>
        <v/>
      </c>
    </row>
    <row r="46">
      <c r="A46" t="inlineStr">
        <is>
          <t>RPT-06</t>
        </is>
      </c>
      <c r="B46" s="118">
        <f>AVERAGEIFS('01_원자료'!$S$2:$S$976,'01_원자료'!$A$2:$A$976,$A46,'01_원자료'!$C$2:$C$976,"gemma")</f>
        <v/>
      </c>
      <c r="C46" s="118">
        <f>AVERAGEIFS('01_원자료'!$S$2:$S$976,'01_원자료'!$A$2:$A$976,$A46,'01_원자료'!$C$2:$C$976,"ministral")</f>
        <v/>
      </c>
      <c r="D46" s="118">
        <f>AVERAGEIFS('01_원자료'!$S$2:$S$976,'01_원자료'!$A$2:$A$976,$A46,'01_원자료'!$C$2:$C$976,"qwen")</f>
        <v/>
      </c>
      <c r="E46" s="118">
        <f>B46-C46</f>
        <v/>
      </c>
      <c r="F46" s="118">
        <f>B46-D46</f>
        <v/>
      </c>
      <c r="G46" s="118">
        <f>D46-C46</f>
        <v/>
      </c>
      <c r="H46" s="119">
        <f>SUMPRODUCT((ABS($E$10:$E$74)&lt;ABS(E46))*1)+(SUMPRODUCT((ABS($E$10:$E$74)=ABS(E46))*1)+1)/2</f>
        <v/>
      </c>
      <c r="I46" s="119">
        <f>SUMPRODUCT((ABS($F$10:$F$74)&lt;ABS(F46))*1)+(SUMPRODUCT((ABS($F$10:$F$74)=ABS(F46))*1)+1)/2</f>
        <v/>
      </c>
      <c r="J46" s="119">
        <f>SUMPRODUCT((ABS($G$10:$G$74)&lt;ABS(G46))*1)+(SUMPRODUCT((ABS($G$10:$G$74)=ABS(G46))*1)+1)/2</f>
        <v/>
      </c>
      <c r="K46">
        <f>RANK(B46,$B46:$D46,1)</f>
        <v/>
      </c>
      <c r="L46">
        <f>RANK(C46,$B46:$D46,1)</f>
        <v/>
      </c>
      <c r="M46">
        <f>RANK(D46,$B46:$D46,1)</f>
        <v/>
      </c>
    </row>
    <row r="47">
      <c r="A47" t="inlineStr">
        <is>
          <t>RPT-07</t>
        </is>
      </c>
      <c r="B47" s="118">
        <f>AVERAGEIFS('01_원자료'!$S$2:$S$976,'01_원자료'!$A$2:$A$976,$A47,'01_원자료'!$C$2:$C$976,"gemma")</f>
        <v/>
      </c>
      <c r="C47" s="118">
        <f>AVERAGEIFS('01_원자료'!$S$2:$S$976,'01_원자료'!$A$2:$A$976,$A47,'01_원자료'!$C$2:$C$976,"ministral")</f>
        <v/>
      </c>
      <c r="D47" s="118">
        <f>AVERAGEIFS('01_원자료'!$S$2:$S$976,'01_원자료'!$A$2:$A$976,$A47,'01_원자료'!$C$2:$C$976,"qwen")</f>
        <v/>
      </c>
      <c r="E47" s="118">
        <f>B47-C47</f>
        <v/>
      </c>
      <c r="F47" s="118">
        <f>B47-D47</f>
        <v/>
      </c>
      <c r="G47" s="118">
        <f>D47-C47</f>
        <v/>
      </c>
      <c r="H47" s="119">
        <f>SUMPRODUCT((ABS($E$10:$E$74)&lt;ABS(E47))*1)+(SUMPRODUCT((ABS($E$10:$E$74)=ABS(E47))*1)+1)/2</f>
        <v/>
      </c>
      <c r="I47" s="119">
        <f>SUMPRODUCT((ABS($F$10:$F$74)&lt;ABS(F47))*1)+(SUMPRODUCT((ABS($F$10:$F$74)=ABS(F47))*1)+1)/2</f>
        <v/>
      </c>
      <c r="J47" s="119">
        <f>SUMPRODUCT((ABS($G$10:$G$74)&lt;ABS(G47))*1)+(SUMPRODUCT((ABS($G$10:$G$74)=ABS(G47))*1)+1)/2</f>
        <v/>
      </c>
      <c r="K47">
        <f>RANK(B47,$B47:$D47,1)</f>
        <v/>
      </c>
      <c r="L47">
        <f>RANK(C47,$B47:$D47,1)</f>
        <v/>
      </c>
      <c r="M47">
        <f>RANK(D47,$B47:$D47,1)</f>
        <v/>
      </c>
    </row>
    <row r="48">
      <c r="A48" t="inlineStr">
        <is>
          <t>RPT-08</t>
        </is>
      </c>
      <c r="B48" s="118">
        <f>AVERAGEIFS('01_원자료'!$S$2:$S$976,'01_원자료'!$A$2:$A$976,$A48,'01_원자료'!$C$2:$C$976,"gemma")</f>
        <v/>
      </c>
      <c r="C48" s="118">
        <f>AVERAGEIFS('01_원자료'!$S$2:$S$976,'01_원자료'!$A$2:$A$976,$A48,'01_원자료'!$C$2:$C$976,"ministral")</f>
        <v/>
      </c>
      <c r="D48" s="118">
        <f>AVERAGEIFS('01_원자료'!$S$2:$S$976,'01_원자료'!$A$2:$A$976,$A48,'01_원자료'!$C$2:$C$976,"qwen")</f>
        <v/>
      </c>
      <c r="E48" s="118">
        <f>B48-C48</f>
        <v/>
      </c>
      <c r="F48" s="118">
        <f>B48-D48</f>
        <v/>
      </c>
      <c r="G48" s="118">
        <f>D48-C48</f>
        <v/>
      </c>
      <c r="H48" s="119">
        <f>SUMPRODUCT((ABS($E$10:$E$74)&lt;ABS(E48))*1)+(SUMPRODUCT((ABS($E$10:$E$74)=ABS(E48))*1)+1)/2</f>
        <v/>
      </c>
      <c r="I48" s="119">
        <f>SUMPRODUCT((ABS($F$10:$F$74)&lt;ABS(F48))*1)+(SUMPRODUCT((ABS($F$10:$F$74)=ABS(F48))*1)+1)/2</f>
        <v/>
      </c>
      <c r="J48" s="119">
        <f>SUMPRODUCT((ABS($G$10:$G$74)&lt;ABS(G48))*1)+(SUMPRODUCT((ABS($G$10:$G$74)=ABS(G48))*1)+1)/2</f>
        <v/>
      </c>
      <c r="K48">
        <f>RANK(B48,$B48:$D48,1)</f>
        <v/>
      </c>
      <c r="L48">
        <f>RANK(C48,$B48:$D48,1)</f>
        <v/>
      </c>
      <c r="M48">
        <f>RANK(D48,$B48:$D48,1)</f>
        <v/>
      </c>
    </row>
    <row r="49">
      <c r="A49" t="inlineStr">
        <is>
          <t>RPT-09</t>
        </is>
      </c>
      <c r="B49" s="118">
        <f>AVERAGEIFS('01_원자료'!$S$2:$S$976,'01_원자료'!$A$2:$A$976,$A49,'01_원자료'!$C$2:$C$976,"gemma")</f>
        <v/>
      </c>
      <c r="C49" s="118">
        <f>AVERAGEIFS('01_원자료'!$S$2:$S$976,'01_원자료'!$A$2:$A$976,$A49,'01_원자료'!$C$2:$C$976,"ministral")</f>
        <v/>
      </c>
      <c r="D49" s="118">
        <f>AVERAGEIFS('01_원자료'!$S$2:$S$976,'01_원자료'!$A$2:$A$976,$A49,'01_원자료'!$C$2:$C$976,"qwen")</f>
        <v/>
      </c>
      <c r="E49" s="118">
        <f>B49-C49</f>
        <v/>
      </c>
      <c r="F49" s="118">
        <f>B49-D49</f>
        <v/>
      </c>
      <c r="G49" s="118">
        <f>D49-C49</f>
        <v/>
      </c>
      <c r="H49" s="119">
        <f>SUMPRODUCT((ABS($E$10:$E$74)&lt;ABS(E49))*1)+(SUMPRODUCT((ABS($E$10:$E$74)=ABS(E49))*1)+1)/2</f>
        <v/>
      </c>
      <c r="I49" s="119">
        <f>SUMPRODUCT((ABS($F$10:$F$74)&lt;ABS(F49))*1)+(SUMPRODUCT((ABS($F$10:$F$74)=ABS(F49))*1)+1)/2</f>
        <v/>
      </c>
      <c r="J49" s="119">
        <f>SUMPRODUCT((ABS($G$10:$G$74)&lt;ABS(G49))*1)+(SUMPRODUCT((ABS($G$10:$G$74)=ABS(G49))*1)+1)/2</f>
        <v/>
      </c>
      <c r="K49">
        <f>RANK(B49,$B49:$D49,1)</f>
        <v/>
      </c>
      <c r="L49">
        <f>RANK(C49,$B49:$D49,1)</f>
        <v/>
      </c>
      <c r="M49">
        <f>RANK(D49,$B49:$D49,1)</f>
        <v/>
      </c>
    </row>
    <row r="50">
      <c r="A50" t="inlineStr">
        <is>
          <t>RPT-10</t>
        </is>
      </c>
      <c r="B50" s="118">
        <f>AVERAGEIFS('01_원자료'!$S$2:$S$976,'01_원자료'!$A$2:$A$976,$A50,'01_원자료'!$C$2:$C$976,"gemma")</f>
        <v/>
      </c>
      <c r="C50" s="118">
        <f>AVERAGEIFS('01_원자료'!$S$2:$S$976,'01_원자료'!$A$2:$A$976,$A50,'01_원자료'!$C$2:$C$976,"ministral")</f>
        <v/>
      </c>
      <c r="D50" s="118">
        <f>AVERAGEIFS('01_원자료'!$S$2:$S$976,'01_원자료'!$A$2:$A$976,$A50,'01_원자료'!$C$2:$C$976,"qwen")</f>
        <v/>
      </c>
      <c r="E50" s="118">
        <f>B50-C50</f>
        <v/>
      </c>
      <c r="F50" s="118">
        <f>B50-D50</f>
        <v/>
      </c>
      <c r="G50" s="118">
        <f>D50-C50</f>
        <v/>
      </c>
      <c r="H50" s="119">
        <f>SUMPRODUCT((ABS($E$10:$E$74)&lt;ABS(E50))*1)+(SUMPRODUCT((ABS($E$10:$E$74)=ABS(E50))*1)+1)/2</f>
        <v/>
      </c>
      <c r="I50" s="119">
        <f>SUMPRODUCT((ABS($F$10:$F$74)&lt;ABS(F50))*1)+(SUMPRODUCT((ABS($F$10:$F$74)=ABS(F50))*1)+1)/2</f>
        <v/>
      </c>
      <c r="J50" s="119">
        <f>SUMPRODUCT((ABS($G$10:$G$74)&lt;ABS(G50))*1)+(SUMPRODUCT((ABS($G$10:$G$74)=ABS(G50))*1)+1)/2</f>
        <v/>
      </c>
      <c r="K50">
        <f>RANK(B50,$B50:$D50,1)</f>
        <v/>
      </c>
      <c r="L50">
        <f>RANK(C50,$B50:$D50,1)</f>
        <v/>
      </c>
      <c r="M50">
        <f>RANK(D50,$B50:$D50,1)</f>
        <v/>
      </c>
    </row>
    <row r="51">
      <c r="A51" t="inlineStr">
        <is>
          <t>RPT-11</t>
        </is>
      </c>
      <c r="B51" s="118">
        <f>AVERAGEIFS('01_원자료'!$S$2:$S$976,'01_원자료'!$A$2:$A$976,$A51,'01_원자료'!$C$2:$C$976,"gemma")</f>
        <v/>
      </c>
      <c r="C51" s="118">
        <f>AVERAGEIFS('01_원자료'!$S$2:$S$976,'01_원자료'!$A$2:$A$976,$A51,'01_원자료'!$C$2:$C$976,"ministral")</f>
        <v/>
      </c>
      <c r="D51" s="118">
        <f>AVERAGEIFS('01_원자료'!$S$2:$S$976,'01_원자료'!$A$2:$A$976,$A51,'01_원자료'!$C$2:$C$976,"qwen")</f>
        <v/>
      </c>
      <c r="E51" s="118">
        <f>B51-C51</f>
        <v/>
      </c>
      <c r="F51" s="118">
        <f>B51-D51</f>
        <v/>
      </c>
      <c r="G51" s="118">
        <f>D51-C51</f>
        <v/>
      </c>
      <c r="H51" s="119">
        <f>SUMPRODUCT((ABS($E$10:$E$74)&lt;ABS(E51))*1)+(SUMPRODUCT((ABS($E$10:$E$74)=ABS(E51))*1)+1)/2</f>
        <v/>
      </c>
      <c r="I51" s="119">
        <f>SUMPRODUCT((ABS($F$10:$F$74)&lt;ABS(F51))*1)+(SUMPRODUCT((ABS($F$10:$F$74)=ABS(F51))*1)+1)/2</f>
        <v/>
      </c>
      <c r="J51" s="119">
        <f>SUMPRODUCT((ABS($G$10:$G$74)&lt;ABS(G51))*1)+(SUMPRODUCT((ABS($G$10:$G$74)=ABS(G51))*1)+1)/2</f>
        <v/>
      </c>
      <c r="K51">
        <f>RANK(B51,$B51:$D51,1)</f>
        <v/>
      </c>
      <c r="L51">
        <f>RANK(C51,$B51:$D51,1)</f>
        <v/>
      </c>
      <c r="M51">
        <f>RANK(D51,$B51:$D51,1)</f>
        <v/>
      </c>
    </row>
    <row r="52">
      <c r="A52" t="inlineStr">
        <is>
          <t>RPT-12</t>
        </is>
      </c>
      <c r="B52" s="118">
        <f>AVERAGEIFS('01_원자료'!$S$2:$S$976,'01_원자료'!$A$2:$A$976,$A52,'01_원자료'!$C$2:$C$976,"gemma")</f>
        <v/>
      </c>
      <c r="C52" s="118">
        <f>AVERAGEIFS('01_원자료'!$S$2:$S$976,'01_원자료'!$A$2:$A$976,$A52,'01_원자료'!$C$2:$C$976,"ministral")</f>
        <v/>
      </c>
      <c r="D52" s="118">
        <f>AVERAGEIFS('01_원자료'!$S$2:$S$976,'01_원자료'!$A$2:$A$976,$A52,'01_원자료'!$C$2:$C$976,"qwen")</f>
        <v/>
      </c>
      <c r="E52" s="118">
        <f>B52-C52</f>
        <v/>
      </c>
      <c r="F52" s="118">
        <f>B52-D52</f>
        <v/>
      </c>
      <c r="G52" s="118">
        <f>D52-C52</f>
        <v/>
      </c>
      <c r="H52" s="119">
        <f>SUMPRODUCT((ABS($E$10:$E$74)&lt;ABS(E52))*1)+(SUMPRODUCT((ABS($E$10:$E$74)=ABS(E52))*1)+1)/2</f>
        <v/>
      </c>
      <c r="I52" s="119">
        <f>SUMPRODUCT((ABS($F$10:$F$74)&lt;ABS(F52))*1)+(SUMPRODUCT((ABS($F$10:$F$74)=ABS(F52))*1)+1)/2</f>
        <v/>
      </c>
      <c r="J52" s="119">
        <f>SUMPRODUCT((ABS($G$10:$G$74)&lt;ABS(G52))*1)+(SUMPRODUCT((ABS($G$10:$G$74)=ABS(G52))*1)+1)/2</f>
        <v/>
      </c>
      <c r="K52">
        <f>RANK(B52,$B52:$D52,1)</f>
        <v/>
      </c>
      <c r="L52">
        <f>RANK(C52,$B52:$D52,1)</f>
        <v/>
      </c>
      <c r="M52">
        <f>RANK(D52,$B52:$D52,1)</f>
        <v/>
      </c>
    </row>
    <row r="53">
      <c r="A53" t="inlineStr">
        <is>
          <t>RPT-13</t>
        </is>
      </c>
      <c r="B53" s="118">
        <f>AVERAGEIFS('01_원자료'!$S$2:$S$976,'01_원자료'!$A$2:$A$976,$A53,'01_원자료'!$C$2:$C$976,"gemma")</f>
        <v/>
      </c>
      <c r="C53" s="118">
        <f>AVERAGEIFS('01_원자료'!$S$2:$S$976,'01_원자료'!$A$2:$A$976,$A53,'01_원자료'!$C$2:$C$976,"ministral")</f>
        <v/>
      </c>
      <c r="D53" s="118">
        <f>AVERAGEIFS('01_원자료'!$S$2:$S$976,'01_원자료'!$A$2:$A$976,$A53,'01_원자료'!$C$2:$C$976,"qwen")</f>
        <v/>
      </c>
      <c r="E53" s="118">
        <f>B53-C53</f>
        <v/>
      </c>
      <c r="F53" s="118">
        <f>B53-D53</f>
        <v/>
      </c>
      <c r="G53" s="118">
        <f>D53-C53</f>
        <v/>
      </c>
      <c r="H53" s="119">
        <f>SUMPRODUCT((ABS($E$10:$E$74)&lt;ABS(E53))*1)+(SUMPRODUCT((ABS($E$10:$E$74)=ABS(E53))*1)+1)/2</f>
        <v/>
      </c>
      <c r="I53" s="119">
        <f>SUMPRODUCT((ABS($F$10:$F$74)&lt;ABS(F53))*1)+(SUMPRODUCT((ABS($F$10:$F$74)=ABS(F53))*1)+1)/2</f>
        <v/>
      </c>
      <c r="J53" s="119">
        <f>SUMPRODUCT((ABS($G$10:$G$74)&lt;ABS(G53))*1)+(SUMPRODUCT((ABS($G$10:$G$74)=ABS(G53))*1)+1)/2</f>
        <v/>
      </c>
      <c r="K53">
        <f>RANK(B53,$B53:$D53,1)</f>
        <v/>
      </c>
      <c r="L53">
        <f>RANK(C53,$B53:$D53,1)</f>
        <v/>
      </c>
      <c r="M53">
        <f>RANK(D53,$B53:$D53,1)</f>
        <v/>
      </c>
    </row>
    <row r="54">
      <c r="A54" t="inlineStr">
        <is>
          <t>RPT-14</t>
        </is>
      </c>
      <c r="B54" s="118">
        <f>AVERAGEIFS('01_원자료'!$S$2:$S$976,'01_원자료'!$A$2:$A$976,$A54,'01_원자료'!$C$2:$C$976,"gemma")</f>
        <v/>
      </c>
      <c r="C54" s="118">
        <f>AVERAGEIFS('01_원자료'!$S$2:$S$976,'01_원자료'!$A$2:$A$976,$A54,'01_원자료'!$C$2:$C$976,"ministral")</f>
        <v/>
      </c>
      <c r="D54" s="118">
        <f>AVERAGEIFS('01_원자료'!$S$2:$S$976,'01_원자료'!$A$2:$A$976,$A54,'01_원자료'!$C$2:$C$976,"qwen")</f>
        <v/>
      </c>
      <c r="E54" s="118">
        <f>B54-C54</f>
        <v/>
      </c>
      <c r="F54" s="118">
        <f>B54-D54</f>
        <v/>
      </c>
      <c r="G54" s="118">
        <f>D54-C54</f>
        <v/>
      </c>
      <c r="H54" s="119">
        <f>SUMPRODUCT((ABS($E$10:$E$74)&lt;ABS(E54))*1)+(SUMPRODUCT((ABS($E$10:$E$74)=ABS(E54))*1)+1)/2</f>
        <v/>
      </c>
      <c r="I54" s="119">
        <f>SUMPRODUCT((ABS($F$10:$F$74)&lt;ABS(F54))*1)+(SUMPRODUCT((ABS($F$10:$F$74)=ABS(F54))*1)+1)/2</f>
        <v/>
      </c>
      <c r="J54" s="119">
        <f>SUMPRODUCT((ABS($G$10:$G$74)&lt;ABS(G54))*1)+(SUMPRODUCT((ABS($G$10:$G$74)=ABS(G54))*1)+1)/2</f>
        <v/>
      </c>
      <c r="K54">
        <f>RANK(B54,$B54:$D54,1)</f>
        <v/>
      </c>
      <c r="L54">
        <f>RANK(C54,$B54:$D54,1)</f>
        <v/>
      </c>
      <c r="M54">
        <f>RANK(D54,$B54:$D54,1)</f>
        <v/>
      </c>
    </row>
    <row r="55">
      <c r="A55" t="inlineStr">
        <is>
          <t>RPT-15</t>
        </is>
      </c>
      <c r="B55" s="118">
        <f>AVERAGEIFS('01_원자료'!$S$2:$S$976,'01_원자료'!$A$2:$A$976,$A55,'01_원자료'!$C$2:$C$976,"gemma")</f>
        <v/>
      </c>
      <c r="C55" s="118">
        <f>AVERAGEIFS('01_원자료'!$S$2:$S$976,'01_원자료'!$A$2:$A$976,$A55,'01_원자료'!$C$2:$C$976,"ministral")</f>
        <v/>
      </c>
      <c r="D55" s="118">
        <f>AVERAGEIFS('01_원자료'!$S$2:$S$976,'01_원자료'!$A$2:$A$976,$A55,'01_원자료'!$C$2:$C$976,"qwen")</f>
        <v/>
      </c>
      <c r="E55" s="118">
        <f>B55-C55</f>
        <v/>
      </c>
      <c r="F55" s="118">
        <f>B55-D55</f>
        <v/>
      </c>
      <c r="G55" s="118">
        <f>D55-C55</f>
        <v/>
      </c>
      <c r="H55" s="119">
        <f>SUMPRODUCT((ABS($E$10:$E$74)&lt;ABS(E55))*1)+(SUMPRODUCT((ABS($E$10:$E$74)=ABS(E55))*1)+1)/2</f>
        <v/>
      </c>
      <c r="I55" s="119">
        <f>SUMPRODUCT((ABS($F$10:$F$74)&lt;ABS(F55))*1)+(SUMPRODUCT((ABS($F$10:$F$74)=ABS(F55))*1)+1)/2</f>
        <v/>
      </c>
      <c r="J55" s="119">
        <f>SUMPRODUCT((ABS($G$10:$G$74)&lt;ABS(G55))*1)+(SUMPRODUCT((ABS($G$10:$G$74)=ABS(G55))*1)+1)/2</f>
        <v/>
      </c>
      <c r="K55">
        <f>RANK(B55,$B55:$D55,1)</f>
        <v/>
      </c>
      <c r="L55">
        <f>RANK(C55,$B55:$D55,1)</f>
        <v/>
      </c>
      <c r="M55">
        <f>RANK(D55,$B55:$D55,1)</f>
        <v/>
      </c>
    </row>
    <row r="56">
      <c r="A56" t="inlineStr">
        <is>
          <t>RPT-16</t>
        </is>
      </c>
      <c r="B56" s="118">
        <f>AVERAGEIFS('01_원자료'!$S$2:$S$976,'01_원자료'!$A$2:$A$976,$A56,'01_원자료'!$C$2:$C$976,"gemma")</f>
        <v/>
      </c>
      <c r="C56" s="118">
        <f>AVERAGEIFS('01_원자료'!$S$2:$S$976,'01_원자료'!$A$2:$A$976,$A56,'01_원자료'!$C$2:$C$976,"ministral")</f>
        <v/>
      </c>
      <c r="D56" s="118">
        <f>AVERAGEIFS('01_원자료'!$S$2:$S$976,'01_원자료'!$A$2:$A$976,$A56,'01_원자료'!$C$2:$C$976,"qwen")</f>
        <v/>
      </c>
      <c r="E56" s="118">
        <f>B56-C56</f>
        <v/>
      </c>
      <c r="F56" s="118">
        <f>B56-D56</f>
        <v/>
      </c>
      <c r="G56" s="118">
        <f>D56-C56</f>
        <v/>
      </c>
      <c r="H56" s="119">
        <f>SUMPRODUCT((ABS($E$10:$E$74)&lt;ABS(E56))*1)+(SUMPRODUCT((ABS($E$10:$E$74)=ABS(E56))*1)+1)/2</f>
        <v/>
      </c>
      <c r="I56" s="119">
        <f>SUMPRODUCT((ABS($F$10:$F$74)&lt;ABS(F56))*1)+(SUMPRODUCT((ABS($F$10:$F$74)=ABS(F56))*1)+1)/2</f>
        <v/>
      </c>
      <c r="J56" s="119">
        <f>SUMPRODUCT((ABS($G$10:$G$74)&lt;ABS(G56))*1)+(SUMPRODUCT((ABS($G$10:$G$74)=ABS(G56))*1)+1)/2</f>
        <v/>
      </c>
      <c r="K56">
        <f>RANK(B56,$B56:$D56,1)</f>
        <v/>
      </c>
      <c r="L56">
        <f>RANK(C56,$B56:$D56,1)</f>
        <v/>
      </c>
      <c r="M56">
        <f>RANK(D56,$B56:$D56,1)</f>
        <v/>
      </c>
    </row>
    <row r="57">
      <c r="A57" t="inlineStr">
        <is>
          <t>RPT-17</t>
        </is>
      </c>
      <c r="B57" s="118">
        <f>AVERAGEIFS('01_원자료'!$S$2:$S$976,'01_원자료'!$A$2:$A$976,$A57,'01_원자료'!$C$2:$C$976,"gemma")</f>
        <v/>
      </c>
      <c r="C57" s="118">
        <f>AVERAGEIFS('01_원자료'!$S$2:$S$976,'01_원자료'!$A$2:$A$976,$A57,'01_원자료'!$C$2:$C$976,"ministral")</f>
        <v/>
      </c>
      <c r="D57" s="118">
        <f>AVERAGEIFS('01_원자료'!$S$2:$S$976,'01_원자료'!$A$2:$A$976,$A57,'01_원자료'!$C$2:$C$976,"qwen")</f>
        <v/>
      </c>
      <c r="E57" s="118">
        <f>B57-C57</f>
        <v/>
      </c>
      <c r="F57" s="118">
        <f>B57-D57</f>
        <v/>
      </c>
      <c r="G57" s="118">
        <f>D57-C57</f>
        <v/>
      </c>
      <c r="H57" s="119">
        <f>SUMPRODUCT((ABS($E$10:$E$74)&lt;ABS(E57))*1)+(SUMPRODUCT((ABS($E$10:$E$74)=ABS(E57))*1)+1)/2</f>
        <v/>
      </c>
      <c r="I57" s="119">
        <f>SUMPRODUCT((ABS($F$10:$F$74)&lt;ABS(F57))*1)+(SUMPRODUCT((ABS($F$10:$F$74)=ABS(F57))*1)+1)/2</f>
        <v/>
      </c>
      <c r="J57" s="119">
        <f>SUMPRODUCT((ABS($G$10:$G$74)&lt;ABS(G57))*1)+(SUMPRODUCT((ABS($G$10:$G$74)=ABS(G57))*1)+1)/2</f>
        <v/>
      </c>
      <c r="K57">
        <f>RANK(B57,$B57:$D57,1)</f>
        <v/>
      </c>
      <c r="L57">
        <f>RANK(C57,$B57:$D57,1)</f>
        <v/>
      </c>
      <c r="M57">
        <f>RANK(D57,$B57:$D57,1)</f>
        <v/>
      </c>
    </row>
    <row r="58">
      <c r="A58" t="inlineStr">
        <is>
          <t>RPT-18</t>
        </is>
      </c>
      <c r="B58" s="118">
        <f>AVERAGEIFS('01_원자료'!$S$2:$S$976,'01_원자료'!$A$2:$A$976,$A58,'01_원자료'!$C$2:$C$976,"gemma")</f>
        <v/>
      </c>
      <c r="C58" s="118">
        <f>AVERAGEIFS('01_원자료'!$S$2:$S$976,'01_원자료'!$A$2:$A$976,$A58,'01_원자료'!$C$2:$C$976,"ministral")</f>
        <v/>
      </c>
      <c r="D58" s="118">
        <f>AVERAGEIFS('01_원자료'!$S$2:$S$976,'01_원자료'!$A$2:$A$976,$A58,'01_원자료'!$C$2:$C$976,"qwen")</f>
        <v/>
      </c>
      <c r="E58" s="118">
        <f>B58-C58</f>
        <v/>
      </c>
      <c r="F58" s="118">
        <f>B58-D58</f>
        <v/>
      </c>
      <c r="G58" s="118">
        <f>D58-C58</f>
        <v/>
      </c>
      <c r="H58" s="119">
        <f>SUMPRODUCT((ABS($E$10:$E$74)&lt;ABS(E58))*1)+(SUMPRODUCT((ABS($E$10:$E$74)=ABS(E58))*1)+1)/2</f>
        <v/>
      </c>
      <c r="I58" s="119">
        <f>SUMPRODUCT((ABS($F$10:$F$74)&lt;ABS(F58))*1)+(SUMPRODUCT((ABS($F$10:$F$74)=ABS(F58))*1)+1)/2</f>
        <v/>
      </c>
      <c r="J58" s="119">
        <f>SUMPRODUCT((ABS($G$10:$G$74)&lt;ABS(G58))*1)+(SUMPRODUCT((ABS($G$10:$G$74)=ABS(G58))*1)+1)/2</f>
        <v/>
      </c>
      <c r="K58">
        <f>RANK(B58,$B58:$D58,1)</f>
        <v/>
      </c>
      <c r="L58">
        <f>RANK(C58,$B58:$D58,1)</f>
        <v/>
      </c>
      <c r="M58">
        <f>RANK(D58,$B58:$D58,1)</f>
        <v/>
      </c>
    </row>
    <row r="59">
      <c r="A59" t="inlineStr">
        <is>
          <t>RPT-19</t>
        </is>
      </c>
      <c r="B59" s="118">
        <f>AVERAGEIFS('01_원자료'!$S$2:$S$976,'01_원자료'!$A$2:$A$976,$A59,'01_원자료'!$C$2:$C$976,"gemma")</f>
        <v/>
      </c>
      <c r="C59" s="118">
        <f>AVERAGEIFS('01_원자료'!$S$2:$S$976,'01_원자료'!$A$2:$A$976,$A59,'01_원자료'!$C$2:$C$976,"ministral")</f>
        <v/>
      </c>
      <c r="D59" s="118">
        <f>AVERAGEIFS('01_원자료'!$S$2:$S$976,'01_원자료'!$A$2:$A$976,$A59,'01_원자료'!$C$2:$C$976,"qwen")</f>
        <v/>
      </c>
      <c r="E59" s="118">
        <f>B59-C59</f>
        <v/>
      </c>
      <c r="F59" s="118">
        <f>B59-D59</f>
        <v/>
      </c>
      <c r="G59" s="118">
        <f>D59-C59</f>
        <v/>
      </c>
      <c r="H59" s="119">
        <f>SUMPRODUCT((ABS($E$10:$E$74)&lt;ABS(E59))*1)+(SUMPRODUCT((ABS($E$10:$E$74)=ABS(E59))*1)+1)/2</f>
        <v/>
      </c>
      <c r="I59" s="119">
        <f>SUMPRODUCT((ABS($F$10:$F$74)&lt;ABS(F59))*1)+(SUMPRODUCT((ABS($F$10:$F$74)=ABS(F59))*1)+1)/2</f>
        <v/>
      </c>
      <c r="J59" s="119">
        <f>SUMPRODUCT((ABS($G$10:$G$74)&lt;ABS(G59))*1)+(SUMPRODUCT((ABS($G$10:$G$74)=ABS(G59))*1)+1)/2</f>
        <v/>
      </c>
      <c r="K59">
        <f>RANK(B59,$B59:$D59,1)</f>
        <v/>
      </c>
      <c r="L59">
        <f>RANK(C59,$B59:$D59,1)</f>
        <v/>
      </c>
      <c r="M59">
        <f>RANK(D59,$B59:$D59,1)</f>
        <v/>
      </c>
    </row>
    <row r="60">
      <c r="A60" t="inlineStr">
        <is>
          <t>RPT-20</t>
        </is>
      </c>
      <c r="B60" s="118">
        <f>AVERAGEIFS('01_원자료'!$S$2:$S$976,'01_원자료'!$A$2:$A$976,$A60,'01_원자료'!$C$2:$C$976,"gemma")</f>
        <v/>
      </c>
      <c r="C60" s="118">
        <f>AVERAGEIFS('01_원자료'!$S$2:$S$976,'01_원자료'!$A$2:$A$976,$A60,'01_원자료'!$C$2:$C$976,"ministral")</f>
        <v/>
      </c>
      <c r="D60" s="118">
        <f>AVERAGEIFS('01_원자료'!$S$2:$S$976,'01_원자료'!$A$2:$A$976,$A60,'01_원자료'!$C$2:$C$976,"qwen")</f>
        <v/>
      </c>
      <c r="E60" s="118">
        <f>B60-C60</f>
        <v/>
      </c>
      <c r="F60" s="118">
        <f>B60-D60</f>
        <v/>
      </c>
      <c r="G60" s="118">
        <f>D60-C60</f>
        <v/>
      </c>
      <c r="H60" s="119">
        <f>SUMPRODUCT((ABS($E$10:$E$74)&lt;ABS(E60))*1)+(SUMPRODUCT((ABS($E$10:$E$74)=ABS(E60))*1)+1)/2</f>
        <v/>
      </c>
      <c r="I60" s="119">
        <f>SUMPRODUCT((ABS($F$10:$F$74)&lt;ABS(F60))*1)+(SUMPRODUCT((ABS($F$10:$F$74)=ABS(F60))*1)+1)/2</f>
        <v/>
      </c>
      <c r="J60" s="119">
        <f>SUMPRODUCT((ABS($G$10:$G$74)&lt;ABS(G60))*1)+(SUMPRODUCT((ABS($G$10:$G$74)=ABS(G60))*1)+1)/2</f>
        <v/>
      </c>
      <c r="K60">
        <f>RANK(B60,$B60:$D60,1)</f>
        <v/>
      </c>
      <c r="L60">
        <f>RANK(C60,$B60:$D60,1)</f>
        <v/>
      </c>
      <c r="M60">
        <f>RANK(D60,$B60:$D60,1)</f>
        <v/>
      </c>
    </row>
    <row r="61">
      <c r="A61" t="inlineStr">
        <is>
          <t>RPT-21</t>
        </is>
      </c>
      <c r="B61" s="118">
        <f>AVERAGEIFS('01_원자료'!$S$2:$S$976,'01_원자료'!$A$2:$A$976,$A61,'01_원자료'!$C$2:$C$976,"gemma")</f>
        <v/>
      </c>
      <c r="C61" s="118">
        <f>AVERAGEIFS('01_원자료'!$S$2:$S$976,'01_원자료'!$A$2:$A$976,$A61,'01_원자료'!$C$2:$C$976,"ministral")</f>
        <v/>
      </c>
      <c r="D61" s="118">
        <f>AVERAGEIFS('01_원자료'!$S$2:$S$976,'01_원자료'!$A$2:$A$976,$A61,'01_원자료'!$C$2:$C$976,"qwen")</f>
        <v/>
      </c>
      <c r="E61" s="118">
        <f>B61-C61</f>
        <v/>
      </c>
      <c r="F61" s="118">
        <f>B61-D61</f>
        <v/>
      </c>
      <c r="G61" s="118">
        <f>D61-C61</f>
        <v/>
      </c>
      <c r="H61" s="119">
        <f>SUMPRODUCT((ABS($E$10:$E$74)&lt;ABS(E61))*1)+(SUMPRODUCT((ABS($E$10:$E$74)=ABS(E61))*1)+1)/2</f>
        <v/>
      </c>
      <c r="I61" s="119">
        <f>SUMPRODUCT((ABS($F$10:$F$74)&lt;ABS(F61))*1)+(SUMPRODUCT((ABS($F$10:$F$74)=ABS(F61))*1)+1)/2</f>
        <v/>
      </c>
      <c r="J61" s="119">
        <f>SUMPRODUCT((ABS($G$10:$G$74)&lt;ABS(G61))*1)+(SUMPRODUCT((ABS($G$10:$G$74)=ABS(G61))*1)+1)/2</f>
        <v/>
      </c>
      <c r="K61">
        <f>RANK(B61,$B61:$D61,1)</f>
        <v/>
      </c>
      <c r="L61">
        <f>RANK(C61,$B61:$D61,1)</f>
        <v/>
      </c>
      <c r="M61">
        <f>RANK(D61,$B61:$D61,1)</f>
        <v/>
      </c>
    </row>
    <row r="62">
      <c r="A62" t="inlineStr">
        <is>
          <t>RPT-22</t>
        </is>
      </c>
      <c r="B62" s="118">
        <f>AVERAGEIFS('01_원자료'!$S$2:$S$976,'01_원자료'!$A$2:$A$976,$A62,'01_원자료'!$C$2:$C$976,"gemma")</f>
        <v/>
      </c>
      <c r="C62" s="118">
        <f>AVERAGEIFS('01_원자료'!$S$2:$S$976,'01_원자료'!$A$2:$A$976,$A62,'01_원자료'!$C$2:$C$976,"ministral")</f>
        <v/>
      </c>
      <c r="D62" s="118">
        <f>AVERAGEIFS('01_원자료'!$S$2:$S$976,'01_원자료'!$A$2:$A$976,$A62,'01_원자료'!$C$2:$C$976,"qwen")</f>
        <v/>
      </c>
      <c r="E62" s="118">
        <f>B62-C62</f>
        <v/>
      </c>
      <c r="F62" s="118">
        <f>B62-D62</f>
        <v/>
      </c>
      <c r="G62" s="118">
        <f>D62-C62</f>
        <v/>
      </c>
      <c r="H62" s="119">
        <f>SUMPRODUCT((ABS($E$10:$E$74)&lt;ABS(E62))*1)+(SUMPRODUCT((ABS($E$10:$E$74)=ABS(E62))*1)+1)/2</f>
        <v/>
      </c>
      <c r="I62" s="119">
        <f>SUMPRODUCT((ABS($F$10:$F$74)&lt;ABS(F62))*1)+(SUMPRODUCT((ABS($F$10:$F$74)=ABS(F62))*1)+1)/2</f>
        <v/>
      </c>
      <c r="J62" s="119">
        <f>SUMPRODUCT((ABS($G$10:$G$74)&lt;ABS(G62))*1)+(SUMPRODUCT((ABS($G$10:$G$74)=ABS(G62))*1)+1)/2</f>
        <v/>
      </c>
      <c r="K62">
        <f>RANK(B62,$B62:$D62,1)</f>
        <v/>
      </c>
      <c r="L62">
        <f>RANK(C62,$B62:$D62,1)</f>
        <v/>
      </c>
      <c r="M62">
        <f>RANK(D62,$B62:$D62,1)</f>
        <v/>
      </c>
    </row>
    <row r="63">
      <c r="A63" t="inlineStr">
        <is>
          <t>RPT-23</t>
        </is>
      </c>
      <c r="B63" s="118">
        <f>AVERAGEIFS('01_원자료'!$S$2:$S$976,'01_원자료'!$A$2:$A$976,$A63,'01_원자료'!$C$2:$C$976,"gemma")</f>
        <v/>
      </c>
      <c r="C63" s="118">
        <f>AVERAGEIFS('01_원자료'!$S$2:$S$976,'01_원자료'!$A$2:$A$976,$A63,'01_원자료'!$C$2:$C$976,"ministral")</f>
        <v/>
      </c>
      <c r="D63" s="118">
        <f>AVERAGEIFS('01_원자료'!$S$2:$S$976,'01_원자료'!$A$2:$A$976,$A63,'01_원자료'!$C$2:$C$976,"qwen")</f>
        <v/>
      </c>
      <c r="E63" s="118">
        <f>B63-C63</f>
        <v/>
      </c>
      <c r="F63" s="118">
        <f>B63-D63</f>
        <v/>
      </c>
      <c r="G63" s="118">
        <f>D63-C63</f>
        <v/>
      </c>
      <c r="H63" s="119">
        <f>SUMPRODUCT((ABS($E$10:$E$74)&lt;ABS(E63))*1)+(SUMPRODUCT((ABS($E$10:$E$74)=ABS(E63))*1)+1)/2</f>
        <v/>
      </c>
      <c r="I63" s="119">
        <f>SUMPRODUCT((ABS($F$10:$F$74)&lt;ABS(F63))*1)+(SUMPRODUCT((ABS($F$10:$F$74)=ABS(F63))*1)+1)/2</f>
        <v/>
      </c>
      <c r="J63" s="119">
        <f>SUMPRODUCT((ABS($G$10:$G$74)&lt;ABS(G63))*1)+(SUMPRODUCT((ABS($G$10:$G$74)=ABS(G63))*1)+1)/2</f>
        <v/>
      </c>
      <c r="K63">
        <f>RANK(B63,$B63:$D63,1)</f>
        <v/>
      </c>
      <c r="L63">
        <f>RANK(C63,$B63:$D63,1)</f>
        <v/>
      </c>
      <c r="M63">
        <f>RANK(D63,$B63:$D63,1)</f>
        <v/>
      </c>
    </row>
    <row r="64">
      <c r="A64" t="inlineStr">
        <is>
          <t>RPT-24</t>
        </is>
      </c>
      <c r="B64" s="118">
        <f>AVERAGEIFS('01_원자료'!$S$2:$S$976,'01_원자료'!$A$2:$A$976,$A64,'01_원자료'!$C$2:$C$976,"gemma")</f>
        <v/>
      </c>
      <c r="C64" s="118">
        <f>AVERAGEIFS('01_원자료'!$S$2:$S$976,'01_원자료'!$A$2:$A$976,$A64,'01_원자료'!$C$2:$C$976,"ministral")</f>
        <v/>
      </c>
      <c r="D64" s="118">
        <f>AVERAGEIFS('01_원자료'!$S$2:$S$976,'01_원자료'!$A$2:$A$976,$A64,'01_원자료'!$C$2:$C$976,"qwen")</f>
        <v/>
      </c>
      <c r="E64" s="118">
        <f>B64-C64</f>
        <v/>
      </c>
      <c r="F64" s="118">
        <f>B64-D64</f>
        <v/>
      </c>
      <c r="G64" s="118">
        <f>D64-C64</f>
        <v/>
      </c>
      <c r="H64" s="119">
        <f>SUMPRODUCT((ABS($E$10:$E$74)&lt;ABS(E64))*1)+(SUMPRODUCT((ABS($E$10:$E$74)=ABS(E64))*1)+1)/2</f>
        <v/>
      </c>
      <c r="I64" s="119">
        <f>SUMPRODUCT((ABS($F$10:$F$74)&lt;ABS(F64))*1)+(SUMPRODUCT((ABS($F$10:$F$74)=ABS(F64))*1)+1)/2</f>
        <v/>
      </c>
      <c r="J64" s="119">
        <f>SUMPRODUCT((ABS($G$10:$G$74)&lt;ABS(G64))*1)+(SUMPRODUCT((ABS($G$10:$G$74)=ABS(G64))*1)+1)/2</f>
        <v/>
      </c>
      <c r="K64">
        <f>RANK(B64,$B64:$D64,1)</f>
        <v/>
      </c>
      <c r="L64">
        <f>RANK(C64,$B64:$D64,1)</f>
        <v/>
      </c>
      <c r="M64">
        <f>RANK(D64,$B64:$D64,1)</f>
        <v/>
      </c>
    </row>
    <row r="65">
      <c r="A65" t="inlineStr">
        <is>
          <t>RPT-25</t>
        </is>
      </c>
      <c r="B65" s="118">
        <f>AVERAGEIFS('01_원자료'!$S$2:$S$976,'01_원자료'!$A$2:$A$976,$A65,'01_원자료'!$C$2:$C$976,"gemma")</f>
        <v/>
      </c>
      <c r="C65" s="118">
        <f>AVERAGEIFS('01_원자료'!$S$2:$S$976,'01_원자료'!$A$2:$A$976,$A65,'01_원자료'!$C$2:$C$976,"ministral")</f>
        <v/>
      </c>
      <c r="D65" s="118">
        <f>AVERAGEIFS('01_원자료'!$S$2:$S$976,'01_원자료'!$A$2:$A$976,$A65,'01_원자료'!$C$2:$C$976,"qwen")</f>
        <v/>
      </c>
      <c r="E65" s="118">
        <f>B65-C65</f>
        <v/>
      </c>
      <c r="F65" s="118">
        <f>B65-D65</f>
        <v/>
      </c>
      <c r="G65" s="118">
        <f>D65-C65</f>
        <v/>
      </c>
      <c r="H65" s="119">
        <f>SUMPRODUCT((ABS($E$10:$E$74)&lt;ABS(E65))*1)+(SUMPRODUCT((ABS($E$10:$E$74)=ABS(E65))*1)+1)/2</f>
        <v/>
      </c>
      <c r="I65" s="119">
        <f>SUMPRODUCT((ABS($F$10:$F$74)&lt;ABS(F65))*1)+(SUMPRODUCT((ABS($F$10:$F$74)=ABS(F65))*1)+1)/2</f>
        <v/>
      </c>
      <c r="J65" s="119">
        <f>SUMPRODUCT((ABS($G$10:$G$74)&lt;ABS(G65))*1)+(SUMPRODUCT((ABS($G$10:$G$74)=ABS(G65))*1)+1)/2</f>
        <v/>
      </c>
      <c r="K65">
        <f>RANK(B65,$B65:$D65,1)</f>
        <v/>
      </c>
      <c r="L65">
        <f>RANK(C65,$B65:$D65,1)</f>
        <v/>
      </c>
      <c r="M65">
        <f>RANK(D65,$B65:$D65,1)</f>
        <v/>
      </c>
    </row>
    <row r="66">
      <c r="A66" t="inlineStr">
        <is>
          <t>RPT-26</t>
        </is>
      </c>
      <c r="B66" s="118">
        <f>AVERAGEIFS('01_원자료'!$S$2:$S$976,'01_원자료'!$A$2:$A$976,$A66,'01_원자료'!$C$2:$C$976,"gemma")</f>
        <v/>
      </c>
      <c r="C66" s="118">
        <f>AVERAGEIFS('01_원자료'!$S$2:$S$976,'01_원자료'!$A$2:$A$976,$A66,'01_원자료'!$C$2:$C$976,"ministral")</f>
        <v/>
      </c>
      <c r="D66" s="118">
        <f>AVERAGEIFS('01_원자료'!$S$2:$S$976,'01_원자료'!$A$2:$A$976,$A66,'01_원자료'!$C$2:$C$976,"qwen")</f>
        <v/>
      </c>
      <c r="E66" s="118">
        <f>B66-C66</f>
        <v/>
      </c>
      <c r="F66" s="118">
        <f>B66-D66</f>
        <v/>
      </c>
      <c r="G66" s="118">
        <f>D66-C66</f>
        <v/>
      </c>
      <c r="H66" s="119">
        <f>SUMPRODUCT((ABS($E$10:$E$74)&lt;ABS(E66))*1)+(SUMPRODUCT((ABS($E$10:$E$74)=ABS(E66))*1)+1)/2</f>
        <v/>
      </c>
      <c r="I66" s="119">
        <f>SUMPRODUCT((ABS($F$10:$F$74)&lt;ABS(F66))*1)+(SUMPRODUCT((ABS($F$10:$F$74)=ABS(F66))*1)+1)/2</f>
        <v/>
      </c>
      <c r="J66" s="119">
        <f>SUMPRODUCT((ABS($G$10:$G$74)&lt;ABS(G66))*1)+(SUMPRODUCT((ABS($G$10:$G$74)=ABS(G66))*1)+1)/2</f>
        <v/>
      </c>
      <c r="K66">
        <f>RANK(B66,$B66:$D66,1)</f>
        <v/>
      </c>
      <c r="L66">
        <f>RANK(C66,$B66:$D66,1)</f>
        <v/>
      </c>
      <c r="M66">
        <f>RANK(D66,$B66:$D66,1)</f>
        <v/>
      </c>
    </row>
    <row r="67">
      <c r="A67" t="inlineStr">
        <is>
          <t>RPT-27</t>
        </is>
      </c>
      <c r="B67" s="118">
        <f>AVERAGEIFS('01_원자료'!$S$2:$S$976,'01_원자료'!$A$2:$A$976,$A67,'01_원자료'!$C$2:$C$976,"gemma")</f>
        <v/>
      </c>
      <c r="C67" s="118">
        <f>AVERAGEIFS('01_원자료'!$S$2:$S$976,'01_원자료'!$A$2:$A$976,$A67,'01_원자료'!$C$2:$C$976,"ministral")</f>
        <v/>
      </c>
      <c r="D67" s="118">
        <f>AVERAGEIFS('01_원자료'!$S$2:$S$976,'01_원자료'!$A$2:$A$976,$A67,'01_원자료'!$C$2:$C$976,"qwen")</f>
        <v/>
      </c>
      <c r="E67" s="118">
        <f>B67-C67</f>
        <v/>
      </c>
      <c r="F67" s="118">
        <f>B67-D67</f>
        <v/>
      </c>
      <c r="G67" s="118">
        <f>D67-C67</f>
        <v/>
      </c>
      <c r="H67" s="119">
        <f>SUMPRODUCT((ABS($E$10:$E$74)&lt;ABS(E67))*1)+(SUMPRODUCT((ABS($E$10:$E$74)=ABS(E67))*1)+1)/2</f>
        <v/>
      </c>
      <c r="I67" s="119">
        <f>SUMPRODUCT((ABS($F$10:$F$74)&lt;ABS(F67))*1)+(SUMPRODUCT((ABS($F$10:$F$74)=ABS(F67))*1)+1)/2</f>
        <v/>
      </c>
      <c r="J67" s="119">
        <f>SUMPRODUCT((ABS($G$10:$G$74)&lt;ABS(G67))*1)+(SUMPRODUCT((ABS($G$10:$G$74)=ABS(G67))*1)+1)/2</f>
        <v/>
      </c>
      <c r="K67">
        <f>RANK(B67,$B67:$D67,1)</f>
        <v/>
      </c>
      <c r="L67">
        <f>RANK(C67,$B67:$D67,1)</f>
        <v/>
      </c>
      <c r="M67">
        <f>RANK(D67,$B67:$D67,1)</f>
        <v/>
      </c>
    </row>
    <row r="68">
      <c r="A68" t="inlineStr">
        <is>
          <t>RPT-28</t>
        </is>
      </c>
      <c r="B68" s="118">
        <f>AVERAGEIFS('01_원자료'!$S$2:$S$976,'01_원자료'!$A$2:$A$976,$A68,'01_원자료'!$C$2:$C$976,"gemma")</f>
        <v/>
      </c>
      <c r="C68" s="118">
        <f>AVERAGEIFS('01_원자료'!$S$2:$S$976,'01_원자료'!$A$2:$A$976,$A68,'01_원자료'!$C$2:$C$976,"ministral")</f>
        <v/>
      </c>
      <c r="D68" s="118">
        <f>AVERAGEIFS('01_원자료'!$S$2:$S$976,'01_원자료'!$A$2:$A$976,$A68,'01_원자료'!$C$2:$C$976,"qwen")</f>
        <v/>
      </c>
      <c r="E68" s="118">
        <f>B68-C68</f>
        <v/>
      </c>
      <c r="F68" s="118">
        <f>B68-D68</f>
        <v/>
      </c>
      <c r="G68" s="118">
        <f>D68-C68</f>
        <v/>
      </c>
      <c r="H68" s="119">
        <f>SUMPRODUCT((ABS($E$10:$E$74)&lt;ABS(E68))*1)+(SUMPRODUCT((ABS($E$10:$E$74)=ABS(E68))*1)+1)/2</f>
        <v/>
      </c>
      <c r="I68" s="119">
        <f>SUMPRODUCT((ABS($F$10:$F$74)&lt;ABS(F68))*1)+(SUMPRODUCT((ABS($F$10:$F$74)=ABS(F68))*1)+1)/2</f>
        <v/>
      </c>
      <c r="J68" s="119">
        <f>SUMPRODUCT((ABS($G$10:$G$74)&lt;ABS(G68))*1)+(SUMPRODUCT((ABS($G$10:$G$74)=ABS(G68))*1)+1)/2</f>
        <v/>
      </c>
      <c r="K68">
        <f>RANK(B68,$B68:$D68,1)</f>
        <v/>
      </c>
      <c r="L68">
        <f>RANK(C68,$B68:$D68,1)</f>
        <v/>
      </c>
      <c r="M68">
        <f>RANK(D68,$B68:$D68,1)</f>
        <v/>
      </c>
    </row>
    <row r="69">
      <c r="A69" t="inlineStr">
        <is>
          <t>RPT-29</t>
        </is>
      </c>
      <c r="B69" s="118">
        <f>AVERAGEIFS('01_원자료'!$S$2:$S$976,'01_원자료'!$A$2:$A$976,$A69,'01_원자료'!$C$2:$C$976,"gemma")</f>
        <v/>
      </c>
      <c r="C69" s="118">
        <f>AVERAGEIFS('01_원자료'!$S$2:$S$976,'01_원자료'!$A$2:$A$976,$A69,'01_원자료'!$C$2:$C$976,"ministral")</f>
        <v/>
      </c>
      <c r="D69" s="118">
        <f>AVERAGEIFS('01_원자료'!$S$2:$S$976,'01_원자료'!$A$2:$A$976,$A69,'01_원자료'!$C$2:$C$976,"qwen")</f>
        <v/>
      </c>
      <c r="E69" s="118">
        <f>B69-C69</f>
        <v/>
      </c>
      <c r="F69" s="118">
        <f>B69-D69</f>
        <v/>
      </c>
      <c r="G69" s="118">
        <f>D69-C69</f>
        <v/>
      </c>
      <c r="H69" s="119">
        <f>SUMPRODUCT((ABS($E$10:$E$74)&lt;ABS(E69))*1)+(SUMPRODUCT((ABS($E$10:$E$74)=ABS(E69))*1)+1)/2</f>
        <v/>
      </c>
      <c r="I69" s="119">
        <f>SUMPRODUCT((ABS($F$10:$F$74)&lt;ABS(F69))*1)+(SUMPRODUCT((ABS($F$10:$F$74)=ABS(F69))*1)+1)/2</f>
        <v/>
      </c>
      <c r="J69" s="119">
        <f>SUMPRODUCT((ABS($G$10:$G$74)&lt;ABS(G69))*1)+(SUMPRODUCT((ABS($G$10:$G$74)=ABS(G69))*1)+1)/2</f>
        <v/>
      </c>
      <c r="K69">
        <f>RANK(B69,$B69:$D69,1)</f>
        <v/>
      </c>
      <c r="L69">
        <f>RANK(C69,$B69:$D69,1)</f>
        <v/>
      </c>
      <c r="M69">
        <f>RANK(D69,$B69:$D69,1)</f>
        <v/>
      </c>
    </row>
    <row r="70">
      <c r="A70" t="inlineStr">
        <is>
          <t>RPT-30</t>
        </is>
      </c>
      <c r="B70" s="118">
        <f>AVERAGEIFS('01_원자료'!$S$2:$S$976,'01_원자료'!$A$2:$A$976,$A70,'01_원자료'!$C$2:$C$976,"gemma")</f>
        <v/>
      </c>
      <c r="C70" s="118">
        <f>AVERAGEIFS('01_원자료'!$S$2:$S$976,'01_원자료'!$A$2:$A$976,$A70,'01_원자료'!$C$2:$C$976,"ministral")</f>
        <v/>
      </c>
      <c r="D70" s="118">
        <f>AVERAGEIFS('01_원자료'!$S$2:$S$976,'01_원자료'!$A$2:$A$976,$A70,'01_원자료'!$C$2:$C$976,"qwen")</f>
        <v/>
      </c>
      <c r="E70" s="118">
        <f>B70-C70</f>
        <v/>
      </c>
      <c r="F70" s="118">
        <f>B70-D70</f>
        <v/>
      </c>
      <c r="G70" s="118">
        <f>D70-C70</f>
        <v/>
      </c>
      <c r="H70" s="119">
        <f>SUMPRODUCT((ABS($E$10:$E$74)&lt;ABS(E70))*1)+(SUMPRODUCT((ABS($E$10:$E$74)=ABS(E70))*1)+1)/2</f>
        <v/>
      </c>
      <c r="I70" s="119">
        <f>SUMPRODUCT((ABS($F$10:$F$74)&lt;ABS(F70))*1)+(SUMPRODUCT((ABS($F$10:$F$74)=ABS(F70))*1)+1)/2</f>
        <v/>
      </c>
      <c r="J70" s="119">
        <f>SUMPRODUCT((ABS($G$10:$G$74)&lt;ABS(G70))*1)+(SUMPRODUCT((ABS($G$10:$G$74)=ABS(G70))*1)+1)/2</f>
        <v/>
      </c>
      <c r="K70">
        <f>RANK(B70,$B70:$D70,1)</f>
        <v/>
      </c>
      <c r="L70">
        <f>RANK(C70,$B70:$D70,1)</f>
        <v/>
      </c>
      <c r="M70">
        <f>RANK(D70,$B70:$D70,1)</f>
        <v/>
      </c>
    </row>
    <row r="71">
      <c r="A71" t="inlineStr">
        <is>
          <t>RPT-31</t>
        </is>
      </c>
      <c r="B71" s="118">
        <f>AVERAGEIFS('01_원자료'!$S$2:$S$976,'01_원자료'!$A$2:$A$976,$A71,'01_원자료'!$C$2:$C$976,"gemma")</f>
        <v/>
      </c>
      <c r="C71" s="118">
        <f>AVERAGEIFS('01_원자료'!$S$2:$S$976,'01_원자료'!$A$2:$A$976,$A71,'01_원자료'!$C$2:$C$976,"ministral")</f>
        <v/>
      </c>
      <c r="D71" s="118">
        <f>AVERAGEIFS('01_원자료'!$S$2:$S$976,'01_원자료'!$A$2:$A$976,$A71,'01_원자료'!$C$2:$C$976,"qwen")</f>
        <v/>
      </c>
      <c r="E71" s="118">
        <f>B71-C71</f>
        <v/>
      </c>
      <c r="F71" s="118">
        <f>B71-D71</f>
        <v/>
      </c>
      <c r="G71" s="118">
        <f>D71-C71</f>
        <v/>
      </c>
      <c r="H71" s="119">
        <f>SUMPRODUCT((ABS($E$10:$E$74)&lt;ABS(E71))*1)+(SUMPRODUCT((ABS($E$10:$E$74)=ABS(E71))*1)+1)/2</f>
        <v/>
      </c>
      <c r="I71" s="119">
        <f>SUMPRODUCT((ABS($F$10:$F$74)&lt;ABS(F71))*1)+(SUMPRODUCT((ABS($F$10:$F$74)=ABS(F71))*1)+1)/2</f>
        <v/>
      </c>
      <c r="J71" s="119">
        <f>SUMPRODUCT((ABS($G$10:$G$74)&lt;ABS(G71))*1)+(SUMPRODUCT((ABS($G$10:$G$74)=ABS(G71))*1)+1)/2</f>
        <v/>
      </c>
      <c r="K71">
        <f>RANK(B71,$B71:$D71,1)</f>
        <v/>
      </c>
      <c r="L71">
        <f>RANK(C71,$B71:$D71,1)</f>
        <v/>
      </c>
      <c r="M71">
        <f>RANK(D71,$B71:$D71,1)</f>
        <v/>
      </c>
    </row>
    <row r="72">
      <c r="A72" t="inlineStr">
        <is>
          <t>RPT-32</t>
        </is>
      </c>
      <c r="B72" s="118">
        <f>AVERAGEIFS('01_원자료'!$S$2:$S$976,'01_원자료'!$A$2:$A$976,$A72,'01_원자료'!$C$2:$C$976,"gemma")</f>
        <v/>
      </c>
      <c r="C72" s="118">
        <f>AVERAGEIFS('01_원자료'!$S$2:$S$976,'01_원자료'!$A$2:$A$976,$A72,'01_원자료'!$C$2:$C$976,"ministral")</f>
        <v/>
      </c>
      <c r="D72" s="118">
        <f>AVERAGEIFS('01_원자료'!$S$2:$S$976,'01_원자료'!$A$2:$A$976,$A72,'01_원자료'!$C$2:$C$976,"qwen")</f>
        <v/>
      </c>
      <c r="E72" s="118">
        <f>B72-C72</f>
        <v/>
      </c>
      <c r="F72" s="118">
        <f>B72-D72</f>
        <v/>
      </c>
      <c r="G72" s="118">
        <f>D72-C72</f>
        <v/>
      </c>
      <c r="H72" s="119">
        <f>SUMPRODUCT((ABS($E$10:$E$74)&lt;ABS(E72))*1)+(SUMPRODUCT((ABS($E$10:$E$74)=ABS(E72))*1)+1)/2</f>
        <v/>
      </c>
      <c r="I72" s="119">
        <f>SUMPRODUCT((ABS($F$10:$F$74)&lt;ABS(F72))*1)+(SUMPRODUCT((ABS($F$10:$F$74)=ABS(F72))*1)+1)/2</f>
        <v/>
      </c>
      <c r="J72" s="119">
        <f>SUMPRODUCT((ABS($G$10:$G$74)&lt;ABS(G72))*1)+(SUMPRODUCT((ABS($G$10:$G$74)=ABS(G72))*1)+1)/2</f>
        <v/>
      </c>
      <c r="K72">
        <f>RANK(B72,$B72:$D72,1)</f>
        <v/>
      </c>
      <c r="L72">
        <f>RANK(C72,$B72:$D72,1)</f>
        <v/>
      </c>
      <c r="M72">
        <f>RANK(D72,$B72:$D72,1)</f>
        <v/>
      </c>
    </row>
    <row r="73">
      <c r="A73" t="inlineStr">
        <is>
          <t>RPT-33</t>
        </is>
      </c>
      <c r="B73" s="118">
        <f>AVERAGEIFS('01_원자료'!$S$2:$S$976,'01_원자료'!$A$2:$A$976,$A73,'01_원자료'!$C$2:$C$976,"gemma")</f>
        <v/>
      </c>
      <c r="C73" s="118">
        <f>AVERAGEIFS('01_원자료'!$S$2:$S$976,'01_원자료'!$A$2:$A$976,$A73,'01_원자료'!$C$2:$C$976,"ministral")</f>
        <v/>
      </c>
      <c r="D73" s="118">
        <f>AVERAGEIFS('01_원자료'!$S$2:$S$976,'01_원자료'!$A$2:$A$976,$A73,'01_원자료'!$C$2:$C$976,"qwen")</f>
        <v/>
      </c>
      <c r="E73" s="118">
        <f>B73-C73</f>
        <v/>
      </c>
      <c r="F73" s="118">
        <f>B73-D73</f>
        <v/>
      </c>
      <c r="G73" s="118">
        <f>D73-C73</f>
        <v/>
      </c>
      <c r="H73" s="119">
        <f>SUMPRODUCT((ABS($E$10:$E$74)&lt;ABS(E73))*1)+(SUMPRODUCT((ABS($E$10:$E$74)=ABS(E73))*1)+1)/2</f>
        <v/>
      </c>
      <c r="I73" s="119">
        <f>SUMPRODUCT((ABS($F$10:$F$74)&lt;ABS(F73))*1)+(SUMPRODUCT((ABS($F$10:$F$74)=ABS(F73))*1)+1)/2</f>
        <v/>
      </c>
      <c r="J73" s="119">
        <f>SUMPRODUCT((ABS($G$10:$G$74)&lt;ABS(G73))*1)+(SUMPRODUCT((ABS($G$10:$G$74)=ABS(G73))*1)+1)/2</f>
        <v/>
      </c>
      <c r="K73">
        <f>RANK(B73,$B73:$D73,1)</f>
        <v/>
      </c>
      <c r="L73">
        <f>RANK(C73,$B73:$D73,1)</f>
        <v/>
      </c>
      <c r="M73">
        <f>RANK(D73,$B73:$D73,1)</f>
        <v/>
      </c>
    </row>
    <row r="74">
      <c r="A74" t="inlineStr">
        <is>
          <t>RPT-34</t>
        </is>
      </c>
      <c r="B74" s="118">
        <f>AVERAGEIFS('01_원자료'!$S$2:$S$976,'01_원자료'!$A$2:$A$976,$A74,'01_원자료'!$C$2:$C$976,"gemma")</f>
        <v/>
      </c>
      <c r="C74" s="118">
        <f>AVERAGEIFS('01_원자료'!$S$2:$S$976,'01_원자료'!$A$2:$A$976,$A74,'01_원자료'!$C$2:$C$976,"ministral")</f>
        <v/>
      </c>
      <c r="D74" s="118">
        <f>AVERAGEIFS('01_원자료'!$S$2:$S$976,'01_원자료'!$A$2:$A$976,$A74,'01_원자료'!$C$2:$C$976,"qwen")</f>
        <v/>
      </c>
      <c r="E74" s="118">
        <f>B74-C74</f>
        <v/>
      </c>
      <c r="F74" s="118">
        <f>B74-D74</f>
        <v/>
      </c>
      <c r="G74" s="118">
        <f>D74-C74</f>
        <v/>
      </c>
      <c r="H74" s="119">
        <f>SUMPRODUCT((ABS($E$10:$E$74)&lt;ABS(E74))*1)+(SUMPRODUCT((ABS($E$10:$E$74)=ABS(E74))*1)+1)/2</f>
        <v/>
      </c>
      <c r="I74" s="119">
        <f>SUMPRODUCT((ABS($F$10:$F$74)&lt;ABS(F74))*1)+(SUMPRODUCT((ABS($F$10:$F$74)=ABS(F74))*1)+1)/2</f>
        <v/>
      </c>
      <c r="J74" s="119">
        <f>SUMPRODUCT((ABS($G$10:$G$74)&lt;ABS(G74))*1)+(SUMPRODUCT((ABS($G$10:$G$74)=ABS(G74))*1)+1)/2</f>
        <v/>
      </c>
      <c r="K74">
        <f>RANK(B74,$B74:$D74,1)</f>
        <v/>
      </c>
      <c r="L74">
        <f>RANK(C74,$B74:$D74,1)</f>
        <v/>
      </c>
      <c r="M74">
        <f>RANK(D74,$B74:$D74,1)</f>
        <v/>
      </c>
    </row>
    <row r="76">
      <c r="A76" s="116" t="inlineStr">
        <is>
          <t>2단계: 전체 검정 — Friedman (반복측정, 블록 = 문서)</t>
        </is>
      </c>
    </row>
    <row r="77">
      <c r="A77" s="120" t="inlineStr">
        <is>
          <t>모델</t>
        </is>
      </c>
      <c r="B77" s="120" t="inlineStr">
        <is>
          <t>순위합 Rj</t>
        </is>
      </c>
      <c r="C77" s="120" t="inlineStr">
        <is>
          <t>평균 순위</t>
        </is>
      </c>
      <c r="D77" s="120" t="inlineStr"/>
      <c r="E77" s="120" t="inlineStr">
        <is>
          <t>n</t>
        </is>
      </c>
      <c r="F77" s="120" t="inlineStr">
        <is>
          <t>k</t>
        </is>
      </c>
      <c r="G77" s="120" t="inlineStr">
        <is>
          <t>χ²</t>
        </is>
      </c>
      <c r="H77" s="120" t="inlineStr">
        <is>
          <t>df</t>
        </is>
      </c>
      <c r="I77" s="120" t="inlineStr">
        <is>
          <t>p</t>
        </is>
      </c>
      <c r="J77" s="120" t="inlineStr">
        <is>
          <t>Kendall W</t>
        </is>
      </c>
    </row>
    <row r="78">
      <c r="A78" s="121" t="inlineStr">
        <is>
          <t>Gemma</t>
        </is>
      </c>
      <c r="B78" s="121">
        <f>SUM($K$10:$K$74)</f>
        <v/>
      </c>
      <c r="C78" s="122">
        <f>B78/$E$78</f>
        <v/>
      </c>
      <c r="E78" s="121">
        <f>COUNT($B$10:$B$74)</f>
        <v/>
      </c>
      <c r="F78" s="121" t="n">
        <v>3</v>
      </c>
      <c r="G78" s="122">
        <f>12/($E$78*$F$78*($F$78+1))*SUMPRODUCT($B$78:$B$80^2)-3*$E$78*($F$78+1)</f>
        <v/>
      </c>
      <c r="H78" s="121">
        <f>$F$78-1</f>
        <v/>
      </c>
      <c r="I78" s="123">
        <f>CHIDIST($G$78,$H$78)</f>
        <v/>
      </c>
      <c r="J78" s="122">
        <f>$G$78/($E$78*($F$78-1))</f>
        <v/>
      </c>
    </row>
    <row r="79">
      <c r="A79" s="121" t="inlineStr">
        <is>
          <t>Ministral</t>
        </is>
      </c>
      <c r="B79" s="121">
        <f>SUM($L$10:$L$74)</f>
        <v/>
      </c>
      <c r="C79" s="122">
        <f>B79/$E$78</f>
        <v/>
      </c>
    </row>
    <row r="80">
      <c r="A80" s="121" t="inlineStr">
        <is>
          <t>Qwen</t>
        </is>
      </c>
      <c r="B80" s="121">
        <f>SUM($M$10:$M$74)</f>
        <v/>
      </c>
      <c r="C80" s="122">
        <f>B80/$E$78</f>
        <v/>
      </c>
    </row>
    <row r="83">
      <c r="A83" s="116" t="inlineStr">
        <is>
          <t>3단계: 쌍별 대응표본 Wilcoxon 부호순위 검정 + Holm-Bonferroni 보정</t>
        </is>
      </c>
    </row>
    <row r="84">
      <c r="A84" s="124" t="inlineStr">
        <is>
          <t>비교 쌍</t>
        </is>
      </c>
      <c r="B84" s="124" t="inlineStr">
        <is>
          <t>차이열</t>
        </is>
      </c>
      <c r="C84" s="124" t="inlineStr">
        <is>
          <t>n(비영)</t>
        </is>
      </c>
      <c r="D84" s="124" t="inlineStr">
        <is>
          <t>R+</t>
        </is>
      </c>
      <c r="E84" s="124" t="inlineStr">
        <is>
          <t>R−</t>
        </is>
      </c>
      <c r="F84" s="124" t="inlineStr">
        <is>
          <t>W=min</t>
        </is>
      </c>
      <c r="G84" s="124" t="inlineStr">
        <is>
          <t>z</t>
        </is>
      </c>
      <c r="H84" s="124" t="inlineStr">
        <is>
          <t>p (원)</t>
        </is>
      </c>
      <c r="I84" s="124" t="inlineStr">
        <is>
          <t>순위</t>
        </is>
      </c>
      <c r="J84" s="124" t="inlineStr">
        <is>
          <t>Holm 배수</t>
        </is>
      </c>
      <c r="K84" s="124" t="inlineStr">
        <is>
          <t>Holm p</t>
        </is>
      </c>
      <c r="L84" s="124" t="inlineStr">
        <is>
          <t>대응 r</t>
        </is>
      </c>
      <c r="M84" s="124" t="inlineStr">
        <is>
          <t>Cohen dz</t>
        </is>
      </c>
      <c r="N84" s="124" t="inlineStr">
        <is>
          <t>양수 문서</t>
        </is>
      </c>
      <c r="O84" s="124" t="inlineStr">
        <is>
          <t>판정</t>
        </is>
      </c>
    </row>
    <row r="85">
      <c r="A85" s="121" t="inlineStr">
        <is>
          <t>Gemma vs Ministral</t>
        </is>
      </c>
      <c r="B85" s="121" t="inlineStr">
        <is>
          <t>E열</t>
        </is>
      </c>
      <c r="C85" s="121">
        <f>SUMPRODUCT(($E$10:$E$74&lt;&gt;0)*1)</f>
        <v/>
      </c>
      <c r="D85" s="125">
        <f>SUMPRODUCT(($E$10:$E$74&gt;0)*$H$10:$H$74)</f>
        <v/>
      </c>
      <c r="E85" s="125">
        <f>SUMPRODUCT(($E$10:$E$74&lt;0)*$H$10:$H$74)</f>
        <v/>
      </c>
      <c r="F85" s="125">
        <f>MIN(D85,E85)</f>
        <v/>
      </c>
      <c r="G85" s="122">
        <f>(F85-C85*(C85+1)/4)/SQRT(C85*(C85+1)*(2*C85+1)/24)</f>
        <v/>
      </c>
      <c r="H85" s="123">
        <f>2*(1-NORMSDIST(ABS(G85)))</f>
        <v/>
      </c>
      <c r="I85" s="121">
        <f>RANK(H85,$H$85:$H$87,1)</f>
        <v/>
      </c>
      <c r="J85" s="121">
        <f>COUNTA($A$85:$A$87)-I85+1</f>
        <v/>
      </c>
      <c r="K85" s="123">
        <f>MIN(1,H85*J85)</f>
        <v/>
      </c>
      <c r="L85" s="126">
        <f>(D85-E85)/(D85+E85)</f>
        <v/>
      </c>
      <c r="M85" s="127">
        <f>AVERAGE($E$10:$E$74)/STDEV($E$10:$E$74)</f>
        <v/>
      </c>
      <c r="N85" s="121">
        <f>SUMPRODUCT(($E$10:$E$74&gt;0)*1)&amp;"/"&amp;C85</f>
        <v/>
      </c>
      <c r="O85" s="121">
        <f>IF(K85&lt;0.001,"p&lt;.001 유의",IF(K85&lt;0.05,"유의","n.s."))</f>
        <v/>
      </c>
    </row>
    <row r="86">
      <c r="A86" s="121" t="inlineStr">
        <is>
          <t>Gemma vs Qwen</t>
        </is>
      </c>
      <c r="B86" s="121" t="inlineStr">
        <is>
          <t>F열</t>
        </is>
      </c>
      <c r="C86" s="121">
        <f>SUMPRODUCT(($F$10:$F$74&lt;&gt;0)*1)</f>
        <v/>
      </c>
      <c r="D86" s="125">
        <f>SUMPRODUCT(($F$10:$F$74&gt;0)*$I$10:$I$74)</f>
        <v/>
      </c>
      <c r="E86" s="125">
        <f>SUMPRODUCT(($F$10:$F$74&lt;0)*$I$10:$I$74)</f>
        <v/>
      </c>
      <c r="F86" s="125">
        <f>MIN(D86,E86)</f>
        <v/>
      </c>
      <c r="G86" s="122">
        <f>(F86-C86*(C86+1)/4)/SQRT(C86*(C86+1)*(2*C86+1)/24)</f>
        <v/>
      </c>
      <c r="H86" s="123">
        <f>2*(1-NORMSDIST(ABS(G86)))</f>
        <v/>
      </c>
      <c r="I86" s="121">
        <f>RANK(H86,$H$85:$H$87,1)</f>
        <v/>
      </c>
      <c r="J86" s="121">
        <f>COUNTA($A$85:$A$87)-I86+1</f>
        <v/>
      </c>
      <c r="K86" s="123">
        <f>MIN(1,H86*J86)</f>
        <v/>
      </c>
      <c r="L86" s="126">
        <f>(D86-E86)/(D86+E86)</f>
        <v/>
      </c>
      <c r="M86" s="127">
        <f>AVERAGE($F$10:$F$74)/STDEV($F$10:$F$74)</f>
        <v/>
      </c>
      <c r="N86" s="121">
        <f>SUMPRODUCT(($F$10:$F$74&gt;0)*1)&amp;"/"&amp;C86</f>
        <v/>
      </c>
      <c r="O86" s="121">
        <f>IF(K86&lt;0.001,"p&lt;.001 유의",IF(K86&lt;0.05,"유의","n.s."))</f>
        <v/>
      </c>
    </row>
    <row r="87">
      <c r="A87" s="121" t="inlineStr">
        <is>
          <t>Qwen vs Ministral</t>
        </is>
      </c>
      <c r="B87" s="121" t="inlineStr">
        <is>
          <t>G열</t>
        </is>
      </c>
      <c r="C87" s="121">
        <f>SUMPRODUCT(($G$10:$G$74&lt;&gt;0)*1)</f>
        <v/>
      </c>
      <c r="D87" s="125">
        <f>SUMPRODUCT(($G$10:$G$74&gt;0)*$J$10:$J$74)</f>
        <v/>
      </c>
      <c r="E87" s="125">
        <f>SUMPRODUCT(($G$10:$G$74&lt;0)*$J$10:$J$74)</f>
        <v/>
      </c>
      <c r="F87" s="125">
        <f>MIN(D87,E87)</f>
        <v/>
      </c>
      <c r="G87" s="122">
        <f>(F87-C87*(C87+1)/4)/SQRT(C87*(C87+1)*(2*C87+1)/24)</f>
        <v/>
      </c>
      <c r="H87" s="123">
        <f>2*(1-NORMSDIST(ABS(G87)))</f>
        <v/>
      </c>
      <c r="I87" s="121">
        <f>RANK(H87,$H$85:$H$87,1)</f>
        <v/>
      </c>
      <c r="J87" s="121">
        <f>COUNTA($A$85:$A$87)-I87+1</f>
        <v/>
      </c>
      <c r="K87" s="123">
        <f>MIN(1,H87*J87)</f>
        <v/>
      </c>
      <c r="L87" s="126">
        <f>(D87-E87)/(D87+E87)</f>
        <v/>
      </c>
      <c r="M87" s="127">
        <f>AVERAGE($G$10:$G$74)/STDEV($G$10:$G$74)</f>
        <v/>
      </c>
      <c r="N87" s="121">
        <f>SUMPRODUCT(($G$10:$G$74&gt;0)*1)&amp;"/"&amp;C87</f>
        <v/>
      </c>
      <c r="O87" s="121">
        <f>IF(K87&lt;0.001,"p&lt;.001 유의",IF(K87&lt;0.05,"유의","n.s."))</f>
        <v/>
      </c>
    </row>
    <row r="90">
      <c r="A90" t="inlineStr">
        <is>
          <t>해석: Friedman 전체 검정이 유의하며(Kendall W=0.709) 세 모델의 순위가 문서 전반에서 일관됨을 뜻한다.</t>
        </is>
      </c>
    </row>
    <row r="91">
      <c r="A91" t="inlineStr">
        <is>
          <t>Gemma와 Qwen은 각각 65개 문서 중 64개에서 Ministral을 앞선다(W=1, 65; 대응 r&gt;+0.93).</t>
        </is>
      </c>
    </row>
    <row r="92">
      <c r="A92" t="inlineStr">
        <is>
          <t>Gemma와 Qwen 사이에는 유의한 차이가 없어(37/65, Holm p=0.79) 두 모델의 순위는 해석하지 않는다.</t>
        </is>
      </c>
    </row>
    <row r="93">
      <c r="A93" t="inlineStr">
        <is>
          <t>결론은 08_KW_Holm의 독립표본 검정과 같으나, 반복측정 구조를 반영하므로 검정통계량과 효과크기는 다르다.</t>
        </is>
      </c>
    </row>
    <row r="94">
      <c r="A94" t="inlineStr">
        <is>
          <t>보조 확인: 문서×레퍼런스 조합(n=325) 단위로 대응시켜도 결론은 동일하다(p&lt;.001 / p=0.73 / p&lt;.001).</t>
        </is>
      </c>
    </row>
    <row r="95">
      <c r="A95" t="inlineStr">
        <is>
          <t>08_KW_Holm 시트는 심사 전 원고의 계산을 그대로 보존한 것이며, 개정 원고는 이 시트(08B)의 값을 사용한다.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O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7" customWidth="1" style="67" min="1" max="2"/>
    <col width="11" customWidth="1" style="67" min="3" max="14"/>
    <col width="13" customWidth="1" style="67" min="15" max="15"/>
  </cols>
  <sheetData>
    <row r="1" ht="21.6" customHeight="1" s="68">
      <c r="A1" s="89" t="inlineStr">
        <is>
          <t>표 6. 레퍼런스 모델별 오픈소스 LLM 12개 지표 성능 비교 (평균값)</t>
        </is>
      </c>
    </row>
    <row r="2" ht="15" customHeight="1" s="68">
      <c r="A2" s="70" t="inlineStr">
        <is>
          <t>각 셀 = 해당 (레퍼런스, 모델) 조합 문서 65건의 평균. 모두 01_원자료 D~O열에서 AVERAGEIFS로 산출.</t>
        </is>
      </c>
    </row>
    <row r="4" ht="46.25" customHeight="1" s="68">
      <c r="A4" s="82" t="inlineStr">
        <is>
          <t>reference_model</t>
        </is>
      </c>
      <c r="B4" s="82" t="inlineStr">
        <is>
          <t>comparison_model</t>
        </is>
      </c>
      <c r="C4" s="82" t="inlineStr">
        <is>
          <t>f1_score</t>
        </is>
      </c>
      <c r="D4" s="82" t="inlineStr">
        <is>
          <t>rouge1</t>
        </is>
      </c>
      <c r="E4" s="82" t="inlineStr">
        <is>
          <t>rouge2</t>
        </is>
      </c>
      <c r="F4" s="82" t="inlineStr">
        <is>
          <t>rougeL</t>
        </is>
      </c>
      <c r="G4" s="82" t="inlineStr">
        <is>
          <t>bleu_score</t>
        </is>
      </c>
      <c r="H4" s="82" t="inlineStr">
        <is>
          <t>tfidf_similarity</t>
        </is>
      </c>
      <c r="I4" s="82" t="inlineStr">
        <is>
          <t>bertscore</t>
        </is>
      </c>
      <c r="J4" s="82" t="inlineStr">
        <is>
          <t>sts_score</t>
        </is>
      </c>
      <c r="K4" s="82" t="inlineStr">
        <is>
          <t>moverscore</t>
        </is>
      </c>
      <c r="L4" s="82" t="inlineStr">
        <is>
          <t>markdown_awareness_similarity</t>
        </is>
      </c>
      <c r="M4" s="82" t="inlineStr">
        <is>
          <t>teds_document_structure_similarity</t>
        </is>
      </c>
      <c r="N4" s="82" t="inlineStr">
        <is>
          <t>teds_table_structure_similarity</t>
        </is>
      </c>
      <c r="O4" s="82" t="inlineStr">
        <is>
          <t>overall_score</t>
        </is>
      </c>
    </row>
    <row r="5" ht="15" customHeight="1" s="68">
      <c r="A5" s="74" t="inlineStr">
        <is>
          <t>chatgpt</t>
        </is>
      </c>
      <c r="B5" s="74" t="inlineStr">
        <is>
          <t>gemma</t>
        </is>
      </c>
      <c r="C5" s="96">
        <f>AVERAGEIFS('01_원자료'!$D$2:$D$976,'01_원자료'!$B$2:$B$976,$A5,'01_원자료'!$C$2:$C$976,$B5)</f>
        <v/>
      </c>
      <c r="D5" s="96">
        <f>AVERAGEIFS('01_원자료'!$E$2:$E$976,'01_원자료'!$B$2:$B$976,$A5,'01_원자료'!$C$2:$C$976,$B5)</f>
        <v/>
      </c>
      <c r="E5" s="96">
        <f>AVERAGEIFS('01_원자료'!$F$2:$F$976,'01_원자료'!$B$2:$B$976,$A5,'01_원자료'!$C$2:$C$976,$B5)</f>
        <v/>
      </c>
      <c r="F5" s="96">
        <f>AVERAGEIFS('01_원자료'!$G$2:$G$976,'01_원자료'!$B$2:$B$976,$A5,'01_원자료'!$C$2:$C$976,$B5)</f>
        <v/>
      </c>
      <c r="G5" s="96">
        <f>AVERAGEIFS('01_원자료'!$H$2:$H$976,'01_원자료'!$B$2:$B$976,$A5,'01_원자료'!$C$2:$C$976,$B5)</f>
        <v/>
      </c>
      <c r="H5" s="96">
        <f>AVERAGEIFS('01_원자료'!$I$2:$I$976,'01_원자료'!$B$2:$B$976,$A5,'01_원자료'!$C$2:$C$976,$B5)</f>
        <v/>
      </c>
      <c r="I5" s="96">
        <f>AVERAGEIFS('01_원자료'!$J$2:$J$976,'01_원자료'!$B$2:$B$976,$A5,'01_원자료'!$C$2:$C$976,$B5)</f>
        <v/>
      </c>
      <c r="J5" s="96">
        <f>AVERAGEIFS('01_원자료'!$K$2:$K$976,'01_원자료'!$B$2:$B$976,$A5,'01_원자료'!$C$2:$C$976,$B5)</f>
        <v/>
      </c>
      <c r="K5" s="96">
        <f>AVERAGEIFS('01_원자료'!$L$2:$L$976,'01_원자료'!$B$2:$B$976,$A5,'01_원자료'!$C$2:$C$976,$B5)</f>
        <v/>
      </c>
      <c r="L5" s="96">
        <f>AVERAGEIFS('01_원자료'!$M$2:$M$976,'01_원자료'!$B$2:$B$976,$A5,'01_원자료'!$C$2:$C$976,$B5)</f>
        <v/>
      </c>
      <c r="M5" s="96">
        <f>AVERAGEIFS('01_원자료'!$N$2:$N$976,'01_원자료'!$B$2:$B$976,$A5,'01_원자료'!$C$2:$C$976,$B5)</f>
        <v/>
      </c>
      <c r="N5" s="96">
        <f>AVERAGEIFS('01_원자료'!$O$2:$O$976,'01_원자료'!$B$2:$B$976,$A5,'01_원자료'!$C$2:$C$976,$B5)</f>
        <v/>
      </c>
      <c r="O5" s="97">
        <f>AVERAGEIFS('01_원자료'!$S$2:$S$976,'01_원자료'!$B$2:$B$976,$A5,'01_원자료'!$C$2:$C$976,$B5)</f>
        <v/>
      </c>
    </row>
    <row r="6" ht="15" customHeight="1" s="68">
      <c r="A6" s="74" t="inlineStr">
        <is>
          <t>chatgpt</t>
        </is>
      </c>
      <c r="B6" s="74" t="inlineStr">
        <is>
          <t>ministral</t>
        </is>
      </c>
      <c r="C6" s="96">
        <f>AVERAGEIFS('01_원자료'!$D$2:$D$976,'01_원자료'!$B$2:$B$976,$A6,'01_원자료'!$C$2:$C$976,$B6)</f>
        <v/>
      </c>
      <c r="D6" s="96">
        <f>AVERAGEIFS('01_원자료'!$E$2:$E$976,'01_원자료'!$B$2:$B$976,$A6,'01_원자료'!$C$2:$C$976,$B6)</f>
        <v/>
      </c>
      <c r="E6" s="96">
        <f>AVERAGEIFS('01_원자료'!$F$2:$F$976,'01_원자료'!$B$2:$B$976,$A6,'01_원자료'!$C$2:$C$976,$B6)</f>
        <v/>
      </c>
      <c r="F6" s="96">
        <f>AVERAGEIFS('01_원자료'!$G$2:$G$976,'01_원자료'!$B$2:$B$976,$A6,'01_원자료'!$C$2:$C$976,$B6)</f>
        <v/>
      </c>
      <c r="G6" s="96">
        <f>AVERAGEIFS('01_원자료'!$H$2:$H$976,'01_원자료'!$B$2:$B$976,$A6,'01_원자료'!$C$2:$C$976,$B6)</f>
        <v/>
      </c>
      <c r="H6" s="96">
        <f>AVERAGEIFS('01_원자료'!$I$2:$I$976,'01_원자료'!$B$2:$B$976,$A6,'01_원자료'!$C$2:$C$976,$B6)</f>
        <v/>
      </c>
      <c r="I6" s="96">
        <f>AVERAGEIFS('01_원자료'!$J$2:$J$976,'01_원자료'!$B$2:$B$976,$A6,'01_원자료'!$C$2:$C$976,$B6)</f>
        <v/>
      </c>
      <c r="J6" s="96">
        <f>AVERAGEIFS('01_원자료'!$K$2:$K$976,'01_원자료'!$B$2:$B$976,$A6,'01_원자료'!$C$2:$C$976,$B6)</f>
        <v/>
      </c>
      <c r="K6" s="96">
        <f>AVERAGEIFS('01_원자료'!$L$2:$L$976,'01_원자료'!$B$2:$B$976,$A6,'01_원자료'!$C$2:$C$976,$B6)</f>
        <v/>
      </c>
      <c r="L6" s="96">
        <f>AVERAGEIFS('01_원자료'!$M$2:$M$976,'01_원자료'!$B$2:$B$976,$A6,'01_원자료'!$C$2:$C$976,$B6)</f>
        <v/>
      </c>
      <c r="M6" s="96">
        <f>AVERAGEIFS('01_원자료'!$N$2:$N$976,'01_원자료'!$B$2:$B$976,$A6,'01_원자료'!$C$2:$C$976,$B6)</f>
        <v/>
      </c>
      <c r="N6" s="96">
        <f>AVERAGEIFS('01_원자료'!$O$2:$O$976,'01_원자료'!$B$2:$B$976,$A6,'01_원자료'!$C$2:$C$976,$B6)</f>
        <v/>
      </c>
      <c r="O6" s="97">
        <f>AVERAGEIFS('01_원자료'!$S$2:$S$976,'01_원자료'!$B$2:$B$976,$A6,'01_원자료'!$C$2:$C$976,$B6)</f>
        <v/>
      </c>
    </row>
    <row r="7" ht="15" customHeight="1" s="68">
      <c r="A7" s="74" t="inlineStr">
        <is>
          <t>chatgpt</t>
        </is>
      </c>
      <c r="B7" s="74" t="inlineStr">
        <is>
          <t>qwen</t>
        </is>
      </c>
      <c r="C7" s="96">
        <f>AVERAGEIFS('01_원자료'!$D$2:$D$976,'01_원자료'!$B$2:$B$976,$A7,'01_원자료'!$C$2:$C$976,$B7)</f>
        <v/>
      </c>
      <c r="D7" s="96">
        <f>AVERAGEIFS('01_원자료'!$E$2:$E$976,'01_원자료'!$B$2:$B$976,$A7,'01_원자료'!$C$2:$C$976,$B7)</f>
        <v/>
      </c>
      <c r="E7" s="96">
        <f>AVERAGEIFS('01_원자료'!$F$2:$F$976,'01_원자료'!$B$2:$B$976,$A7,'01_원자료'!$C$2:$C$976,$B7)</f>
        <v/>
      </c>
      <c r="F7" s="96">
        <f>AVERAGEIFS('01_원자료'!$G$2:$G$976,'01_원자료'!$B$2:$B$976,$A7,'01_원자료'!$C$2:$C$976,$B7)</f>
        <v/>
      </c>
      <c r="G7" s="96">
        <f>AVERAGEIFS('01_원자료'!$H$2:$H$976,'01_원자료'!$B$2:$B$976,$A7,'01_원자료'!$C$2:$C$976,$B7)</f>
        <v/>
      </c>
      <c r="H7" s="96">
        <f>AVERAGEIFS('01_원자료'!$I$2:$I$976,'01_원자료'!$B$2:$B$976,$A7,'01_원자료'!$C$2:$C$976,$B7)</f>
        <v/>
      </c>
      <c r="I7" s="96">
        <f>AVERAGEIFS('01_원자료'!$J$2:$J$976,'01_원자료'!$B$2:$B$976,$A7,'01_원자료'!$C$2:$C$976,$B7)</f>
        <v/>
      </c>
      <c r="J7" s="96">
        <f>AVERAGEIFS('01_원자료'!$K$2:$K$976,'01_원자료'!$B$2:$B$976,$A7,'01_원자료'!$C$2:$C$976,$B7)</f>
        <v/>
      </c>
      <c r="K7" s="96">
        <f>AVERAGEIFS('01_원자료'!$L$2:$L$976,'01_원자료'!$B$2:$B$976,$A7,'01_원자료'!$C$2:$C$976,$B7)</f>
        <v/>
      </c>
      <c r="L7" s="96">
        <f>AVERAGEIFS('01_원자료'!$M$2:$M$976,'01_원자료'!$B$2:$B$976,$A7,'01_원자료'!$C$2:$C$976,$B7)</f>
        <v/>
      </c>
      <c r="M7" s="96">
        <f>AVERAGEIFS('01_원자료'!$N$2:$N$976,'01_원자료'!$B$2:$B$976,$A7,'01_원자료'!$C$2:$C$976,$B7)</f>
        <v/>
      </c>
      <c r="N7" s="96">
        <f>AVERAGEIFS('01_원자료'!$O$2:$O$976,'01_원자료'!$B$2:$B$976,$A7,'01_원자료'!$C$2:$C$976,$B7)</f>
        <v/>
      </c>
      <c r="O7" s="97">
        <f>AVERAGEIFS('01_원자료'!$S$2:$S$976,'01_원자료'!$B$2:$B$976,$A7,'01_원자료'!$C$2:$C$976,$B7)</f>
        <v/>
      </c>
    </row>
    <row r="8" ht="15" customHeight="1" s="68">
      <c r="A8" s="74" t="inlineStr">
        <is>
          <t>claude</t>
        </is>
      </c>
      <c r="B8" s="74" t="inlineStr">
        <is>
          <t>gemma</t>
        </is>
      </c>
      <c r="C8" s="96">
        <f>AVERAGEIFS('01_원자료'!$D$2:$D$976,'01_원자료'!$B$2:$B$976,$A8,'01_원자료'!$C$2:$C$976,$B8)</f>
        <v/>
      </c>
      <c r="D8" s="96">
        <f>AVERAGEIFS('01_원자료'!$E$2:$E$976,'01_원자료'!$B$2:$B$976,$A8,'01_원자료'!$C$2:$C$976,$B8)</f>
        <v/>
      </c>
      <c r="E8" s="96">
        <f>AVERAGEIFS('01_원자료'!$F$2:$F$976,'01_원자료'!$B$2:$B$976,$A8,'01_원자료'!$C$2:$C$976,$B8)</f>
        <v/>
      </c>
      <c r="F8" s="96">
        <f>AVERAGEIFS('01_원자료'!$G$2:$G$976,'01_원자료'!$B$2:$B$976,$A8,'01_원자료'!$C$2:$C$976,$B8)</f>
        <v/>
      </c>
      <c r="G8" s="96">
        <f>AVERAGEIFS('01_원자료'!$H$2:$H$976,'01_원자료'!$B$2:$B$976,$A8,'01_원자료'!$C$2:$C$976,$B8)</f>
        <v/>
      </c>
      <c r="H8" s="96">
        <f>AVERAGEIFS('01_원자료'!$I$2:$I$976,'01_원자료'!$B$2:$B$976,$A8,'01_원자료'!$C$2:$C$976,$B8)</f>
        <v/>
      </c>
      <c r="I8" s="96">
        <f>AVERAGEIFS('01_원자료'!$J$2:$J$976,'01_원자료'!$B$2:$B$976,$A8,'01_원자료'!$C$2:$C$976,$B8)</f>
        <v/>
      </c>
      <c r="J8" s="96">
        <f>AVERAGEIFS('01_원자료'!$K$2:$K$976,'01_원자료'!$B$2:$B$976,$A8,'01_원자료'!$C$2:$C$976,$B8)</f>
        <v/>
      </c>
      <c r="K8" s="96">
        <f>AVERAGEIFS('01_원자료'!$L$2:$L$976,'01_원자료'!$B$2:$B$976,$A8,'01_원자료'!$C$2:$C$976,$B8)</f>
        <v/>
      </c>
      <c r="L8" s="96">
        <f>AVERAGEIFS('01_원자료'!$M$2:$M$976,'01_원자료'!$B$2:$B$976,$A8,'01_원자료'!$C$2:$C$976,$B8)</f>
        <v/>
      </c>
      <c r="M8" s="96">
        <f>AVERAGEIFS('01_원자료'!$N$2:$N$976,'01_원자료'!$B$2:$B$976,$A8,'01_원자료'!$C$2:$C$976,$B8)</f>
        <v/>
      </c>
      <c r="N8" s="96">
        <f>AVERAGEIFS('01_원자료'!$O$2:$O$976,'01_원자료'!$B$2:$B$976,$A8,'01_원자료'!$C$2:$C$976,$B8)</f>
        <v/>
      </c>
      <c r="O8" s="97">
        <f>AVERAGEIFS('01_원자료'!$S$2:$S$976,'01_원자료'!$B$2:$B$976,$A8,'01_원자료'!$C$2:$C$976,$B8)</f>
        <v/>
      </c>
    </row>
    <row r="9" ht="15" customHeight="1" s="68">
      <c r="A9" s="74" t="inlineStr">
        <is>
          <t>claude</t>
        </is>
      </c>
      <c r="B9" s="74" t="inlineStr">
        <is>
          <t>ministral</t>
        </is>
      </c>
      <c r="C9" s="96">
        <f>AVERAGEIFS('01_원자료'!$D$2:$D$976,'01_원자료'!$B$2:$B$976,$A9,'01_원자료'!$C$2:$C$976,$B9)</f>
        <v/>
      </c>
      <c r="D9" s="96">
        <f>AVERAGEIFS('01_원자료'!$E$2:$E$976,'01_원자료'!$B$2:$B$976,$A9,'01_원자료'!$C$2:$C$976,$B9)</f>
        <v/>
      </c>
      <c r="E9" s="96">
        <f>AVERAGEIFS('01_원자료'!$F$2:$F$976,'01_원자료'!$B$2:$B$976,$A9,'01_원자료'!$C$2:$C$976,$B9)</f>
        <v/>
      </c>
      <c r="F9" s="96">
        <f>AVERAGEIFS('01_원자료'!$G$2:$G$976,'01_원자료'!$B$2:$B$976,$A9,'01_원자료'!$C$2:$C$976,$B9)</f>
        <v/>
      </c>
      <c r="G9" s="96">
        <f>AVERAGEIFS('01_원자료'!$H$2:$H$976,'01_원자료'!$B$2:$B$976,$A9,'01_원자료'!$C$2:$C$976,$B9)</f>
        <v/>
      </c>
      <c r="H9" s="96">
        <f>AVERAGEIFS('01_원자료'!$I$2:$I$976,'01_원자료'!$B$2:$B$976,$A9,'01_원자료'!$C$2:$C$976,$B9)</f>
        <v/>
      </c>
      <c r="I9" s="96">
        <f>AVERAGEIFS('01_원자료'!$J$2:$J$976,'01_원자료'!$B$2:$B$976,$A9,'01_원자료'!$C$2:$C$976,$B9)</f>
        <v/>
      </c>
      <c r="J9" s="96">
        <f>AVERAGEIFS('01_원자료'!$K$2:$K$976,'01_원자료'!$B$2:$B$976,$A9,'01_원자료'!$C$2:$C$976,$B9)</f>
        <v/>
      </c>
      <c r="K9" s="96">
        <f>AVERAGEIFS('01_원자료'!$L$2:$L$976,'01_원자료'!$B$2:$B$976,$A9,'01_원자료'!$C$2:$C$976,$B9)</f>
        <v/>
      </c>
      <c r="L9" s="96">
        <f>AVERAGEIFS('01_원자료'!$M$2:$M$976,'01_원자료'!$B$2:$B$976,$A9,'01_원자료'!$C$2:$C$976,$B9)</f>
        <v/>
      </c>
      <c r="M9" s="96">
        <f>AVERAGEIFS('01_원자료'!$N$2:$N$976,'01_원자료'!$B$2:$B$976,$A9,'01_원자료'!$C$2:$C$976,$B9)</f>
        <v/>
      </c>
      <c r="N9" s="96">
        <f>AVERAGEIFS('01_원자료'!$O$2:$O$976,'01_원자료'!$B$2:$B$976,$A9,'01_원자료'!$C$2:$C$976,$B9)</f>
        <v/>
      </c>
      <c r="O9" s="97">
        <f>AVERAGEIFS('01_원자료'!$S$2:$S$976,'01_원자료'!$B$2:$B$976,$A9,'01_원자료'!$C$2:$C$976,$B9)</f>
        <v/>
      </c>
    </row>
    <row r="10" ht="15" customHeight="1" s="68">
      <c r="A10" s="74" t="inlineStr">
        <is>
          <t>claude</t>
        </is>
      </c>
      <c r="B10" s="74" t="inlineStr">
        <is>
          <t>qwen</t>
        </is>
      </c>
      <c r="C10" s="96">
        <f>AVERAGEIFS('01_원자료'!$D$2:$D$976,'01_원자료'!$B$2:$B$976,$A10,'01_원자료'!$C$2:$C$976,$B10)</f>
        <v/>
      </c>
      <c r="D10" s="96">
        <f>AVERAGEIFS('01_원자료'!$E$2:$E$976,'01_원자료'!$B$2:$B$976,$A10,'01_원자료'!$C$2:$C$976,$B10)</f>
        <v/>
      </c>
      <c r="E10" s="96">
        <f>AVERAGEIFS('01_원자료'!$F$2:$F$976,'01_원자료'!$B$2:$B$976,$A10,'01_원자료'!$C$2:$C$976,$B10)</f>
        <v/>
      </c>
      <c r="F10" s="96">
        <f>AVERAGEIFS('01_원자료'!$G$2:$G$976,'01_원자료'!$B$2:$B$976,$A10,'01_원자료'!$C$2:$C$976,$B10)</f>
        <v/>
      </c>
      <c r="G10" s="96">
        <f>AVERAGEIFS('01_원자료'!$H$2:$H$976,'01_원자료'!$B$2:$B$976,$A10,'01_원자료'!$C$2:$C$976,$B10)</f>
        <v/>
      </c>
      <c r="H10" s="96">
        <f>AVERAGEIFS('01_원자료'!$I$2:$I$976,'01_원자료'!$B$2:$B$976,$A10,'01_원자료'!$C$2:$C$976,$B10)</f>
        <v/>
      </c>
      <c r="I10" s="96">
        <f>AVERAGEIFS('01_원자료'!$J$2:$J$976,'01_원자료'!$B$2:$B$976,$A10,'01_원자료'!$C$2:$C$976,$B10)</f>
        <v/>
      </c>
      <c r="J10" s="96">
        <f>AVERAGEIFS('01_원자료'!$K$2:$K$976,'01_원자료'!$B$2:$B$976,$A10,'01_원자료'!$C$2:$C$976,$B10)</f>
        <v/>
      </c>
      <c r="K10" s="96">
        <f>AVERAGEIFS('01_원자료'!$L$2:$L$976,'01_원자료'!$B$2:$B$976,$A10,'01_원자료'!$C$2:$C$976,$B10)</f>
        <v/>
      </c>
      <c r="L10" s="96">
        <f>AVERAGEIFS('01_원자료'!$M$2:$M$976,'01_원자료'!$B$2:$B$976,$A10,'01_원자료'!$C$2:$C$976,$B10)</f>
        <v/>
      </c>
      <c r="M10" s="96">
        <f>AVERAGEIFS('01_원자료'!$N$2:$N$976,'01_원자료'!$B$2:$B$976,$A10,'01_원자료'!$C$2:$C$976,$B10)</f>
        <v/>
      </c>
      <c r="N10" s="96">
        <f>AVERAGEIFS('01_원자료'!$O$2:$O$976,'01_원자료'!$B$2:$B$976,$A10,'01_원자료'!$C$2:$C$976,$B10)</f>
        <v/>
      </c>
      <c r="O10" s="97">
        <f>AVERAGEIFS('01_원자료'!$S$2:$S$976,'01_원자료'!$B$2:$B$976,$A10,'01_원자료'!$C$2:$C$976,$B10)</f>
        <v/>
      </c>
    </row>
    <row r="11" ht="15" customHeight="1" s="68">
      <c r="A11" s="74" t="inlineStr">
        <is>
          <t>gemini</t>
        </is>
      </c>
      <c r="B11" s="74" t="inlineStr">
        <is>
          <t>gemma</t>
        </is>
      </c>
      <c r="C11" s="96">
        <f>AVERAGEIFS('01_원자료'!$D$2:$D$976,'01_원자료'!$B$2:$B$976,$A11,'01_원자료'!$C$2:$C$976,$B11)</f>
        <v/>
      </c>
      <c r="D11" s="96">
        <f>AVERAGEIFS('01_원자료'!$E$2:$E$976,'01_원자료'!$B$2:$B$976,$A11,'01_원자료'!$C$2:$C$976,$B11)</f>
        <v/>
      </c>
      <c r="E11" s="96">
        <f>AVERAGEIFS('01_원자료'!$F$2:$F$976,'01_원자료'!$B$2:$B$976,$A11,'01_원자료'!$C$2:$C$976,$B11)</f>
        <v/>
      </c>
      <c r="F11" s="96">
        <f>AVERAGEIFS('01_원자료'!$G$2:$G$976,'01_원자료'!$B$2:$B$976,$A11,'01_원자료'!$C$2:$C$976,$B11)</f>
        <v/>
      </c>
      <c r="G11" s="96">
        <f>AVERAGEIFS('01_원자료'!$H$2:$H$976,'01_원자료'!$B$2:$B$976,$A11,'01_원자료'!$C$2:$C$976,$B11)</f>
        <v/>
      </c>
      <c r="H11" s="96">
        <f>AVERAGEIFS('01_원자료'!$I$2:$I$976,'01_원자료'!$B$2:$B$976,$A11,'01_원자료'!$C$2:$C$976,$B11)</f>
        <v/>
      </c>
      <c r="I11" s="96">
        <f>AVERAGEIFS('01_원자료'!$J$2:$J$976,'01_원자료'!$B$2:$B$976,$A11,'01_원자료'!$C$2:$C$976,$B11)</f>
        <v/>
      </c>
      <c r="J11" s="96">
        <f>AVERAGEIFS('01_원자료'!$K$2:$K$976,'01_원자료'!$B$2:$B$976,$A11,'01_원자료'!$C$2:$C$976,$B11)</f>
        <v/>
      </c>
      <c r="K11" s="96">
        <f>AVERAGEIFS('01_원자료'!$L$2:$L$976,'01_원자료'!$B$2:$B$976,$A11,'01_원자료'!$C$2:$C$976,$B11)</f>
        <v/>
      </c>
      <c r="L11" s="96">
        <f>AVERAGEIFS('01_원자료'!$M$2:$M$976,'01_원자료'!$B$2:$B$976,$A11,'01_원자료'!$C$2:$C$976,$B11)</f>
        <v/>
      </c>
      <c r="M11" s="96">
        <f>AVERAGEIFS('01_원자료'!$N$2:$N$976,'01_원자료'!$B$2:$B$976,$A11,'01_원자료'!$C$2:$C$976,$B11)</f>
        <v/>
      </c>
      <c r="N11" s="96">
        <f>AVERAGEIFS('01_원자료'!$O$2:$O$976,'01_원자료'!$B$2:$B$976,$A11,'01_원자료'!$C$2:$C$976,$B11)</f>
        <v/>
      </c>
      <c r="O11" s="97">
        <f>AVERAGEIFS('01_원자료'!$S$2:$S$976,'01_원자료'!$B$2:$B$976,$A11,'01_원자료'!$C$2:$C$976,$B11)</f>
        <v/>
      </c>
    </row>
    <row r="12" ht="15" customHeight="1" s="68">
      <c r="A12" s="74" t="inlineStr">
        <is>
          <t>gemini</t>
        </is>
      </c>
      <c r="B12" s="74" t="inlineStr">
        <is>
          <t>ministral</t>
        </is>
      </c>
      <c r="C12" s="96">
        <f>AVERAGEIFS('01_원자료'!$D$2:$D$976,'01_원자료'!$B$2:$B$976,$A12,'01_원자료'!$C$2:$C$976,$B12)</f>
        <v/>
      </c>
      <c r="D12" s="96">
        <f>AVERAGEIFS('01_원자료'!$E$2:$E$976,'01_원자료'!$B$2:$B$976,$A12,'01_원자료'!$C$2:$C$976,$B12)</f>
        <v/>
      </c>
      <c r="E12" s="96">
        <f>AVERAGEIFS('01_원자료'!$F$2:$F$976,'01_원자료'!$B$2:$B$976,$A12,'01_원자료'!$C$2:$C$976,$B12)</f>
        <v/>
      </c>
      <c r="F12" s="96">
        <f>AVERAGEIFS('01_원자료'!$G$2:$G$976,'01_원자료'!$B$2:$B$976,$A12,'01_원자료'!$C$2:$C$976,$B12)</f>
        <v/>
      </c>
      <c r="G12" s="96">
        <f>AVERAGEIFS('01_원자료'!$H$2:$H$976,'01_원자료'!$B$2:$B$976,$A12,'01_원자료'!$C$2:$C$976,$B12)</f>
        <v/>
      </c>
      <c r="H12" s="96">
        <f>AVERAGEIFS('01_원자료'!$I$2:$I$976,'01_원자료'!$B$2:$B$976,$A12,'01_원자료'!$C$2:$C$976,$B12)</f>
        <v/>
      </c>
      <c r="I12" s="96">
        <f>AVERAGEIFS('01_원자료'!$J$2:$J$976,'01_원자료'!$B$2:$B$976,$A12,'01_원자료'!$C$2:$C$976,$B12)</f>
        <v/>
      </c>
      <c r="J12" s="96">
        <f>AVERAGEIFS('01_원자료'!$K$2:$K$976,'01_원자료'!$B$2:$B$976,$A12,'01_원자료'!$C$2:$C$976,$B12)</f>
        <v/>
      </c>
      <c r="K12" s="96">
        <f>AVERAGEIFS('01_원자료'!$L$2:$L$976,'01_원자료'!$B$2:$B$976,$A12,'01_원자료'!$C$2:$C$976,$B12)</f>
        <v/>
      </c>
      <c r="L12" s="96">
        <f>AVERAGEIFS('01_원자료'!$M$2:$M$976,'01_원자료'!$B$2:$B$976,$A12,'01_원자료'!$C$2:$C$976,$B12)</f>
        <v/>
      </c>
      <c r="M12" s="96">
        <f>AVERAGEIFS('01_원자료'!$N$2:$N$976,'01_원자료'!$B$2:$B$976,$A12,'01_원자료'!$C$2:$C$976,$B12)</f>
        <v/>
      </c>
      <c r="N12" s="96">
        <f>AVERAGEIFS('01_원자료'!$O$2:$O$976,'01_원자료'!$B$2:$B$976,$A12,'01_원자료'!$C$2:$C$976,$B12)</f>
        <v/>
      </c>
      <c r="O12" s="97">
        <f>AVERAGEIFS('01_원자료'!$S$2:$S$976,'01_원자료'!$B$2:$B$976,$A12,'01_원자료'!$C$2:$C$976,$B12)</f>
        <v/>
      </c>
    </row>
    <row r="13" ht="15" customHeight="1" s="68">
      <c r="A13" s="74" t="inlineStr">
        <is>
          <t>gemini</t>
        </is>
      </c>
      <c r="B13" s="74" t="inlineStr">
        <is>
          <t>qwen</t>
        </is>
      </c>
      <c r="C13" s="96">
        <f>AVERAGEIFS('01_원자료'!$D$2:$D$976,'01_원자료'!$B$2:$B$976,$A13,'01_원자료'!$C$2:$C$976,$B13)</f>
        <v/>
      </c>
      <c r="D13" s="96">
        <f>AVERAGEIFS('01_원자료'!$E$2:$E$976,'01_원자료'!$B$2:$B$976,$A13,'01_원자료'!$C$2:$C$976,$B13)</f>
        <v/>
      </c>
      <c r="E13" s="96">
        <f>AVERAGEIFS('01_원자료'!$F$2:$F$976,'01_원자료'!$B$2:$B$976,$A13,'01_원자료'!$C$2:$C$976,$B13)</f>
        <v/>
      </c>
      <c r="F13" s="96">
        <f>AVERAGEIFS('01_원자료'!$G$2:$G$976,'01_원자료'!$B$2:$B$976,$A13,'01_원자료'!$C$2:$C$976,$B13)</f>
        <v/>
      </c>
      <c r="G13" s="96">
        <f>AVERAGEIFS('01_원자료'!$H$2:$H$976,'01_원자료'!$B$2:$B$976,$A13,'01_원자료'!$C$2:$C$976,$B13)</f>
        <v/>
      </c>
      <c r="H13" s="96">
        <f>AVERAGEIFS('01_원자료'!$I$2:$I$976,'01_원자료'!$B$2:$B$976,$A13,'01_원자료'!$C$2:$C$976,$B13)</f>
        <v/>
      </c>
      <c r="I13" s="96">
        <f>AVERAGEIFS('01_원자료'!$J$2:$J$976,'01_원자료'!$B$2:$B$976,$A13,'01_원자료'!$C$2:$C$976,$B13)</f>
        <v/>
      </c>
      <c r="J13" s="96">
        <f>AVERAGEIFS('01_원자료'!$K$2:$K$976,'01_원자료'!$B$2:$B$976,$A13,'01_원자료'!$C$2:$C$976,$B13)</f>
        <v/>
      </c>
      <c r="K13" s="96">
        <f>AVERAGEIFS('01_원자료'!$L$2:$L$976,'01_원자료'!$B$2:$B$976,$A13,'01_원자료'!$C$2:$C$976,$B13)</f>
        <v/>
      </c>
      <c r="L13" s="96">
        <f>AVERAGEIFS('01_원자료'!$M$2:$M$976,'01_원자료'!$B$2:$B$976,$A13,'01_원자료'!$C$2:$C$976,$B13)</f>
        <v/>
      </c>
      <c r="M13" s="96">
        <f>AVERAGEIFS('01_원자료'!$N$2:$N$976,'01_원자료'!$B$2:$B$976,$A13,'01_원자료'!$C$2:$C$976,$B13)</f>
        <v/>
      </c>
      <c r="N13" s="96">
        <f>AVERAGEIFS('01_원자료'!$O$2:$O$976,'01_원자료'!$B$2:$B$976,$A13,'01_원자료'!$C$2:$C$976,$B13)</f>
        <v/>
      </c>
      <c r="O13" s="97">
        <f>AVERAGEIFS('01_원자료'!$S$2:$S$976,'01_원자료'!$B$2:$B$976,$A13,'01_원자료'!$C$2:$C$976,$B13)</f>
        <v/>
      </c>
    </row>
    <row r="14" ht="15" customHeight="1" s="68">
      <c r="A14" s="74" t="inlineStr">
        <is>
          <t>mistral</t>
        </is>
      </c>
      <c r="B14" s="74" t="inlineStr">
        <is>
          <t>gemma</t>
        </is>
      </c>
      <c r="C14" s="96">
        <f>AVERAGEIFS('01_원자료'!$D$2:$D$976,'01_원자료'!$B$2:$B$976,$A14,'01_원자료'!$C$2:$C$976,$B14)</f>
        <v/>
      </c>
      <c r="D14" s="96">
        <f>AVERAGEIFS('01_원자료'!$E$2:$E$976,'01_원자료'!$B$2:$B$976,$A14,'01_원자료'!$C$2:$C$976,$B14)</f>
        <v/>
      </c>
      <c r="E14" s="96">
        <f>AVERAGEIFS('01_원자료'!$F$2:$F$976,'01_원자료'!$B$2:$B$976,$A14,'01_원자료'!$C$2:$C$976,$B14)</f>
        <v/>
      </c>
      <c r="F14" s="96">
        <f>AVERAGEIFS('01_원자료'!$G$2:$G$976,'01_원자료'!$B$2:$B$976,$A14,'01_원자료'!$C$2:$C$976,$B14)</f>
        <v/>
      </c>
      <c r="G14" s="96">
        <f>AVERAGEIFS('01_원자료'!$H$2:$H$976,'01_원자료'!$B$2:$B$976,$A14,'01_원자료'!$C$2:$C$976,$B14)</f>
        <v/>
      </c>
      <c r="H14" s="96">
        <f>AVERAGEIFS('01_원자료'!$I$2:$I$976,'01_원자료'!$B$2:$B$976,$A14,'01_원자료'!$C$2:$C$976,$B14)</f>
        <v/>
      </c>
      <c r="I14" s="96">
        <f>AVERAGEIFS('01_원자료'!$J$2:$J$976,'01_원자료'!$B$2:$B$976,$A14,'01_원자료'!$C$2:$C$976,$B14)</f>
        <v/>
      </c>
      <c r="J14" s="96">
        <f>AVERAGEIFS('01_원자료'!$K$2:$K$976,'01_원자료'!$B$2:$B$976,$A14,'01_원자료'!$C$2:$C$976,$B14)</f>
        <v/>
      </c>
      <c r="K14" s="96">
        <f>AVERAGEIFS('01_원자료'!$L$2:$L$976,'01_원자료'!$B$2:$B$976,$A14,'01_원자료'!$C$2:$C$976,$B14)</f>
        <v/>
      </c>
      <c r="L14" s="96">
        <f>AVERAGEIFS('01_원자료'!$M$2:$M$976,'01_원자료'!$B$2:$B$976,$A14,'01_원자료'!$C$2:$C$976,$B14)</f>
        <v/>
      </c>
      <c r="M14" s="96">
        <f>AVERAGEIFS('01_원자료'!$N$2:$N$976,'01_원자료'!$B$2:$B$976,$A14,'01_원자료'!$C$2:$C$976,$B14)</f>
        <v/>
      </c>
      <c r="N14" s="96">
        <f>AVERAGEIFS('01_원자료'!$O$2:$O$976,'01_원자료'!$B$2:$B$976,$A14,'01_원자료'!$C$2:$C$976,$B14)</f>
        <v/>
      </c>
      <c r="O14" s="97">
        <f>AVERAGEIFS('01_원자료'!$S$2:$S$976,'01_원자료'!$B$2:$B$976,$A14,'01_원자료'!$C$2:$C$976,$B14)</f>
        <v/>
      </c>
    </row>
    <row r="15" ht="15" customHeight="1" s="68">
      <c r="A15" s="74" t="inlineStr">
        <is>
          <t>mistral</t>
        </is>
      </c>
      <c r="B15" s="74" t="inlineStr">
        <is>
          <t>ministral</t>
        </is>
      </c>
      <c r="C15" s="96">
        <f>AVERAGEIFS('01_원자료'!$D$2:$D$976,'01_원자료'!$B$2:$B$976,$A15,'01_원자료'!$C$2:$C$976,$B15)</f>
        <v/>
      </c>
      <c r="D15" s="96">
        <f>AVERAGEIFS('01_원자료'!$E$2:$E$976,'01_원자료'!$B$2:$B$976,$A15,'01_원자료'!$C$2:$C$976,$B15)</f>
        <v/>
      </c>
      <c r="E15" s="96">
        <f>AVERAGEIFS('01_원자료'!$F$2:$F$976,'01_원자료'!$B$2:$B$976,$A15,'01_원자료'!$C$2:$C$976,$B15)</f>
        <v/>
      </c>
      <c r="F15" s="96">
        <f>AVERAGEIFS('01_원자료'!$G$2:$G$976,'01_원자료'!$B$2:$B$976,$A15,'01_원자료'!$C$2:$C$976,$B15)</f>
        <v/>
      </c>
      <c r="G15" s="96">
        <f>AVERAGEIFS('01_원자료'!$H$2:$H$976,'01_원자료'!$B$2:$B$976,$A15,'01_원자료'!$C$2:$C$976,$B15)</f>
        <v/>
      </c>
      <c r="H15" s="96">
        <f>AVERAGEIFS('01_원자료'!$I$2:$I$976,'01_원자료'!$B$2:$B$976,$A15,'01_원자료'!$C$2:$C$976,$B15)</f>
        <v/>
      </c>
      <c r="I15" s="96">
        <f>AVERAGEIFS('01_원자료'!$J$2:$J$976,'01_원자료'!$B$2:$B$976,$A15,'01_원자료'!$C$2:$C$976,$B15)</f>
        <v/>
      </c>
      <c r="J15" s="96">
        <f>AVERAGEIFS('01_원자료'!$K$2:$K$976,'01_원자료'!$B$2:$B$976,$A15,'01_원자료'!$C$2:$C$976,$B15)</f>
        <v/>
      </c>
      <c r="K15" s="96">
        <f>AVERAGEIFS('01_원자료'!$L$2:$L$976,'01_원자료'!$B$2:$B$976,$A15,'01_원자료'!$C$2:$C$976,$B15)</f>
        <v/>
      </c>
      <c r="L15" s="96">
        <f>AVERAGEIFS('01_원자료'!$M$2:$M$976,'01_원자료'!$B$2:$B$976,$A15,'01_원자료'!$C$2:$C$976,$B15)</f>
        <v/>
      </c>
      <c r="M15" s="96">
        <f>AVERAGEIFS('01_원자료'!$N$2:$N$976,'01_원자료'!$B$2:$B$976,$A15,'01_원자료'!$C$2:$C$976,$B15)</f>
        <v/>
      </c>
      <c r="N15" s="96">
        <f>AVERAGEIFS('01_원자료'!$O$2:$O$976,'01_원자료'!$B$2:$B$976,$A15,'01_원자료'!$C$2:$C$976,$B15)</f>
        <v/>
      </c>
      <c r="O15" s="97">
        <f>AVERAGEIFS('01_원자료'!$S$2:$S$976,'01_원자료'!$B$2:$B$976,$A15,'01_원자료'!$C$2:$C$976,$B15)</f>
        <v/>
      </c>
    </row>
    <row r="16" ht="15" customHeight="1" s="68">
      <c r="A16" s="74" t="inlineStr">
        <is>
          <t>mistral</t>
        </is>
      </c>
      <c r="B16" s="74" t="inlineStr">
        <is>
          <t>qwen</t>
        </is>
      </c>
      <c r="C16" s="96">
        <f>AVERAGEIFS('01_원자료'!$D$2:$D$976,'01_원자료'!$B$2:$B$976,$A16,'01_원자료'!$C$2:$C$976,$B16)</f>
        <v/>
      </c>
      <c r="D16" s="96">
        <f>AVERAGEIFS('01_원자료'!$E$2:$E$976,'01_원자료'!$B$2:$B$976,$A16,'01_원자료'!$C$2:$C$976,$B16)</f>
        <v/>
      </c>
      <c r="E16" s="96">
        <f>AVERAGEIFS('01_원자료'!$F$2:$F$976,'01_원자료'!$B$2:$B$976,$A16,'01_원자료'!$C$2:$C$976,$B16)</f>
        <v/>
      </c>
      <c r="F16" s="96">
        <f>AVERAGEIFS('01_원자료'!$G$2:$G$976,'01_원자료'!$B$2:$B$976,$A16,'01_원자료'!$C$2:$C$976,$B16)</f>
        <v/>
      </c>
      <c r="G16" s="96">
        <f>AVERAGEIFS('01_원자료'!$H$2:$H$976,'01_원자료'!$B$2:$B$976,$A16,'01_원자료'!$C$2:$C$976,$B16)</f>
        <v/>
      </c>
      <c r="H16" s="96">
        <f>AVERAGEIFS('01_원자료'!$I$2:$I$976,'01_원자료'!$B$2:$B$976,$A16,'01_원자료'!$C$2:$C$976,$B16)</f>
        <v/>
      </c>
      <c r="I16" s="96">
        <f>AVERAGEIFS('01_원자료'!$J$2:$J$976,'01_원자료'!$B$2:$B$976,$A16,'01_원자료'!$C$2:$C$976,$B16)</f>
        <v/>
      </c>
      <c r="J16" s="96">
        <f>AVERAGEIFS('01_원자료'!$K$2:$K$976,'01_원자료'!$B$2:$B$976,$A16,'01_원자료'!$C$2:$C$976,$B16)</f>
        <v/>
      </c>
      <c r="K16" s="96">
        <f>AVERAGEIFS('01_원자료'!$L$2:$L$976,'01_원자료'!$B$2:$B$976,$A16,'01_원자료'!$C$2:$C$976,$B16)</f>
        <v/>
      </c>
      <c r="L16" s="96">
        <f>AVERAGEIFS('01_원자료'!$M$2:$M$976,'01_원자료'!$B$2:$B$976,$A16,'01_원자료'!$C$2:$C$976,$B16)</f>
        <v/>
      </c>
      <c r="M16" s="96">
        <f>AVERAGEIFS('01_원자료'!$N$2:$N$976,'01_원자료'!$B$2:$B$976,$A16,'01_원자료'!$C$2:$C$976,$B16)</f>
        <v/>
      </c>
      <c r="N16" s="96">
        <f>AVERAGEIFS('01_원자료'!$O$2:$O$976,'01_원자료'!$B$2:$B$976,$A16,'01_원자료'!$C$2:$C$976,$B16)</f>
        <v/>
      </c>
      <c r="O16" s="97">
        <f>AVERAGEIFS('01_원자료'!$S$2:$S$976,'01_원자료'!$B$2:$B$976,$A16,'01_원자료'!$C$2:$C$976,$B16)</f>
        <v/>
      </c>
    </row>
    <row r="17" ht="15" customHeight="1" s="68">
      <c r="A17" s="74" t="inlineStr">
        <is>
          <t>qwen3_6</t>
        </is>
      </c>
      <c r="B17" s="74" t="inlineStr">
        <is>
          <t>gemma</t>
        </is>
      </c>
      <c r="C17" s="96">
        <f>AVERAGEIFS('01_원자료'!$D$2:$D$976,'01_원자료'!$B$2:$B$976,$A17,'01_원자료'!$C$2:$C$976,$B17)</f>
        <v/>
      </c>
      <c r="D17" s="96">
        <f>AVERAGEIFS('01_원자료'!$E$2:$E$976,'01_원자료'!$B$2:$B$976,$A17,'01_원자료'!$C$2:$C$976,$B17)</f>
        <v/>
      </c>
      <c r="E17" s="96">
        <f>AVERAGEIFS('01_원자료'!$F$2:$F$976,'01_원자료'!$B$2:$B$976,$A17,'01_원자료'!$C$2:$C$976,$B17)</f>
        <v/>
      </c>
      <c r="F17" s="96">
        <f>AVERAGEIFS('01_원자료'!$G$2:$G$976,'01_원자료'!$B$2:$B$976,$A17,'01_원자료'!$C$2:$C$976,$B17)</f>
        <v/>
      </c>
      <c r="G17" s="96">
        <f>AVERAGEIFS('01_원자료'!$H$2:$H$976,'01_원자료'!$B$2:$B$976,$A17,'01_원자료'!$C$2:$C$976,$B17)</f>
        <v/>
      </c>
      <c r="H17" s="96">
        <f>AVERAGEIFS('01_원자료'!$I$2:$I$976,'01_원자료'!$B$2:$B$976,$A17,'01_원자료'!$C$2:$C$976,$B17)</f>
        <v/>
      </c>
      <c r="I17" s="96">
        <f>AVERAGEIFS('01_원자료'!$J$2:$J$976,'01_원자료'!$B$2:$B$976,$A17,'01_원자료'!$C$2:$C$976,$B17)</f>
        <v/>
      </c>
      <c r="J17" s="96">
        <f>AVERAGEIFS('01_원자료'!$K$2:$K$976,'01_원자료'!$B$2:$B$976,$A17,'01_원자료'!$C$2:$C$976,$B17)</f>
        <v/>
      </c>
      <c r="K17" s="96">
        <f>AVERAGEIFS('01_원자료'!$L$2:$L$976,'01_원자료'!$B$2:$B$976,$A17,'01_원자료'!$C$2:$C$976,$B17)</f>
        <v/>
      </c>
      <c r="L17" s="96">
        <f>AVERAGEIFS('01_원자료'!$M$2:$M$976,'01_원자료'!$B$2:$B$976,$A17,'01_원자료'!$C$2:$C$976,$B17)</f>
        <v/>
      </c>
      <c r="M17" s="96">
        <f>AVERAGEIFS('01_원자료'!$N$2:$N$976,'01_원자료'!$B$2:$B$976,$A17,'01_원자료'!$C$2:$C$976,$B17)</f>
        <v/>
      </c>
      <c r="N17" s="96">
        <f>AVERAGEIFS('01_원자료'!$O$2:$O$976,'01_원자료'!$B$2:$B$976,$A17,'01_원자료'!$C$2:$C$976,$B17)</f>
        <v/>
      </c>
      <c r="O17" s="97">
        <f>AVERAGEIFS('01_원자료'!$S$2:$S$976,'01_원자료'!$B$2:$B$976,$A17,'01_원자료'!$C$2:$C$976,$B17)</f>
        <v/>
      </c>
    </row>
    <row r="18" ht="15" customHeight="1" s="68">
      <c r="A18" s="74" t="inlineStr">
        <is>
          <t>qwen3_6</t>
        </is>
      </c>
      <c r="B18" s="74" t="inlineStr">
        <is>
          <t>ministral</t>
        </is>
      </c>
      <c r="C18" s="96">
        <f>AVERAGEIFS('01_원자료'!$D$2:$D$976,'01_원자료'!$B$2:$B$976,$A18,'01_원자료'!$C$2:$C$976,$B18)</f>
        <v/>
      </c>
      <c r="D18" s="96">
        <f>AVERAGEIFS('01_원자료'!$E$2:$E$976,'01_원자료'!$B$2:$B$976,$A18,'01_원자료'!$C$2:$C$976,$B18)</f>
        <v/>
      </c>
      <c r="E18" s="96">
        <f>AVERAGEIFS('01_원자료'!$F$2:$F$976,'01_원자료'!$B$2:$B$976,$A18,'01_원자료'!$C$2:$C$976,$B18)</f>
        <v/>
      </c>
      <c r="F18" s="96">
        <f>AVERAGEIFS('01_원자료'!$G$2:$G$976,'01_원자료'!$B$2:$B$976,$A18,'01_원자료'!$C$2:$C$976,$B18)</f>
        <v/>
      </c>
      <c r="G18" s="96">
        <f>AVERAGEIFS('01_원자료'!$H$2:$H$976,'01_원자료'!$B$2:$B$976,$A18,'01_원자료'!$C$2:$C$976,$B18)</f>
        <v/>
      </c>
      <c r="H18" s="96">
        <f>AVERAGEIFS('01_원자료'!$I$2:$I$976,'01_원자료'!$B$2:$B$976,$A18,'01_원자료'!$C$2:$C$976,$B18)</f>
        <v/>
      </c>
      <c r="I18" s="96">
        <f>AVERAGEIFS('01_원자료'!$J$2:$J$976,'01_원자료'!$B$2:$B$976,$A18,'01_원자료'!$C$2:$C$976,$B18)</f>
        <v/>
      </c>
      <c r="J18" s="96">
        <f>AVERAGEIFS('01_원자료'!$K$2:$K$976,'01_원자료'!$B$2:$B$976,$A18,'01_원자료'!$C$2:$C$976,$B18)</f>
        <v/>
      </c>
      <c r="K18" s="96">
        <f>AVERAGEIFS('01_원자료'!$L$2:$L$976,'01_원자료'!$B$2:$B$976,$A18,'01_원자료'!$C$2:$C$976,$B18)</f>
        <v/>
      </c>
      <c r="L18" s="96">
        <f>AVERAGEIFS('01_원자료'!$M$2:$M$976,'01_원자료'!$B$2:$B$976,$A18,'01_원자료'!$C$2:$C$976,$B18)</f>
        <v/>
      </c>
      <c r="M18" s="96">
        <f>AVERAGEIFS('01_원자료'!$N$2:$N$976,'01_원자료'!$B$2:$B$976,$A18,'01_원자료'!$C$2:$C$976,$B18)</f>
        <v/>
      </c>
      <c r="N18" s="96">
        <f>AVERAGEIFS('01_원자료'!$O$2:$O$976,'01_원자료'!$B$2:$B$976,$A18,'01_원자료'!$C$2:$C$976,$B18)</f>
        <v/>
      </c>
      <c r="O18" s="97">
        <f>AVERAGEIFS('01_원자료'!$S$2:$S$976,'01_원자료'!$B$2:$B$976,$A18,'01_원자료'!$C$2:$C$976,$B18)</f>
        <v/>
      </c>
    </row>
    <row r="19" ht="15" customHeight="1" s="68">
      <c r="A19" s="74" t="inlineStr">
        <is>
          <t>qwen3_6</t>
        </is>
      </c>
      <c r="B19" s="74" t="inlineStr">
        <is>
          <t>qwen</t>
        </is>
      </c>
      <c r="C19" s="96">
        <f>AVERAGEIFS('01_원자료'!$D$2:$D$976,'01_원자료'!$B$2:$B$976,$A19,'01_원자료'!$C$2:$C$976,$B19)</f>
        <v/>
      </c>
      <c r="D19" s="96">
        <f>AVERAGEIFS('01_원자료'!$E$2:$E$976,'01_원자료'!$B$2:$B$976,$A19,'01_원자료'!$C$2:$C$976,$B19)</f>
        <v/>
      </c>
      <c r="E19" s="96">
        <f>AVERAGEIFS('01_원자료'!$F$2:$F$976,'01_원자료'!$B$2:$B$976,$A19,'01_원자료'!$C$2:$C$976,$B19)</f>
        <v/>
      </c>
      <c r="F19" s="96">
        <f>AVERAGEIFS('01_원자료'!$G$2:$G$976,'01_원자료'!$B$2:$B$976,$A19,'01_원자료'!$C$2:$C$976,$B19)</f>
        <v/>
      </c>
      <c r="G19" s="96">
        <f>AVERAGEIFS('01_원자료'!$H$2:$H$976,'01_원자료'!$B$2:$B$976,$A19,'01_원자료'!$C$2:$C$976,$B19)</f>
        <v/>
      </c>
      <c r="H19" s="96">
        <f>AVERAGEIFS('01_원자료'!$I$2:$I$976,'01_원자료'!$B$2:$B$976,$A19,'01_원자료'!$C$2:$C$976,$B19)</f>
        <v/>
      </c>
      <c r="I19" s="96">
        <f>AVERAGEIFS('01_원자료'!$J$2:$J$976,'01_원자료'!$B$2:$B$976,$A19,'01_원자료'!$C$2:$C$976,$B19)</f>
        <v/>
      </c>
      <c r="J19" s="96">
        <f>AVERAGEIFS('01_원자료'!$K$2:$K$976,'01_원자료'!$B$2:$B$976,$A19,'01_원자료'!$C$2:$C$976,$B19)</f>
        <v/>
      </c>
      <c r="K19" s="96">
        <f>AVERAGEIFS('01_원자료'!$L$2:$L$976,'01_원자료'!$B$2:$B$976,$A19,'01_원자료'!$C$2:$C$976,$B19)</f>
        <v/>
      </c>
      <c r="L19" s="96">
        <f>AVERAGEIFS('01_원자료'!$M$2:$M$976,'01_원자료'!$B$2:$B$976,$A19,'01_원자료'!$C$2:$C$976,$B19)</f>
        <v/>
      </c>
      <c r="M19" s="96">
        <f>AVERAGEIFS('01_원자료'!$N$2:$N$976,'01_원자료'!$B$2:$B$976,$A19,'01_원자료'!$C$2:$C$976,$B19)</f>
        <v/>
      </c>
      <c r="N19" s="96">
        <f>AVERAGEIFS('01_원자료'!$O$2:$O$976,'01_원자료'!$B$2:$B$976,$A19,'01_원자료'!$C$2:$C$976,$B19)</f>
        <v/>
      </c>
      <c r="O19" s="97">
        <f>AVERAGEIFS('01_원자료'!$S$2:$S$976,'01_원자료'!$B$2:$B$976,$A19,'01_원자료'!$C$2:$C$976,$B19)</f>
        <v/>
      </c>
    </row>
    <row r="20" ht="15" customHeight="1" s="68">
      <c r="A20" s="72" t="inlineStr">
        <is>
          <t>전체 평균</t>
        </is>
      </c>
      <c r="C20" s="100">
        <f>AVERAGE('01_원자료'!$D$2:$D$976)</f>
        <v/>
      </c>
      <c r="D20" s="100">
        <f>AVERAGE('01_원자료'!$E$2:$E$976)</f>
        <v/>
      </c>
      <c r="E20" s="100">
        <f>AVERAGE('01_원자료'!$F$2:$F$976)</f>
        <v/>
      </c>
      <c r="F20" s="100">
        <f>AVERAGE('01_원자료'!$G$2:$G$976)</f>
        <v/>
      </c>
      <c r="G20" s="100">
        <f>AVERAGE('01_원자료'!$H$2:$H$976)</f>
        <v/>
      </c>
      <c r="H20" s="100">
        <f>AVERAGE('01_원자료'!$I$2:$I$976)</f>
        <v/>
      </c>
      <c r="I20" s="100">
        <f>AVERAGE('01_원자료'!$J$2:$J$976)</f>
        <v/>
      </c>
      <c r="J20" s="100">
        <f>AVERAGE('01_원자료'!$K$2:$K$976)</f>
        <v/>
      </c>
      <c r="K20" s="100">
        <f>AVERAGE('01_원자료'!$L$2:$L$976)</f>
        <v/>
      </c>
      <c r="L20" s="100">
        <f>AVERAGE('01_원자료'!$M$2:$M$976)</f>
        <v/>
      </c>
      <c r="M20" s="100">
        <f>AVERAGE('01_원자료'!$N$2:$N$976)</f>
        <v/>
      </c>
      <c r="N20" s="100">
        <f>AVERAGE('01_원자료'!$O$2:$O$976)</f>
        <v/>
      </c>
      <c r="O20" s="100">
        <f>AVERAGE('01_원자료'!$S$2:$S$976)</f>
        <v/>
      </c>
    </row>
    <row r="22" ht="15" customHeight="1" s="68">
      <c r="A22" s="70" t="inlineStr">
        <is>
          <t>읽는 법: 같은 행(레퍼런스 고정) 안에서 지표별로 어느 모델이 앞서는지 보면 강약점 프로파일이 드러난다. 같은 열(지표 고정)에서 레퍼런스를 바꿔가며 보면 그 지표가 기준 선택에 얼마나 민감한지 드러난다.</t>
        </is>
      </c>
    </row>
    <row r="23" ht="15" customHeight="1" s="68">
      <c r="A23" s="70" t="inlineStr">
        <is>
          <t>특히 teds_document_structure_similarity 열의 레퍼런스 간 편차가 가장 크며, 이것이 구조 지표의 표기 방언 민감성이 결과에 미치는 영향의 실체다(02_지표정의 32행 참조).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H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0" customWidth="1" style="67" min="1" max="1"/>
    <col width="18" customWidth="1" style="67" min="2" max="3"/>
    <col width="26" customWidth="1" style="67" min="4" max="4"/>
    <col width="34" customWidth="1" style="67" min="5" max="5"/>
    <col width="12" customWidth="1" style="67" min="6" max="7"/>
    <col width="16" customWidth="1" style="67" min="8" max="8"/>
  </cols>
  <sheetData>
    <row r="1" ht="21.6" customHeight="1" s="68">
      <c r="A1" s="89" t="inlineStr">
        <is>
          <t>표 7. 계열 유사성 편향: 원점수 차이와 이중 중심화 잔차 D*</t>
        </is>
      </c>
    </row>
    <row r="2" ht="15" customHeight="1" s="68">
      <c r="A2" s="70" t="inlineStr">
        <is>
          <t>같은 개발사 계열의 레퍼런스-모델 조합이 실제로 유리한가. 관대함 효과를 제거하면 얼마나 남는가.</t>
        </is>
      </c>
    </row>
    <row r="4" ht="17.15" customHeight="1" s="68">
      <c r="A4" s="94" t="inlineStr">
        <is>
          <t>1단계: 원점수 기준 우위 D_raw</t>
        </is>
      </c>
    </row>
    <row r="5" ht="15" customHeight="1" s="68">
      <c r="A5" s="79" t="inlineStr">
        <is>
          <t>D_raw = (같은 계열 셀) − (같은 모델을 다른 4개 레퍼런스로 평가한 셀들의 평균)</t>
        </is>
      </c>
    </row>
    <row r="6" ht="15" customHeight="1" s="68">
      <c r="A6" s="79" t="inlineStr">
        <is>
          <t>"동일한 모델이 자기 계열 레퍼런스로 평가받을 때 다른 레퍼런스 대비 얼마나 더 받는가"를 뜻한다.</t>
        </is>
      </c>
    </row>
    <row r="7" ht="15" customHeight="1" s="68">
      <c r="A7" s="78" t="inlineStr">
        <is>
          <t>계열</t>
        </is>
      </c>
      <c r="B7" s="82" t="inlineStr">
        <is>
          <t>reference_model</t>
        </is>
      </c>
      <c r="C7" s="82" t="inlineStr">
        <is>
          <t>comparison_model</t>
        </is>
      </c>
      <c r="D7" s="78" t="inlineStr">
        <is>
          <t>해당 셀</t>
        </is>
      </c>
      <c r="E7" s="78" t="inlineStr">
        <is>
          <t>타 레퍼런스 평균</t>
        </is>
      </c>
      <c r="F7" s="82" t="inlineStr">
        <is>
          <t>D_raw</t>
        </is>
      </c>
    </row>
    <row r="8" ht="15" customHeight="1" s="68">
      <c r="A8" s="74" t="inlineStr">
        <is>
          <t>Google</t>
        </is>
      </c>
      <c r="B8" s="73" t="inlineStr">
        <is>
          <t>gemini</t>
        </is>
      </c>
      <c r="C8" s="73" t="inlineStr">
        <is>
          <t>gemma</t>
        </is>
      </c>
      <c r="D8" s="96">
        <f>AVERAGEIFS('01_원자료'!$S$2:$S$976,'01_원자료'!$B$2:$B$976,$B8,'01_원자료'!$C$2:$C$976,$C8)</f>
        <v/>
      </c>
      <c r="E8" s="96">
        <f>AVERAGEIFS('01_원자료'!$S$2:$S$976,'01_원자료'!$C$2:$C$976,$C8,'01_원자료'!$B$2:$B$976,"&lt;&gt;"&amp;$B8)</f>
        <v/>
      </c>
      <c r="F8" s="128">
        <f>D8-E8</f>
        <v/>
      </c>
    </row>
    <row r="9" ht="15" customHeight="1" s="68">
      <c r="A9" s="74" t="inlineStr">
        <is>
          <t>Alibaba</t>
        </is>
      </c>
      <c r="B9" s="73" t="inlineStr">
        <is>
          <t>qwen3_6</t>
        </is>
      </c>
      <c r="C9" s="73" t="inlineStr">
        <is>
          <t>qwen</t>
        </is>
      </c>
      <c r="D9" s="96">
        <f>AVERAGEIFS('01_원자료'!$S$2:$S$976,'01_원자료'!$B$2:$B$976,$B9,'01_원자료'!$C$2:$C$976,$C9)</f>
        <v/>
      </c>
      <c r="E9" s="96">
        <f>AVERAGEIFS('01_원자료'!$S$2:$S$976,'01_원자료'!$C$2:$C$976,$C9,'01_원자료'!$B$2:$B$976,"&lt;&gt;"&amp;$B9)</f>
        <v/>
      </c>
      <c r="F9" s="128">
        <f>D9-E9</f>
        <v/>
      </c>
    </row>
    <row r="10" ht="15" customHeight="1" s="68">
      <c r="A10" s="74" t="inlineStr">
        <is>
          <t>Mistral</t>
        </is>
      </c>
      <c r="B10" s="73" t="inlineStr">
        <is>
          <t>mistral</t>
        </is>
      </c>
      <c r="C10" s="73" t="inlineStr">
        <is>
          <t>ministral</t>
        </is>
      </c>
      <c r="D10" s="96">
        <f>AVERAGEIFS('01_원자료'!$S$2:$S$976,'01_원자료'!$B$2:$B$976,$B10,'01_원자료'!$C$2:$C$976,$C10)</f>
        <v/>
      </c>
      <c r="E10" s="96">
        <f>AVERAGEIFS('01_원자료'!$S$2:$S$976,'01_원자료'!$C$2:$C$976,$C10,'01_원자료'!$B$2:$B$976,"&lt;&gt;"&amp;$B10)</f>
        <v/>
      </c>
      <c r="F10" s="128">
        <f>D10-E10</f>
        <v/>
      </c>
    </row>
    <row r="12" ht="17.15" customHeight="1" s="68">
      <c r="A12" s="94" t="inlineStr">
        <is>
          <t>2단계: 이중 중심화 잔차 D* — 관대함과 모델 실력을 모두 제거</t>
        </is>
      </c>
    </row>
    <row r="13" ht="15" customHeight="1" s="68">
      <c r="A13" s="79" t="inlineStr">
        <is>
          <t>D* = (셀_ij) − (행평균_i) − (열평균_j) + (총평균).  04_교차표 B16:D20에서 계산된다.</t>
        </is>
      </c>
    </row>
    <row r="14" ht="15" customHeight="1" s="68">
      <c r="A14" s="70" t="inlineStr">
        <is>
          <t>행평균을 빼면 "그 레퍼런스가 원래 후한 정도"가, 열평균을 빼면 "그 모델이 원래 잘하는 정도"가 제거되고, 총평균을 되더하면 두 번 뺀 전체 수준이 복원된다. 남는 것은 그 조합에서만 나타나는 고유 효과다.</t>
        </is>
      </c>
    </row>
    <row r="15" ht="15" customHeight="1" s="68">
      <c r="A15" s="78" t="inlineStr">
        <is>
          <t>계열</t>
        </is>
      </c>
      <c r="B15" s="82" t="inlineStr">
        <is>
          <t>D_raw</t>
        </is>
      </c>
      <c r="C15" s="82" t="inlineStr">
        <is>
          <t>D*</t>
        </is>
      </c>
      <c r="D15" s="82" t="inlineStr">
        <is>
          <t>D*가 D_raw에서 차지하는 비율</t>
        </is>
      </c>
      <c r="E15" s="78" t="inlineStr">
        <is>
          <t>해석</t>
        </is>
      </c>
    </row>
    <row r="16" ht="15" customHeight="1" s="68">
      <c r="A16" s="74" t="inlineStr">
        <is>
          <t>Google</t>
        </is>
      </c>
      <c r="B16" s="129">
        <f>F8</f>
        <v/>
      </c>
      <c r="C16" s="128">
        <f>'04_교차표'!B18</f>
        <v/>
      </c>
      <c r="D16" s="130">
        <f>IF(B16=0,"",C16/B16)</f>
        <v/>
      </c>
      <c r="E16" s="70" t="inlineStr">
        <is>
          <t>관대함 제거 후 남은 조합 고유 효과</t>
        </is>
      </c>
    </row>
    <row r="17" ht="15" customHeight="1" s="68">
      <c r="A17" s="74" t="inlineStr">
        <is>
          <t>Alibaba</t>
        </is>
      </c>
      <c r="B17" s="129">
        <f>F9</f>
        <v/>
      </c>
      <c r="C17" s="128">
        <f>'04_교차표'!D20</f>
        <v/>
      </c>
      <c r="D17" s="130">
        <f>IF(B17=0,"",C17/B17)</f>
        <v/>
      </c>
      <c r="E17" s="70" t="inlineStr">
        <is>
          <t>관대함 제거 후 남은 조합 고유 효과</t>
        </is>
      </c>
    </row>
    <row r="18" ht="15" customHeight="1" s="68">
      <c r="A18" s="74" t="inlineStr">
        <is>
          <t>Mistral</t>
        </is>
      </c>
      <c r="B18" s="129">
        <f>F10</f>
        <v/>
      </c>
      <c r="C18" s="128">
        <f>'04_교차표'!C19</f>
        <v/>
      </c>
      <c r="D18" s="130">
        <f>IF(B18=0,"",C18/B18)</f>
        <v/>
      </c>
      <c r="E18" s="70" t="inlineStr">
        <is>
          <t>관대함 제거 후 남은 조합 고유 효과</t>
        </is>
      </c>
    </row>
    <row r="20" ht="17.15" customHeight="1" s="68">
      <c r="A20" s="94" t="inlineStr">
        <is>
          <t>3단계: 동일계열 vs 교차계열 전체 비교 (Mann-Whitney)</t>
        </is>
      </c>
    </row>
    <row r="21" ht="15" customHeight="1" s="68">
      <c r="A21" s="78" t="inlineStr">
        <is>
          <t>구분</t>
        </is>
      </c>
      <c r="B21" s="82" t="inlineStr">
        <is>
          <t>n</t>
        </is>
      </c>
      <c r="C21" s="78" t="inlineStr">
        <is>
          <t>평균 Overall</t>
        </is>
      </c>
      <c r="D21" s="78" t="inlineStr">
        <is>
          <t>순위합</t>
        </is>
      </c>
      <c r="E21" s="82" t="inlineStr">
        <is>
          <t>U</t>
        </is>
      </c>
      <c r="F21" s="82" t="inlineStr">
        <is>
          <t>z</t>
        </is>
      </c>
      <c r="G21" s="82" t="inlineStr">
        <is>
          <t>p</t>
        </is>
      </c>
      <c r="H21" s="82" t="inlineStr">
        <is>
          <t>rank-biserial r</t>
        </is>
      </c>
    </row>
    <row r="22" ht="15" customHeight="1" s="68">
      <c r="A22" s="72" t="inlineStr">
        <is>
          <t>동일계열</t>
        </is>
      </c>
      <c r="B22" s="101">
        <f>SUMPRODUCT('01_원자료'!$T$2:$T$976)</f>
        <v/>
      </c>
      <c r="C22" s="100">
        <f>SUMPRODUCT('01_원자료'!$T$2:$T$976*'01_원자료'!$S$2:$S$976)/B22</f>
        <v/>
      </c>
      <c r="D22" s="86">
        <f>SUMPRODUCT('01_원자료'!$T$2:$T$976*'01_원자료'!$V$2:$V$976)</f>
        <v/>
      </c>
      <c r="E22" s="81">
        <f>D22-B22*(B22+1)/2</f>
        <v/>
      </c>
      <c r="F22" s="102">
        <f>(E22-B22*B23/2)/SQRT(B22*B23*(B22+B23+1)/12)</f>
        <v/>
      </c>
      <c r="G22" s="103">
        <f>2*(1-NORMSDIST(ABS(F22)))</f>
        <v/>
      </c>
      <c r="H22" s="131">
        <f>2*E22/(B22*B23)-1</f>
        <v/>
      </c>
    </row>
    <row r="23" ht="15" customHeight="1" s="68">
      <c r="A23" s="72" t="inlineStr">
        <is>
          <t>교차계열</t>
        </is>
      </c>
      <c r="B23" s="101">
        <f>COUNT('01_원자료'!$S$2:$S$976)-B22</f>
        <v/>
      </c>
      <c r="C23" s="100">
        <f>(SUMPRODUCT('01_원자료'!$S$2:$S$976)-SUMPRODUCT('01_원자료'!$T$2:$T$976*'01_원자료'!$S$2:$S$976))/B23</f>
        <v/>
      </c>
    </row>
    <row r="24" ht="15" customHeight="1" s="68">
      <c r="A24" s="72" t="inlineStr">
        <is>
          <t>차이 (동일 − 교차)</t>
        </is>
      </c>
      <c r="C24" s="132">
        <f>C22-C23</f>
        <v/>
      </c>
    </row>
    <row r="26" ht="15" customHeight="1" s="68">
      <c r="A26" s="70" t="inlineStr">
        <is>
          <t>핵심 결론: 원점수로 보면 동일계열이 +0.053 유리하다. 그러나 이를 "레퍼런스별 관대함"과 "조합 고유 효과"로 분해하면, 후자에 해당하는 D*는 +0.007~+0.028에 그친다.</t>
        </is>
      </c>
    </row>
    <row r="27" ht="15" customHeight="1" s="68">
      <c r="A27" s="70" t="inlineStr">
        <is>
          <t>즉 관찰된 계열 우위의 상당 부분은 자기 계열을 편애해서가 아니라, 해당 레퍼런스가 원래 모두에게 후하기 때문에 생긴 것이다. D*가 여전히 양수이고 유의하므로 조합 고유의 편향도 실재하지만 크기는 훨씬 작다.</t>
        </is>
      </c>
    </row>
    <row r="28" ht="15" customHeight="1" s="68">
      <c r="A28" s="70" t="inlineStr">
        <is>
          <t>용어: D*는 "델타 스타"로 읽는다. 이는 Tukey의 고전적 상호작용 추출과 같은 형태다.</t>
        </is>
      </c>
    </row>
    <row r="29" ht="15" customHeight="1" s="68">
      <c r="A29" s="79" t="inlineStr">
        <is>
          <t>Mistral 계열은 D_raw가 음수인데 D*는 양수다. Ministral의 절대 성능이 낮아 원점수는 낮지만, "Ministral치고는" Mistral 레퍼런스에서 상대적으로 잘 받는다는 뜻이다. 이 반전이 이중 중심화의 필요성을 가장 잘 보여준다.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H9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6" customWidth="1" style="67" min="1" max="1"/>
    <col width="12" customWidth="1" style="67" min="2" max="2"/>
    <col width="14" customWidth="1" style="67" min="3" max="5"/>
    <col width="12" customWidth="1" style="67" min="6" max="8"/>
  </cols>
  <sheetData>
    <row r="1" ht="21.6" customHeight="1" s="68">
      <c r="A1" s="89" t="inlineStr">
        <is>
          <t>문서별 이중 중심화 잔차 D* 와 문서 형식별 부호 분포 (논문 4.4 마지막 문단)</t>
        </is>
      </c>
    </row>
    <row r="2" ht="15" customHeight="1" s="68">
      <c r="A2" s="70" t="inlineStr">
        <is>
          <t>문서마다 5x3 점수 행렬을 따로 이중 중심화한 잔차. 10_계열편향은 전체 평균 기준, 이 시트는 문서 단위다.</t>
        </is>
      </c>
    </row>
    <row r="4" ht="15" customHeight="1" s="68">
      <c r="A4" s="82" t="inlineStr">
        <is>
          <t>document_id</t>
        </is>
      </c>
      <c r="B4" s="78" t="inlineStr">
        <is>
          <t>문서형식</t>
        </is>
      </c>
      <c r="C4" s="82" t="inlineStr">
        <is>
          <t>D* Google</t>
        </is>
      </c>
      <c r="D4" s="82" t="inlineStr">
        <is>
          <t>D* Alibaba</t>
        </is>
      </c>
      <c r="E4" s="82" t="inlineStr">
        <is>
          <t>D* Mistral</t>
        </is>
      </c>
      <c r="F4" s="78" t="inlineStr">
        <is>
          <t>양수 Google</t>
        </is>
      </c>
      <c r="G4" s="78" t="inlineStr">
        <is>
          <t>양수 Alibaba</t>
        </is>
      </c>
      <c r="H4" s="78" t="inlineStr">
        <is>
          <t>양수 Mistral</t>
        </is>
      </c>
    </row>
    <row r="5" ht="15" customHeight="1" s="68">
      <c r="A5" s="83" t="inlineStr">
        <is>
          <t>PAT-01</t>
        </is>
      </c>
      <c r="B5" s="73">
        <f>IF(LEFT(A5,3)="PAT","특허","보고서")</f>
        <v/>
      </c>
      <c r="C5" s="129">
        <f>AVERAGEIFS('01_원자료'!$S$2:$S$976,'01_원자료'!$A$2:$A$976,$A5,'01_원자료'!$B$2:$B$976,"gemini",'01_원자료'!$C$2:$C$976,"gemma")-AVERAGEIFS('01_원자료'!$S$2:$S$976,'01_원자료'!$A$2:$A$976,$A5,'01_원자료'!$B$2:$B$976,"gemini")-AVERAGEIFS('01_원자료'!$S$2:$S$976,'01_원자료'!$A$2:$A$976,$A5,'01_원자료'!$C$2:$C$976,"gemma")+AVERAGEIFS('01_원자료'!$S$2:$S$976,'01_원자료'!$A$2:$A$976,$A5)</f>
        <v/>
      </c>
      <c r="D5" s="129">
        <f>AVERAGEIFS('01_원자료'!$S$2:$S$976,'01_원자료'!$A$2:$A$976,$A5,'01_원자료'!$B$2:$B$976,"qwen3_6",'01_원자료'!$C$2:$C$976,"qwen")-AVERAGEIFS('01_원자료'!$S$2:$S$976,'01_원자료'!$A$2:$A$976,$A5,'01_원자료'!$B$2:$B$976,"qwen3_6")-AVERAGEIFS('01_원자료'!$S$2:$S$976,'01_원자료'!$A$2:$A$976,$A5,'01_원자료'!$C$2:$C$976,"qwen")+AVERAGEIFS('01_원자료'!$S$2:$S$976,'01_원자료'!$A$2:$A$976,$A5)</f>
        <v/>
      </c>
      <c r="E5" s="129">
        <f>AVERAGEIFS('01_원자료'!$S$2:$S$976,'01_원자료'!$A$2:$A$976,$A5,'01_원자료'!$B$2:$B$976,"mistral",'01_원자료'!$C$2:$C$976,"ministral")-AVERAGEIFS('01_원자료'!$S$2:$S$976,'01_원자료'!$A$2:$A$976,$A5,'01_원자료'!$B$2:$B$976,"mistral")-AVERAGEIFS('01_원자료'!$S$2:$S$976,'01_원자료'!$A$2:$A$976,$A5,'01_원자료'!$C$2:$C$976,"ministral")+AVERAGEIFS('01_원자료'!$S$2:$S$976,'01_원자료'!$A$2:$A$976,$A5)</f>
        <v/>
      </c>
      <c r="F5" s="70">
        <f>IF(C5&gt;0,1,0)</f>
        <v/>
      </c>
      <c r="G5" s="70">
        <f>IF(D5&gt;0,1,0)</f>
        <v/>
      </c>
      <c r="H5" s="70">
        <f>IF(E5&gt;0,1,0)</f>
        <v/>
      </c>
    </row>
    <row r="6" ht="15" customHeight="1" s="68">
      <c r="A6" s="83" t="inlineStr">
        <is>
          <t>PAT-02</t>
        </is>
      </c>
      <c r="B6" s="73">
        <f>IF(LEFT(A6,3)="PAT","특허","보고서")</f>
        <v/>
      </c>
      <c r="C6" s="129">
        <f>AVERAGEIFS('01_원자료'!$S$2:$S$976,'01_원자료'!$A$2:$A$976,$A6,'01_원자료'!$B$2:$B$976,"gemini",'01_원자료'!$C$2:$C$976,"gemma")-AVERAGEIFS('01_원자료'!$S$2:$S$976,'01_원자료'!$A$2:$A$976,$A6,'01_원자료'!$B$2:$B$976,"gemini")-AVERAGEIFS('01_원자료'!$S$2:$S$976,'01_원자료'!$A$2:$A$976,$A6,'01_원자료'!$C$2:$C$976,"gemma")+AVERAGEIFS('01_원자료'!$S$2:$S$976,'01_원자료'!$A$2:$A$976,$A6)</f>
        <v/>
      </c>
      <c r="D6" s="129">
        <f>AVERAGEIFS('01_원자료'!$S$2:$S$976,'01_원자료'!$A$2:$A$976,$A6,'01_원자료'!$B$2:$B$976,"qwen3_6",'01_원자료'!$C$2:$C$976,"qwen")-AVERAGEIFS('01_원자료'!$S$2:$S$976,'01_원자료'!$A$2:$A$976,$A6,'01_원자료'!$B$2:$B$976,"qwen3_6")-AVERAGEIFS('01_원자료'!$S$2:$S$976,'01_원자료'!$A$2:$A$976,$A6,'01_원자료'!$C$2:$C$976,"qwen")+AVERAGEIFS('01_원자료'!$S$2:$S$976,'01_원자료'!$A$2:$A$976,$A6)</f>
        <v/>
      </c>
      <c r="E6" s="129">
        <f>AVERAGEIFS('01_원자료'!$S$2:$S$976,'01_원자료'!$A$2:$A$976,$A6,'01_원자료'!$B$2:$B$976,"mistral",'01_원자료'!$C$2:$C$976,"ministral")-AVERAGEIFS('01_원자료'!$S$2:$S$976,'01_원자료'!$A$2:$A$976,$A6,'01_원자료'!$B$2:$B$976,"mistral")-AVERAGEIFS('01_원자료'!$S$2:$S$976,'01_원자료'!$A$2:$A$976,$A6,'01_원자료'!$C$2:$C$976,"ministral")+AVERAGEIFS('01_원자료'!$S$2:$S$976,'01_원자료'!$A$2:$A$976,$A6)</f>
        <v/>
      </c>
      <c r="F6" s="70">
        <f>IF(C6&gt;0,1,0)</f>
        <v/>
      </c>
      <c r="G6" s="70">
        <f>IF(D6&gt;0,1,0)</f>
        <v/>
      </c>
      <c r="H6" s="70">
        <f>IF(E6&gt;0,1,0)</f>
        <v/>
      </c>
    </row>
    <row r="7" ht="15" customHeight="1" s="68">
      <c r="A7" s="83" t="inlineStr">
        <is>
          <t>PAT-03</t>
        </is>
      </c>
      <c r="B7" s="73">
        <f>IF(LEFT(A7,3)="PAT","특허","보고서")</f>
        <v/>
      </c>
      <c r="C7" s="129">
        <f>AVERAGEIFS('01_원자료'!$S$2:$S$976,'01_원자료'!$A$2:$A$976,$A7,'01_원자료'!$B$2:$B$976,"gemini",'01_원자료'!$C$2:$C$976,"gemma")-AVERAGEIFS('01_원자료'!$S$2:$S$976,'01_원자료'!$A$2:$A$976,$A7,'01_원자료'!$B$2:$B$976,"gemini")-AVERAGEIFS('01_원자료'!$S$2:$S$976,'01_원자료'!$A$2:$A$976,$A7,'01_원자료'!$C$2:$C$976,"gemma")+AVERAGEIFS('01_원자료'!$S$2:$S$976,'01_원자료'!$A$2:$A$976,$A7)</f>
        <v/>
      </c>
      <c r="D7" s="129">
        <f>AVERAGEIFS('01_원자료'!$S$2:$S$976,'01_원자료'!$A$2:$A$976,$A7,'01_원자료'!$B$2:$B$976,"qwen3_6",'01_원자료'!$C$2:$C$976,"qwen")-AVERAGEIFS('01_원자료'!$S$2:$S$976,'01_원자료'!$A$2:$A$976,$A7,'01_원자료'!$B$2:$B$976,"qwen3_6")-AVERAGEIFS('01_원자료'!$S$2:$S$976,'01_원자료'!$A$2:$A$976,$A7,'01_원자료'!$C$2:$C$976,"qwen")+AVERAGEIFS('01_원자료'!$S$2:$S$976,'01_원자료'!$A$2:$A$976,$A7)</f>
        <v/>
      </c>
      <c r="E7" s="129">
        <f>AVERAGEIFS('01_원자료'!$S$2:$S$976,'01_원자료'!$A$2:$A$976,$A7,'01_원자료'!$B$2:$B$976,"mistral",'01_원자료'!$C$2:$C$976,"ministral")-AVERAGEIFS('01_원자료'!$S$2:$S$976,'01_원자료'!$A$2:$A$976,$A7,'01_원자료'!$B$2:$B$976,"mistral")-AVERAGEIFS('01_원자료'!$S$2:$S$976,'01_원자료'!$A$2:$A$976,$A7,'01_원자료'!$C$2:$C$976,"ministral")+AVERAGEIFS('01_원자료'!$S$2:$S$976,'01_원자료'!$A$2:$A$976,$A7)</f>
        <v/>
      </c>
      <c r="F7" s="70">
        <f>IF(C7&gt;0,1,0)</f>
        <v/>
      </c>
      <c r="G7" s="70">
        <f>IF(D7&gt;0,1,0)</f>
        <v/>
      </c>
      <c r="H7" s="70">
        <f>IF(E7&gt;0,1,0)</f>
        <v/>
      </c>
    </row>
    <row r="8" ht="15" customHeight="1" s="68">
      <c r="A8" s="83" t="inlineStr">
        <is>
          <t>PAT-04</t>
        </is>
      </c>
      <c r="B8" s="73">
        <f>IF(LEFT(A8,3)="PAT","특허","보고서")</f>
        <v/>
      </c>
      <c r="C8" s="129">
        <f>AVERAGEIFS('01_원자료'!$S$2:$S$976,'01_원자료'!$A$2:$A$976,$A8,'01_원자료'!$B$2:$B$976,"gemini",'01_원자료'!$C$2:$C$976,"gemma")-AVERAGEIFS('01_원자료'!$S$2:$S$976,'01_원자료'!$A$2:$A$976,$A8,'01_원자료'!$B$2:$B$976,"gemini")-AVERAGEIFS('01_원자료'!$S$2:$S$976,'01_원자료'!$A$2:$A$976,$A8,'01_원자료'!$C$2:$C$976,"gemma")+AVERAGEIFS('01_원자료'!$S$2:$S$976,'01_원자료'!$A$2:$A$976,$A8)</f>
        <v/>
      </c>
      <c r="D8" s="129">
        <f>AVERAGEIFS('01_원자료'!$S$2:$S$976,'01_원자료'!$A$2:$A$976,$A8,'01_원자료'!$B$2:$B$976,"qwen3_6",'01_원자료'!$C$2:$C$976,"qwen")-AVERAGEIFS('01_원자료'!$S$2:$S$976,'01_원자료'!$A$2:$A$976,$A8,'01_원자료'!$B$2:$B$976,"qwen3_6")-AVERAGEIFS('01_원자료'!$S$2:$S$976,'01_원자료'!$A$2:$A$976,$A8,'01_원자료'!$C$2:$C$976,"qwen")+AVERAGEIFS('01_원자료'!$S$2:$S$976,'01_원자료'!$A$2:$A$976,$A8)</f>
        <v/>
      </c>
      <c r="E8" s="129">
        <f>AVERAGEIFS('01_원자료'!$S$2:$S$976,'01_원자료'!$A$2:$A$976,$A8,'01_원자료'!$B$2:$B$976,"mistral",'01_원자료'!$C$2:$C$976,"ministral")-AVERAGEIFS('01_원자료'!$S$2:$S$976,'01_원자료'!$A$2:$A$976,$A8,'01_원자료'!$B$2:$B$976,"mistral")-AVERAGEIFS('01_원자료'!$S$2:$S$976,'01_원자료'!$A$2:$A$976,$A8,'01_원자료'!$C$2:$C$976,"ministral")+AVERAGEIFS('01_원자료'!$S$2:$S$976,'01_원자료'!$A$2:$A$976,$A8)</f>
        <v/>
      </c>
      <c r="F8" s="70">
        <f>IF(C8&gt;0,1,0)</f>
        <v/>
      </c>
      <c r="G8" s="70">
        <f>IF(D8&gt;0,1,0)</f>
        <v/>
      </c>
      <c r="H8" s="70">
        <f>IF(E8&gt;0,1,0)</f>
        <v/>
      </c>
    </row>
    <row r="9" ht="15" customHeight="1" s="68">
      <c r="A9" s="83" t="inlineStr">
        <is>
          <t>PAT-05</t>
        </is>
      </c>
      <c r="B9" s="73">
        <f>IF(LEFT(A9,3)="PAT","특허","보고서")</f>
        <v/>
      </c>
      <c r="C9" s="129">
        <f>AVERAGEIFS('01_원자료'!$S$2:$S$976,'01_원자료'!$A$2:$A$976,$A9,'01_원자료'!$B$2:$B$976,"gemini",'01_원자료'!$C$2:$C$976,"gemma")-AVERAGEIFS('01_원자료'!$S$2:$S$976,'01_원자료'!$A$2:$A$976,$A9,'01_원자료'!$B$2:$B$976,"gemini")-AVERAGEIFS('01_원자료'!$S$2:$S$976,'01_원자료'!$A$2:$A$976,$A9,'01_원자료'!$C$2:$C$976,"gemma")+AVERAGEIFS('01_원자료'!$S$2:$S$976,'01_원자료'!$A$2:$A$976,$A9)</f>
        <v/>
      </c>
      <c r="D9" s="129">
        <f>AVERAGEIFS('01_원자료'!$S$2:$S$976,'01_원자료'!$A$2:$A$976,$A9,'01_원자료'!$B$2:$B$976,"qwen3_6",'01_원자료'!$C$2:$C$976,"qwen")-AVERAGEIFS('01_원자료'!$S$2:$S$976,'01_원자료'!$A$2:$A$976,$A9,'01_원자료'!$B$2:$B$976,"qwen3_6")-AVERAGEIFS('01_원자료'!$S$2:$S$976,'01_원자료'!$A$2:$A$976,$A9,'01_원자료'!$C$2:$C$976,"qwen")+AVERAGEIFS('01_원자료'!$S$2:$S$976,'01_원자료'!$A$2:$A$976,$A9)</f>
        <v/>
      </c>
      <c r="E9" s="129">
        <f>AVERAGEIFS('01_원자료'!$S$2:$S$976,'01_원자료'!$A$2:$A$976,$A9,'01_원자료'!$B$2:$B$976,"mistral",'01_원자료'!$C$2:$C$976,"ministral")-AVERAGEIFS('01_원자료'!$S$2:$S$976,'01_원자료'!$A$2:$A$976,$A9,'01_원자료'!$B$2:$B$976,"mistral")-AVERAGEIFS('01_원자료'!$S$2:$S$976,'01_원자료'!$A$2:$A$976,$A9,'01_원자료'!$C$2:$C$976,"ministral")+AVERAGEIFS('01_원자료'!$S$2:$S$976,'01_원자료'!$A$2:$A$976,$A9)</f>
        <v/>
      </c>
      <c r="F9" s="70">
        <f>IF(C9&gt;0,1,0)</f>
        <v/>
      </c>
      <c r="G9" s="70">
        <f>IF(D9&gt;0,1,0)</f>
        <v/>
      </c>
      <c r="H9" s="70">
        <f>IF(E9&gt;0,1,0)</f>
        <v/>
      </c>
    </row>
    <row r="10" ht="15" customHeight="1" s="68">
      <c r="A10" s="83" t="inlineStr">
        <is>
          <t>PAT-06</t>
        </is>
      </c>
      <c r="B10" s="73">
        <f>IF(LEFT(A10,3)="PAT","특허","보고서")</f>
        <v/>
      </c>
      <c r="C10" s="129">
        <f>AVERAGEIFS('01_원자료'!$S$2:$S$976,'01_원자료'!$A$2:$A$976,$A10,'01_원자료'!$B$2:$B$976,"gemini",'01_원자료'!$C$2:$C$976,"gemma")-AVERAGEIFS('01_원자료'!$S$2:$S$976,'01_원자료'!$A$2:$A$976,$A10,'01_원자료'!$B$2:$B$976,"gemini")-AVERAGEIFS('01_원자료'!$S$2:$S$976,'01_원자료'!$A$2:$A$976,$A10,'01_원자료'!$C$2:$C$976,"gemma")+AVERAGEIFS('01_원자료'!$S$2:$S$976,'01_원자료'!$A$2:$A$976,$A10)</f>
        <v/>
      </c>
      <c r="D10" s="129">
        <f>AVERAGEIFS('01_원자료'!$S$2:$S$976,'01_원자료'!$A$2:$A$976,$A10,'01_원자료'!$B$2:$B$976,"qwen3_6",'01_원자료'!$C$2:$C$976,"qwen")-AVERAGEIFS('01_원자료'!$S$2:$S$976,'01_원자료'!$A$2:$A$976,$A10,'01_원자료'!$B$2:$B$976,"qwen3_6")-AVERAGEIFS('01_원자료'!$S$2:$S$976,'01_원자료'!$A$2:$A$976,$A10,'01_원자료'!$C$2:$C$976,"qwen")+AVERAGEIFS('01_원자료'!$S$2:$S$976,'01_원자료'!$A$2:$A$976,$A10)</f>
        <v/>
      </c>
      <c r="E10" s="129">
        <f>AVERAGEIFS('01_원자료'!$S$2:$S$976,'01_원자료'!$A$2:$A$976,$A10,'01_원자료'!$B$2:$B$976,"mistral",'01_원자료'!$C$2:$C$976,"ministral")-AVERAGEIFS('01_원자료'!$S$2:$S$976,'01_원자료'!$A$2:$A$976,$A10,'01_원자료'!$B$2:$B$976,"mistral")-AVERAGEIFS('01_원자료'!$S$2:$S$976,'01_원자료'!$A$2:$A$976,$A10,'01_원자료'!$C$2:$C$976,"ministral")+AVERAGEIFS('01_원자료'!$S$2:$S$976,'01_원자료'!$A$2:$A$976,$A10)</f>
        <v/>
      </c>
      <c r="F10" s="70">
        <f>IF(C10&gt;0,1,0)</f>
        <v/>
      </c>
      <c r="G10" s="70">
        <f>IF(D10&gt;0,1,0)</f>
        <v/>
      </c>
      <c r="H10" s="70">
        <f>IF(E10&gt;0,1,0)</f>
        <v/>
      </c>
    </row>
    <row r="11" ht="15" customHeight="1" s="68">
      <c r="A11" s="83" t="inlineStr">
        <is>
          <t>PAT-07</t>
        </is>
      </c>
      <c r="B11" s="73">
        <f>IF(LEFT(A11,3)="PAT","특허","보고서")</f>
        <v/>
      </c>
      <c r="C11" s="129">
        <f>AVERAGEIFS('01_원자료'!$S$2:$S$976,'01_원자료'!$A$2:$A$976,$A11,'01_원자료'!$B$2:$B$976,"gemini",'01_원자료'!$C$2:$C$976,"gemma")-AVERAGEIFS('01_원자료'!$S$2:$S$976,'01_원자료'!$A$2:$A$976,$A11,'01_원자료'!$B$2:$B$976,"gemini")-AVERAGEIFS('01_원자료'!$S$2:$S$976,'01_원자료'!$A$2:$A$976,$A11,'01_원자료'!$C$2:$C$976,"gemma")+AVERAGEIFS('01_원자료'!$S$2:$S$976,'01_원자료'!$A$2:$A$976,$A11)</f>
        <v/>
      </c>
      <c r="D11" s="129">
        <f>AVERAGEIFS('01_원자료'!$S$2:$S$976,'01_원자료'!$A$2:$A$976,$A11,'01_원자료'!$B$2:$B$976,"qwen3_6",'01_원자료'!$C$2:$C$976,"qwen")-AVERAGEIFS('01_원자료'!$S$2:$S$976,'01_원자료'!$A$2:$A$976,$A11,'01_원자료'!$B$2:$B$976,"qwen3_6")-AVERAGEIFS('01_원자료'!$S$2:$S$976,'01_원자료'!$A$2:$A$976,$A11,'01_원자료'!$C$2:$C$976,"qwen")+AVERAGEIFS('01_원자료'!$S$2:$S$976,'01_원자료'!$A$2:$A$976,$A11)</f>
        <v/>
      </c>
      <c r="E11" s="129">
        <f>AVERAGEIFS('01_원자료'!$S$2:$S$976,'01_원자료'!$A$2:$A$976,$A11,'01_원자료'!$B$2:$B$976,"mistral",'01_원자료'!$C$2:$C$976,"ministral")-AVERAGEIFS('01_원자료'!$S$2:$S$976,'01_원자료'!$A$2:$A$976,$A11,'01_원자료'!$B$2:$B$976,"mistral")-AVERAGEIFS('01_원자료'!$S$2:$S$976,'01_원자료'!$A$2:$A$976,$A11,'01_원자료'!$C$2:$C$976,"ministral")+AVERAGEIFS('01_원자료'!$S$2:$S$976,'01_원자료'!$A$2:$A$976,$A11)</f>
        <v/>
      </c>
      <c r="F11" s="70">
        <f>IF(C11&gt;0,1,0)</f>
        <v/>
      </c>
      <c r="G11" s="70">
        <f>IF(D11&gt;0,1,0)</f>
        <v/>
      </c>
      <c r="H11" s="70">
        <f>IF(E11&gt;0,1,0)</f>
        <v/>
      </c>
    </row>
    <row r="12" ht="15" customHeight="1" s="68">
      <c r="A12" s="83" t="inlineStr">
        <is>
          <t>PAT-08</t>
        </is>
      </c>
      <c r="B12" s="73">
        <f>IF(LEFT(A12,3)="PAT","특허","보고서")</f>
        <v/>
      </c>
      <c r="C12" s="129">
        <f>AVERAGEIFS('01_원자료'!$S$2:$S$976,'01_원자료'!$A$2:$A$976,$A12,'01_원자료'!$B$2:$B$976,"gemini",'01_원자료'!$C$2:$C$976,"gemma")-AVERAGEIFS('01_원자료'!$S$2:$S$976,'01_원자료'!$A$2:$A$976,$A12,'01_원자료'!$B$2:$B$976,"gemini")-AVERAGEIFS('01_원자료'!$S$2:$S$976,'01_원자료'!$A$2:$A$976,$A12,'01_원자료'!$C$2:$C$976,"gemma")+AVERAGEIFS('01_원자료'!$S$2:$S$976,'01_원자료'!$A$2:$A$976,$A12)</f>
        <v/>
      </c>
      <c r="D12" s="129">
        <f>AVERAGEIFS('01_원자료'!$S$2:$S$976,'01_원자료'!$A$2:$A$976,$A12,'01_원자료'!$B$2:$B$976,"qwen3_6",'01_원자료'!$C$2:$C$976,"qwen")-AVERAGEIFS('01_원자료'!$S$2:$S$976,'01_원자료'!$A$2:$A$976,$A12,'01_원자료'!$B$2:$B$976,"qwen3_6")-AVERAGEIFS('01_원자료'!$S$2:$S$976,'01_원자료'!$A$2:$A$976,$A12,'01_원자료'!$C$2:$C$976,"qwen")+AVERAGEIFS('01_원자료'!$S$2:$S$976,'01_원자료'!$A$2:$A$976,$A12)</f>
        <v/>
      </c>
      <c r="E12" s="129">
        <f>AVERAGEIFS('01_원자료'!$S$2:$S$976,'01_원자료'!$A$2:$A$976,$A12,'01_원자료'!$B$2:$B$976,"mistral",'01_원자료'!$C$2:$C$976,"ministral")-AVERAGEIFS('01_원자료'!$S$2:$S$976,'01_원자료'!$A$2:$A$976,$A12,'01_원자료'!$B$2:$B$976,"mistral")-AVERAGEIFS('01_원자료'!$S$2:$S$976,'01_원자료'!$A$2:$A$976,$A12,'01_원자료'!$C$2:$C$976,"ministral")+AVERAGEIFS('01_원자료'!$S$2:$S$976,'01_원자료'!$A$2:$A$976,$A12)</f>
        <v/>
      </c>
      <c r="F12" s="70">
        <f>IF(C12&gt;0,1,0)</f>
        <v/>
      </c>
      <c r="G12" s="70">
        <f>IF(D12&gt;0,1,0)</f>
        <v/>
      </c>
      <c r="H12" s="70">
        <f>IF(E12&gt;0,1,0)</f>
        <v/>
      </c>
    </row>
    <row r="13" ht="15" customHeight="1" s="68">
      <c r="A13" s="83" t="inlineStr">
        <is>
          <t>PAT-09</t>
        </is>
      </c>
      <c r="B13" s="73">
        <f>IF(LEFT(A13,3)="PAT","특허","보고서")</f>
        <v/>
      </c>
      <c r="C13" s="129">
        <f>AVERAGEIFS('01_원자료'!$S$2:$S$976,'01_원자료'!$A$2:$A$976,$A13,'01_원자료'!$B$2:$B$976,"gemini",'01_원자료'!$C$2:$C$976,"gemma")-AVERAGEIFS('01_원자료'!$S$2:$S$976,'01_원자료'!$A$2:$A$976,$A13,'01_원자료'!$B$2:$B$976,"gemini")-AVERAGEIFS('01_원자료'!$S$2:$S$976,'01_원자료'!$A$2:$A$976,$A13,'01_원자료'!$C$2:$C$976,"gemma")+AVERAGEIFS('01_원자료'!$S$2:$S$976,'01_원자료'!$A$2:$A$976,$A13)</f>
        <v/>
      </c>
      <c r="D13" s="129">
        <f>AVERAGEIFS('01_원자료'!$S$2:$S$976,'01_원자료'!$A$2:$A$976,$A13,'01_원자료'!$B$2:$B$976,"qwen3_6",'01_원자료'!$C$2:$C$976,"qwen")-AVERAGEIFS('01_원자료'!$S$2:$S$976,'01_원자료'!$A$2:$A$976,$A13,'01_원자료'!$B$2:$B$976,"qwen3_6")-AVERAGEIFS('01_원자료'!$S$2:$S$976,'01_원자료'!$A$2:$A$976,$A13,'01_원자료'!$C$2:$C$976,"qwen")+AVERAGEIFS('01_원자료'!$S$2:$S$976,'01_원자료'!$A$2:$A$976,$A13)</f>
        <v/>
      </c>
      <c r="E13" s="129">
        <f>AVERAGEIFS('01_원자료'!$S$2:$S$976,'01_원자료'!$A$2:$A$976,$A13,'01_원자료'!$B$2:$B$976,"mistral",'01_원자료'!$C$2:$C$976,"ministral")-AVERAGEIFS('01_원자료'!$S$2:$S$976,'01_원자료'!$A$2:$A$976,$A13,'01_원자료'!$B$2:$B$976,"mistral")-AVERAGEIFS('01_원자료'!$S$2:$S$976,'01_원자료'!$A$2:$A$976,$A13,'01_원자료'!$C$2:$C$976,"ministral")+AVERAGEIFS('01_원자료'!$S$2:$S$976,'01_원자료'!$A$2:$A$976,$A13)</f>
        <v/>
      </c>
      <c r="F13" s="70">
        <f>IF(C13&gt;0,1,0)</f>
        <v/>
      </c>
      <c r="G13" s="70">
        <f>IF(D13&gt;0,1,0)</f>
        <v/>
      </c>
      <c r="H13" s="70">
        <f>IF(E13&gt;0,1,0)</f>
        <v/>
      </c>
    </row>
    <row r="14" ht="15" customHeight="1" s="68">
      <c r="A14" s="83" t="inlineStr">
        <is>
          <t>PAT-10</t>
        </is>
      </c>
      <c r="B14" s="73">
        <f>IF(LEFT(A14,3)="PAT","특허","보고서")</f>
        <v/>
      </c>
      <c r="C14" s="129">
        <f>AVERAGEIFS('01_원자료'!$S$2:$S$976,'01_원자료'!$A$2:$A$976,$A14,'01_원자료'!$B$2:$B$976,"gemini",'01_원자료'!$C$2:$C$976,"gemma")-AVERAGEIFS('01_원자료'!$S$2:$S$976,'01_원자료'!$A$2:$A$976,$A14,'01_원자료'!$B$2:$B$976,"gemini")-AVERAGEIFS('01_원자료'!$S$2:$S$976,'01_원자료'!$A$2:$A$976,$A14,'01_원자료'!$C$2:$C$976,"gemma")+AVERAGEIFS('01_원자료'!$S$2:$S$976,'01_원자료'!$A$2:$A$976,$A14)</f>
        <v/>
      </c>
      <c r="D14" s="129">
        <f>AVERAGEIFS('01_원자료'!$S$2:$S$976,'01_원자료'!$A$2:$A$976,$A14,'01_원자료'!$B$2:$B$976,"qwen3_6",'01_원자료'!$C$2:$C$976,"qwen")-AVERAGEIFS('01_원자료'!$S$2:$S$976,'01_원자료'!$A$2:$A$976,$A14,'01_원자료'!$B$2:$B$976,"qwen3_6")-AVERAGEIFS('01_원자료'!$S$2:$S$976,'01_원자료'!$A$2:$A$976,$A14,'01_원자료'!$C$2:$C$976,"qwen")+AVERAGEIFS('01_원자료'!$S$2:$S$976,'01_원자료'!$A$2:$A$976,$A14)</f>
        <v/>
      </c>
      <c r="E14" s="129">
        <f>AVERAGEIFS('01_원자료'!$S$2:$S$976,'01_원자료'!$A$2:$A$976,$A14,'01_원자료'!$B$2:$B$976,"mistral",'01_원자료'!$C$2:$C$976,"ministral")-AVERAGEIFS('01_원자료'!$S$2:$S$976,'01_원자료'!$A$2:$A$976,$A14,'01_원자료'!$B$2:$B$976,"mistral")-AVERAGEIFS('01_원자료'!$S$2:$S$976,'01_원자료'!$A$2:$A$976,$A14,'01_원자료'!$C$2:$C$976,"ministral")+AVERAGEIFS('01_원자료'!$S$2:$S$976,'01_원자료'!$A$2:$A$976,$A14)</f>
        <v/>
      </c>
      <c r="F14" s="70">
        <f>IF(C14&gt;0,1,0)</f>
        <v/>
      </c>
      <c r="G14" s="70">
        <f>IF(D14&gt;0,1,0)</f>
        <v/>
      </c>
      <c r="H14" s="70">
        <f>IF(E14&gt;0,1,0)</f>
        <v/>
      </c>
    </row>
    <row r="15" ht="15" customHeight="1" s="68">
      <c r="A15" s="83" t="inlineStr">
        <is>
          <t>PAT-11</t>
        </is>
      </c>
      <c r="B15" s="73">
        <f>IF(LEFT(A15,3)="PAT","특허","보고서")</f>
        <v/>
      </c>
      <c r="C15" s="129">
        <f>AVERAGEIFS('01_원자료'!$S$2:$S$976,'01_원자료'!$A$2:$A$976,$A15,'01_원자료'!$B$2:$B$976,"gemini",'01_원자료'!$C$2:$C$976,"gemma")-AVERAGEIFS('01_원자료'!$S$2:$S$976,'01_원자료'!$A$2:$A$976,$A15,'01_원자료'!$B$2:$B$976,"gemini")-AVERAGEIFS('01_원자료'!$S$2:$S$976,'01_원자료'!$A$2:$A$976,$A15,'01_원자료'!$C$2:$C$976,"gemma")+AVERAGEIFS('01_원자료'!$S$2:$S$976,'01_원자료'!$A$2:$A$976,$A15)</f>
        <v/>
      </c>
      <c r="D15" s="129">
        <f>AVERAGEIFS('01_원자료'!$S$2:$S$976,'01_원자료'!$A$2:$A$976,$A15,'01_원자료'!$B$2:$B$976,"qwen3_6",'01_원자료'!$C$2:$C$976,"qwen")-AVERAGEIFS('01_원자료'!$S$2:$S$976,'01_원자료'!$A$2:$A$976,$A15,'01_원자료'!$B$2:$B$976,"qwen3_6")-AVERAGEIFS('01_원자료'!$S$2:$S$976,'01_원자료'!$A$2:$A$976,$A15,'01_원자료'!$C$2:$C$976,"qwen")+AVERAGEIFS('01_원자료'!$S$2:$S$976,'01_원자료'!$A$2:$A$976,$A15)</f>
        <v/>
      </c>
      <c r="E15" s="129">
        <f>AVERAGEIFS('01_원자료'!$S$2:$S$976,'01_원자료'!$A$2:$A$976,$A15,'01_원자료'!$B$2:$B$976,"mistral",'01_원자료'!$C$2:$C$976,"ministral")-AVERAGEIFS('01_원자료'!$S$2:$S$976,'01_원자료'!$A$2:$A$976,$A15,'01_원자료'!$B$2:$B$976,"mistral")-AVERAGEIFS('01_원자료'!$S$2:$S$976,'01_원자료'!$A$2:$A$976,$A15,'01_원자료'!$C$2:$C$976,"ministral")+AVERAGEIFS('01_원자료'!$S$2:$S$976,'01_원자료'!$A$2:$A$976,$A15)</f>
        <v/>
      </c>
      <c r="F15" s="70">
        <f>IF(C15&gt;0,1,0)</f>
        <v/>
      </c>
      <c r="G15" s="70">
        <f>IF(D15&gt;0,1,0)</f>
        <v/>
      </c>
      <c r="H15" s="70">
        <f>IF(E15&gt;0,1,0)</f>
        <v/>
      </c>
    </row>
    <row r="16" ht="15" customHeight="1" s="68">
      <c r="A16" s="83" t="inlineStr">
        <is>
          <t>PAT-12</t>
        </is>
      </c>
      <c r="B16" s="73">
        <f>IF(LEFT(A16,3)="PAT","특허","보고서")</f>
        <v/>
      </c>
      <c r="C16" s="129">
        <f>AVERAGEIFS('01_원자료'!$S$2:$S$976,'01_원자료'!$A$2:$A$976,$A16,'01_원자료'!$B$2:$B$976,"gemini",'01_원자료'!$C$2:$C$976,"gemma")-AVERAGEIFS('01_원자료'!$S$2:$S$976,'01_원자료'!$A$2:$A$976,$A16,'01_원자료'!$B$2:$B$976,"gemini")-AVERAGEIFS('01_원자료'!$S$2:$S$976,'01_원자료'!$A$2:$A$976,$A16,'01_원자료'!$C$2:$C$976,"gemma")+AVERAGEIFS('01_원자료'!$S$2:$S$976,'01_원자료'!$A$2:$A$976,$A16)</f>
        <v/>
      </c>
      <c r="D16" s="129">
        <f>AVERAGEIFS('01_원자료'!$S$2:$S$976,'01_원자료'!$A$2:$A$976,$A16,'01_원자료'!$B$2:$B$976,"qwen3_6",'01_원자료'!$C$2:$C$976,"qwen")-AVERAGEIFS('01_원자료'!$S$2:$S$976,'01_원자료'!$A$2:$A$976,$A16,'01_원자료'!$B$2:$B$976,"qwen3_6")-AVERAGEIFS('01_원자료'!$S$2:$S$976,'01_원자료'!$A$2:$A$976,$A16,'01_원자료'!$C$2:$C$976,"qwen")+AVERAGEIFS('01_원자료'!$S$2:$S$976,'01_원자료'!$A$2:$A$976,$A16)</f>
        <v/>
      </c>
      <c r="E16" s="129">
        <f>AVERAGEIFS('01_원자료'!$S$2:$S$976,'01_원자료'!$A$2:$A$976,$A16,'01_원자료'!$B$2:$B$976,"mistral",'01_원자료'!$C$2:$C$976,"ministral")-AVERAGEIFS('01_원자료'!$S$2:$S$976,'01_원자료'!$A$2:$A$976,$A16,'01_원자료'!$B$2:$B$976,"mistral")-AVERAGEIFS('01_원자료'!$S$2:$S$976,'01_원자료'!$A$2:$A$976,$A16,'01_원자료'!$C$2:$C$976,"ministral")+AVERAGEIFS('01_원자료'!$S$2:$S$976,'01_원자료'!$A$2:$A$976,$A16)</f>
        <v/>
      </c>
      <c r="F16" s="70">
        <f>IF(C16&gt;0,1,0)</f>
        <v/>
      </c>
      <c r="G16" s="70">
        <f>IF(D16&gt;0,1,0)</f>
        <v/>
      </c>
      <c r="H16" s="70">
        <f>IF(E16&gt;0,1,0)</f>
        <v/>
      </c>
    </row>
    <row r="17" ht="15" customHeight="1" s="68">
      <c r="A17" s="83" t="inlineStr">
        <is>
          <t>PAT-13</t>
        </is>
      </c>
      <c r="B17" s="73">
        <f>IF(LEFT(A17,3)="PAT","특허","보고서")</f>
        <v/>
      </c>
      <c r="C17" s="129">
        <f>AVERAGEIFS('01_원자료'!$S$2:$S$976,'01_원자료'!$A$2:$A$976,$A17,'01_원자료'!$B$2:$B$976,"gemini",'01_원자료'!$C$2:$C$976,"gemma")-AVERAGEIFS('01_원자료'!$S$2:$S$976,'01_원자료'!$A$2:$A$976,$A17,'01_원자료'!$B$2:$B$976,"gemini")-AVERAGEIFS('01_원자료'!$S$2:$S$976,'01_원자료'!$A$2:$A$976,$A17,'01_원자료'!$C$2:$C$976,"gemma")+AVERAGEIFS('01_원자료'!$S$2:$S$976,'01_원자료'!$A$2:$A$976,$A17)</f>
        <v/>
      </c>
      <c r="D17" s="129">
        <f>AVERAGEIFS('01_원자료'!$S$2:$S$976,'01_원자료'!$A$2:$A$976,$A17,'01_원자료'!$B$2:$B$976,"qwen3_6",'01_원자료'!$C$2:$C$976,"qwen")-AVERAGEIFS('01_원자료'!$S$2:$S$976,'01_원자료'!$A$2:$A$976,$A17,'01_원자료'!$B$2:$B$976,"qwen3_6")-AVERAGEIFS('01_원자료'!$S$2:$S$976,'01_원자료'!$A$2:$A$976,$A17,'01_원자료'!$C$2:$C$976,"qwen")+AVERAGEIFS('01_원자료'!$S$2:$S$976,'01_원자료'!$A$2:$A$976,$A17)</f>
        <v/>
      </c>
      <c r="E17" s="129">
        <f>AVERAGEIFS('01_원자료'!$S$2:$S$976,'01_원자료'!$A$2:$A$976,$A17,'01_원자료'!$B$2:$B$976,"mistral",'01_원자료'!$C$2:$C$976,"ministral")-AVERAGEIFS('01_원자료'!$S$2:$S$976,'01_원자료'!$A$2:$A$976,$A17,'01_원자료'!$B$2:$B$976,"mistral")-AVERAGEIFS('01_원자료'!$S$2:$S$976,'01_원자료'!$A$2:$A$976,$A17,'01_원자료'!$C$2:$C$976,"ministral")+AVERAGEIFS('01_원자료'!$S$2:$S$976,'01_원자료'!$A$2:$A$976,$A17)</f>
        <v/>
      </c>
      <c r="F17" s="70">
        <f>IF(C17&gt;0,1,0)</f>
        <v/>
      </c>
      <c r="G17" s="70">
        <f>IF(D17&gt;0,1,0)</f>
        <v/>
      </c>
      <c r="H17" s="70">
        <f>IF(E17&gt;0,1,0)</f>
        <v/>
      </c>
    </row>
    <row r="18" ht="15" customHeight="1" s="68">
      <c r="A18" s="83" t="inlineStr">
        <is>
          <t>PAT-14</t>
        </is>
      </c>
      <c r="B18" s="73">
        <f>IF(LEFT(A18,3)="PAT","특허","보고서")</f>
        <v/>
      </c>
      <c r="C18" s="129">
        <f>AVERAGEIFS('01_원자료'!$S$2:$S$976,'01_원자료'!$A$2:$A$976,$A18,'01_원자료'!$B$2:$B$976,"gemini",'01_원자료'!$C$2:$C$976,"gemma")-AVERAGEIFS('01_원자료'!$S$2:$S$976,'01_원자료'!$A$2:$A$976,$A18,'01_원자료'!$B$2:$B$976,"gemini")-AVERAGEIFS('01_원자료'!$S$2:$S$976,'01_원자료'!$A$2:$A$976,$A18,'01_원자료'!$C$2:$C$976,"gemma")+AVERAGEIFS('01_원자료'!$S$2:$S$976,'01_원자료'!$A$2:$A$976,$A18)</f>
        <v/>
      </c>
      <c r="D18" s="129">
        <f>AVERAGEIFS('01_원자료'!$S$2:$S$976,'01_원자료'!$A$2:$A$976,$A18,'01_원자료'!$B$2:$B$976,"qwen3_6",'01_원자료'!$C$2:$C$976,"qwen")-AVERAGEIFS('01_원자료'!$S$2:$S$976,'01_원자료'!$A$2:$A$976,$A18,'01_원자료'!$B$2:$B$976,"qwen3_6")-AVERAGEIFS('01_원자료'!$S$2:$S$976,'01_원자료'!$A$2:$A$976,$A18,'01_원자료'!$C$2:$C$976,"qwen")+AVERAGEIFS('01_원자료'!$S$2:$S$976,'01_원자료'!$A$2:$A$976,$A18)</f>
        <v/>
      </c>
      <c r="E18" s="129">
        <f>AVERAGEIFS('01_원자료'!$S$2:$S$976,'01_원자료'!$A$2:$A$976,$A18,'01_원자료'!$B$2:$B$976,"mistral",'01_원자료'!$C$2:$C$976,"ministral")-AVERAGEIFS('01_원자료'!$S$2:$S$976,'01_원자료'!$A$2:$A$976,$A18,'01_원자료'!$B$2:$B$976,"mistral")-AVERAGEIFS('01_원자료'!$S$2:$S$976,'01_원자료'!$A$2:$A$976,$A18,'01_원자료'!$C$2:$C$976,"ministral")+AVERAGEIFS('01_원자료'!$S$2:$S$976,'01_원자료'!$A$2:$A$976,$A18)</f>
        <v/>
      </c>
      <c r="F18" s="70">
        <f>IF(C18&gt;0,1,0)</f>
        <v/>
      </c>
      <c r="G18" s="70">
        <f>IF(D18&gt;0,1,0)</f>
        <v/>
      </c>
      <c r="H18" s="70">
        <f>IF(E18&gt;0,1,0)</f>
        <v/>
      </c>
    </row>
    <row r="19" ht="15" customHeight="1" s="68">
      <c r="A19" s="83" t="inlineStr">
        <is>
          <t>PAT-15</t>
        </is>
      </c>
      <c r="B19" s="73">
        <f>IF(LEFT(A19,3)="PAT","특허","보고서")</f>
        <v/>
      </c>
      <c r="C19" s="129">
        <f>AVERAGEIFS('01_원자료'!$S$2:$S$976,'01_원자료'!$A$2:$A$976,$A19,'01_원자료'!$B$2:$B$976,"gemini",'01_원자료'!$C$2:$C$976,"gemma")-AVERAGEIFS('01_원자료'!$S$2:$S$976,'01_원자료'!$A$2:$A$976,$A19,'01_원자료'!$B$2:$B$976,"gemini")-AVERAGEIFS('01_원자료'!$S$2:$S$976,'01_원자료'!$A$2:$A$976,$A19,'01_원자료'!$C$2:$C$976,"gemma")+AVERAGEIFS('01_원자료'!$S$2:$S$976,'01_원자료'!$A$2:$A$976,$A19)</f>
        <v/>
      </c>
      <c r="D19" s="129">
        <f>AVERAGEIFS('01_원자료'!$S$2:$S$976,'01_원자료'!$A$2:$A$976,$A19,'01_원자료'!$B$2:$B$976,"qwen3_6",'01_원자료'!$C$2:$C$976,"qwen")-AVERAGEIFS('01_원자료'!$S$2:$S$976,'01_원자료'!$A$2:$A$976,$A19,'01_원자료'!$B$2:$B$976,"qwen3_6")-AVERAGEIFS('01_원자료'!$S$2:$S$976,'01_원자료'!$A$2:$A$976,$A19,'01_원자료'!$C$2:$C$976,"qwen")+AVERAGEIFS('01_원자료'!$S$2:$S$976,'01_원자료'!$A$2:$A$976,$A19)</f>
        <v/>
      </c>
      <c r="E19" s="129">
        <f>AVERAGEIFS('01_원자료'!$S$2:$S$976,'01_원자료'!$A$2:$A$976,$A19,'01_원자료'!$B$2:$B$976,"mistral",'01_원자료'!$C$2:$C$976,"ministral")-AVERAGEIFS('01_원자료'!$S$2:$S$976,'01_원자료'!$A$2:$A$976,$A19,'01_원자료'!$B$2:$B$976,"mistral")-AVERAGEIFS('01_원자료'!$S$2:$S$976,'01_원자료'!$A$2:$A$976,$A19,'01_원자료'!$C$2:$C$976,"ministral")+AVERAGEIFS('01_원자료'!$S$2:$S$976,'01_원자료'!$A$2:$A$976,$A19)</f>
        <v/>
      </c>
      <c r="F19" s="70">
        <f>IF(C19&gt;0,1,0)</f>
        <v/>
      </c>
      <c r="G19" s="70">
        <f>IF(D19&gt;0,1,0)</f>
        <v/>
      </c>
      <c r="H19" s="70">
        <f>IF(E19&gt;0,1,0)</f>
        <v/>
      </c>
    </row>
    <row r="20" ht="15" customHeight="1" s="68">
      <c r="A20" s="83" t="inlineStr">
        <is>
          <t>PAT-16</t>
        </is>
      </c>
      <c r="B20" s="73">
        <f>IF(LEFT(A20,3)="PAT","특허","보고서")</f>
        <v/>
      </c>
      <c r="C20" s="129">
        <f>AVERAGEIFS('01_원자료'!$S$2:$S$976,'01_원자료'!$A$2:$A$976,$A20,'01_원자료'!$B$2:$B$976,"gemini",'01_원자료'!$C$2:$C$976,"gemma")-AVERAGEIFS('01_원자료'!$S$2:$S$976,'01_원자료'!$A$2:$A$976,$A20,'01_원자료'!$B$2:$B$976,"gemini")-AVERAGEIFS('01_원자료'!$S$2:$S$976,'01_원자료'!$A$2:$A$976,$A20,'01_원자료'!$C$2:$C$976,"gemma")+AVERAGEIFS('01_원자료'!$S$2:$S$976,'01_원자료'!$A$2:$A$976,$A20)</f>
        <v/>
      </c>
      <c r="D20" s="129">
        <f>AVERAGEIFS('01_원자료'!$S$2:$S$976,'01_원자료'!$A$2:$A$976,$A20,'01_원자료'!$B$2:$B$976,"qwen3_6",'01_원자료'!$C$2:$C$976,"qwen")-AVERAGEIFS('01_원자료'!$S$2:$S$976,'01_원자료'!$A$2:$A$976,$A20,'01_원자료'!$B$2:$B$976,"qwen3_6")-AVERAGEIFS('01_원자료'!$S$2:$S$976,'01_원자료'!$A$2:$A$976,$A20,'01_원자료'!$C$2:$C$976,"qwen")+AVERAGEIFS('01_원자료'!$S$2:$S$976,'01_원자료'!$A$2:$A$976,$A20)</f>
        <v/>
      </c>
      <c r="E20" s="129">
        <f>AVERAGEIFS('01_원자료'!$S$2:$S$976,'01_원자료'!$A$2:$A$976,$A20,'01_원자료'!$B$2:$B$976,"mistral",'01_원자료'!$C$2:$C$976,"ministral")-AVERAGEIFS('01_원자료'!$S$2:$S$976,'01_원자료'!$A$2:$A$976,$A20,'01_원자료'!$B$2:$B$976,"mistral")-AVERAGEIFS('01_원자료'!$S$2:$S$976,'01_원자료'!$A$2:$A$976,$A20,'01_원자료'!$C$2:$C$976,"ministral")+AVERAGEIFS('01_원자료'!$S$2:$S$976,'01_원자료'!$A$2:$A$976,$A20)</f>
        <v/>
      </c>
      <c r="F20" s="70">
        <f>IF(C20&gt;0,1,0)</f>
        <v/>
      </c>
      <c r="G20" s="70">
        <f>IF(D20&gt;0,1,0)</f>
        <v/>
      </c>
      <c r="H20" s="70">
        <f>IF(E20&gt;0,1,0)</f>
        <v/>
      </c>
    </row>
    <row r="21" ht="15" customHeight="1" s="68">
      <c r="A21" s="83" t="inlineStr">
        <is>
          <t>PAT-17</t>
        </is>
      </c>
      <c r="B21" s="73">
        <f>IF(LEFT(A21,3)="PAT","특허","보고서")</f>
        <v/>
      </c>
      <c r="C21" s="129">
        <f>AVERAGEIFS('01_원자료'!$S$2:$S$976,'01_원자료'!$A$2:$A$976,$A21,'01_원자료'!$B$2:$B$976,"gemini",'01_원자료'!$C$2:$C$976,"gemma")-AVERAGEIFS('01_원자료'!$S$2:$S$976,'01_원자료'!$A$2:$A$976,$A21,'01_원자료'!$B$2:$B$976,"gemini")-AVERAGEIFS('01_원자료'!$S$2:$S$976,'01_원자료'!$A$2:$A$976,$A21,'01_원자료'!$C$2:$C$976,"gemma")+AVERAGEIFS('01_원자료'!$S$2:$S$976,'01_원자료'!$A$2:$A$976,$A21)</f>
        <v/>
      </c>
      <c r="D21" s="129">
        <f>AVERAGEIFS('01_원자료'!$S$2:$S$976,'01_원자료'!$A$2:$A$976,$A21,'01_원자료'!$B$2:$B$976,"qwen3_6",'01_원자료'!$C$2:$C$976,"qwen")-AVERAGEIFS('01_원자료'!$S$2:$S$976,'01_원자료'!$A$2:$A$976,$A21,'01_원자료'!$B$2:$B$976,"qwen3_6")-AVERAGEIFS('01_원자료'!$S$2:$S$976,'01_원자료'!$A$2:$A$976,$A21,'01_원자료'!$C$2:$C$976,"qwen")+AVERAGEIFS('01_원자료'!$S$2:$S$976,'01_원자료'!$A$2:$A$976,$A21)</f>
        <v/>
      </c>
      <c r="E21" s="129">
        <f>AVERAGEIFS('01_원자료'!$S$2:$S$976,'01_원자료'!$A$2:$A$976,$A21,'01_원자료'!$B$2:$B$976,"mistral",'01_원자료'!$C$2:$C$976,"ministral")-AVERAGEIFS('01_원자료'!$S$2:$S$976,'01_원자료'!$A$2:$A$976,$A21,'01_원자료'!$B$2:$B$976,"mistral")-AVERAGEIFS('01_원자료'!$S$2:$S$976,'01_원자료'!$A$2:$A$976,$A21,'01_원자료'!$C$2:$C$976,"ministral")+AVERAGEIFS('01_원자료'!$S$2:$S$976,'01_원자료'!$A$2:$A$976,$A21)</f>
        <v/>
      </c>
      <c r="F21" s="70">
        <f>IF(C21&gt;0,1,0)</f>
        <v/>
      </c>
      <c r="G21" s="70">
        <f>IF(D21&gt;0,1,0)</f>
        <v/>
      </c>
      <c r="H21" s="70">
        <f>IF(E21&gt;0,1,0)</f>
        <v/>
      </c>
    </row>
    <row r="22" ht="15" customHeight="1" s="68">
      <c r="A22" s="83" t="inlineStr">
        <is>
          <t>PAT-18</t>
        </is>
      </c>
      <c r="B22" s="73">
        <f>IF(LEFT(A22,3)="PAT","특허","보고서")</f>
        <v/>
      </c>
      <c r="C22" s="129">
        <f>AVERAGEIFS('01_원자료'!$S$2:$S$976,'01_원자료'!$A$2:$A$976,$A22,'01_원자료'!$B$2:$B$976,"gemini",'01_원자료'!$C$2:$C$976,"gemma")-AVERAGEIFS('01_원자료'!$S$2:$S$976,'01_원자료'!$A$2:$A$976,$A22,'01_원자료'!$B$2:$B$976,"gemini")-AVERAGEIFS('01_원자료'!$S$2:$S$976,'01_원자료'!$A$2:$A$976,$A22,'01_원자료'!$C$2:$C$976,"gemma")+AVERAGEIFS('01_원자료'!$S$2:$S$976,'01_원자료'!$A$2:$A$976,$A22)</f>
        <v/>
      </c>
      <c r="D22" s="129">
        <f>AVERAGEIFS('01_원자료'!$S$2:$S$976,'01_원자료'!$A$2:$A$976,$A22,'01_원자료'!$B$2:$B$976,"qwen3_6",'01_원자료'!$C$2:$C$976,"qwen")-AVERAGEIFS('01_원자료'!$S$2:$S$976,'01_원자료'!$A$2:$A$976,$A22,'01_원자료'!$B$2:$B$976,"qwen3_6")-AVERAGEIFS('01_원자료'!$S$2:$S$976,'01_원자료'!$A$2:$A$976,$A22,'01_원자료'!$C$2:$C$976,"qwen")+AVERAGEIFS('01_원자료'!$S$2:$S$976,'01_원자료'!$A$2:$A$976,$A22)</f>
        <v/>
      </c>
      <c r="E22" s="129">
        <f>AVERAGEIFS('01_원자료'!$S$2:$S$976,'01_원자료'!$A$2:$A$976,$A22,'01_원자료'!$B$2:$B$976,"mistral",'01_원자료'!$C$2:$C$976,"ministral")-AVERAGEIFS('01_원자료'!$S$2:$S$976,'01_원자료'!$A$2:$A$976,$A22,'01_원자료'!$B$2:$B$976,"mistral")-AVERAGEIFS('01_원자료'!$S$2:$S$976,'01_원자료'!$A$2:$A$976,$A22,'01_원자료'!$C$2:$C$976,"ministral")+AVERAGEIFS('01_원자료'!$S$2:$S$976,'01_원자료'!$A$2:$A$976,$A22)</f>
        <v/>
      </c>
      <c r="F22" s="70">
        <f>IF(C22&gt;0,1,0)</f>
        <v/>
      </c>
      <c r="G22" s="70">
        <f>IF(D22&gt;0,1,0)</f>
        <v/>
      </c>
      <c r="H22" s="70">
        <f>IF(E22&gt;0,1,0)</f>
        <v/>
      </c>
    </row>
    <row r="23" ht="15" customHeight="1" s="68">
      <c r="A23" s="83" t="inlineStr">
        <is>
          <t>PAT-19</t>
        </is>
      </c>
      <c r="B23" s="73">
        <f>IF(LEFT(A23,3)="PAT","특허","보고서")</f>
        <v/>
      </c>
      <c r="C23" s="129">
        <f>AVERAGEIFS('01_원자료'!$S$2:$S$976,'01_원자료'!$A$2:$A$976,$A23,'01_원자료'!$B$2:$B$976,"gemini",'01_원자료'!$C$2:$C$976,"gemma")-AVERAGEIFS('01_원자료'!$S$2:$S$976,'01_원자료'!$A$2:$A$976,$A23,'01_원자료'!$B$2:$B$976,"gemini")-AVERAGEIFS('01_원자료'!$S$2:$S$976,'01_원자료'!$A$2:$A$976,$A23,'01_원자료'!$C$2:$C$976,"gemma")+AVERAGEIFS('01_원자료'!$S$2:$S$976,'01_원자료'!$A$2:$A$976,$A23)</f>
        <v/>
      </c>
      <c r="D23" s="129">
        <f>AVERAGEIFS('01_원자료'!$S$2:$S$976,'01_원자료'!$A$2:$A$976,$A23,'01_원자료'!$B$2:$B$976,"qwen3_6",'01_원자료'!$C$2:$C$976,"qwen")-AVERAGEIFS('01_원자료'!$S$2:$S$976,'01_원자료'!$A$2:$A$976,$A23,'01_원자료'!$B$2:$B$976,"qwen3_6")-AVERAGEIFS('01_원자료'!$S$2:$S$976,'01_원자료'!$A$2:$A$976,$A23,'01_원자료'!$C$2:$C$976,"qwen")+AVERAGEIFS('01_원자료'!$S$2:$S$976,'01_원자료'!$A$2:$A$976,$A23)</f>
        <v/>
      </c>
      <c r="E23" s="129">
        <f>AVERAGEIFS('01_원자료'!$S$2:$S$976,'01_원자료'!$A$2:$A$976,$A23,'01_원자료'!$B$2:$B$976,"mistral",'01_원자료'!$C$2:$C$976,"ministral")-AVERAGEIFS('01_원자료'!$S$2:$S$976,'01_원자료'!$A$2:$A$976,$A23,'01_원자료'!$B$2:$B$976,"mistral")-AVERAGEIFS('01_원자료'!$S$2:$S$976,'01_원자료'!$A$2:$A$976,$A23,'01_원자료'!$C$2:$C$976,"ministral")+AVERAGEIFS('01_원자료'!$S$2:$S$976,'01_원자료'!$A$2:$A$976,$A23)</f>
        <v/>
      </c>
      <c r="F23" s="70">
        <f>IF(C23&gt;0,1,0)</f>
        <v/>
      </c>
      <c r="G23" s="70">
        <f>IF(D23&gt;0,1,0)</f>
        <v/>
      </c>
      <c r="H23" s="70">
        <f>IF(E23&gt;0,1,0)</f>
        <v/>
      </c>
    </row>
    <row r="24" ht="15" customHeight="1" s="68">
      <c r="A24" s="83" t="inlineStr">
        <is>
          <t>PAT-20</t>
        </is>
      </c>
      <c r="B24" s="73">
        <f>IF(LEFT(A24,3)="PAT","특허","보고서")</f>
        <v/>
      </c>
      <c r="C24" s="129">
        <f>AVERAGEIFS('01_원자료'!$S$2:$S$976,'01_원자료'!$A$2:$A$976,$A24,'01_원자료'!$B$2:$B$976,"gemini",'01_원자료'!$C$2:$C$976,"gemma")-AVERAGEIFS('01_원자료'!$S$2:$S$976,'01_원자료'!$A$2:$A$976,$A24,'01_원자료'!$B$2:$B$976,"gemini")-AVERAGEIFS('01_원자료'!$S$2:$S$976,'01_원자료'!$A$2:$A$976,$A24,'01_원자료'!$C$2:$C$976,"gemma")+AVERAGEIFS('01_원자료'!$S$2:$S$976,'01_원자료'!$A$2:$A$976,$A24)</f>
        <v/>
      </c>
      <c r="D24" s="129">
        <f>AVERAGEIFS('01_원자료'!$S$2:$S$976,'01_원자료'!$A$2:$A$976,$A24,'01_원자료'!$B$2:$B$976,"qwen3_6",'01_원자료'!$C$2:$C$976,"qwen")-AVERAGEIFS('01_원자료'!$S$2:$S$976,'01_원자료'!$A$2:$A$976,$A24,'01_원자료'!$B$2:$B$976,"qwen3_6")-AVERAGEIFS('01_원자료'!$S$2:$S$976,'01_원자료'!$A$2:$A$976,$A24,'01_원자료'!$C$2:$C$976,"qwen")+AVERAGEIFS('01_원자료'!$S$2:$S$976,'01_원자료'!$A$2:$A$976,$A24)</f>
        <v/>
      </c>
      <c r="E24" s="129">
        <f>AVERAGEIFS('01_원자료'!$S$2:$S$976,'01_원자료'!$A$2:$A$976,$A24,'01_원자료'!$B$2:$B$976,"mistral",'01_원자료'!$C$2:$C$976,"ministral")-AVERAGEIFS('01_원자료'!$S$2:$S$976,'01_원자료'!$A$2:$A$976,$A24,'01_원자료'!$B$2:$B$976,"mistral")-AVERAGEIFS('01_원자료'!$S$2:$S$976,'01_원자료'!$A$2:$A$976,$A24,'01_원자료'!$C$2:$C$976,"ministral")+AVERAGEIFS('01_원자료'!$S$2:$S$976,'01_원자료'!$A$2:$A$976,$A24)</f>
        <v/>
      </c>
      <c r="F24" s="70">
        <f>IF(C24&gt;0,1,0)</f>
        <v/>
      </c>
      <c r="G24" s="70">
        <f>IF(D24&gt;0,1,0)</f>
        <v/>
      </c>
      <c r="H24" s="70">
        <f>IF(E24&gt;0,1,0)</f>
        <v/>
      </c>
    </row>
    <row r="25" ht="15" customHeight="1" s="68">
      <c r="A25" s="83" t="inlineStr">
        <is>
          <t>PAT-21</t>
        </is>
      </c>
      <c r="B25" s="73">
        <f>IF(LEFT(A25,3)="PAT","특허","보고서")</f>
        <v/>
      </c>
      <c r="C25" s="129">
        <f>AVERAGEIFS('01_원자료'!$S$2:$S$976,'01_원자료'!$A$2:$A$976,$A25,'01_원자료'!$B$2:$B$976,"gemini",'01_원자료'!$C$2:$C$976,"gemma")-AVERAGEIFS('01_원자료'!$S$2:$S$976,'01_원자료'!$A$2:$A$976,$A25,'01_원자료'!$B$2:$B$976,"gemini")-AVERAGEIFS('01_원자료'!$S$2:$S$976,'01_원자료'!$A$2:$A$976,$A25,'01_원자료'!$C$2:$C$976,"gemma")+AVERAGEIFS('01_원자료'!$S$2:$S$976,'01_원자료'!$A$2:$A$976,$A25)</f>
        <v/>
      </c>
      <c r="D25" s="129">
        <f>AVERAGEIFS('01_원자료'!$S$2:$S$976,'01_원자료'!$A$2:$A$976,$A25,'01_원자료'!$B$2:$B$976,"qwen3_6",'01_원자료'!$C$2:$C$976,"qwen")-AVERAGEIFS('01_원자료'!$S$2:$S$976,'01_원자료'!$A$2:$A$976,$A25,'01_원자료'!$B$2:$B$976,"qwen3_6")-AVERAGEIFS('01_원자료'!$S$2:$S$976,'01_원자료'!$A$2:$A$976,$A25,'01_원자료'!$C$2:$C$976,"qwen")+AVERAGEIFS('01_원자료'!$S$2:$S$976,'01_원자료'!$A$2:$A$976,$A25)</f>
        <v/>
      </c>
      <c r="E25" s="129">
        <f>AVERAGEIFS('01_원자료'!$S$2:$S$976,'01_원자료'!$A$2:$A$976,$A25,'01_원자료'!$B$2:$B$976,"mistral",'01_원자료'!$C$2:$C$976,"ministral")-AVERAGEIFS('01_원자료'!$S$2:$S$976,'01_원자료'!$A$2:$A$976,$A25,'01_원자료'!$B$2:$B$976,"mistral")-AVERAGEIFS('01_원자료'!$S$2:$S$976,'01_원자료'!$A$2:$A$976,$A25,'01_원자료'!$C$2:$C$976,"ministral")+AVERAGEIFS('01_원자료'!$S$2:$S$976,'01_원자료'!$A$2:$A$976,$A25)</f>
        <v/>
      </c>
      <c r="F25" s="70">
        <f>IF(C25&gt;0,1,0)</f>
        <v/>
      </c>
      <c r="G25" s="70">
        <f>IF(D25&gt;0,1,0)</f>
        <v/>
      </c>
      <c r="H25" s="70">
        <f>IF(E25&gt;0,1,0)</f>
        <v/>
      </c>
    </row>
    <row r="26" ht="15" customHeight="1" s="68">
      <c r="A26" s="83" t="inlineStr">
        <is>
          <t>PAT-22</t>
        </is>
      </c>
      <c r="B26" s="73">
        <f>IF(LEFT(A26,3)="PAT","특허","보고서")</f>
        <v/>
      </c>
      <c r="C26" s="129">
        <f>AVERAGEIFS('01_원자료'!$S$2:$S$976,'01_원자료'!$A$2:$A$976,$A26,'01_원자료'!$B$2:$B$976,"gemini",'01_원자료'!$C$2:$C$976,"gemma")-AVERAGEIFS('01_원자료'!$S$2:$S$976,'01_원자료'!$A$2:$A$976,$A26,'01_원자료'!$B$2:$B$976,"gemini")-AVERAGEIFS('01_원자료'!$S$2:$S$976,'01_원자료'!$A$2:$A$976,$A26,'01_원자료'!$C$2:$C$976,"gemma")+AVERAGEIFS('01_원자료'!$S$2:$S$976,'01_원자료'!$A$2:$A$976,$A26)</f>
        <v/>
      </c>
      <c r="D26" s="129">
        <f>AVERAGEIFS('01_원자료'!$S$2:$S$976,'01_원자료'!$A$2:$A$976,$A26,'01_원자료'!$B$2:$B$976,"qwen3_6",'01_원자료'!$C$2:$C$976,"qwen")-AVERAGEIFS('01_원자료'!$S$2:$S$976,'01_원자료'!$A$2:$A$976,$A26,'01_원자료'!$B$2:$B$976,"qwen3_6")-AVERAGEIFS('01_원자료'!$S$2:$S$976,'01_원자료'!$A$2:$A$976,$A26,'01_원자료'!$C$2:$C$976,"qwen")+AVERAGEIFS('01_원자료'!$S$2:$S$976,'01_원자료'!$A$2:$A$976,$A26)</f>
        <v/>
      </c>
      <c r="E26" s="129">
        <f>AVERAGEIFS('01_원자료'!$S$2:$S$976,'01_원자료'!$A$2:$A$976,$A26,'01_원자료'!$B$2:$B$976,"mistral",'01_원자료'!$C$2:$C$976,"ministral")-AVERAGEIFS('01_원자료'!$S$2:$S$976,'01_원자료'!$A$2:$A$976,$A26,'01_원자료'!$B$2:$B$976,"mistral")-AVERAGEIFS('01_원자료'!$S$2:$S$976,'01_원자료'!$A$2:$A$976,$A26,'01_원자료'!$C$2:$C$976,"ministral")+AVERAGEIFS('01_원자료'!$S$2:$S$976,'01_원자료'!$A$2:$A$976,$A26)</f>
        <v/>
      </c>
      <c r="F26" s="70">
        <f>IF(C26&gt;0,1,0)</f>
        <v/>
      </c>
      <c r="G26" s="70">
        <f>IF(D26&gt;0,1,0)</f>
        <v/>
      </c>
      <c r="H26" s="70">
        <f>IF(E26&gt;0,1,0)</f>
        <v/>
      </c>
    </row>
    <row r="27" ht="15" customHeight="1" s="68">
      <c r="A27" s="83" t="inlineStr">
        <is>
          <t>PAT-23</t>
        </is>
      </c>
      <c r="B27" s="73">
        <f>IF(LEFT(A27,3)="PAT","특허","보고서")</f>
        <v/>
      </c>
      <c r="C27" s="129">
        <f>AVERAGEIFS('01_원자료'!$S$2:$S$976,'01_원자료'!$A$2:$A$976,$A27,'01_원자료'!$B$2:$B$976,"gemini",'01_원자료'!$C$2:$C$976,"gemma")-AVERAGEIFS('01_원자료'!$S$2:$S$976,'01_원자료'!$A$2:$A$976,$A27,'01_원자료'!$B$2:$B$976,"gemini")-AVERAGEIFS('01_원자료'!$S$2:$S$976,'01_원자료'!$A$2:$A$976,$A27,'01_원자료'!$C$2:$C$976,"gemma")+AVERAGEIFS('01_원자료'!$S$2:$S$976,'01_원자료'!$A$2:$A$976,$A27)</f>
        <v/>
      </c>
      <c r="D27" s="129">
        <f>AVERAGEIFS('01_원자료'!$S$2:$S$976,'01_원자료'!$A$2:$A$976,$A27,'01_원자료'!$B$2:$B$976,"qwen3_6",'01_원자료'!$C$2:$C$976,"qwen")-AVERAGEIFS('01_원자료'!$S$2:$S$976,'01_원자료'!$A$2:$A$976,$A27,'01_원자료'!$B$2:$B$976,"qwen3_6")-AVERAGEIFS('01_원자료'!$S$2:$S$976,'01_원자료'!$A$2:$A$976,$A27,'01_원자료'!$C$2:$C$976,"qwen")+AVERAGEIFS('01_원자료'!$S$2:$S$976,'01_원자료'!$A$2:$A$976,$A27)</f>
        <v/>
      </c>
      <c r="E27" s="129">
        <f>AVERAGEIFS('01_원자료'!$S$2:$S$976,'01_원자료'!$A$2:$A$976,$A27,'01_원자료'!$B$2:$B$976,"mistral",'01_원자료'!$C$2:$C$976,"ministral")-AVERAGEIFS('01_원자료'!$S$2:$S$976,'01_원자료'!$A$2:$A$976,$A27,'01_원자료'!$B$2:$B$976,"mistral")-AVERAGEIFS('01_원자료'!$S$2:$S$976,'01_원자료'!$A$2:$A$976,$A27,'01_원자료'!$C$2:$C$976,"ministral")+AVERAGEIFS('01_원자료'!$S$2:$S$976,'01_원자료'!$A$2:$A$976,$A27)</f>
        <v/>
      </c>
      <c r="F27" s="70">
        <f>IF(C27&gt;0,1,0)</f>
        <v/>
      </c>
      <c r="G27" s="70">
        <f>IF(D27&gt;0,1,0)</f>
        <v/>
      </c>
      <c r="H27" s="70">
        <f>IF(E27&gt;0,1,0)</f>
        <v/>
      </c>
    </row>
    <row r="28" ht="15" customHeight="1" s="68">
      <c r="A28" s="83" t="inlineStr">
        <is>
          <t>PAT-24</t>
        </is>
      </c>
      <c r="B28" s="73">
        <f>IF(LEFT(A28,3)="PAT","특허","보고서")</f>
        <v/>
      </c>
      <c r="C28" s="129">
        <f>AVERAGEIFS('01_원자료'!$S$2:$S$976,'01_원자료'!$A$2:$A$976,$A28,'01_원자료'!$B$2:$B$976,"gemini",'01_원자료'!$C$2:$C$976,"gemma")-AVERAGEIFS('01_원자료'!$S$2:$S$976,'01_원자료'!$A$2:$A$976,$A28,'01_원자료'!$B$2:$B$976,"gemini")-AVERAGEIFS('01_원자료'!$S$2:$S$976,'01_원자료'!$A$2:$A$976,$A28,'01_원자료'!$C$2:$C$976,"gemma")+AVERAGEIFS('01_원자료'!$S$2:$S$976,'01_원자료'!$A$2:$A$976,$A28)</f>
        <v/>
      </c>
      <c r="D28" s="129">
        <f>AVERAGEIFS('01_원자료'!$S$2:$S$976,'01_원자료'!$A$2:$A$976,$A28,'01_원자료'!$B$2:$B$976,"qwen3_6",'01_원자료'!$C$2:$C$976,"qwen")-AVERAGEIFS('01_원자료'!$S$2:$S$976,'01_원자료'!$A$2:$A$976,$A28,'01_원자료'!$B$2:$B$976,"qwen3_6")-AVERAGEIFS('01_원자료'!$S$2:$S$976,'01_원자료'!$A$2:$A$976,$A28,'01_원자료'!$C$2:$C$976,"qwen")+AVERAGEIFS('01_원자료'!$S$2:$S$976,'01_원자료'!$A$2:$A$976,$A28)</f>
        <v/>
      </c>
      <c r="E28" s="129">
        <f>AVERAGEIFS('01_원자료'!$S$2:$S$976,'01_원자료'!$A$2:$A$976,$A28,'01_원자료'!$B$2:$B$976,"mistral",'01_원자료'!$C$2:$C$976,"ministral")-AVERAGEIFS('01_원자료'!$S$2:$S$976,'01_원자료'!$A$2:$A$976,$A28,'01_원자료'!$B$2:$B$976,"mistral")-AVERAGEIFS('01_원자료'!$S$2:$S$976,'01_원자료'!$A$2:$A$976,$A28,'01_원자료'!$C$2:$C$976,"ministral")+AVERAGEIFS('01_원자료'!$S$2:$S$976,'01_원자료'!$A$2:$A$976,$A28)</f>
        <v/>
      </c>
      <c r="F28" s="70">
        <f>IF(C28&gt;0,1,0)</f>
        <v/>
      </c>
      <c r="G28" s="70">
        <f>IF(D28&gt;0,1,0)</f>
        <v/>
      </c>
      <c r="H28" s="70">
        <f>IF(E28&gt;0,1,0)</f>
        <v/>
      </c>
    </row>
    <row r="29" ht="15" customHeight="1" s="68">
      <c r="A29" s="83" t="inlineStr">
        <is>
          <t>PAT-25</t>
        </is>
      </c>
      <c r="B29" s="73">
        <f>IF(LEFT(A29,3)="PAT","특허","보고서")</f>
        <v/>
      </c>
      <c r="C29" s="129">
        <f>AVERAGEIFS('01_원자료'!$S$2:$S$976,'01_원자료'!$A$2:$A$976,$A29,'01_원자료'!$B$2:$B$976,"gemini",'01_원자료'!$C$2:$C$976,"gemma")-AVERAGEIFS('01_원자료'!$S$2:$S$976,'01_원자료'!$A$2:$A$976,$A29,'01_원자료'!$B$2:$B$976,"gemini")-AVERAGEIFS('01_원자료'!$S$2:$S$976,'01_원자료'!$A$2:$A$976,$A29,'01_원자료'!$C$2:$C$976,"gemma")+AVERAGEIFS('01_원자료'!$S$2:$S$976,'01_원자료'!$A$2:$A$976,$A29)</f>
        <v/>
      </c>
      <c r="D29" s="129">
        <f>AVERAGEIFS('01_원자료'!$S$2:$S$976,'01_원자료'!$A$2:$A$976,$A29,'01_원자료'!$B$2:$B$976,"qwen3_6",'01_원자료'!$C$2:$C$976,"qwen")-AVERAGEIFS('01_원자료'!$S$2:$S$976,'01_원자료'!$A$2:$A$976,$A29,'01_원자료'!$B$2:$B$976,"qwen3_6")-AVERAGEIFS('01_원자료'!$S$2:$S$976,'01_원자료'!$A$2:$A$976,$A29,'01_원자료'!$C$2:$C$976,"qwen")+AVERAGEIFS('01_원자료'!$S$2:$S$976,'01_원자료'!$A$2:$A$976,$A29)</f>
        <v/>
      </c>
      <c r="E29" s="129">
        <f>AVERAGEIFS('01_원자료'!$S$2:$S$976,'01_원자료'!$A$2:$A$976,$A29,'01_원자료'!$B$2:$B$976,"mistral",'01_원자료'!$C$2:$C$976,"ministral")-AVERAGEIFS('01_원자료'!$S$2:$S$976,'01_원자료'!$A$2:$A$976,$A29,'01_원자료'!$B$2:$B$976,"mistral")-AVERAGEIFS('01_원자료'!$S$2:$S$976,'01_원자료'!$A$2:$A$976,$A29,'01_원자료'!$C$2:$C$976,"ministral")+AVERAGEIFS('01_원자료'!$S$2:$S$976,'01_원자료'!$A$2:$A$976,$A29)</f>
        <v/>
      </c>
      <c r="F29" s="70">
        <f>IF(C29&gt;0,1,0)</f>
        <v/>
      </c>
      <c r="G29" s="70">
        <f>IF(D29&gt;0,1,0)</f>
        <v/>
      </c>
      <c r="H29" s="70">
        <f>IF(E29&gt;0,1,0)</f>
        <v/>
      </c>
    </row>
    <row r="30" ht="15" customHeight="1" s="68">
      <c r="A30" s="83" t="inlineStr">
        <is>
          <t>PAT-26</t>
        </is>
      </c>
      <c r="B30" s="73">
        <f>IF(LEFT(A30,3)="PAT","특허","보고서")</f>
        <v/>
      </c>
      <c r="C30" s="129">
        <f>AVERAGEIFS('01_원자료'!$S$2:$S$976,'01_원자료'!$A$2:$A$976,$A30,'01_원자료'!$B$2:$B$976,"gemini",'01_원자료'!$C$2:$C$976,"gemma")-AVERAGEIFS('01_원자료'!$S$2:$S$976,'01_원자료'!$A$2:$A$976,$A30,'01_원자료'!$B$2:$B$976,"gemini")-AVERAGEIFS('01_원자료'!$S$2:$S$976,'01_원자료'!$A$2:$A$976,$A30,'01_원자료'!$C$2:$C$976,"gemma")+AVERAGEIFS('01_원자료'!$S$2:$S$976,'01_원자료'!$A$2:$A$976,$A30)</f>
        <v/>
      </c>
      <c r="D30" s="129">
        <f>AVERAGEIFS('01_원자료'!$S$2:$S$976,'01_원자료'!$A$2:$A$976,$A30,'01_원자료'!$B$2:$B$976,"qwen3_6",'01_원자료'!$C$2:$C$976,"qwen")-AVERAGEIFS('01_원자료'!$S$2:$S$976,'01_원자료'!$A$2:$A$976,$A30,'01_원자료'!$B$2:$B$976,"qwen3_6")-AVERAGEIFS('01_원자료'!$S$2:$S$976,'01_원자료'!$A$2:$A$976,$A30,'01_원자료'!$C$2:$C$976,"qwen")+AVERAGEIFS('01_원자료'!$S$2:$S$976,'01_원자료'!$A$2:$A$976,$A30)</f>
        <v/>
      </c>
      <c r="E30" s="129">
        <f>AVERAGEIFS('01_원자료'!$S$2:$S$976,'01_원자료'!$A$2:$A$976,$A30,'01_원자료'!$B$2:$B$976,"mistral",'01_원자료'!$C$2:$C$976,"ministral")-AVERAGEIFS('01_원자료'!$S$2:$S$976,'01_원자료'!$A$2:$A$976,$A30,'01_원자료'!$B$2:$B$976,"mistral")-AVERAGEIFS('01_원자료'!$S$2:$S$976,'01_원자료'!$A$2:$A$976,$A30,'01_원자료'!$C$2:$C$976,"ministral")+AVERAGEIFS('01_원자료'!$S$2:$S$976,'01_원자료'!$A$2:$A$976,$A30)</f>
        <v/>
      </c>
      <c r="F30" s="70">
        <f>IF(C30&gt;0,1,0)</f>
        <v/>
      </c>
      <c r="G30" s="70">
        <f>IF(D30&gt;0,1,0)</f>
        <v/>
      </c>
      <c r="H30" s="70">
        <f>IF(E30&gt;0,1,0)</f>
        <v/>
      </c>
    </row>
    <row r="31" ht="15" customHeight="1" s="68">
      <c r="A31" s="83" t="inlineStr">
        <is>
          <t>PAT-27</t>
        </is>
      </c>
      <c r="B31" s="73">
        <f>IF(LEFT(A31,3)="PAT","특허","보고서")</f>
        <v/>
      </c>
      <c r="C31" s="129">
        <f>AVERAGEIFS('01_원자료'!$S$2:$S$976,'01_원자료'!$A$2:$A$976,$A31,'01_원자료'!$B$2:$B$976,"gemini",'01_원자료'!$C$2:$C$976,"gemma")-AVERAGEIFS('01_원자료'!$S$2:$S$976,'01_원자료'!$A$2:$A$976,$A31,'01_원자료'!$B$2:$B$976,"gemini")-AVERAGEIFS('01_원자료'!$S$2:$S$976,'01_원자료'!$A$2:$A$976,$A31,'01_원자료'!$C$2:$C$976,"gemma")+AVERAGEIFS('01_원자료'!$S$2:$S$976,'01_원자료'!$A$2:$A$976,$A31)</f>
        <v/>
      </c>
      <c r="D31" s="129">
        <f>AVERAGEIFS('01_원자료'!$S$2:$S$976,'01_원자료'!$A$2:$A$976,$A31,'01_원자료'!$B$2:$B$976,"qwen3_6",'01_원자료'!$C$2:$C$976,"qwen")-AVERAGEIFS('01_원자료'!$S$2:$S$976,'01_원자료'!$A$2:$A$976,$A31,'01_원자료'!$B$2:$B$976,"qwen3_6")-AVERAGEIFS('01_원자료'!$S$2:$S$976,'01_원자료'!$A$2:$A$976,$A31,'01_원자료'!$C$2:$C$976,"qwen")+AVERAGEIFS('01_원자료'!$S$2:$S$976,'01_원자료'!$A$2:$A$976,$A31)</f>
        <v/>
      </c>
      <c r="E31" s="129">
        <f>AVERAGEIFS('01_원자료'!$S$2:$S$976,'01_원자료'!$A$2:$A$976,$A31,'01_원자료'!$B$2:$B$976,"mistral",'01_원자료'!$C$2:$C$976,"ministral")-AVERAGEIFS('01_원자료'!$S$2:$S$976,'01_원자료'!$A$2:$A$976,$A31,'01_원자료'!$B$2:$B$976,"mistral")-AVERAGEIFS('01_원자료'!$S$2:$S$976,'01_원자료'!$A$2:$A$976,$A31,'01_원자료'!$C$2:$C$976,"ministral")+AVERAGEIFS('01_원자료'!$S$2:$S$976,'01_원자료'!$A$2:$A$976,$A31)</f>
        <v/>
      </c>
      <c r="F31" s="70">
        <f>IF(C31&gt;0,1,0)</f>
        <v/>
      </c>
      <c r="G31" s="70">
        <f>IF(D31&gt;0,1,0)</f>
        <v/>
      </c>
      <c r="H31" s="70">
        <f>IF(E31&gt;0,1,0)</f>
        <v/>
      </c>
    </row>
    <row r="32" ht="15" customHeight="1" s="68">
      <c r="A32" s="83" t="inlineStr">
        <is>
          <t>PAT-28</t>
        </is>
      </c>
      <c r="B32" s="73">
        <f>IF(LEFT(A32,3)="PAT","특허","보고서")</f>
        <v/>
      </c>
      <c r="C32" s="129">
        <f>AVERAGEIFS('01_원자료'!$S$2:$S$976,'01_원자료'!$A$2:$A$976,$A32,'01_원자료'!$B$2:$B$976,"gemini",'01_원자료'!$C$2:$C$976,"gemma")-AVERAGEIFS('01_원자료'!$S$2:$S$976,'01_원자료'!$A$2:$A$976,$A32,'01_원자료'!$B$2:$B$976,"gemini")-AVERAGEIFS('01_원자료'!$S$2:$S$976,'01_원자료'!$A$2:$A$976,$A32,'01_원자료'!$C$2:$C$976,"gemma")+AVERAGEIFS('01_원자료'!$S$2:$S$976,'01_원자료'!$A$2:$A$976,$A32)</f>
        <v/>
      </c>
      <c r="D32" s="129">
        <f>AVERAGEIFS('01_원자료'!$S$2:$S$976,'01_원자료'!$A$2:$A$976,$A32,'01_원자료'!$B$2:$B$976,"qwen3_6",'01_원자료'!$C$2:$C$976,"qwen")-AVERAGEIFS('01_원자료'!$S$2:$S$976,'01_원자료'!$A$2:$A$976,$A32,'01_원자료'!$B$2:$B$976,"qwen3_6")-AVERAGEIFS('01_원자료'!$S$2:$S$976,'01_원자료'!$A$2:$A$976,$A32,'01_원자료'!$C$2:$C$976,"qwen")+AVERAGEIFS('01_원자료'!$S$2:$S$976,'01_원자료'!$A$2:$A$976,$A32)</f>
        <v/>
      </c>
      <c r="E32" s="129">
        <f>AVERAGEIFS('01_원자료'!$S$2:$S$976,'01_원자료'!$A$2:$A$976,$A32,'01_원자료'!$B$2:$B$976,"mistral",'01_원자료'!$C$2:$C$976,"ministral")-AVERAGEIFS('01_원자료'!$S$2:$S$976,'01_원자료'!$A$2:$A$976,$A32,'01_원자료'!$B$2:$B$976,"mistral")-AVERAGEIFS('01_원자료'!$S$2:$S$976,'01_원자료'!$A$2:$A$976,$A32,'01_원자료'!$C$2:$C$976,"ministral")+AVERAGEIFS('01_원자료'!$S$2:$S$976,'01_원자료'!$A$2:$A$976,$A32)</f>
        <v/>
      </c>
      <c r="F32" s="70">
        <f>IF(C32&gt;0,1,0)</f>
        <v/>
      </c>
      <c r="G32" s="70">
        <f>IF(D32&gt;0,1,0)</f>
        <v/>
      </c>
      <c r="H32" s="70">
        <f>IF(E32&gt;0,1,0)</f>
        <v/>
      </c>
    </row>
    <row r="33" ht="15" customHeight="1" s="68">
      <c r="A33" s="83" t="inlineStr">
        <is>
          <t>PAT-29</t>
        </is>
      </c>
      <c r="B33" s="73">
        <f>IF(LEFT(A33,3)="PAT","특허","보고서")</f>
        <v/>
      </c>
      <c r="C33" s="129">
        <f>AVERAGEIFS('01_원자료'!$S$2:$S$976,'01_원자료'!$A$2:$A$976,$A33,'01_원자료'!$B$2:$B$976,"gemini",'01_원자료'!$C$2:$C$976,"gemma")-AVERAGEIFS('01_원자료'!$S$2:$S$976,'01_원자료'!$A$2:$A$976,$A33,'01_원자료'!$B$2:$B$976,"gemini")-AVERAGEIFS('01_원자료'!$S$2:$S$976,'01_원자료'!$A$2:$A$976,$A33,'01_원자료'!$C$2:$C$976,"gemma")+AVERAGEIFS('01_원자료'!$S$2:$S$976,'01_원자료'!$A$2:$A$976,$A33)</f>
        <v/>
      </c>
      <c r="D33" s="129">
        <f>AVERAGEIFS('01_원자료'!$S$2:$S$976,'01_원자료'!$A$2:$A$976,$A33,'01_원자료'!$B$2:$B$976,"qwen3_6",'01_원자료'!$C$2:$C$976,"qwen")-AVERAGEIFS('01_원자료'!$S$2:$S$976,'01_원자료'!$A$2:$A$976,$A33,'01_원자료'!$B$2:$B$976,"qwen3_6")-AVERAGEIFS('01_원자료'!$S$2:$S$976,'01_원자료'!$A$2:$A$976,$A33,'01_원자료'!$C$2:$C$976,"qwen")+AVERAGEIFS('01_원자료'!$S$2:$S$976,'01_원자료'!$A$2:$A$976,$A33)</f>
        <v/>
      </c>
      <c r="E33" s="129">
        <f>AVERAGEIFS('01_원자료'!$S$2:$S$976,'01_원자료'!$A$2:$A$976,$A33,'01_원자료'!$B$2:$B$976,"mistral",'01_원자료'!$C$2:$C$976,"ministral")-AVERAGEIFS('01_원자료'!$S$2:$S$976,'01_원자료'!$A$2:$A$976,$A33,'01_원자료'!$B$2:$B$976,"mistral")-AVERAGEIFS('01_원자료'!$S$2:$S$976,'01_원자료'!$A$2:$A$976,$A33,'01_원자료'!$C$2:$C$976,"ministral")+AVERAGEIFS('01_원자료'!$S$2:$S$976,'01_원자료'!$A$2:$A$976,$A33)</f>
        <v/>
      </c>
      <c r="F33" s="70">
        <f>IF(C33&gt;0,1,0)</f>
        <v/>
      </c>
      <c r="G33" s="70">
        <f>IF(D33&gt;0,1,0)</f>
        <v/>
      </c>
      <c r="H33" s="70">
        <f>IF(E33&gt;0,1,0)</f>
        <v/>
      </c>
    </row>
    <row r="34" ht="15" customHeight="1" s="68">
      <c r="A34" s="83" t="inlineStr">
        <is>
          <t>PAT-30</t>
        </is>
      </c>
      <c r="B34" s="73">
        <f>IF(LEFT(A34,3)="PAT","특허","보고서")</f>
        <v/>
      </c>
      <c r="C34" s="129">
        <f>AVERAGEIFS('01_원자료'!$S$2:$S$976,'01_원자료'!$A$2:$A$976,$A34,'01_원자료'!$B$2:$B$976,"gemini",'01_원자료'!$C$2:$C$976,"gemma")-AVERAGEIFS('01_원자료'!$S$2:$S$976,'01_원자료'!$A$2:$A$976,$A34,'01_원자료'!$B$2:$B$976,"gemini")-AVERAGEIFS('01_원자료'!$S$2:$S$976,'01_원자료'!$A$2:$A$976,$A34,'01_원자료'!$C$2:$C$976,"gemma")+AVERAGEIFS('01_원자료'!$S$2:$S$976,'01_원자료'!$A$2:$A$976,$A34)</f>
        <v/>
      </c>
      <c r="D34" s="129">
        <f>AVERAGEIFS('01_원자료'!$S$2:$S$976,'01_원자료'!$A$2:$A$976,$A34,'01_원자료'!$B$2:$B$976,"qwen3_6",'01_원자료'!$C$2:$C$976,"qwen")-AVERAGEIFS('01_원자료'!$S$2:$S$976,'01_원자료'!$A$2:$A$976,$A34,'01_원자료'!$B$2:$B$976,"qwen3_6")-AVERAGEIFS('01_원자료'!$S$2:$S$976,'01_원자료'!$A$2:$A$976,$A34,'01_원자료'!$C$2:$C$976,"qwen")+AVERAGEIFS('01_원자료'!$S$2:$S$976,'01_원자료'!$A$2:$A$976,$A34)</f>
        <v/>
      </c>
      <c r="E34" s="129">
        <f>AVERAGEIFS('01_원자료'!$S$2:$S$976,'01_원자료'!$A$2:$A$976,$A34,'01_원자료'!$B$2:$B$976,"mistral",'01_원자료'!$C$2:$C$976,"ministral")-AVERAGEIFS('01_원자료'!$S$2:$S$976,'01_원자료'!$A$2:$A$976,$A34,'01_원자료'!$B$2:$B$976,"mistral")-AVERAGEIFS('01_원자료'!$S$2:$S$976,'01_원자료'!$A$2:$A$976,$A34,'01_원자료'!$C$2:$C$976,"ministral")+AVERAGEIFS('01_원자료'!$S$2:$S$976,'01_원자료'!$A$2:$A$976,$A34)</f>
        <v/>
      </c>
      <c r="F34" s="70">
        <f>IF(C34&gt;0,1,0)</f>
        <v/>
      </c>
      <c r="G34" s="70">
        <f>IF(D34&gt;0,1,0)</f>
        <v/>
      </c>
      <c r="H34" s="70">
        <f>IF(E34&gt;0,1,0)</f>
        <v/>
      </c>
    </row>
    <row r="35" ht="15" customHeight="1" s="68">
      <c r="A35" s="83" t="inlineStr">
        <is>
          <t>PAT-31</t>
        </is>
      </c>
      <c r="B35" s="73">
        <f>IF(LEFT(A35,3)="PAT","특허","보고서")</f>
        <v/>
      </c>
      <c r="C35" s="129">
        <f>AVERAGEIFS('01_원자료'!$S$2:$S$976,'01_원자료'!$A$2:$A$976,$A35,'01_원자료'!$B$2:$B$976,"gemini",'01_원자료'!$C$2:$C$976,"gemma")-AVERAGEIFS('01_원자료'!$S$2:$S$976,'01_원자료'!$A$2:$A$976,$A35,'01_원자료'!$B$2:$B$976,"gemini")-AVERAGEIFS('01_원자료'!$S$2:$S$976,'01_원자료'!$A$2:$A$976,$A35,'01_원자료'!$C$2:$C$976,"gemma")+AVERAGEIFS('01_원자료'!$S$2:$S$976,'01_원자료'!$A$2:$A$976,$A35)</f>
        <v/>
      </c>
      <c r="D35" s="129">
        <f>AVERAGEIFS('01_원자료'!$S$2:$S$976,'01_원자료'!$A$2:$A$976,$A35,'01_원자료'!$B$2:$B$976,"qwen3_6",'01_원자료'!$C$2:$C$976,"qwen")-AVERAGEIFS('01_원자료'!$S$2:$S$976,'01_원자료'!$A$2:$A$976,$A35,'01_원자료'!$B$2:$B$976,"qwen3_6")-AVERAGEIFS('01_원자료'!$S$2:$S$976,'01_원자료'!$A$2:$A$976,$A35,'01_원자료'!$C$2:$C$976,"qwen")+AVERAGEIFS('01_원자료'!$S$2:$S$976,'01_원자료'!$A$2:$A$976,$A35)</f>
        <v/>
      </c>
      <c r="E35" s="129">
        <f>AVERAGEIFS('01_원자료'!$S$2:$S$976,'01_원자료'!$A$2:$A$976,$A35,'01_원자료'!$B$2:$B$976,"mistral",'01_원자료'!$C$2:$C$976,"ministral")-AVERAGEIFS('01_원자료'!$S$2:$S$976,'01_원자료'!$A$2:$A$976,$A35,'01_원자료'!$B$2:$B$976,"mistral")-AVERAGEIFS('01_원자료'!$S$2:$S$976,'01_원자료'!$A$2:$A$976,$A35,'01_원자료'!$C$2:$C$976,"ministral")+AVERAGEIFS('01_원자료'!$S$2:$S$976,'01_원자료'!$A$2:$A$976,$A35)</f>
        <v/>
      </c>
      <c r="F35" s="70">
        <f>IF(C35&gt;0,1,0)</f>
        <v/>
      </c>
      <c r="G35" s="70">
        <f>IF(D35&gt;0,1,0)</f>
        <v/>
      </c>
      <c r="H35" s="70">
        <f>IF(E35&gt;0,1,0)</f>
        <v/>
      </c>
    </row>
    <row r="36" ht="15" customHeight="1" s="68">
      <c r="A36" s="83" t="inlineStr">
        <is>
          <t>RPT-01</t>
        </is>
      </c>
      <c r="B36" s="73">
        <f>IF(LEFT(A36,3)="PAT","특허","보고서")</f>
        <v/>
      </c>
      <c r="C36" s="129">
        <f>AVERAGEIFS('01_원자료'!$S$2:$S$976,'01_원자료'!$A$2:$A$976,$A36,'01_원자료'!$B$2:$B$976,"gemini",'01_원자료'!$C$2:$C$976,"gemma")-AVERAGEIFS('01_원자료'!$S$2:$S$976,'01_원자료'!$A$2:$A$976,$A36,'01_원자료'!$B$2:$B$976,"gemini")-AVERAGEIFS('01_원자료'!$S$2:$S$976,'01_원자료'!$A$2:$A$976,$A36,'01_원자료'!$C$2:$C$976,"gemma")+AVERAGEIFS('01_원자료'!$S$2:$S$976,'01_원자료'!$A$2:$A$976,$A36)</f>
        <v/>
      </c>
      <c r="D36" s="129">
        <f>AVERAGEIFS('01_원자료'!$S$2:$S$976,'01_원자료'!$A$2:$A$976,$A36,'01_원자료'!$B$2:$B$976,"qwen3_6",'01_원자료'!$C$2:$C$976,"qwen")-AVERAGEIFS('01_원자료'!$S$2:$S$976,'01_원자료'!$A$2:$A$976,$A36,'01_원자료'!$B$2:$B$976,"qwen3_6")-AVERAGEIFS('01_원자료'!$S$2:$S$976,'01_원자료'!$A$2:$A$976,$A36,'01_원자료'!$C$2:$C$976,"qwen")+AVERAGEIFS('01_원자료'!$S$2:$S$976,'01_원자료'!$A$2:$A$976,$A36)</f>
        <v/>
      </c>
      <c r="E36" s="129">
        <f>AVERAGEIFS('01_원자료'!$S$2:$S$976,'01_원자료'!$A$2:$A$976,$A36,'01_원자료'!$B$2:$B$976,"mistral",'01_원자료'!$C$2:$C$976,"ministral")-AVERAGEIFS('01_원자료'!$S$2:$S$976,'01_원자료'!$A$2:$A$976,$A36,'01_원자료'!$B$2:$B$976,"mistral")-AVERAGEIFS('01_원자료'!$S$2:$S$976,'01_원자료'!$A$2:$A$976,$A36,'01_원자료'!$C$2:$C$976,"ministral")+AVERAGEIFS('01_원자료'!$S$2:$S$976,'01_원자료'!$A$2:$A$976,$A36)</f>
        <v/>
      </c>
      <c r="F36" s="70">
        <f>IF(C36&gt;0,1,0)</f>
        <v/>
      </c>
      <c r="G36" s="70">
        <f>IF(D36&gt;0,1,0)</f>
        <v/>
      </c>
      <c r="H36" s="70">
        <f>IF(E36&gt;0,1,0)</f>
        <v/>
      </c>
    </row>
    <row r="37" ht="15" customHeight="1" s="68">
      <c r="A37" s="83" t="inlineStr">
        <is>
          <t>RPT-02</t>
        </is>
      </c>
      <c r="B37" s="73">
        <f>IF(LEFT(A37,3)="PAT","특허","보고서")</f>
        <v/>
      </c>
      <c r="C37" s="129">
        <f>AVERAGEIFS('01_원자료'!$S$2:$S$976,'01_원자료'!$A$2:$A$976,$A37,'01_원자료'!$B$2:$B$976,"gemini",'01_원자료'!$C$2:$C$976,"gemma")-AVERAGEIFS('01_원자료'!$S$2:$S$976,'01_원자료'!$A$2:$A$976,$A37,'01_원자료'!$B$2:$B$976,"gemini")-AVERAGEIFS('01_원자료'!$S$2:$S$976,'01_원자료'!$A$2:$A$976,$A37,'01_원자료'!$C$2:$C$976,"gemma")+AVERAGEIFS('01_원자료'!$S$2:$S$976,'01_원자료'!$A$2:$A$976,$A37)</f>
        <v/>
      </c>
      <c r="D37" s="129">
        <f>AVERAGEIFS('01_원자료'!$S$2:$S$976,'01_원자료'!$A$2:$A$976,$A37,'01_원자료'!$B$2:$B$976,"qwen3_6",'01_원자료'!$C$2:$C$976,"qwen")-AVERAGEIFS('01_원자료'!$S$2:$S$976,'01_원자료'!$A$2:$A$976,$A37,'01_원자료'!$B$2:$B$976,"qwen3_6")-AVERAGEIFS('01_원자료'!$S$2:$S$976,'01_원자료'!$A$2:$A$976,$A37,'01_원자료'!$C$2:$C$976,"qwen")+AVERAGEIFS('01_원자료'!$S$2:$S$976,'01_원자료'!$A$2:$A$976,$A37)</f>
        <v/>
      </c>
      <c r="E37" s="129">
        <f>AVERAGEIFS('01_원자료'!$S$2:$S$976,'01_원자료'!$A$2:$A$976,$A37,'01_원자료'!$B$2:$B$976,"mistral",'01_원자료'!$C$2:$C$976,"ministral")-AVERAGEIFS('01_원자료'!$S$2:$S$976,'01_원자료'!$A$2:$A$976,$A37,'01_원자료'!$B$2:$B$976,"mistral")-AVERAGEIFS('01_원자료'!$S$2:$S$976,'01_원자료'!$A$2:$A$976,$A37,'01_원자료'!$C$2:$C$976,"ministral")+AVERAGEIFS('01_원자료'!$S$2:$S$976,'01_원자료'!$A$2:$A$976,$A37)</f>
        <v/>
      </c>
      <c r="F37" s="70">
        <f>IF(C37&gt;0,1,0)</f>
        <v/>
      </c>
      <c r="G37" s="70">
        <f>IF(D37&gt;0,1,0)</f>
        <v/>
      </c>
      <c r="H37" s="70">
        <f>IF(E37&gt;0,1,0)</f>
        <v/>
      </c>
    </row>
    <row r="38" ht="15" customHeight="1" s="68">
      <c r="A38" s="83" t="inlineStr">
        <is>
          <t>RPT-03</t>
        </is>
      </c>
      <c r="B38" s="73">
        <f>IF(LEFT(A38,3)="PAT","특허","보고서")</f>
        <v/>
      </c>
      <c r="C38" s="129">
        <f>AVERAGEIFS('01_원자료'!$S$2:$S$976,'01_원자료'!$A$2:$A$976,$A38,'01_원자료'!$B$2:$B$976,"gemini",'01_원자료'!$C$2:$C$976,"gemma")-AVERAGEIFS('01_원자료'!$S$2:$S$976,'01_원자료'!$A$2:$A$976,$A38,'01_원자료'!$B$2:$B$976,"gemini")-AVERAGEIFS('01_원자료'!$S$2:$S$976,'01_원자료'!$A$2:$A$976,$A38,'01_원자료'!$C$2:$C$976,"gemma")+AVERAGEIFS('01_원자료'!$S$2:$S$976,'01_원자료'!$A$2:$A$976,$A38)</f>
        <v/>
      </c>
      <c r="D38" s="129">
        <f>AVERAGEIFS('01_원자료'!$S$2:$S$976,'01_원자료'!$A$2:$A$976,$A38,'01_원자료'!$B$2:$B$976,"qwen3_6",'01_원자료'!$C$2:$C$976,"qwen")-AVERAGEIFS('01_원자료'!$S$2:$S$976,'01_원자료'!$A$2:$A$976,$A38,'01_원자료'!$B$2:$B$976,"qwen3_6")-AVERAGEIFS('01_원자료'!$S$2:$S$976,'01_원자료'!$A$2:$A$976,$A38,'01_원자료'!$C$2:$C$976,"qwen")+AVERAGEIFS('01_원자료'!$S$2:$S$976,'01_원자료'!$A$2:$A$976,$A38)</f>
        <v/>
      </c>
      <c r="E38" s="129">
        <f>AVERAGEIFS('01_원자료'!$S$2:$S$976,'01_원자료'!$A$2:$A$976,$A38,'01_원자료'!$B$2:$B$976,"mistral",'01_원자료'!$C$2:$C$976,"ministral")-AVERAGEIFS('01_원자료'!$S$2:$S$976,'01_원자료'!$A$2:$A$976,$A38,'01_원자료'!$B$2:$B$976,"mistral")-AVERAGEIFS('01_원자료'!$S$2:$S$976,'01_원자료'!$A$2:$A$976,$A38,'01_원자료'!$C$2:$C$976,"ministral")+AVERAGEIFS('01_원자료'!$S$2:$S$976,'01_원자료'!$A$2:$A$976,$A38)</f>
        <v/>
      </c>
      <c r="F38" s="70">
        <f>IF(C38&gt;0,1,0)</f>
        <v/>
      </c>
      <c r="G38" s="70">
        <f>IF(D38&gt;0,1,0)</f>
        <v/>
      </c>
      <c r="H38" s="70">
        <f>IF(E38&gt;0,1,0)</f>
        <v/>
      </c>
    </row>
    <row r="39" ht="15" customHeight="1" s="68">
      <c r="A39" s="83" t="inlineStr">
        <is>
          <t>RPT-04</t>
        </is>
      </c>
      <c r="B39" s="73">
        <f>IF(LEFT(A39,3)="PAT","특허","보고서")</f>
        <v/>
      </c>
      <c r="C39" s="129">
        <f>AVERAGEIFS('01_원자료'!$S$2:$S$976,'01_원자료'!$A$2:$A$976,$A39,'01_원자료'!$B$2:$B$976,"gemini",'01_원자료'!$C$2:$C$976,"gemma")-AVERAGEIFS('01_원자료'!$S$2:$S$976,'01_원자료'!$A$2:$A$976,$A39,'01_원자료'!$B$2:$B$976,"gemini")-AVERAGEIFS('01_원자료'!$S$2:$S$976,'01_원자료'!$A$2:$A$976,$A39,'01_원자료'!$C$2:$C$976,"gemma")+AVERAGEIFS('01_원자료'!$S$2:$S$976,'01_원자료'!$A$2:$A$976,$A39)</f>
        <v/>
      </c>
      <c r="D39" s="129">
        <f>AVERAGEIFS('01_원자료'!$S$2:$S$976,'01_원자료'!$A$2:$A$976,$A39,'01_원자료'!$B$2:$B$976,"qwen3_6",'01_원자료'!$C$2:$C$976,"qwen")-AVERAGEIFS('01_원자료'!$S$2:$S$976,'01_원자료'!$A$2:$A$976,$A39,'01_원자료'!$B$2:$B$976,"qwen3_6")-AVERAGEIFS('01_원자료'!$S$2:$S$976,'01_원자료'!$A$2:$A$976,$A39,'01_원자료'!$C$2:$C$976,"qwen")+AVERAGEIFS('01_원자료'!$S$2:$S$976,'01_원자료'!$A$2:$A$976,$A39)</f>
        <v/>
      </c>
      <c r="E39" s="129">
        <f>AVERAGEIFS('01_원자료'!$S$2:$S$976,'01_원자료'!$A$2:$A$976,$A39,'01_원자료'!$B$2:$B$976,"mistral",'01_원자료'!$C$2:$C$976,"ministral")-AVERAGEIFS('01_원자료'!$S$2:$S$976,'01_원자료'!$A$2:$A$976,$A39,'01_원자료'!$B$2:$B$976,"mistral")-AVERAGEIFS('01_원자료'!$S$2:$S$976,'01_원자료'!$A$2:$A$976,$A39,'01_원자료'!$C$2:$C$976,"ministral")+AVERAGEIFS('01_원자료'!$S$2:$S$976,'01_원자료'!$A$2:$A$976,$A39)</f>
        <v/>
      </c>
      <c r="F39" s="70">
        <f>IF(C39&gt;0,1,0)</f>
        <v/>
      </c>
      <c r="G39" s="70">
        <f>IF(D39&gt;0,1,0)</f>
        <v/>
      </c>
      <c r="H39" s="70">
        <f>IF(E39&gt;0,1,0)</f>
        <v/>
      </c>
    </row>
    <row r="40" ht="15" customHeight="1" s="68">
      <c r="A40" s="83" t="inlineStr">
        <is>
          <t>RPT-05</t>
        </is>
      </c>
      <c r="B40" s="73">
        <f>IF(LEFT(A40,3)="PAT","특허","보고서")</f>
        <v/>
      </c>
      <c r="C40" s="129">
        <f>AVERAGEIFS('01_원자료'!$S$2:$S$976,'01_원자료'!$A$2:$A$976,$A40,'01_원자료'!$B$2:$B$976,"gemini",'01_원자료'!$C$2:$C$976,"gemma")-AVERAGEIFS('01_원자료'!$S$2:$S$976,'01_원자료'!$A$2:$A$976,$A40,'01_원자료'!$B$2:$B$976,"gemini")-AVERAGEIFS('01_원자료'!$S$2:$S$976,'01_원자료'!$A$2:$A$976,$A40,'01_원자료'!$C$2:$C$976,"gemma")+AVERAGEIFS('01_원자료'!$S$2:$S$976,'01_원자료'!$A$2:$A$976,$A40)</f>
        <v/>
      </c>
      <c r="D40" s="129">
        <f>AVERAGEIFS('01_원자료'!$S$2:$S$976,'01_원자료'!$A$2:$A$976,$A40,'01_원자료'!$B$2:$B$976,"qwen3_6",'01_원자료'!$C$2:$C$976,"qwen")-AVERAGEIFS('01_원자료'!$S$2:$S$976,'01_원자료'!$A$2:$A$976,$A40,'01_원자료'!$B$2:$B$976,"qwen3_6")-AVERAGEIFS('01_원자료'!$S$2:$S$976,'01_원자료'!$A$2:$A$976,$A40,'01_원자료'!$C$2:$C$976,"qwen")+AVERAGEIFS('01_원자료'!$S$2:$S$976,'01_원자료'!$A$2:$A$976,$A40)</f>
        <v/>
      </c>
      <c r="E40" s="129">
        <f>AVERAGEIFS('01_원자료'!$S$2:$S$976,'01_원자료'!$A$2:$A$976,$A40,'01_원자료'!$B$2:$B$976,"mistral",'01_원자료'!$C$2:$C$976,"ministral")-AVERAGEIFS('01_원자료'!$S$2:$S$976,'01_원자료'!$A$2:$A$976,$A40,'01_원자료'!$B$2:$B$976,"mistral")-AVERAGEIFS('01_원자료'!$S$2:$S$976,'01_원자료'!$A$2:$A$976,$A40,'01_원자료'!$C$2:$C$976,"ministral")+AVERAGEIFS('01_원자료'!$S$2:$S$976,'01_원자료'!$A$2:$A$976,$A40)</f>
        <v/>
      </c>
      <c r="F40" s="70">
        <f>IF(C40&gt;0,1,0)</f>
        <v/>
      </c>
      <c r="G40" s="70">
        <f>IF(D40&gt;0,1,0)</f>
        <v/>
      </c>
      <c r="H40" s="70">
        <f>IF(E40&gt;0,1,0)</f>
        <v/>
      </c>
    </row>
    <row r="41" ht="15" customHeight="1" s="68">
      <c r="A41" s="83" t="inlineStr">
        <is>
          <t>RPT-06</t>
        </is>
      </c>
      <c r="B41" s="73">
        <f>IF(LEFT(A41,3)="PAT","특허","보고서")</f>
        <v/>
      </c>
      <c r="C41" s="129">
        <f>AVERAGEIFS('01_원자료'!$S$2:$S$976,'01_원자료'!$A$2:$A$976,$A41,'01_원자료'!$B$2:$B$976,"gemini",'01_원자료'!$C$2:$C$976,"gemma")-AVERAGEIFS('01_원자료'!$S$2:$S$976,'01_원자료'!$A$2:$A$976,$A41,'01_원자료'!$B$2:$B$976,"gemini")-AVERAGEIFS('01_원자료'!$S$2:$S$976,'01_원자료'!$A$2:$A$976,$A41,'01_원자료'!$C$2:$C$976,"gemma")+AVERAGEIFS('01_원자료'!$S$2:$S$976,'01_원자료'!$A$2:$A$976,$A41)</f>
        <v/>
      </c>
      <c r="D41" s="129">
        <f>AVERAGEIFS('01_원자료'!$S$2:$S$976,'01_원자료'!$A$2:$A$976,$A41,'01_원자료'!$B$2:$B$976,"qwen3_6",'01_원자료'!$C$2:$C$976,"qwen")-AVERAGEIFS('01_원자료'!$S$2:$S$976,'01_원자료'!$A$2:$A$976,$A41,'01_원자료'!$B$2:$B$976,"qwen3_6")-AVERAGEIFS('01_원자료'!$S$2:$S$976,'01_원자료'!$A$2:$A$976,$A41,'01_원자료'!$C$2:$C$976,"qwen")+AVERAGEIFS('01_원자료'!$S$2:$S$976,'01_원자료'!$A$2:$A$976,$A41)</f>
        <v/>
      </c>
      <c r="E41" s="129">
        <f>AVERAGEIFS('01_원자료'!$S$2:$S$976,'01_원자료'!$A$2:$A$976,$A41,'01_원자료'!$B$2:$B$976,"mistral",'01_원자료'!$C$2:$C$976,"ministral")-AVERAGEIFS('01_원자료'!$S$2:$S$976,'01_원자료'!$A$2:$A$976,$A41,'01_원자료'!$B$2:$B$976,"mistral")-AVERAGEIFS('01_원자료'!$S$2:$S$976,'01_원자료'!$A$2:$A$976,$A41,'01_원자료'!$C$2:$C$976,"ministral")+AVERAGEIFS('01_원자료'!$S$2:$S$976,'01_원자료'!$A$2:$A$976,$A41)</f>
        <v/>
      </c>
      <c r="F41" s="70">
        <f>IF(C41&gt;0,1,0)</f>
        <v/>
      </c>
      <c r="G41" s="70">
        <f>IF(D41&gt;0,1,0)</f>
        <v/>
      </c>
      <c r="H41" s="70">
        <f>IF(E41&gt;0,1,0)</f>
        <v/>
      </c>
    </row>
    <row r="42" ht="15" customHeight="1" s="68">
      <c r="A42" s="83" t="inlineStr">
        <is>
          <t>RPT-07</t>
        </is>
      </c>
      <c r="B42" s="73">
        <f>IF(LEFT(A42,3)="PAT","특허","보고서")</f>
        <v/>
      </c>
      <c r="C42" s="129">
        <f>AVERAGEIFS('01_원자료'!$S$2:$S$976,'01_원자료'!$A$2:$A$976,$A42,'01_원자료'!$B$2:$B$976,"gemini",'01_원자료'!$C$2:$C$976,"gemma")-AVERAGEIFS('01_원자료'!$S$2:$S$976,'01_원자료'!$A$2:$A$976,$A42,'01_원자료'!$B$2:$B$976,"gemini")-AVERAGEIFS('01_원자료'!$S$2:$S$976,'01_원자료'!$A$2:$A$976,$A42,'01_원자료'!$C$2:$C$976,"gemma")+AVERAGEIFS('01_원자료'!$S$2:$S$976,'01_원자료'!$A$2:$A$976,$A42)</f>
        <v/>
      </c>
      <c r="D42" s="129">
        <f>AVERAGEIFS('01_원자료'!$S$2:$S$976,'01_원자료'!$A$2:$A$976,$A42,'01_원자료'!$B$2:$B$976,"qwen3_6",'01_원자료'!$C$2:$C$976,"qwen")-AVERAGEIFS('01_원자료'!$S$2:$S$976,'01_원자료'!$A$2:$A$976,$A42,'01_원자료'!$B$2:$B$976,"qwen3_6")-AVERAGEIFS('01_원자료'!$S$2:$S$976,'01_원자료'!$A$2:$A$976,$A42,'01_원자료'!$C$2:$C$976,"qwen")+AVERAGEIFS('01_원자료'!$S$2:$S$976,'01_원자료'!$A$2:$A$976,$A42)</f>
        <v/>
      </c>
      <c r="E42" s="129">
        <f>AVERAGEIFS('01_원자료'!$S$2:$S$976,'01_원자료'!$A$2:$A$976,$A42,'01_원자료'!$B$2:$B$976,"mistral",'01_원자료'!$C$2:$C$976,"ministral")-AVERAGEIFS('01_원자료'!$S$2:$S$976,'01_원자료'!$A$2:$A$976,$A42,'01_원자료'!$B$2:$B$976,"mistral")-AVERAGEIFS('01_원자료'!$S$2:$S$976,'01_원자료'!$A$2:$A$976,$A42,'01_원자료'!$C$2:$C$976,"ministral")+AVERAGEIFS('01_원자료'!$S$2:$S$976,'01_원자료'!$A$2:$A$976,$A42)</f>
        <v/>
      </c>
      <c r="F42" s="70">
        <f>IF(C42&gt;0,1,0)</f>
        <v/>
      </c>
      <c r="G42" s="70">
        <f>IF(D42&gt;0,1,0)</f>
        <v/>
      </c>
      <c r="H42" s="70">
        <f>IF(E42&gt;0,1,0)</f>
        <v/>
      </c>
    </row>
    <row r="43" ht="15" customHeight="1" s="68">
      <c r="A43" s="83" t="inlineStr">
        <is>
          <t>RPT-08</t>
        </is>
      </c>
      <c r="B43" s="73">
        <f>IF(LEFT(A43,3)="PAT","특허","보고서")</f>
        <v/>
      </c>
      <c r="C43" s="129">
        <f>AVERAGEIFS('01_원자료'!$S$2:$S$976,'01_원자료'!$A$2:$A$976,$A43,'01_원자료'!$B$2:$B$976,"gemini",'01_원자료'!$C$2:$C$976,"gemma")-AVERAGEIFS('01_원자료'!$S$2:$S$976,'01_원자료'!$A$2:$A$976,$A43,'01_원자료'!$B$2:$B$976,"gemini")-AVERAGEIFS('01_원자료'!$S$2:$S$976,'01_원자료'!$A$2:$A$976,$A43,'01_원자료'!$C$2:$C$976,"gemma")+AVERAGEIFS('01_원자료'!$S$2:$S$976,'01_원자료'!$A$2:$A$976,$A43)</f>
        <v/>
      </c>
      <c r="D43" s="129">
        <f>AVERAGEIFS('01_원자료'!$S$2:$S$976,'01_원자료'!$A$2:$A$976,$A43,'01_원자료'!$B$2:$B$976,"qwen3_6",'01_원자료'!$C$2:$C$976,"qwen")-AVERAGEIFS('01_원자료'!$S$2:$S$976,'01_원자료'!$A$2:$A$976,$A43,'01_원자료'!$B$2:$B$976,"qwen3_6")-AVERAGEIFS('01_원자료'!$S$2:$S$976,'01_원자료'!$A$2:$A$976,$A43,'01_원자료'!$C$2:$C$976,"qwen")+AVERAGEIFS('01_원자료'!$S$2:$S$976,'01_원자료'!$A$2:$A$976,$A43)</f>
        <v/>
      </c>
      <c r="E43" s="129">
        <f>AVERAGEIFS('01_원자료'!$S$2:$S$976,'01_원자료'!$A$2:$A$976,$A43,'01_원자료'!$B$2:$B$976,"mistral",'01_원자료'!$C$2:$C$976,"ministral")-AVERAGEIFS('01_원자료'!$S$2:$S$976,'01_원자료'!$A$2:$A$976,$A43,'01_원자료'!$B$2:$B$976,"mistral")-AVERAGEIFS('01_원자료'!$S$2:$S$976,'01_원자료'!$A$2:$A$976,$A43,'01_원자료'!$C$2:$C$976,"ministral")+AVERAGEIFS('01_원자료'!$S$2:$S$976,'01_원자료'!$A$2:$A$976,$A43)</f>
        <v/>
      </c>
      <c r="F43" s="70">
        <f>IF(C43&gt;0,1,0)</f>
        <v/>
      </c>
      <c r="G43" s="70">
        <f>IF(D43&gt;0,1,0)</f>
        <v/>
      </c>
      <c r="H43" s="70">
        <f>IF(E43&gt;0,1,0)</f>
        <v/>
      </c>
    </row>
    <row r="44" ht="15" customHeight="1" s="68">
      <c r="A44" s="83" t="inlineStr">
        <is>
          <t>RPT-09</t>
        </is>
      </c>
      <c r="B44" s="73">
        <f>IF(LEFT(A44,3)="PAT","특허","보고서")</f>
        <v/>
      </c>
      <c r="C44" s="129">
        <f>AVERAGEIFS('01_원자료'!$S$2:$S$976,'01_원자료'!$A$2:$A$976,$A44,'01_원자료'!$B$2:$B$976,"gemini",'01_원자료'!$C$2:$C$976,"gemma")-AVERAGEIFS('01_원자료'!$S$2:$S$976,'01_원자료'!$A$2:$A$976,$A44,'01_원자료'!$B$2:$B$976,"gemini")-AVERAGEIFS('01_원자료'!$S$2:$S$976,'01_원자료'!$A$2:$A$976,$A44,'01_원자료'!$C$2:$C$976,"gemma")+AVERAGEIFS('01_원자료'!$S$2:$S$976,'01_원자료'!$A$2:$A$976,$A44)</f>
        <v/>
      </c>
      <c r="D44" s="129">
        <f>AVERAGEIFS('01_원자료'!$S$2:$S$976,'01_원자료'!$A$2:$A$976,$A44,'01_원자료'!$B$2:$B$976,"qwen3_6",'01_원자료'!$C$2:$C$976,"qwen")-AVERAGEIFS('01_원자료'!$S$2:$S$976,'01_원자료'!$A$2:$A$976,$A44,'01_원자료'!$B$2:$B$976,"qwen3_6")-AVERAGEIFS('01_원자료'!$S$2:$S$976,'01_원자료'!$A$2:$A$976,$A44,'01_원자료'!$C$2:$C$976,"qwen")+AVERAGEIFS('01_원자료'!$S$2:$S$976,'01_원자료'!$A$2:$A$976,$A44)</f>
        <v/>
      </c>
      <c r="E44" s="129">
        <f>AVERAGEIFS('01_원자료'!$S$2:$S$976,'01_원자료'!$A$2:$A$976,$A44,'01_원자료'!$B$2:$B$976,"mistral",'01_원자료'!$C$2:$C$976,"ministral")-AVERAGEIFS('01_원자료'!$S$2:$S$976,'01_원자료'!$A$2:$A$976,$A44,'01_원자료'!$B$2:$B$976,"mistral")-AVERAGEIFS('01_원자료'!$S$2:$S$976,'01_원자료'!$A$2:$A$976,$A44,'01_원자료'!$C$2:$C$976,"ministral")+AVERAGEIFS('01_원자료'!$S$2:$S$976,'01_원자료'!$A$2:$A$976,$A44)</f>
        <v/>
      </c>
      <c r="F44" s="70">
        <f>IF(C44&gt;0,1,0)</f>
        <v/>
      </c>
      <c r="G44" s="70">
        <f>IF(D44&gt;0,1,0)</f>
        <v/>
      </c>
      <c r="H44" s="70">
        <f>IF(E44&gt;0,1,0)</f>
        <v/>
      </c>
    </row>
    <row r="45" ht="15" customHeight="1" s="68">
      <c r="A45" s="83" t="inlineStr">
        <is>
          <t>RPT-10</t>
        </is>
      </c>
      <c r="B45" s="73">
        <f>IF(LEFT(A45,3)="PAT","특허","보고서")</f>
        <v/>
      </c>
      <c r="C45" s="129">
        <f>AVERAGEIFS('01_원자료'!$S$2:$S$976,'01_원자료'!$A$2:$A$976,$A45,'01_원자료'!$B$2:$B$976,"gemini",'01_원자료'!$C$2:$C$976,"gemma")-AVERAGEIFS('01_원자료'!$S$2:$S$976,'01_원자료'!$A$2:$A$976,$A45,'01_원자료'!$B$2:$B$976,"gemini")-AVERAGEIFS('01_원자료'!$S$2:$S$976,'01_원자료'!$A$2:$A$976,$A45,'01_원자료'!$C$2:$C$976,"gemma")+AVERAGEIFS('01_원자료'!$S$2:$S$976,'01_원자료'!$A$2:$A$976,$A45)</f>
        <v/>
      </c>
      <c r="D45" s="129">
        <f>AVERAGEIFS('01_원자료'!$S$2:$S$976,'01_원자료'!$A$2:$A$976,$A45,'01_원자료'!$B$2:$B$976,"qwen3_6",'01_원자료'!$C$2:$C$976,"qwen")-AVERAGEIFS('01_원자료'!$S$2:$S$976,'01_원자료'!$A$2:$A$976,$A45,'01_원자료'!$B$2:$B$976,"qwen3_6")-AVERAGEIFS('01_원자료'!$S$2:$S$976,'01_원자료'!$A$2:$A$976,$A45,'01_원자료'!$C$2:$C$976,"qwen")+AVERAGEIFS('01_원자료'!$S$2:$S$976,'01_원자료'!$A$2:$A$976,$A45)</f>
        <v/>
      </c>
      <c r="E45" s="129">
        <f>AVERAGEIFS('01_원자료'!$S$2:$S$976,'01_원자료'!$A$2:$A$976,$A45,'01_원자료'!$B$2:$B$976,"mistral",'01_원자료'!$C$2:$C$976,"ministral")-AVERAGEIFS('01_원자료'!$S$2:$S$976,'01_원자료'!$A$2:$A$976,$A45,'01_원자료'!$B$2:$B$976,"mistral")-AVERAGEIFS('01_원자료'!$S$2:$S$976,'01_원자료'!$A$2:$A$976,$A45,'01_원자료'!$C$2:$C$976,"ministral")+AVERAGEIFS('01_원자료'!$S$2:$S$976,'01_원자료'!$A$2:$A$976,$A45)</f>
        <v/>
      </c>
      <c r="F45" s="70">
        <f>IF(C45&gt;0,1,0)</f>
        <v/>
      </c>
      <c r="G45" s="70">
        <f>IF(D45&gt;0,1,0)</f>
        <v/>
      </c>
      <c r="H45" s="70">
        <f>IF(E45&gt;0,1,0)</f>
        <v/>
      </c>
    </row>
    <row r="46" ht="15" customHeight="1" s="68">
      <c r="A46" s="83" t="inlineStr">
        <is>
          <t>RPT-11</t>
        </is>
      </c>
      <c r="B46" s="73">
        <f>IF(LEFT(A46,3)="PAT","특허","보고서")</f>
        <v/>
      </c>
      <c r="C46" s="129">
        <f>AVERAGEIFS('01_원자료'!$S$2:$S$976,'01_원자료'!$A$2:$A$976,$A46,'01_원자료'!$B$2:$B$976,"gemini",'01_원자료'!$C$2:$C$976,"gemma")-AVERAGEIFS('01_원자료'!$S$2:$S$976,'01_원자료'!$A$2:$A$976,$A46,'01_원자료'!$B$2:$B$976,"gemini")-AVERAGEIFS('01_원자료'!$S$2:$S$976,'01_원자료'!$A$2:$A$976,$A46,'01_원자료'!$C$2:$C$976,"gemma")+AVERAGEIFS('01_원자료'!$S$2:$S$976,'01_원자료'!$A$2:$A$976,$A46)</f>
        <v/>
      </c>
      <c r="D46" s="129">
        <f>AVERAGEIFS('01_원자료'!$S$2:$S$976,'01_원자료'!$A$2:$A$976,$A46,'01_원자료'!$B$2:$B$976,"qwen3_6",'01_원자료'!$C$2:$C$976,"qwen")-AVERAGEIFS('01_원자료'!$S$2:$S$976,'01_원자료'!$A$2:$A$976,$A46,'01_원자료'!$B$2:$B$976,"qwen3_6")-AVERAGEIFS('01_원자료'!$S$2:$S$976,'01_원자료'!$A$2:$A$976,$A46,'01_원자료'!$C$2:$C$976,"qwen")+AVERAGEIFS('01_원자료'!$S$2:$S$976,'01_원자료'!$A$2:$A$976,$A46)</f>
        <v/>
      </c>
      <c r="E46" s="129">
        <f>AVERAGEIFS('01_원자료'!$S$2:$S$976,'01_원자료'!$A$2:$A$976,$A46,'01_원자료'!$B$2:$B$976,"mistral",'01_원자료'!$C$2:$C$976,"ministral")-AVERAGEIFS('01_원자료'!$S$2:$S$976,'01_원자료'!$A$2:$A$976,$A46,'01_원자료'!$B$2:$B$976,"mistral")-AVERAGEIFS('01_원자료'!$S$2:$S$976,'01_원자료'!$A$2:$A$976,$A46,'01_원자료'!$C$2:$C$976,"ministral")+AVERAGEIFS('01_원자료'!$S$2:$S$976,'01_원자료'!$A$2:$A$976,$A46)</f>
        <v/>
      </c>
      <c r="F46" s="70">
        <f>IF(C46&gt;0,1,0)</f>
        <v/>
      </c>
      <c r="G46" s="70">
        <f>IF(D46&gt;0,1,0)</f>
        <v/>
      </c>
      <c r="H46" s="70">
        <f>IF(E46&gt;0,1,0)</f>
        <v/>
      </c>
    </row>
    <row r="47" ht="15" customHeight="1" s="68">
      <c r="A47" s="83" t="inlineStr">
        <is>
          <t>RPT-12</t>
        </is>
      </c>
      <c r="B47" s="73">
        <f>IF(LEFT(A47,3)="PAT","특허","보고서")</f>
        <v/>
      </c>
      <c r="C47" s="129">
        <f>AVERAGEIFS('01_원자료'!$S$2:$S$976,'01_원자료'!$A$2:$A$976,$A47,'01_원자료'!$B$2:$B$976,"gemini",'01_원자료'!$C$2:$C$976,"gemma")-AVERAGEIFS('01_원자료'!$S$2:$S$976,'01_원자료'!$A$2:$A$976,$A47,'01_원자료'!$B$2:$B$976,"gemini")-AVERAGEIFS('01_원자료'!$S$2:$S$976,'01_원자료'!$A$2:$A$976,$A47,'01_원자료'!$C$2:$C$976,"gemma")+AVERAGEIFS('01_원자료'!$S$2:$S$976,'01_원자료'!$A$2:$A$976,$A47)</f>
        <v/>
      </c>
      <c r="D47" s="129">
        <f>AVERAGEIFS('01_원자료'!$S$2:$S$976,'01_원자료'!$A$2:$A$976,$A47,'01_원자료'!$B$2:$B$976,"qwen3_6",'01_원자료'!$C$2:$C$976,"qwen")-AVERAGEIFS('01_원자료'!$S$2:$S$976,'01_원자료'!$A$2:$A$976,$A47,'01_원자료'!$B$2:$B$976,"qwen3_6")-AVERAGEIFS('01_원자료'!$S$2:$S$976,'01_원자료'!$A$2:$A$976,$A47,'01_원자료'!$C$2:$C$976,"qwen")+AVERAGEIFS('01_원자료'!$S$2:$S$976,'01_원자료'!$A$2:$A$976,$A47)</f>
        <v/>
      </c>
      <c r="E47" s="129">
        <f>AVERAGEIFS('01_원자료'!$S$2:$S$976,'01_원자료'!$A$2:$A$976,$A47,'01_원자료'!$B$2:$B$976,"mistral",'01_원자료'!$C$2:$C$976,"ministral")-AVERAGEIFS('01_원자료'!$S$2:$S$976,'01_원자료'!$A$2:$A$976,$A47,'01_원자료'!$B$2:$B$976,"mistral")-AVERAGEIFS('01_원자료'!$S$2:$S$976,'01_원자료'!$A$2:$A$976,$A47,'01_원자료'!$C$2:$C$976,"ministral")+AVERAGEIFS('01_원자료'!$S$2:$S$976,'01_원자료'!$A$2:$A$976,$A47)</f>
        <v/>
      </c>
      <c r="F47" s="70">
        <f>IF(C47&gt;0,1,0)</f>
        <v/>
      </c>
      <c r="G47" s="70">
        <f>IF(D47&gt;0,1,0)</f>
        <v/>
      </c>
      <c r="H47" s="70">
        <f>IF(E47&gt;0,1,0)</f>
        <v/>
      </c>
    </row>
    <row r="48" ht="15" customHeight="1" s="68">
      <c r="A48" s="83" t="inlineStr">
        <is>
          <t>RPT-13</t>
        </is>
      </c>
      <c r="B48" s="73">
        <f>IF(LEFT(A48,3)="PAT","특허","보고서")</f>
        <v/>
      </c>
      <c r="C48" s="129">
        <f>AVERAGEIFS('01_원자료'!$S$2:$S$976,'01_원자료'!$A$2:$A$976,$A48,'01_원자료'!$B$2:$B$976,"gemini",'01_원자료'!$C$2:$C$976,"gemma")-AVERAGEIFS('01_원자료'!$S$2:$S$976,'01_원자료'!$A$2:$A$976,$A48,'01_원자료'!$B$2:$B$976,"gemini")-AVERAGEIFS('01_원자료'!$S$2:$S$976,'01_원자료'!$A$2:$A$976,$A48,'01_원자료'!$C$2:$C$976,"gemma")+AVERAGEIFS('01_원자료'!$S$2:$S$976,'01_원자료'!$A$2:$A$976,$A48)</f>
        <v/>
      </c>
      <c r="D48" s="129">
        <f>AVERAGEIFS('01_원자료'!$S$2:$S$976,'01_원자료'!$A$2:$A$976,$A48,'01_원자료'!$B$2:$B$976,"qwen3_6",'01_원자료'!$C$2:$C$976,"qwen")-AVERAGEIFS('01_원자료'!$S$2:$S$976,'01_원자료'!$A$2:$A$976,$A48,'01_원자료'!$B$2:$B$976,"qwen3_6")-AVERAGEIFS('01_원자료'!$S$2:$S$976,'01_원자료'!$A$2:$A$976,$A48,'01_원자료'!$C$2:$C$976,"qwen")+AVERAGEIFS('01_원자료'!$S$2:$S$976,'01_원자료'!$A$2:$A$976,$A48)</f>
        <v/>
      </c>
      <c r="E48" s="129">
        <f>AVERAGEIFS('01_원자료'!$S$2:$S$976,'01_원자료'!$A$2:$A$976,$A48,'01_원자료'!$B$2:$B$976,"mistral",'01_원자료'!$C$2:$C$976,"ministral")-AVERAGEIFS('01_원자료'!$S$2:$S$976,'01_원자료'!$A$2:$A$976,$A48,'01_원자료'!$B$2:$B$976,"mistral")-AVERAGEIFS('01_원자료'!$S$2:$S$976,'01_원자료'!$A$2:$A$976,$A48,'01_원자료'!$C$2:$C$976,"ministral")+AVERAGEIFS('01_원자료'!$S$2:$S$976,'01_원자료'!$A$2:$A$976,$A48)</f>
        <v/>
      </c>
      <c r="F48" s="70">
        <f>IF(C48&gt;0,1,0)</f>
        <v/>
      </c>
      <c r="G48" s="70">
        <f>IF(D48&gt;0,1,0)</f>
        <v/>
      </c>
      <c r="H48" s="70">
        <f>IF(E48&gt;0,1,0)</f>
        <v/>
      </c>
    </row>
    <row r="49" ht="15" customHeight="1" s="68">
      <c r="A49" s="83" t="inlineStr">
        <is>
          <t>RPT-14</t>
        </is>
      </c>
      <c r="B49" s="73">
        <f>IF(LEFT(A49,3)="PAT","특허","보고서")</f>
        <v/>
      </c>
      <c r="C49" s="129">
        <f>AVERAGEIFS('01_원자료'!$S$2:$S$976,'01_원자료'!$A$2:$A$976,$A49,'01_원자료'!$B$2:$B$976,"gemini",'01_원자료'!$C$2:$C$976,"gemma")-AVERAGEIFS('01_원자료'!$S$2:$S$976,'01_원자료'!$A$2:$A$976,$A49,'01_원자료'!$B$2:$B$976,"gemini")-AVERAGEIFS('01_원자료'!$S$2:$S$976,'01_원자료'!$A$2:$A$976,$A49,'01_원자료'!$C$2:$C$976,"gemma")+AVERAGEIFS('01_원자료'!$S$2:$S$976,'01_원자료'!$A$2:$A$976,$A49)</f>
        <v/>
      </c>
      <c r="D49" s="129">
        <f>AVERAGEIFS('01_원자료'!$S$2:$S$976,'01_원자료'!$A$2:$A$976,$A49,'01_원자료'!$B$2:$B$976,"qwen3_6",'01_원자료'!$C$2:$C$976,"qwen")-AVERAGEIFS('01_원자료'!$S$2:$S$976,'01_원자료'!$A$2:$A$976,$A49,'01_원자료'!$B$2:$B$976,"qwen3_6")-AVERAGEIFS('01_원자료'!$S$2:$S$976,'01_원자료'!$A$2:$A$976,$A49,'01_원자료'!$C$2:$C$976,"qwen")+AVERAGEIFS('01_원자료'!$S$2:$S$976,'01_원자료'!$A$2:$A$976,$A49)</f>
        <v/>
      </c>
      <c r="E49" s="129">
        <f>AVERAGEIFS('01_원자료'!$S$2:$S$976,'01_원자료'!$A$2:$A$976,$A49,'01_원자료'!$B$2:$B$976,"mistral",'01_원자료'!$C$2:$C$976,"ministral")-AVERAGEIFS('01_원자료'!$S$2:$S$976,'01_원자료'!$A$2:$A$976,$A49,'01_원자료'!$B$2:$B$976,"mistral")-AVERAGEIFS('01_원자료'!$S$2:$S$976,'01_원자료'!$A$2:$A$976,$A49,'01_원자료'!$C$2:$C$976,"ministral")+AVERAGEIFS('01_원자료'!$S$2:$S$976,'01_원자료'!$A$2:$A$976,$A49)</f>
        <v/>
      </c>
      <c r="F49" s="70">
        <f>IF(C49&gt;0,1,0)</f>
        <v/>
      </c>
      <c r="G49" s="70">
        <f>IF(D49&gt;0,1,0)</f>
        <v/>
      </c>
      <c r="H49" s="70">
        <f>IF(E49&gt;0,1,0)</f>
        <v/>
      </c>
    </row>
    <row r="50" ht="15" customHeight="1" s="68">
      <c r="A50" s="83" t="inlineStr">
        <is>
          <t>RPT-15</t>
        </is>
      </c>
      <c r="B50" s="73">
        <f>IF(LEFT(A50,3)="PAT","특허","보고서")</f>
        <v/>
      </c>
      <c r="C50" s="129">
        <f>AVERAGEIFS('01_원자료'!$S$2:$S$976,'01_원자료'!$A$2:$A$976,$A50,'01_원자료'!$B$2:$B$976,"gemini",'01_원자료'!$C$2:$C$976,"gemma")-AVERAGEIFS('01_원자료'!$S$2:$S$976,'01_원자료'!$A$2:$A$976,$A50,'01_원자료'!$B$2:$B$976,"gemini")-AVERAGEIFS('01_원자료'!$S$2:$S$976,'01_원자료'!$A$2:$A$976,$A50,'01_원자료'!$C$2:$C$976,"gemma")+AVERAGEIFS('01_원자료'!$S$2:$S$976,'01_원자료'!$A$2:$A$976,$A50)</f>
        <v/>
      </c>
      <c r="D50" s="129">
        <f>AVERAGEIFS('01_원자료'!$S$2:$S$976,'01_원자료'!$A$2:$A$976,$A50,'01_원자료'!$B$2:$B$976,"qwen3_6",'01_원자료'!$C$2:$C$976,"qwen")-AVERAGEIFS('01_원자료'!$S$2:$S$976,'01_원자료'!$A$2:$A$976,$A50,'01_원자료'!$B$2:$B$976,"qwen3_6")-AVERAGEIFS('01_원자료'!$S$2:$S$976,'01_원자료'!$A$2:$A$976,$A50,'01_원자료'!$C$2:$C$976,"qwen")+AVERAGEIFS('01_원자료'!$S$2:$S$976,'01_원자료'!$A$2:$A$976,$A50)</f>
        <v/>
      </c>
      <c r="E50" s="129">
        <f>AVERAGEIFS('01_원자료'!$S$2:$S$976,'01_원자료'!$A$2:$A$976,$A50,'01_원자료'!$B$2:$B$976,"mistral",'01_원자료'!$C$2:$C$976,"ministral")-AVERAGEIFS('01_원자료'!$S$2:$S$976,'01_원자료'!$A$2:$A$976,$A50,'01_원자료'!$B$2:$B$976,"mistral")-AVERAGEIFS('01_원자료'!$S$2:$S$976,'01_원자료'!$A$2:$A$976,$A50,'01_원자료'!$C$2:$C$976,"ministral")+AVERAGEIFS('01_원자료'!$S$2:$S$976,'01_원자료'!$A$2:$A$976,$A50)</f>
        <v/>
      </c>
      <c r="F50" s="70">
        <f>IF(C50&gt;0,1,0)</f>
        <v/>
      </c>
      <c r="G50" s="70">
        <f>IF(D50&gt;0,1,0)</f>
        <v/>
      </c>
      <c r="H50" s="70">
        <f>IF(E50&gt;0,1,0)</f>
        <v/>
      </c>
    </row>
    <row r="51" ht="15" customHeight="1" s="68">
      <c r="A51" s="83" t="inlineStr">
        <is>
          <t>RPT-16</t>
        </is>
      </c>
      <c r="B51" s="73">
        <f>IF(LEFT(A51,3)="PAT","특허","보고서")</f>
        <v/>
      </c>
      <c r="C51" s="129">
        <f>AVERAGEIFS('01_원자료'!$S$2:$S$976,'01_원자료'!$A$2:$A$976,$A51,'01_원자료'!$B$2:$B$976,"gemini",'01_원자료'!$C$2:$C$976,"gemma")-AVERAGEIFS('01_원자료'!$S$2:$S$976,'01_원자료'!$A$2:$A$976,$A51,'01_원자료'!$B$2:$B$976,"gemini")-AVERAGEIFS('01_원자료'!$S$2:$S$976,'01_원자료'!$A$2:$A$976,$A51,'01_원자료'!$C$2:$C$976,"gemma")+AVERAGEIFS('01_원자료'!$S$2:$S$976,'01_원자료'!$A$2:$A$976,$A51)</f>
        <v/>
      </c>
      <c r="D51" s="129">
        <f>AVERAGEIFS('01_원자료'!$S$2:$S$976,'01_원자료'!$A$2:$A$976,$A51,'01_원자료'!$B$2:$B$976,"qwen3_6",'01_원자료'!$C$2:$C$976,"qwen")-AVERAGEIFS('01_원자료'!$S$2:$S$976,'01_원자료'!$A$2:$A$976,$A51,'01_원자료'!$B$2:$B$976,"qwen3_6")-AVERAGEIFS('01_원자료'!$S$2:$S$976,'01_원자료'!$A$2:$A$976,$A51,'01_원자료'!$C$2:$C$976,"qwen")+AVERAGEIFS('01_원자료'!$S$2:$S$976,'01_원자료'!$A$2:$A$976,$A51)</f>
        <v/>
      </c>
      <c r="E51" s="129">
        <f>AVERAGEIFS('01_원자료'!$S$2:$S$976,'01_원자료'!$A$2:$A$976,$A51,'01_원자료'!$B$2:$B$976,"mistral",'01_원자료'!$C$2:$C$976,"ministral")-AVERAGEIFS('01_원자료'!$S$2:$S$976,'01_원자료'!$A$2:$A$976,$A51,'01_원자료'!$B$2:$B$976,"mistral")-AVERAGEIFS('01_원자료'!$S$2:$S$976,'01_원자료'!$A$2:$A$976,$A51,'01_원자료'!$C$2:$C$976,"ministral")+AVERAGEIFS('01_원자료'!$S$2:$S$976,'01_원자료'!$A$2:$A$976,$A51)</f>
        <v/>
      </c>
      <c r="F51" s="70">
        <f>IF(C51&gt;0,1,0)</f>
        <v/>
      </c>
      <c r="G51" s="70">
        <f>IF(D51&gt;0,1,0)</f>
        <v/>
      </c>
      <c r="H51" s="70">
        <f>IF(E51&gt;0,1,0)</f>
        <v/>
      </c>
    </row>
    <row r="52" ht="15" customHeight="1" s="68">
      <c r="A52" s="83" t="inlineStr">
        <is>
          <t>RPT-17</t>
        </is>
      </c>
      <c r="B52" s="73">
        <f>IF(LEFT(A52,3)="PAT","특허","보고서")</f>
        <v/>
      </c>
      <c r="C52" s="129">
        <f>AVERAGEIFS('01_원자료'!$S$2:$S$976,'01_원자료'!$A$2:$A$976,$A52,'01_원자료'!$B$2:$B$976,"gemini",'01_원자료'!$C$2:$C$976,"gemma")-AVERAGEIFS('01_원자료'!$S$2:$S$976,'01_원자료'!$A$2:$A$976,$A52,'01_원자료'!$B$2:$B$976,"gemini")-AVERAGEIFS('01_원자료'!$S$2:$S$976,'01_원자료'!$A$2:$A$976,$A52,'01_원자료'!$C$2:$C$976,"gemma")+AVERAGEIFS('01_원자료'!$S$2:$S$976,'01_원자료'!$A$2:$A$976,$A52)</f>
        <v/>
      </c>
      <c r="D52" s="129">
        <f>AVERAGEIFS('01_원자료'!$S$2:$S$976,'01_원자료'!$A$2:$A$976,$A52,'01_원자료'!$B$2:$B$976,"qwen3_6",'01_원자료'!$C$2:$C$976,"qwen")-AVERAGEIFS('01_원자료'!$S$2:$S$976,'01_원자료'!$A$2:$A$976,$A52,'01_원자료'!$B$2:$B$976,"qwen3_6")-AVERAGEIFS('01_원자료'!$S$2:$S$976,'01_원자료'!$A$2:$A$976,$A52,'01_원자료'!$C$2:$C$976,"qwen")+AVERAGEIFS('01_원자료'!$S$2:$S$976,'01_원자료'!$A$2:$A$976,$A52)</f>
        <v/>
      </c>
      <c r="E52" s="129">
        <f>AVERAGEIFS('01_원자료'!$S$2:$S$976,'01_원자료'!$A$2:$A$976,$A52,'01_원자료'!$B$2:$B$976,"mistral",'01_원자료'!$C$2:$C$976,"ministral")-AVERAGEIFS('01_원자료'!$S$2:$S$976,'01_원자료'!$A$2:$A$976,$A52,'01_원자료'!$B$2:$B$976,"mistral")-AVERAGEIFS('01_원자료'!$S$2:$S$976,'01_원자료'!$A$2:$A$976,$A52,'01_원자료'!$C$2:$C$976,"ministral")+AVERAGEIFS('01_원자료'!$S$2:$S$976,'01_원자료'!$A$2:$A$976,$A52)</f>
        <v/>
      </c>
      <c r="F52" s="70">
        <f>IF(C52&gt;0,1,0)</f>
        <v/>
      </c>
      <c r="G52" s="70">
        <f>IF(D52&gt;0,1,0)</f>
        <v/>
      </c>
      <c r="H52" s="70">
        <f>IF(E52&gt;0,1,0)</f>
        <v/>
      </c>
    </row>
    <row r="53" ht="15" customHeight="1" s="68">
      <c r="A53" s="83" t="inlineStr">
        <is>
          <t>RPT-18</t>
        </is>
      </c>
      <c r="B53" s="73">
        <f>IF(LEFT(A53,3)="PAT","특허","보고서")</f>
        <v/>
      </c>
      <c r="C53" s="129">
        <f>AVERAGEIFS('01_원자료'!$S$2:$S$976,'01_원자료'!$A$2:$A$976,$A53,'01_원자료'!$B$2:$B$976,"gemini",'01_원자료'!$C$2:$C$976,"gemma")-AVERAGEIFS('01_원자료'!$S$2:$S$976,'01_원자료'!$A$2:$A$976,$A53,'01_원자료'!$B$2:$B$976,"gemini")-AVERAGEIFS('01_원자료'!$S$2:$S$976,'01_원자료'!$A$2:$A$976,$A53,'01_원자료'!$C$2:$C$976,"gemma")+AVERAGEIFS('01_원자료'!$S$2:$S$976,'01_원자료'!$A$2:$A$976,$A53)</f>
        <v/>
      </c>
      <c r="D53" s="129">
        <f>AVERAGEIFS('01_원자료'!$S$2:$S$976,'01_원자료'!$A$2:$A$976,$A53,'01_원자료'!$B$2:$B$976,"qwen3_6",'01_원자료'!$C$2:$C$976,"qwen")-AVERAGEIFS('01_원자료'!$S$2:$S$976,'01_원자료'!$A$2:$A$976,$A53,'01_원자료'!$B$2:$B$976,"qwen3_6")-AVERAGEIFS('01_원자료'!$S$2:$S$976,'01_원자료'!$A$2:$A$976,$A53,'01_원자료'!$C$2:$C$976,"qwen")+AVERAGEIFS('01_원자료'!$S$2:$S$976,'01_원자료'!$A$2:$A$976,$A53)</f>
        <v/>
      </c>
      <c r="E53" s="129">
        <f>AVERAGEIFS('01_원자료'!$S$2:$S$976,'01_원자료'!$A$2:$A$976,$A53,'01_원자료'!$B$2:$B$976,"mistral",'01_원자료'!$C$2:$C$976,"ministral")-AVERAGEIFS('01_원자료'!$S$2:$S$976,'01_원자료'!$A$2:$A$976,$A53,'01_원자료'!$B$2:$B$976,"mistral")-AVERAGEIFS('01_원자료'!$S$2:$S$976,'01_원자료'!$A$2:$A$976,$A53,'01_원자료'!$C$2:$C$976,"ministral")+AVERAGEIFS('01_원자료'!$S$2:$S$976,'01_원자료'!$A$2:$A$976,$A53)</f>
        <v/>
      </c>
      <c r="F53" s="70">
        <f>IF(C53&gt;0,1,0)</f>
        <v/>
      </c>
      <c r="G53" s="70">
        <f>IF(D53&gt;0,1,0)</f>
        <v/>
      </c>
      <c r="H53" s="70">
        <f>IF(E53&gt;0,1,0)</f>
        <v/>
      </c>
    </row>
    <row r="54" ht="15" customHeight="1" s="68">
      <c r="A54" s="83" t="inlineStr">
        <is>
          <t>RPT-19</t>
        </is>
      </c>
      <c r="B54" s="73">
        <f>IF(LEFT(A54,3)="PAT","특허","보고서")</f>
        <v/>
      </c>
      <c r="C54" s="129">
        <f>AVERAGEIFS('01_원자료'!$S$2:$S$976,'01_원자료'!$A$2:$A$976,$A54,'01_원자료'!$B$2:$B$976,"gemini",'01_원자료'!$C$2:$C$976,"gemma")-AVERAGEIFS('01_원자료'!$S$2:$S$976,'01_원자료'!$A$2:$A$976,$A54,'01_원자료'!$B$2:$B$976,"gemini")-AVERAGEIFS('01_원자료'!$S$2:$S$976,'01_원자료'!$A$2:$A$976,$A54,'01_원자료'!$C$2:$C$976,"gemma")+AVERAGEIFS('01_원자료'!$S$2:$S$976,'01_원자료'!$A$2:$A$976,$A54)</f>
        <v/>
      </c>
      <c r="D54" s="129">
        <f>AVERAGEIFS('01_원자료'!$S$2:$S$976,'01_원자료'!$A$2:$A$976,$A54,'01_원자료'!$B$2:$B$976,"qwen3_6",'01_원자료'!$C$2:$C$976,"qwen")-AVERAGEIFS('01_원자료'!$S$2:$S$976,'01_원자료'!$A$2:$A$976,$A54,'01_원자료'!$B$2:$B$976,"qwen3_6")-AVERAGEIFS('01_원자료'!$S$2:$S$976,'01_원자료'!$A$2:$A$976,$A54,'01_원자료'!$C$2:$C$976,"qwen")+AVERAGEIFS('01_원자료'!$S$2:$S$976,'01_원자료'!$A$2:$A$976,$A54)</f>
        <v/>
      </c>
      <c r="E54" s="129">
        <f>AVERAGEIFS('01_원자료'!$S$2:$S$976,'01_원자료'!$A$2:$A$976,$A54,'01_원자료'!$B$2:$B$976,"mistral",'01_원자료'!$C$2:$C$976,"ministral")-AVERAGEIFS('01_원자료'!$S$2:$S$976,'01_원자료'!$A$2:$A$976,$A54,'01_원자료'!$B$2:$B$976,"mistral")-AVERAGEIFS('01_원자료'!$S$2:$S$976,'01_원자료'!$A$2:$A$976,$A54,'01_원자료'!$C$2:$C$976,"ministral")+AVERAGEIFS('01_원자료'!$S$2:$S$976,'01_원자료'!$A$2:$A$976,$A54)</f>
        <v/>
      </c>
      <c r="F54" s="70">
        <f>IF(C54&gt;0,1,0)</f>
        <v/>
      </c>
      <c r="G54" s="70">
        <f>IF(D54&gt;0,1,0)</f>
        <v/>
      </c>
      <c r="H54" s="70">
        <f>IF(E54&gt;0,1,0)</f>
        <v/>
      </c>
    </row>
    <row r="55" ht="15" customHeight="1" s="68">
      <c r="A55" s="83" t="inlineStr">
        <is>
          <t>RPT-20</t>
        </is>
      </c>
      <c r="B55" s="73">
        <f>IF(LEFT(A55,3)="PAT","특허","보고서")</f>
        <v/>
      </c>
      <c r="C55" s="129">
        <f>AVERAGEIFS('01_원자료'!$S$2:$S$976,'01_원자료'!$A$2:$A$976,$A55,'01_원자료'!$B$2:$B$976,"gemini",'01_원자료'!$C$2:$C$976,"gemma")-AVERAGEIFS('01_원자료'!$S$2:$S$976,'01_원자료'!$A$2:$A$976,$A55,'01_원자료'!$B$2:$B$976,"gemini")-AVERAGEIFS('01_원자료'!$S$2:$S$976,'01_원자료'!$A$2:$A$976,$A55,'01_원자료'!$C$2:$C$976,"gemma")+AVERAGEIFS('01_원자료'!$S$2:$S$976,'01_원자료'!$A$2:$A$976,$A55)</f>
        <v/>
      </c>
      <c r="D55" s="129">
        <f>AVERAGEIFS('01_원자료'!$S$2:$S$976,'01_원자료'!$A$2:$A$976,$A55,'01_원자료'!$B$2:$B$976,"qwen3_6",'01_원자료'!$C$2:$C$976,"qwen")-AVERAGEIFS('01_원자료'!$S$2:$S$976,'01_원자료'!$A$2:$A$976,$A55,'01_원자료'!$B$2:$B$976,"qwen3_6")-AVERAGEIFS('01_원자료'!$S$2:$S$976,'01_원자료'!$A$2:$A$976,$A55,'01_원자료'!$C$2:$C$976,"qwen")+AVERAGEIFS('01_원자료'!$S$2:$S$976,'01_원자료'!$A$2:$A$976,$A55)</f>
        <v/>
      </c>
      <c r="E55" s="129">
        <f>AVERAGEIFS('01_원자료'!$S$2:$S$976,'01_원자료'!$A$2:$A$976,$A55,'01_원자료'!$B$2:$B$976,"mistral",'01_원자료'!$C$2:$C$976,"ministral")-AVERAGEIFS('01_원자료'!$S$2:$S$976,'01_원자료'!$A$2:$A$976,$A55,'01_원자료'!$B$2:$B$976,"mistral")-AVERAGEIFS('01_원자료'!$S$2:$S$976,'01_원자료'!$A$2:$A$976,$A55,'01_원자료'!$C$2:$C$976,"ministral")+AVERAGEIFS('01_원자료'!$S$2:$S$976,'01_원자료'!$A$2:$A$976,$A55)</f>
        <v/>
      </c>
      <c r="F55" s="70">
        <f>IF(C55&gt;0,1,0)</f>
        <v/>
      </c>
      <c r="G55" s="70">
        <f>IF(D55&gt;0,1,0)</f>
        <v/>
      </c>
      <c r="H55" s="70">
        <f>IF(E55&gt;0,1,0)</f>
        <v/>
      </c>
    </row>
    <row r="56" ht="15" customHeight="1" s="68">
      <c r="A56" s="83" t="inlineStr">
        <is>
          <t>RPT-21</t>
        </is>
      </c>
      <c r="B56" s="73">
        <f>IF(LEFT(A56,3)="PAT","특허","보고서")</f>
        <v/>
      </c>
      <c r="C56" s="129">
        <f>AVERAGEIFS('01_원자료'!$S$2:$S$976,'01_원자료'!$A$2:$A$976,$A56,'01_원자료'!$B$2:$B$976,"gemini",'01_원자료'!$C$2:$C$976,"gemma")-AVERAGEIFS('01_원자료'!$S$2:$S$976,'01_원자료'!$A$2:$A$976,$A56,'01_원자료'!$B$2:$B$976,"gemini")-AVERAGEIFS('01_원자료'!$S$2:$S$976,'01_원자료'!$A$2:$A$976,$A56,'01_원자료'!$C$2:$C$976,"gemma")+AVERAGEIFS('01_원자료'!$S$2:$S$976,'01_원자료'!$A$2:$A$976,$A56)</f>
        <v/>
      </c>
      <c r="D56" s="129">
        <f>AVERAGEIFS('01_원자료'!$S$2:$S$976,'01_원자료'!$A$2:$A$976,$A56,'01_원자료'!$B$2:$B$976,"qwen3_6",'01_원자료'!$C$2:$C$976,"qwen")-AVERAGEIFS('01_원자료'!$S$2:$S$976,'01_원자료'!$A$2:$A$976,$A56,'01_원자료'!$B$2:$B$976,"qwen3_6")-AVERAGEIFS('01_원자료'!$S$2:$S$976,'01_원자료'!$A$2:$A$976,$A56,'01_원자료'!$C$2:$C$976,"qwen")+AVERAGEIFS('01_원자료'!$S$2:$S$976,'01_원자료'!$A$2:$A$976,$A56)</f>
        <v/>
      </c>
      <c r="E56" s="129">
        <f>AVERAGEIFS('01_원자료'!$S$2:$S$976,'01_원자료'!$A$2:$A$976,$A56,'01_원자료'!$B$2:$B$976,"mistral",'01_원자료'!$C$2:$C$976,"ministral")-AVERAGEIFS('01_원자료'!$S$2:$S$976,'01_원자료'!$A$2:$A$976,$A56,'01_원자료'!$B$2:$B$976,"mistral")-AVERAGEIFS('01_원자료'!$S$2:$S$976,'01_원자료'!$A$2:$A$976,$A56,'01_원자료'!$C$2:$C$976,"ministral")+AVERAGEIFS('01_원자료'!$S$2:$S$976,'01_원자료'!$A$2:$A$976,$A56)</f>
        <v/>
      </c>
      <c r="F56" s="70">
        <f>IF(C56&gt;0,1,0)</f>
        <v/>
      </c>
      <c r="G56" s="70">
        <f>IF(D56&gt;0,1,0)</f>
        <v/>
      </c>
      <c r="H56" s="70">
        <f>IF(E56&gt;0,1,0)</f>
        <v/>
      </c>
    </row>
    <row r="57" ht="15" customHeight="1" s="68">
      <c r="A57" s="83" t="inlineStr">
        <is>
          <t>RPT-22</t>
        </is>
      </c>
      <c r="B57" s="73">
        <f>IF(LEFT(A57,3)="PAT","특허","보고서")</f>
        <v/>
      </c>
      <c r="C57" s="129">
        <f>AVERAGEIFS('01_원자료'!$S$2:$S$976,'01_원자료'!$A$2:$A$976,$A57,'01_원자료'!$B$2:$B$976,"gemini",'01_원자료'!$C$2:$C$976,"gemma")-AVERAGEIFS('01_원자료'!$S$2:$S$976,'01_원자료'!$A$2:$A$976,$A57,'01_원자료'!$B$2:$B$976,"gemini")-AVERAGEIFS('01_원자료'!$S$2:$S$976,'01_원자료'!$A$2:$A$976,$A57,'01_원자료'!$C$2:$C$976,"gemma")+AVERAGEIFS('01_원자료'!$S$2:$S$976,'01_원자료'!$A$2:$A$976,$A57)</f>
        <v/>
      </c>
      <c r="D57" s="129">
        <f>AVERAGEIFS('01_원자료'!$S$2:$S$976,'01_원자료'!$A$2:$A$976,$A57,'01_원자료'!$B$2:$B$976,"qwen3_6",'01_원자료'!$C$2:$C$976,"qwen")-AVERAGEIFS('01_원자료'!$S$2:$S$976,'01_원자료'!$A$2:$A$976,$A57,'01_원자료'!$B$2:$B$976,"qwen3_6")-AVERAGEIFS('01_원자료'!$S$2:$S$976,'01_원자료'!$A$2:$A$976,$A57,'01_원자료'!$C$2:$C$976,"qwen")+AVERAGEIFS('01_원자료'!$S$2:$S$976,'01_원자료'!$A$2:$A$976,$A57)</f>
        <v/>
      </c>
      <c r="E57" s="129">
        <f>AVERAGEIFS('01_원자료'!$S$2:$S$976,'01_원자료'!$A$2:$A$976,$A57,'01_원자료'!$B$2:$B$976,"mistral",'01_원자료'!$C$2:$C$976,"ministral")-AVERAGEIFS('01_원자료'!$S$2:$S$976,'01_원자료'!$A$2:$A$976,$A57,'01_원자료'!$B$2:$B$976,"mistral")-AVERAGEIFS('01_원자료'!$S$2:$S$976,'01_원자료'!$A$2:$A$976,$A57,'01_원자료'!$C$2:$C$976,"ministral")+AVERAGEIFS('01_원자료'!$S$2:$S$976,'01_원자료'!$A$2:$A$976,$A57)</f>
        <v/>
      </c>
      <c r="F57" s="70">
        <f>IF(C57&gt;0,1,0)</f>
        <v/>
      </c>
      <c r="G57" s="70">
        <f>IF(D57&gt;0,1,0)</f>
        <v/>
      </c>
      <c r="H57" s="70">
        <f>IF(E57&gt;0,1,0)</f>
        <v/>
      </c>
    </row>
    <row r="58" ht="15" customHeight="1" s="68">
      <c r="A58" s="83" t="inlineStr">
        <is>
          <t>RPT-23</t>
        </is>
      </c>
      <c r="B58" s="73">
        <f>IF(LEFT(A58,3)="PAT","특허","보고서")</f>
        <v/>
      </c>
      <c r="C58" s="129">
        <f>AVERAGEIFS('01_원자료'!$S$2:$S$976,'01_원자료'!$A$2:$A$976,$A58,'01_원자료'!$B$2:$B$976,"gemini",'01_원자료'!$C$2:$C$976,"gemma")-AVERAGEIFS('01_원자료'!$S$2:$S$976,'01_원자료'!$A$2:$A$976,$A58,'01_원자료'!$B$2:$B$976,"gemini")-AVERAGEIFS('01_원자료'!$S$2:$S$976,'01_원자료'!$A$2:$A$976,$A58,'01_원자료'!$C$2:$C$976,"gemma")+AVERAGEIFS('01_원자료'!$S$2:$S$976,'01_원자료'!$A$2:$A$976,$A58)</f>
        <v/>
      </c>
      <c r="D58" s="129">
        <f>AVERAGEIFS('01_원자료'!$S$2:$S$976,'01_원자료'!$A$2:$A$976,$A58,'01_원자료'!$B$2:$B$976,"qwen3_6",'01_원자료'!$C$2:$C$976,"qwen")-AVERAGEIFS('01_원자료'!$S$2:$S$976,'01_원자료'!$A$2:$A$976,$A58,'01_원자료'!$B$2:$B$976,"qwen3_6")-AVERAGEIFS('01_원자료'!$S$2:$S$976,'01_원자료'!$A$2:$A$976,$A58,'01_원자료'!$C$2:$C$976,"qwen")+AVERAGEIFS('01_원자료'!$S$2:$S$976,'01_원자료'!$A$2:$A$976,$A58)</f>
        <v/>
      </c>
      <c r="E58" s="129">
        <f>AVERAGEIFS('01_원자료'!$S$2:$S$976,'01_원자료'!$A$2:$A$976,$A58,'01_원자료'!$B$2:$B$976,"mistral",'01_원자료'!$C$2:$C$976,"ministral")-AVERAGEIFS('01_원자료'!$S$2:$S$976,'01_원자료'!$A$2:$A$976,$A58,'01_원자료'!$B$2:$B$976,"mistral")-AVERAGEIFS('01_원자료'!$S$2:$S$976,'01_원자료'!$A$2:$A$976,$A58,'01_원자료'!$C$2:$C$976,"ministral")+AVERAGEIFS('01_원자료'!$S$2:$S$976,'01_원자료'!$A$2:$A$976,$A58)</f>
        <v/>
      </c>
      <c r="F58" s="70">
        <f>IF(C58&gt;0,1,0)</f>
        <v/>
      </c>
      <c r="G58" s="70">
        <f>IF(D58&gt;0,1,0)</f>
        <v/>
      </c>
      <c r="H58" s="70">
        <f>IF(E58&gt;0,1,0)</f>
        <v/>
      </c>
    </row>
    <row r="59" ht="15" customHeight="1" s="68">
      <c r="A59" s="83" t="inlineStr">
        <is>
          <t>RPT-24</t>
        </is>
      </c>
      <c r="B59" s="73">
        <f>IF(LEFT(A59,3)="PAT","특허","보고서")</f>
        <v/>
      </c>
      <c r="C59" s="129">
        <f>AVERAGEIFS('01_원자료'!$S$2:$S$976,'01_원자료'!$A$2:$A$976,$A59,'01_원자료'!$B$2:$B$976,"gemini",'01_원자료'!$C$2:$C$976,"gemma")-AVERAGEIFS('01_원자료'!$S$2:$S$976,'01_원자료'!$A$2:$A$976,$A59,'01_원자료'!$B$2:$B$976,"gemini")-AVERAGEIFS('01_원자료'!$S$2:$S$976,'01_원자료'!$A$2:$A$976,$A59,'01_원자료'!$C$2:$C$976,"gemma")+AVERAGEIFS('01_원자료'!$S$2:$S$976,'01_원자료'!$A$2:$A$976,$A59)</f>
        <v/>
      </c>
      <c r="D59" s="129">
        <f>AVERAGEIFS('01_원자료'!$S$2:$S$976,'01_원자료'!$A$2:$A$976,$A59,'01_원자료'!$B$2:$B$976,"qwen3_6",'01_원자료'!$C$2:$C$976,"qwen")-AVERAGEIFS('01_원자료'!$S$2:$S$976,'01_원자료'!$A$2:$A$976,$A59,'01_원자료'!$B$2:$B$976,"qwen3_6")-AVERAGEIFS('01_원자료'!$S$2:$S$976,'01_원자료'!$A$2:$A$976,$A59,'01_원자료'!$C$2:$C$976,"qwen")+AVERAGEIFS('01_원자료'!$S$2:$S$976,'01_원자료'!$A$2:$A$976,$A59)</f>
        <v/>
      </c>
      <c r="E59" s="129">
        <f>AVERAGEIFS('01_원자료'!$S$2:$S$976,'01_원자료'!$A$2:$A$976,$A59,'01_원자료'!$B$2:$B$976,"mistral",'01_원자료'!$C$2:$C$976,"ministral")-AVERAGEIFS('01_원자료'!$S$2:$S$976,'01_원자료'!$A$2:$A$976,$A59,'01_원자료'!$B$2:$B$976,"mistral")-AVERAGEIFS('01_원자료'!$S$2:$S$976,'01_원자료'!$A$2:$A$976,$A59,'01_원자료'!$C$2:$C$976,"ministral")+AVERAGEIFS('01_원자료'!$S$2:$S$976,'01_원자료'!$A$2:$A$976,$A59)</f>
        <v/>
      </c>
      <c r="F59" s="70">
        <f>IF(C59&gt;0,1,0)</f>
        <v/>
      </c>
      <c r="G59" s="70">
        <f>IF(D59&gt;0,1,0)</f>
        <v/>
      </c>
      <c r="H59" s="70">
        <f>IF(E59&gt;0,1,0)</f>
        <v/>
      </c>
    </row>
    <row r="60" ht="15" customHeight="1" s="68">
      <c r="A60" s="83" t="inlineStr">
        <is>
          <t>RPT-25</t>
        </is>
      </c>
      <c r="B60" s="73">
        <f>IF(LEFT(A60,3)="PAT","특허","보고서")</f>
        <v/>
      </c>
      <c r="C60" s="129">
        <f>AVERAGEIFS('01_원자료'!$S$2:$S$976,'01_원자료'!$A$2:$A$976,$A60,'01_원자료'!$B$2:$B$976,"gemini",'01_원자료'!$C$2:$C$976,"gemma")-AVERAGEIFS('01_원자료'!$S$2:$S$976,'01_원자료'!$A$2:$A$976,$A60,'01_원자료'!$B$2:$B$976,"gemini")-AVERAGEIFS('01_원자료'!$S$2:$S$976,'01_원자료'!$A$2:$A$976,$A60,'01_원자료'!$C$2:$C$976,"gemma")+AVERAGEIFS('01_원자료'!$S$2:$S$976,'01_원자료'!$A$2:$A$976,$A60)</f>
        <v/>
      </c>
      <c r="D60" s="129">
        <f>AVERAGEIFS('01_원자료'!$S$2:$S$976,'01_원자료'!$A$2:$A$976,$A60,'01_원자료'!$B$2:$B$976,"qwen3_6",'01_원자료'!$C$2:$C$976,"qwen")-AVERAGEIFS('01_원자료'!$S$2:$S$976,'01_원자료'!$A$2:$A$976,$A60,'01_원자료'!$B$2:$B$976,"qwen3_6")-AVERAGEIFS('01_원자료'!$S$2:$S$976,'01_원자료'!$A$2:$A$976,$A60,'01_원자료'!$C$2:$C$976,"qwen")+AVERAGEIFS('01_원자료'!$S$2:$S$976,'01_원자료'!$A$2:$A$976,$A60)</f>
        <v/>
      </c>
      <c r="E60" s="129">
        <f>AVERAGEIFS('01_원자료'!$S$2:$S$976,'01_원자료'!$A$2:$A$976,$A60,'01_원자료'!$B$2:$B$976,"mistral",'01_원자료'!$C$2:$C$976,"ministral")-AVERAGEIFS('01_원자료'!$S$2:$S$976,'01_원자료'!$A$2:$A$976,$A60,'01_원자료'!$B$2:$B$976,"mistral")-AVERAGEIFS('01_원자료'!$S$2:$S$976,'01_원자료'!$A$2:$A$976,$A60,'01_원자료'!$C$2:$C$976,"ministral")+AVERAGEIFS('01_원자료'!$S$2:$S$976,'01_원자료'!$A$2:$A$976,$A60)</f>
        <v/>
      </c>
      <c r="F60" s="70">
        <f>IF(C60&gt;0,1,0)</f>
        <v/>
      </c>
      <c r="G60" s="70">
        <f>IF(D60&gt;0,1,0)</f>
        <v/>
      </c>
      <c r="H60" s="70">
        <f>IF(E60&gt;0,1,0)</f>
        <v/>
      </c>
    </row>
    <row r="61" ht="15" customHeight="1" s="68">
      <c r="A61" s="83" t="inlineStr">
        <is>
          <t>RPT-26</t>
        </is>
      </c>
      <c r="B61" s="73">
        <f>IF(LEFT(A61,3)="PAT","특허","보고서")</f>
        <v/>
      </c>
      <c r="C61" s="129">
        <f>AVERAGEIFS('01_원자료'!$S$2:$S$976,'01_원자료'!$A$2:$A$976,$A61,'01_원자료'!$B$2:$B$976,"gemini",'01_원자료'!$C$2:$C$976,"gemma")-AVERAGEIFS('01_원자료'!$S$2:$S$976,'01_원자료'!$A$2:$A$976,$A61,'01_원자료'!$B$2:$B$976,"gemini")-AVERAGEIFS('01_원자료'!$S$2:$S$976,'01_원자료'!$A$2:$A$976,$A61,'01_원자료'!$C$2:$C$976,"gemma")+AVERAGEIFS('01_원자료'!$S$2:$S$976,'01_원자료'!$A$2:$A$976,$A61)</f>
        <v/>
      </c>
      <c r="D61" s="129">
        <f>AVERAGEIFS('01_원자료'!$S$2:$S$976,'01_원자료'!$A$2:$A$976,$A61,'01_원자료'!$B$2:$B$976,"qwen3_6",'01_원자료'!$C$2:$C$976,"qwen")-AVERAGEIFS('01_원자료'!$S$2:$S$976,'01_원자료'!$A$2:$A$976,$A61,'01_원자료'!$B$2:$B$976,"qwen3_6")-AVERAGEIFS('01_원자료'!$S$2:$S$976,'01_원자료'!$A$2:$A$976,$A61,'01_원자료'!$C$2:$C$976,"qwen")+AVERAGEIFS('01_원자료'!$S$2:$S$976,'01_원자료'!$A$2:$A$976,$A61)</f>
        <v/>
      </c>
      <c r="E61" s="129">
        <f>AVERAGEIFS('01_원자료'!$S$2:$S$976,'01_원자료'!$A$2:$A$976,$A61,'01_원자료'!$B$2:$B$976,"mistral",'01_원자료'!$C$2:$C$976,"ministral")-AVERAGEIFS('01_원자료'!$S$2:$S$976,'01_원자료'!$A$2:$A$976,$A61,'01_원자료'!$B$2:$B$976,"mistral")-AVERAGEIFS('01_원자료'!$S$2:$S$976,'01_원자료'!$A$2:$A$976,$A61,'01_원자료'!$C$2:$C$976,"ministral")+AVERAGEIFS('01_원자료'!$S$2:$S$976,'01_원자료'!$A$2:$A$976,$A61)</f>
        <v/>
      </c>
      <c r="F61" s="70">
        <f>IF(C61&gt;0,1,0)</f>
        <v/>
      </c>
      <c r="G61" s="70">
        <f>IF(D61&gt;0,1,0)</f>
        <v/>
      </c>
      <c r="H61" s="70">
        <f>IF(E61&gt;0,1,0)</f>
        <v/>
      </c>
    </row>
    <row r="62" ht="15" customHeight="1" s="68">
      <c r="A62" s="83" t="inlineStr">
        <is>
          <t>RPT-27</t>
        </is>
      </c>
      <c r="B62" s="73">
        <f>IF(LEFT(A62,3)="PAT","특허","보고서")</f>
        <v/>
      </c>
      <c r="C62" s="129">
        <f>AVERAGEIFS('01_원자료'!$S$2:$S$976,'01_원자료'!$A$2:$A$976,$A62,'01_원자료'!$B$2:$B$976,"gemini",'01_원자료'!$C$2:$C$976,"gemma")-AVERAGEIFS('01_원자료'!$S$2:$S$976,'01_원자료'!$A$2:$A$976,$A62,'01_원자료'!$B$2:$B$976,"gemini")-AVERAGEIFS('01_원자료'!$S$2:$S$976,'01_원자료'!$A$2:$A$976,$A62,'01_원자료'!$C$2:$C$976,"gemma")+AVERAGEIFS('01_원자료'!$S$2:$S$976,'01_원자료'!$A$2:$A$976,$A62)</f>
        <v/>
      </c>
      <c r="D62" s="129">
        <f>AVERAGEIFS('01_원자료'!$S$2:$S$976,'01_원자료'!$A$2:$A$976,$A62,'01_원자료'!$B$2:$B$976,"qwen3_6",'01_원자료'!$C$2:$C$976,"qwen")-AVERAGEIFS('01_원자료'!$S$2:$S$976,'01_원자료'!$A$2:$A$976,$A62,'01_원자료'!$B$2:$B$976,"qwen3_6")-AVERAGEIFS('01_원자료'!$S$2:$S$976,'01_원자료'!$A$2:$A$976,$A62,'01_원자료'!$C$2:$C$976,"qwen")+AVERAGEIFS('01_원자료'!$S$2:$S$976,'01_원자료'!$A$2:$A$976,$A62)</f>
        <v/>
      </c>
      <c r="E62" s="129">
        <f>AVERAGEIFS('01_원자료'!$S$2:$S$976,'01_원자료'!$A$2:$A$976,$A62,'01_원자료'!$B$2:$B$976,"mistral",'01_원자료'!$C$2:$C$976,"ministral")-AVERAGEIFS('01_원자료'!$S$2:$S$976,'01_원자료'!$A$2:$A$976,$A62,'01_원자료'!$B$2:$B$976,"mistral")-AVERAGEIFS('01_원자료'!$S$2:$S$976,'01_원자료'!$A$2:$A$976,$A62,'01_원자료'!$C$2:$C$976,"ministral")+AVERAGEIFS('01_원자료'!$S$2:$S$976,'01_원자료'!$A$2:$A$976,$A62)</f>
        <v/>
      </c>
      <c r="F62" s="70">
        <f>IF(C62&gt;0,1,0)</f>
        <v/>
      </c>
      <c r="G62" s="70">
        <f>IF(D62&gt;0,1,0)</f>
        <v/>
      </c>
      <c r="H62" s="70">
        <f>IF(E62&gt;0,1,0)</f>
        <v/>
      </c>
    </row>
    <row r="63" ht="15" customHeight="1" s="68">
      <c r="A63" s="83" t="inlineStr">
        <is>
          <t>RPT-28</t>
        </is>
      </c>
      <c r="B63" s="73">
        <f>IF(LEFT(A63,3)="PAT","특허","보고서")</f>
        <v/>
      </c>
      <c r="C63" s="129">
        <f>AVERAGEIFS('01_원자료'!$S$2:$S$976,'01_원자료'!$A$2:$A$976,$A63,'01_원자료'!$B$2:$B$976,"gemini",'01_원자료'!$C$2:$C$976,"gemma")-AVERAGEIFS('01_원자료'!$S$2:$S$976,'01_원자료'!$A$2:$A$976,$A63,'01_원자료'!$B$2:$B$976,"gemini")-AVERAGEIFS('01_원자료'!$S$2:$S$976,'01_원자료'!$A$2:$A$976,$A63,'01_원자료'!$C$2:$C$976,"gemma")+AVERAGEIFS('01_원자료'!$S$2:$S$976,'01_원자료'!$A$2:$A$976,$A63)</f>
        <v/>
      </c>
      <c r="D63" s="129">
        <f>AVERAGEIFS('01_원자료'!$S$2:$S$976,'01_원자료'!$A$2:$A$976,$A63,'01_원자료'!$B$2:$B$976,"qwen3_6",'01_원자료'!$C$2:$C$976,"qwen")-AVERAGEIFS('01_원자료'!$S$2:$S$976,'01_원자료'!$A$2:$A$976,$A63,'01_원자료'!$B$2:$B$976,"qwen3_6")-AVERAGEIFS('01_원자료'!$S$2:$S$976,'01_원자료'!$A$2:$A$976,$A63,'01_원자료'!$C$2:$C$976,"qwen")+AVERAGEIFS('01_원자료'!$S$2:$S$976,'01_원자료'!$A$2:$A$976,$A63)</f>
        <v/>
      </c>
      <c r="E63" s="129">
        <f>AVERAGEIFS('01_원자료'!$S$2:$S$976,'01_원자료'!$A$2:$A$976,$A63,'01_원자료'!$B$2:$B$976,"mistral",'01_원자료'!$C$2:$C$976,"ministral")-AVERAGEIFS('01_원자료'!$S$2:$S$976,'01_원자료'!$A$2:$A$976,$A63,'01_원자료'!$B$2:$B$976,"mistral")-AVERAGEIFS('01_원자료'!$S$2:$S$976,'01_원자료'!$A$2:$A$976,$A63,'01_원자료'!$C$2:$C$976,"ministral")+AVERAGEIFS('01_원자료'!$S$2:$S$976,'01_원자료'!$A$2:$A$976,$A63)</f>
        <v/>
      </c>
      <c r="F63" s="70">
        <f>IF(C63&gt;0,1,0)</f>
        <v/>
      </c>
      <c r="G63" s="70">
        <f>IF(D63&gt;0,1,0)</f>
        <v/>
      </c>
      <c r="H63" s="70">
        <f>IF(E63&gt;0,1,0)</f>
        <v/>
      </c>
    </row>
    <row r="64" ht="15" customHeight="1" s="68">
      <c r="A64" s="83" t="inlineStr">
        <is>
          <t>RPT-29</t>
        </is>
      </c>
      <c r="B64" s="73">
        <f>IF(LEFT(A64,3)="PAT","특허","보고서")</f>
        <v/>
      </c>
      <c r="C64" s="129">
        <f>AVERAGEIFS('01_원자료'!$S$2:$S$976,'01_원자료'!$A$2:$A$976,$A64,'01_원자료'!$B$2:$B$976,"gemini",'01_원자료'!$C$2:$C$976,"gemma")-AVERAGEIFS('01_원자료'!$S$2:$S$976,'01_원자료'!$A$2:$A$976,$A64,'01_원자료'!$B$2:$B$976,"gemini")-AVERAGEIFS('01_원자료'!$S$2:$S$976,'01_원자료'!$A$2:$A$976,$A64,'01_원자료'!$C$2:$C$976,"gemma")+AVERAGEIFS('01_원자료'!$S$2:$S$976,'01_원자료'!$A$2:$A$976,$A64)</f>
        <v/>
      </c>
      <c r="D64" s="129">
        <f>AVERAGEIFS('01_원자료'!$S$2:$S$976,'01_원자료'!$A$2:$A$976,$A64,'01_원자료'!$B$2:$B$976,"qwen3_6",'01_원자료'!$C$2:$C$976,"qwen")-AVERAGEIFS('01_원자료'!$S$2:$S$976,'01_원자료'!$A$2:$A$976,$A64,'01_원자료'!$B$2:$B$976,"qwen3_6")-AVERAGEIFS('01_원자료'!$S$2:$S$976,'01_원자료'!$A$2:$A$976,$A64,'01_원자료'!$C$2:$C$976,"qwen")+AVERAGEIFS('01_원자료'!$S$2:$S$976,'01_원자료'!$A$2:$A$976,$A64)</f>
        <v/>
      </c>
      <c r="E64" s="129">
        <f>AVERAGEIFS('01_원자료'!$S$2:$S$976,'01_원자료'!$A$2:$A$976,$A64,'01_원자료'!$B$2:$B$976,"mistral",'01_원자료'!$C$2:$C$976,"ministral")-AVERAGEIFS('01_원자료'!$S$2:$S$976,'01_원자료'!$A$2:$A$976,$A64,'01_원자료'!$B$2:$B$976,"mistral")-AVERAGEIFS('01_원자료'!$S$2:$S$976,'01_원자료'!$A$2:$A$976,$A64,'01_원자료'!$C$2:$C$976,"ministral")+AVERAGEIFS('01_원자료'!$S$2:$S$976,'01_원자료'!$A$2:$A$976,$A64)</f>
        <v/>
      </c>
      <c r="F64" s="70">
        <f>IF(C64&gt;0,1,0)</f>
        <v/>
      </c>
      <c r="G64" s="70">
        <f>IF(D64&gt;0,1,0)</f>
        <v/>
      </c>
      <c r="H64" s="70">
        <f>IF(E64&gt;0,1,0)</f>
        <v/>
      </c>
    </row>
    <row r="65" ht="15" customHeight="1" s="68">
      <c r="A65" s="83" t="inlineStr">
        <is>
          <t>RPT-30</t>
        </is>
      </c>
      <c r="B65" s="73">
        <f>IF(LEFT(A65,3)="PAT","특허","보고서")</f>
        <v/>
      </c>
      <c r="C65" s="129">
        <f>AVERAGEIFS('01_원자료'!$S$2:$S$976,'01_원자료'!$A$2:$A$976,$A65,'01_원자료'!$B$2:$B$976,"gemini",'01_원자료'!$C$2:$C$976,"gemma")-AVERAGEIFS('01_원자료'!$S$2:$S$976,'01_원자료'!$A$2:$A$976,$A65,'01_원자료'!$B$2:$B$976,"gemini")-AVERAGEIFS('01_원자료'!$S$2:$S$976,'01_원자료'!$A$2:$A$976,$A65,'01_원자료'!$C$2:$C$976,"gemma")+AVERAGEIFS('01_원자료'!$S$2:$S$976,'01_원자료'!$A$2:$A$976,$A65)</f>
        <v/>
      </c>
      <c r="D65" s="129">
        <f>AVERAGEIFS('01_원자료'!$S$2:$S$976,'01_원자료'!$A$2:$A$976,$A65,'01_원자료'!$B$2:$B$976,"qwen3_6",'01_원자료'!$C$2:$C$976,"qwen")-AVERAGEIFS('01_원자료'!$S$2:$S$976,'01_원자료'!$A$2:$A$976,$A65,'01_원자료'!$B$2:$B$976,"qwen3_6")-AVERAGEIFS('01_원자료'!$S$2:$S$976,'01_원자료'!$A$2:$A$976,$A65,'01_원자료'!$C$2:$C$976,"qwen")+AVERAGEIFS('01_원자료'!$S$2:$S$976,'01_원자료'!$A$2:$A$976,$A65)</f>
        <v/>
      </c>
      <c r="E65" s="129">
        <f>AVERAGEIFS('01_원자료'!$S$2:$S$976,'01_원자료'!$A$2:$A$976,$A65,'01_원자료'!$B$2:$B$976,"mistral",'01_원자료'!$C$2:$C$976,"ministral")-AVERAGEIFS('01_원자료'!$S$2:$S$976,'01_원자료'!$A$2:$A$976,$A65,'01_원자료'!$B$2:$B$976,"mistral")-AVERAGEIFS('01_원자료'!$S$2:$S$976,'01_원자료'!$A$2:$A$976,$A65,'01_원자료'!$C$2:$C$976,"ministral")+AVERAGEIFS('01_원자료'!$S$2:$S$976,'01_원자료'!$A$2:$A$976,$A65)</f>
        <v/>
      </c>
      <c r="F65" s="70">
        <f>IF(C65&gt;0,1,0)</f>
        <v/>
      </c>
      <c r="G65" s="70">
        <f>IF(D65&gt;0,1,0)</f>
        <v/>
      </c>
      <c r="H65" s="70">
        <f>IF(E65&gt;0,1,0)</f>
        <v/>
      </c>
    </row>
    <row r="66" ht="15" customHeight="1" s="68">
      <c r="A66" s="83" t="inlineStr">
        <is>
          <t>RPT-31</t>
        </is>
      </c>
      <c r="B66" s="73">
        <f>IF(LEFT(A66,3)="PAT","특허","보고서")</f>
        <v/>
      </c>
      <c r="C66" s="129">
        <f>AVERAGEIFS('01_원자료'!$S$2:$S$976,'01_원자료'!$A$2:$A$976,$A66,'01_원자료'!$B$2:$B$976,"gemini",'01_원자료'!$C$2:$C$976,"gemma")-AVERAGEIFS('01_원자료'!$S$2:$S$976,'01_원자료'!$A$2:$A$976,$A66,'01_원자료'!$B$2:$B$976,"gemini")-AVERAGEIFS('01_원자료'!$S$2:$S$976,'01_원자료'!$A$2:$A$976,$A66,'01_원자료'!$C$2:$C$976,"gemma")+AVERAGEIFS('01_원자료'!$S$2:$S$976,'01_원자료'!$A$2:$A$976,$A66)</f>
        <v/>
      </c>
      <c r="D66" s="129">
        <f>AVERAGEIFS('01_원자료'!$S$2:$S$976,'01_원자료'!$A$2:$A$976,$A66,'01_원자료'!$B$2:$B$976,"qwen3_6",'01_원자료'!$C$2:$C$976,"qwen")-AVERAGEIFS('01_원자료'!$S$2:$S$976,'01_원자료'!$A$2:$A$976,$A66,'01_원자료'!$B$2:$B$976,"qwen3_6")-AVERAGEIFS('01_원자료'!$S$2:$S$976,'01_원자료'!$A$2:$A$976,$A66,'01_원자료'!$C$2:$C$976,"qwen")+AVERAGEIFS('01_원자료'!$S$2:$S$976,'01_원자료'!$A$2:$A$976,$A66)</f>
        <v/>
      </c>
      <c r="E66" s="129">
        <f>AVERAGEIFS('01_원자료'!$S$2:$S$976,'01_원자료'!$A$2:$A$976,$A66,'01_원자료'!$B$2:$B$976,"mistral",'01_원자료'!$C$2:$C$976,"ministral")-AVERAGEIFS('01_원자료'!$S$2:$S$976,'01_원자료'!$A$2:$A$976,$A66,'01_원자료'!$B$2:$B$976,"mistral")-AVERAGEIFS('01_원자료'!$S$2:$S$976,'01_원자료'!$A$2:$A$976,$A66,'01_원자료'!$C$2:$C$976,"ministral")+AVERAGEIFS('01_원자료'!$S$2:$S$976,'01_원자료'!$A$2:$A$976,$A66)</f>
        <v/>
      </c>
      <c r="F66" s="70">
        <f>IF(C66&gt;0,1,0)</f>
        <v/>
      </c>
      <c r="G66" s="70">
        <f>IF(D66&gt;0,1,0)</f>
        <v/>
      </c>
      <c r="H66" s="70">
        <f>IF(E66&gt;0,1,0)</f>
        <v/>
      </c>
    </row>
    <row r="67" ht="15" customHeight="1" s="68">
      <c r="A67" s="83" t="inlineStr">
        <is>
          <t>RPT-32</t>
        </is>
      </c>
      <c r="B67" s="73">
        <f>IF(LEFT(A67,3)="PAT","특허","보고서")</f>
        <v/>
      </c>
      <c r="C67" s="129">
        <f>AVERAGEIFS('01_원자료'!$S$2:$S$976,'01_원자료'!$A$2:$A$976,$A67,'01_원자료'!$B$2:$B$976,"gemini",'01_원자료'!$C$2:$C$976,"gemma")-AVERAGEIFS('01_원자료'!$S$2:$S$976,'01_원자료'!$A$2:$A$976,$A67,'01_원자료'!$B$2:$B$976,"gemini")-AVERAGEIFS('01_원자료'!$S$2:$S$976,'01_원자료'!$A$2:$A$976,$A67,'01_원자료'!$C$2:$C$976,"gemma")+AVERAGEIFS('01_원자료'!$S$2:$S$976,'01_원자료'!$A$2:$A$976,$A67)</f>
        <v/>
      </c>
      <c r="D67" s="129">
        <f>AVERAGEIFS('01_원자료'!$S$2:$S$976,'01_원자료'!$A$2:$A$976,$A67,'01_원자료'!$B$2:$B$976,"qwen3_6",'01_원자료'!$C$2:$C$976,"qwen")-AVERAGEIFS('01_원자료'!$S$2:$S$976,'01_원자료'!$A$2:$A$976,$A67,'01_원자료'!$B$2:$B$976,"qwen3_6")-AVERAGEIFS('01_원자료'!$S$2:$S$976,'01_원자료'!$A$2:$A$976,$A67,'01_원자료'!$C$2:$C$976,"qwen")+AVERAGEIFS('01_원자료'!$S$2:$S$976,'01_원자료'!$A$2:$A$976,$A67)</f>
        <v/>
      </c>
      <c r="E67" s="129">
        <f>AVERAGEIFS('01_원자료'!$S$2:$S$976,'01_원자료'!$A$2:$A$976,$A67,'01_원자료'!$B$2:$B$976,"mistral",'01_원자료'!$C$2:$C$976,"ministral")-AVERAGEIFS('01_원자료'!$S$2:$S$976,'01_원자료'!$A$2:$A$976,$A67,'01_원자료'!$B$2:$B$976,"mistral")-AVERAGEIFS('01_원자료'!$S$2:$S$976,'01_원자료'!$A$2:$A$976,$A67,'01_원자료'!$C$2:$C$976,"ministral")+AVERAGEIFS('01_원자료'!$S$2:$S$976,'01_원자료'!$A$2:$A$976,$A67)</f>
        <v/>
      </c>
      <c r="F67" s="70">
        <f>IF(C67&gt;0,1,0)</f>
        <v/>
      </c>
      <c r="G67" s="70">
        <f>IF(D67&gt;0,1,0)</f>
        <v/>
      </c>
      <c r="H67" s="70">
        <f>IF(E67&gt;0,1,0)</f>
        <v/>
      </c>
    </row>
    <row r="68" ht="15" customHeight="1" s="68">
      <c r="A68" s="83" t="inlineStr">
        <is>
          <t>RPT-33</t>
        </is>
      </c>
      <c r="B68" s="73">
        <f>IF(LEFT(A68,3)="PAT","특허","보고서")</f>
        <v/>
      </c>
      <c r="C68" s="129">
        <f>AVERAGEIFS('01_원자료'!$S$2:$S$976,'01_원자료'!$A$2:$A$976,$A68,'01_원자료'!$B$2:$B$976,"gemini",'01_원자료'!$C$2:$C$976,"gemma")-AVERAGEIFS('01_원자료'!$S$2:$S$976,'01_원자료'!$A$2:$A$976,$A68,'01_원자료'!$B$2:$B$976,"gemini")-AVERAGEIFS('01_원자료'!$S$2:$S$976,'01_원자료'!$A$2:$A$976,$A68,'01_원자료'!$C$2:$C$976,"gemma")+AVERAGEIFS('01_원자료'!$S$2:$S$976,'01_원자료'!$A$2:$A$976,$A68)</f>
        <v/>
      </c>
      <c r="D68" s="129">
        <f>AVERAGEIFS('01_원자료'!$S$2:$S$976,'01_원자료'!$A$2:$A$976,$A68,'01_원자료'!$B$2:$B$976,"qwen3_6",'01_원자료'!$C$2:$C$976,"qwen")-AVERAGEIFS('01_원자료'!$S$2:$S$976,'01_원자료'!$A$2:$A$976,$A68,'01_원자료'!$B$2:$B$976,"qwen3_6")-AVERAGEIFS('01_원자료'!$S$2:$S$976,'01_원자료'!$A$2:$A$976,$A68,'01_원자료'!$C$2:$C$976,"qwen")+AVERAGEIFS('01_원자료'!$S$2:$S$976,'01_원자료'!$A$2:$A$976,$A68)</f>
        <v/>
      </c>
      <c r="E68" s="129">
        <f>AVERAGEIFS('01_원자료'!$S$2:$S$976,'01_원자료'!$A$2:$A$976,$A68,'01_원자료'!$B$2:$B$976,"mistral",'01_원자료'!$C$2:$C$976,"ministral")-AVERAGEIFS('01_원자료'!$S$2:$S$976,'01_원자료'!$A$2:$A$976,$A68,'01_원자료'!$B$2:$B$976,"mistral")-AVERAGEIFS('01_원자료'!$S$2:$S$976,'01_원자료'!$A$2:$A$976,$A68,'01_원자료'!$C$2:$C$976,"ministral")+AVERAGEIFS('01_원자료'!$S$2:$S$976,'01_원자료'!$A$2:$A$976,$A68)</f>
        <v/>
      </c>
      <c r="F68" s="70">
        <f>IF(C68&gt;0,1,0)</f>
        <v/>
      </c>
      <c r="G68" s="70">
        <f>IF(D68&gt;0,1,0)</f>
        <v/>
      </c>
      <c r="H68" s="70">
        <f>IF(E68&gt;0,1,0)</f>
        <v/>
      </c>
    </row>
    <row r="69" ht="15" customHeight="1" s="68">
      <c r="A69" s="83" t="inlineStr">
        <is>
          <t>RPT-34</t>
        </is>
      </c>
      <c r="B69" s="73">
        <f>IF(LEFT(A69,3)="PAT","특허","보고서")</f>
        <v/>
      </c>
      <c r="C69" s="129">
        <f>AVERAGEIFS('01_원자료'!$S$2:$S$976,'01_원자료'!$A$2:$A$976,$A69,'01_원자료'!$B$2:$B$976,"gemini",'01_원자료'!$C$2:$C$976,"gemma")-AVERAGEIFS('01_원자료'!$S$2:$S$976,'01_원자료'!$A$2:$A$976,$A69,'01_원자료'!$B$2:$B$976,"gemini")-AVERAGEIFS('01_원자료'!$S$2:$S$976,'01_원자료'!$A$2:$A$976,$A69,'01_원자료'!$C$2:$C$976,"gemma")+AVERAGEIFS('01_원자료'!$S$2:$S$976,'01_원자료'!$A$2:$A$976,$A69)</f>
        <v/>
      </c>
      <c r="D69" s="129">
        <f>AVERAGEIFS('01_원자료'!$S$2:$S$976,'01_원자료'!$A$2:$A$976,$A69,'01_원자료'!$B$2:$B$976,"qwen3_6",'01_원자료'!$C$2:$C$976,"qwen")-AVERAGEIFS('01_원자료'!$S$2:$S$976,'01_원자료'!$A$2:$A$976,$A69,'01_원자료'!$B$2:$B$976,"qwen3_6")-AVERAGEIFS('01_원자료'!$S$2:$S$976,'01_원자료'!$A$2:$A$976,$A69,'01_원자료'!$C$2:$C$976,"qwen")+AVERAGEIFS('01_원자료'!$S$2:$S$976,'01_원자료'!$A$2:$A$976,$A69)</f>
        <v/>
      </c>
      <c r="E69" s="129">
        <f>AVERAGEIFS('01_원자료'!$S$2:$S$976,'01_원자료'!$A$2:$A$976,$A69,'01_원자료'!$B$2:$B$976,"mistral",'01_원자료'!$C$2:$C$976,"ministral")-AVERAGEIFS('01_원자료'!$S$2:$S$976,'01_원자료'!$A$2:$A$976,$A69,'01_원자료'!$B$2:$B$976,"mistral")-AVERAGEIFS('01_원자료'!$S$2:$S$976,'01_원자료'!$A$2:$A$976,$A69,'01_원자료'!$C$2:$C$976,"ministral")+AVERAGEIFS('01_원자료'!$S$2:$S$976,'01_원자료'!$A$2:$A$976,$A69)</f>
        <v/>
      </c>
      <c r="F69" s="70">
        <f>IF(C69&gt;0,1,0)</f>
        <v/>
      </c>
      <c r="G69" s="70">
        <f>IF(D69&gt;0,1,0)</f>
        <v/>
      </c>
      <c r="H69" s="70">
        <f>IF(E69&gt;0,1,0)</f>
        <v/>
      </c>
    </row>
    <row r="72" ht="17.15" customHeight="1" s="68">
      <c r="A72" s="71" t="inlineStr">
        <is>
          <t>계열별 평균 (10_계열편향의 D*와 일치해야 한다)</t>
        </is>
      </c>
    </row>
    <row r="73" ht="15" customHeight="1" s="68">
      <c r="A73" s="78" t="inlineStr">
        <is>
          <t>계열</t>
        </is>
      </c>
      <c r="B73" s="78" t="inlineStr">
        <is>
          <t>문서 평균 D*</t>
        </is>
      </c>
      <c r="C73" s="82" t="inlineStr">
        <is>
          <t>10_계열편향 D*</t>
        </is>
      </c>
      <c r="D73" s="78" t="inlineStr">
        <is>
          <t>차이</t>
        </is>
      </c>
    </row>
    <row r="74" ht="15" customHeight="1" s="68">
      <c r="A74" s="74" t="inlineStr">
        <is>
          <t>Google</t>
        </is>
      </c>
      <c r="B74" s="133">
        <f>AVERAGE(C$5:C$69)</f>
        <v/>
      </c>
      <c r="C74" s="134">
        <f>'10_계열편향'!C16</f>
        <v/>
      </c>
      <c r="D74" s="135">
        <f>B74-C74</f>
        <v/>
      </c>
    </row>
    <row r="75" ht="15" customHeight="1" s="68">
      <c r="A75" s="74" t="inlineStr">
        <is>
          <t>Alibaba</t>
        </is>
      </c>
      <c r="B75" s="133">
        <f>AVERAGE(D$5:D$69)</f>
        <v/>
      </c>
      <c r="C75" s="134">
        <f>'10_계열편향'!C17</f>
        <v/>
      </c>
      <c r="D75" s="135">
        <f>B75-C75</f>
        <v/>
      </c>
    </row>
    <row r="76" ht="15" customHeight="1" s="68">
      <c r="A76" s="74" t="inlineStr">
        <is>
          <t>Mistral</t>
        </is>
      </c>
      <c r="B76" s="133">
        <f>AVERAGE(E$5:E$69)</f>
        <v/>
      </c>
      <c r="C76" s="134">
        <f>'10_계열편향'!C18</f>
        <v/>
      </c>
      <c r="D76" s="135">
        <f>B76-C76</f>
        <v/>
      </c>
    </row>
    <row r="78" ht="15" customHeight="1" s="68">
      <c r="A78" s="70" t="inlineStr">
        <is>
          <t>균형설계이므로 문서별로 중심화한 잔차의 평균은 전체를 한 번에 중심화한 잔차와 정확히 일치한다.</t>
        </is>
      </c>
    </row>
    <row r="80" ht="17.15" customHeight="1" s="68">
      <c r="A80" s="71" t="inlineStr">
        <is>
          <t>문서 형식 x 잔차 부호 교차표 (관측도수)</t>
        </is>
      </c>
    </row>
    <row r="81" ht="15" customHeight="1" s="68">
      <c r="A81" s="70" t="inlineStr">
        <is>
          <t>분석 단위: 문서 65건 x 계열 3개 = 195개 잔차</t>
        </is>
      </c>
    </row>
    <row r="82" ht="15" customHeight="1" s="68">
      <c r="A82" s="78" t="inlineStr">
        <is>
          <t>문서형식</t>
        </is>
      </c>
      <c r="B82" s="78" t="inlineStr">
        <is>
          <t>음수(D*&lt;=0)</t>
        </is>
      </c>
      <c r="C82" s="78" t="inlineStr">
        <is>
          <t>양수(D*&gt;0)</t>
        </is>
      </c>
      <c r="D82" s="78" t="inlineStr">
        <is>
          <t>합계</t>
        </is>
      </c>
      <c r="E82" s="78" t="inlineStr">
        <is>
          <t>양수 비율</t>
        </is>
      </c>
    </row>
    <row r="83" ht="15" customHeight="1" s="68">
      <c r="A83" s="72" t="inlineStr">
        <is>
          <t>특허</t>
        </is>
      </c>
      <c r="B83" s="101">
        <f>COUNTIFS($B$5:$B$69,$A83)*3-C83</f>
        <v/>
      </c>
      <c r="C83" s="101">
        <f>SUMPRODUCT(($B$5:$B$69=$A83)*($F$5:$H$69))</f>
        <v/>
      </c>
      <c r="D83" s="101">
        <f>B83+C83</f>
        <v/>
      </c>
      <c r="E83" s="80">
        <f>C83/D83</f>
        <v/>
      </c>
    </row>
    <row r="84" ht="15" customHeight="1" s="68">
      <c r="A84" s="72" t="inlineStr">
        <is>
          <t>보고서</t>
        </is>
      </c>
      <c r="B84" s="101">
        <f>COUNTIFS($B$5:$B$69,$A84)*3-C84</f>
        <v/>
      </c>
      <c r="C84" s="101">
        <f>SUMPRODUCT(($B$5:$B$69=$A84)*($F$5:$H$69))</f>
        <v/>
      </c>
      <c r="D84" s="101">
        <f>B84+C84</f>
        <v/>
      </c>
      <c r="E84" s="80">
        <f>C84/D84</f>
        <v/>
      </c>
    </row>
    <row r="85" ht="15" customHeight="1" s="68">
      <c r="A85" s="72" t="inlineStr">
        <is>
          <t>합계</t>
        </is>
      </c>
      <c r="B85" s="81">
        <f>SUM(B83:B84)</f>
        <v/>
      </c>
      <c r="C85" s="81">
        <f>SUM(C83:C84)</f>
        <v/>
      </c>
      <c r="D85" s="81">
        <f>SUM(D83:D84)</f>
        <v/>
      </c>
    </row>
    <row r="87" ht="17.15" customHeight="1" s="68">
      <c r="A87" s="71" t="inlineStr">
        <is>
          <t>기대도수 및 카이제곱 (Yates 연속성 보정)</t>
        </is>
      </c>
    </row>
    <row r="88" ht="15" customHeight="1" s="68">
      <c r="A88" s="78" t="inlineStr">
        <is>
          <t>문서형식</t>
        </is>
      </c>
      <c r="B88" s="78" t="inlineStr">
        <is>
          <t>기대 음수</t>
        </is>
      </c>
      <c r="C88" s="78" t="inlineStr">
        <is>
          <t>기대 양수</t>
        </is>
      </c>
    </row>
    <row r="89" ht="15" customHeight="1" s="68">
      <c r="A89" s="72">
        <f>A83</f>
        <v/>
      </c>
      <c r="B89" s="102">
        <f>$D83*B$85/$D$85</f>
        <v/>
      </c>
      <c r="C89" s="102">
        <f>$D83*C$85/$D$85</f>
        <v/>
      </c>
    </row>
    <row r="90" ht="15" customHeight="1" s="68">
      <c r="A90" s="72">
        <f>A84</f>
        <v/>
      </c>
      <c r="B90" s="102">
        <f>$D84*B$85/$D$85</f>
        <v/>
      </c>
      <c r="C90" s="102">
        <f>$D84*C$85/$D$85</f>
        <v/>
      </c>
    </row>
    <row r="92" ht="15" customHeight="1" s="68">
      <c r="A92" s="72" t="inlineStr">
        <is>
          <t>카이제곱 (Yates)</t>
        </is>
      </c>
      <c r="B92" s="108">
        <f>(ABS(B83-B89)-0.5)^2/B89+(ABS(C83-C89)-0.5)^2/C89+(ABS(B84-B90)-0.5)^2/B90+(ABS(C84-C90)-0.5)^2/C90</f>
        <v/>
      </c>
    </row>
    <row r="93" ht="15" customHeight="1" s="68">
      <c r="A93" s="72" t="inlineStr">
        <is>
          <t>자유도</t>
        </is>
      </c>
      <c r="B93" s="136">
        <f>(2-1)*(2-1)</f>
        <v/>
      </c>
    </row>
    <row r="94" ht="15" customHeight="1" s="68">
      <c r="A94" s="74" t="inlineStr">
        <is>
          <t>p</t>
        </is>
      </c>
      <c r="B94" s="108">
        <f>CHIDIST(B92,B93)</f>
        <v/>
      </c>
    </row>
    <row r="96" ht="15" customHeight="1" s="68">
      <c r="A96" s="79" t="inlineStr">
        <is>
          <t>2x2 분할표이므로 Yates 연속성 보정을 적용하였다: χ² = Σ (|O−E|−0.5)²/E. 보정을 적용하지 않으면 χ²=1.527, p=0.217이며 결론(유의하지 않음)은 동일하다.</t>
        </is>
      </c>
    </row>
    <row r="97" ht="15" customHeight="1" s="68">
      <c r="A97" s="70" t="inlineStr">
        <is>
          <t>해석: 계열 편향의 방향(양의 잔차)은 특허 문서와 보고서 문서에서 같은 비율로 나타난다. 즉 편향 패턴은 입력 문서 유형과 무관하게 일관된다.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P8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26" customWidth="1" style="67" min="1" max="1"/>
    <col width="15" customWidth="1" style="67" min="2" max="2"/>
    <col width="13" customWidth="1" style="67" min="3" max="3"/>
    <col width="20" customWidth="1" style="67" min="4" max="4"/>
    <col width="16" customWidth="1" style="67" min="5" max="5"/>
    <col width="19" customWidth="1" style="67" min="6" max="7"/>
    <col width="12" customWidth="1" style="67" min="8" max="9"/>
    <col width="19" customWidth="1" style="67" min="10" max="10"/>
    <col width="11" customWidth="1" style="67" min="11" max="11"/>
  </cols>
  <sheetData>
    <row r="1" ht="21.6" customHeight="1" s="68">
      <c r="A1" s="89" t="inlineStr">
        <is>
          <t>문서 단위(65건) 집계와 사후 회귀 입력 변수</t>
        </is>
      </c>
    </row>
    <row r="2" ht="15" customHeight="1" s="68">
      <c r="A2" s="70" t="inlineStr">
        <is>
          <t>파란 글씨 = 외부 입력(원문에서 직접 계수), 검정 글씨 = 01_원자료에서 집계한 수식</t>
        </is>
      </c>
    </row>
    <row r="4" ht="44" customHeight="1" s="68">
      <c r="A4" s="82" t="inlineStr">
        <is>
          <t>document_id</t>
        </is>
      </c>
      <c r="B4" s="82" t="inlineStr">
        <is>
          <t>y: 평균 Overall</t>
        </is>
      </c>
      <c r="C4" s="82" t="inlineStr">
        <is>
          <t>TEDS표 평균</t>
        </is>
      </c>
      <c r="D4" s="82" t="inlineStr">
        <is>
          <t>TEDS표 표준편차(신호1)</t>
        </is>
      </c>
      <c r="E4" s="78" t="inlineStr">
        <is>
          <t>출력 어휘량(신호2)</t>
        </is>
      </c>
      <c r="F4" s="78" t="inlineStr">
        <is>
          <t>로컬합의도 평균(RF1)</t>
        </is>
      </c>
      <c r="G4" s="78" t="inlineStr">
        <is>
          <t>로컬합의도 분산(RF2)</t>
        </is>
      </c>
      <c r="H4" s="78" t="inlineStr">
        <is>
          <t>어휘 평균</t>
        </is>
      </c>
      <c r="I4" s="78" t="inlineStr">
        <is>
          <t>의미 평균</t>
        </is>
      </c>
      <c r="J4" s="78" t="inlineStr">
        <is>
          <t>어휘+의미 종속변수</t>
        </is>
      </c>
      <c r="K4" s="78" t="inlineStr">
        <is>
          <t>문서형식</t>
        </is>
      </c>
      <c r="L4" s="78" t="inlineStr">
        <is>
          <t>순위 y</t>
        </is>
      </c>
      <c r="M4" s="78" t="inlineStr">
        <is>
          <t>순위 TEDS표SD</t>
        </is>
      </c>
      <c r="N4" s="78" t="inlineStr">
        <is>
          <t>순위 어휘량</t>
        </is>
      </c>
      <c r="O4" s="78" t="inlineStr">
        <is>
          <t>순위 로컬합의도</t>
        </is>
      </c>
      <c r="P4" s="78" t="inlineStr">
        <is>
          <t>순위 어휘+의미</t>
        </is>
      </c>
    </row>
    <row r="5" ht="15" customHeight="1" s="68">
      <c r="A5" s="83" t="inlineStr">
        <is>
          <t>PAT-01</t>
        </is>
      </c>
      <c r="B5" s="85">
        <f>AVERAGEIFS('01_원자료'!$S$2:$S$976,'01_원자료'!$A$2:$A$976,$A5)</f>
        <v/>
      </c>
      <c r="C5" s="85">
        <f>AVERAGEIFS('01_원자료'!$O$2:$O$976,'01_원자료'!$A$2:$A$976,$A5)</f>
        <v/>
      </c>
      <c r="D5" s="85">
        <f>SQRT(SUMPRODUCT(('01_원자료'!$A$2:$A$976=$A5)*('01_원자료'!$O$2:$O$976-$C5)^2)/14)</f>
        <v/>
      </c>
      <c r="E5" s="137" t="n">
        <v>926.333333333333</v>
      </c>
      <c r="F5" s="84" t="n">
        <v>1</v>
      </c>
      <c r="G5" s="84" t="n">
        <v>0</v>
      </c>
      <c r="H5" s="85">
        <f>AVERAGEIFS('01_원자료'!$P$2:$P$976,'01_원자료'!$A$2:$A$976,$A5)</f>
        <v/>
      </c>
      <c r="I5" s="85">
        <f>AVERAGEIFS('01_원자료'!$Q$2:$Q$976,'01_원자료'!$A$2:$A$976,$A5)</f>
        <v/>
      </c>
      <c r="J5" s="85">
        <f>('02_지표정의'!$C$22*H5+'02_지표정의'!$C$23*I5)/('02_지표정의'!$C$22+'02_지표정의'!$C$23)</f>
        <v/>
      </c>
      <c r="K5" s="73">
        <f>IF(LEFT(A5,3)="PAT","특허","보고서")</f>
        <v/>
      </c>
      <c r="L5" s="99">
        <f>COUNTIF($B$5:$B$69,"&lt;"&amp;B5)+(COUNTIF($B$5:$B$69,"="&amp;B5)+1)/2</f>
        <v/>
      </c>
      <c r="M5" s="99">
        <f>COUNTIF($D$5:$D$69,"&lt;"&amp;D5)+(COUNTIF($D$5:$D$69,"="&amp;D5)+1)/2</f>
        <v/>
      </c>
      <c r="N5" s="99">
        <f>COUNTIF($E$5:$E$69,"&lt;"&amp;E5)+(COUNTIF($E$5:$E$69,"="&amp;E5)+1)/2</f>
        <v/>
      </c>
      <c r="O5" s="99">
        <f>COUNTIF($F$5:$F$69,"&lt;"&amp;F5)+(COUNTIF($F$5:$F$69,"="&amp;F5)+1)/2</f>
        <v/>
      </c>
      <c r="P5" s="99">
        <f>COUNTIF($J$5:$J$69,"&lt;"&amp;J5)+(COUNTIF($J$5:$J$69,"="&amp;J5)+1)/2</f>
        <v/>
      </c>
    </row>
    <row r="6" ht="15" customHeight="1" s="68">
      <c r="A6" s="83" t="inlineStr">
        <is>
          <t>PAT-02</t>
        </is>
      </c>
      <c r="B6" s="85">
        <f>AVERAGEIFS('01_원자료'!$S$2:$S$976,'01_원자료'!$A$2:$A$976,$A6)</f>
        <v/>
      </c>
      <c r="C6" s="85">
        <f>AVERAGEIFS('01_원자료'!$O$2:$O$976,'01_원자료'!$A$2:$A$976,$A6)</f>
        <v/>
      </c>
      <c r="D6" s="85">
        <f>SQRT(SUMPRODUCT(('01_원자료'!$A$2:$A$976=$A6)*('01_원자료'!$O$2:$O$976-$C6)^2)/14)</f>
        <v/>
      </c>
      <c r="E6" s="137" t="n">
        <v>902.666666666667</v>
      </c>
      <c r="F6" s="84" t="n">
        <v>0.765789473684211</v>
      </c>
      <c r="G6" s="84" t="n">
        <v>0.202870672339032</v>
      </c>
      <c r="H6" s="85">
        <f>AVERAGEIFS('01_원자료'!$P$2:$P$976,'01_원자료'!$A$2:$A$976,$A6)</f>
        <v/>
      </c>
      <c r="I6" s="85">
        <f>AVERAGEIFS('01_원자료'!$Q$2:$Q$976,'01_원자료'!$A$2:$A$976,$A6)</f>
        <v/>
      </c>
      <c r="J6" s="85">
        <f>('02_지표정의'!$C$22*H6+'02_지표정의'!$C$23*I6)/('02_지표정의'!$C$22+'02_지표정의'!$C$23)</f>
        <v/>
      </c>
      <c r="K6" s="73">
        <f>IF(LEFT(A6,3)="PAT","특허","보고서")</f>
        <v/>
      </c>
      <c r="L6" s="99">
        <f>COUNTIF($B$5:$B$69,"&lt;"&amp;B6)+(COUNTIF($B$5:$B$69,"="&amp;B6)+1)/2</f>
        <v/>
      </c>
      <c r="M6" s="99">
        <f>COUNTIF($D$5:$D$69,"&lt;"&amp;D6)+(COUNTIF($D$5:$D$69,"="&amp;D6)+1)/2</f>
        <v/>
      </c>
      <c r="N6" s="99">
        <f>COUNTIF($E$5:$E$69,"&lt;"&amp;E6)+(COUNTIF($E$5:$E$69,"="&amp;E6)+1)/2</f>
        <v/>
      </c>
      <c r="O6" s="99">
        <f>COUNTIF($F$5:$F$69,"&lt;"&amp;F6)+(COUNTIF($F$5:$F$69,"="&amp;F6)+1)/2</f>
        <v/>
      </c>
      <c r="P6" s="99">
        <f>COUNTIF($J$5:$J$69,"&lt;"&amp;J6)+(COUNTIF($J$5:$J$69,"="&amp;J6)+1)/2</f>
        <v/>
      </c>
    </row>
    <row r="7" ht="15" customHeight="1" s="68">
      <c r="A7" s="83" t="inlineStr">
        <is>
          <t>PAT-03</t>
        </is>
      </c>
      <c r="B7" s="85">
        <f>AVERAGEIFS('01_원자료'!$S$2:$S$976,'01_원자료'!$A$2:$A$976,$A7)</f>
        <v/>
      </c>
      <c r="C7" s="85">
        <f>AVERAGEIFS('01_원자료'!$O$2:$O$976,'01_원자료'!$A$2:$A$976,$A7)</f>
        <v/>
      </c>
      <c r="D7" s="85">
        <f>SQRT(SUMPRODUCT(('01_원자료'!$A$2:$A$976=$A7)*('01_원자료'!$O$2:$O$976-$C7)^2)/14)</f>
        <v/>
      </c>
      <c r="E7" s="137" t="n">
        <v>821</v>
      </c>
      <c r="F7" s="84" t="n">
        <v>0.664473684210526</v>
      </c>
      <c r="G7" s="84" t="n">
        <v>0.161553015234325</v>
      </c>
      <c r="H7" s="85">
        <f>AVERAGEIFS('01_원자료'!$P$2:$P$976,'01_원자료'!$A$2:$A$976,$A7)</f>
        <v/>
      </c>
      <c r="I7" s="85">
        <f>AVERAGEIFS('01_원자료'!$Q$2:$Q$976,'01_원자료'!$A$2:$A$976,$A7)</f>
        <v/>
      </c>
      <c r="J7" s="85">
        <f>('02_지표정의'!$C$22*H7+'02_지표정의'!$C$23*I7)/('02_지표정의'!$C$22+'02_지표정의'!$C$23)</f>
        <v/>
      </c>
      <c r="K7" s="73">
        <f>IF(LEFT(A7,3)="PAT","특허","보고서")</f>
        <v/>
      </c>
      <c r="L7" s="99">
        <f>COUNTIF($B$5:$B$69,"&lt;"&amp;B7)+(COUNTIF($B$5:$B$69,"="&amp;B7)+1)/2</f>
        <v/>
      </c>
      <c r="M7" s="99">
        <f>COUNTIF($D$5:$D$69,"&lt;"&amp;D7)+(COUNTIF($D$5:$D$69,"="&amp;D7)+1)/2</f>
        <v/>
      </c>
      <c r="N7" s="99">
        <f>COUNTIF($E$5:$E$69,"&lt;"&amp;E7)+(COUNTIF($E$5:$E$69,"="&amp;E7)+1)/2</f>
        <v/>
      </c>
      <c r="O7" s="99">
        <f>COUNTIF($F$5:$F$69,"&lt;"&amp;F7)+(COUNTIF($F$5:$F$69,"="&amp;F7)+1)/2</f>
        <v/>
      </c>
      <c r="P7" s="99">
        <f>COUNTIF($J$5:$J$69,"&lt;"&amp;J7)+(COUNTIF($J$5:$J$69,"="&amp;J7)+1)/2</f>
        <v/>
      </c>
    </row>
    <row r="8" ht="15" customHeight="1" s="68">
      <c r="A8" s="83" t="inlineStr">
        <is>
          <t>PAT-04</t>
        </is>
      </c>
      <c r="B8" s="85">
        <f>AVERAGEIFS('01_원자료'!$S$2:$S$976,'01_원자료'!$A$2:$A$976,$A8)</f>
        <v/>
      </c>
      <c r="C8" s="85">
        <f>AVERAGEIFS('01_원자료'!$O$2:$O$976,'01_원자료'!$A$2:$A$976,$A8)</f>
        <v/>
      </c>
      <c r="D8" s="85">
        <f>SQRT(SUMPRODUCT(('01_원자료'!$A$2:$A$976=$A8)*('01_원자료'!$O$2:$O$976-$C8)^2)/14)</f>
        <v/>
      </c>
      <c r="E8" s="137" t="n">
        <v>906.666666666667</v>
      </c>
      <c r="F8" s="84" t="n">
        <v>1</v>
      </c>
      <c r="G8" s="84" t="n">
        <v>0</v>
      </c>
      <c r="H8" s="85">
        <f>AVERAGEIFS('01_원자료'!$P$2:$P$976,'01_원자료'!$A$2:$A$976,$A8)</f>
        <v/>
      </c>
      <c r="I8" s="85">
        <f>AVERAGEIFS('01_원자료'!$Q$2:$Q$976,'01_원자료'!$A$2:$A$976,$A8)</f>
        <v/>
      </c>
      <c r="J8" s="85">
        <f>('02_지표정의'!$C$22*H8+'02_지표정의'!$C$23*I8)/('02_지표정의'!$C$22+'02_지표정의'!$C$23)</f>
        <v/>
      </c>
      <c r="K8" s="73">
        <f>IF(LEFT(A8,3)="PAT","특허","보고서")</f>
        <v/>
      </c>
      <c r="L8" s="99">
        <f>COUNTIF($B$5:$B$69,"&lt;"&amp;B8)+(COUNTIF($B$5:$B$69,"="&amp;B8)+1)/2</f>
        <v/>
      </c>
      <c r="M8" s="99">
        <f>COUNTIF($D$5:$D$69,"&lt;"&amp;D8)+(COUNTIF($D$5:$D$69,"="&amp;D8)+1)/2</f>
        <v/>
      </c>
      <c r="N8" s="99">
        <f>COUNTIF($E$5:$E$69,"&lt;"&amp;E8)+(COUNTIF($E$5:$E$69,"="&amp;E8)+1)/2</f>
        <v/>
      </c>
      <c r="O8" s="99">
        <f>COUNTIF($F$5:$F$69,"&lt;"&amp;F8)+(COUNTIF($F$5:$F$69,"="&amp;F8)+1)/2</f>
        <v/>
      </c>
      <c r="P8" s="99">
        <f>COUNTIF($J$5:$J$69,"&lt;"&amp;J8)+(COUNTIF($J$5:$J$69,"="&amp;J8)+1)/2</f>
        <v/>
      </c>
    </row>
    <row r="9" ht="15" customHeight="1" s="68">
      <c r="A9" s="83" t="inlineStr">
        <is>
          <t>PAT-05</t>
        </is>
      </c>
      <c r="B9" s="85">
        <f>AVERAGEIFS('01_원자료'!$S$2:$S$976,'01_원자료'!$A$2:$A$976,$A9)</f>
        <v/>
      </c>
      <c r="C9" s="85">
        <f>AVERAGEIFS('01_원자료'!$O$2:$O$976,'01_원자료'!$A$2:$A$976,$A9)</f>
        <v/>
      </c>
      <c r="D9" s="85">
        <f>SQRT(SUMPRODUCT(('01_원자료'!$A$2:$A$976=$A9)*('01_원자료'!$O$2:$O$976-$C9)^2)/14)</f>
        <v/>
      </c>
      <c r="E9" s="137" t="n">
        <v>899.666666666667</v>
      </c>
      <c r="F9" s="84" t="n">
        <v>0.68421052631579</v>
      </c>
      <c r="G9" s="84" t="n">
        <v>0.273481706458244</v>
      </c>
      <c r="H9" s="85">
        <f>AVERAGEIFS('01_원자료'!$P$2:$P$976,'01_원자료'!$A$2:$A$976,$A9)</f>
        <v/>
      </c>
      <c r="I9" s="85">
        <f>AVERAGEIFS('01_원자료'!$Q$2:$Q$976,'01_원자료'!$A$2:$A$976,$A9)</f>
        <v/>
      </c>
      <c r="J9" s="85">
        <f>('02_지표정의'!$C$22*H9+'02_지표정의'!$C$23*I9)/('02_지표정의'!$C$22+'02_지표정의'!$C$23)</f>
        <v/>
      </c>
      <c r="K9" s="73">
        <f>IF(LEFT(A9,3)="PAT","특허","보고서")</f>
        <v/>
      </c>
      <c r="L9" s="99">
        <f>COUNTIF($B$5:$B$69,"&lt;"&amp;B9)+(COUNTIF($B$5:$B$69,"="&amp;B9)+1)/2</f>
        <v/>
      </c>
      <c r="M9" s="99">
        <f>COUNTIF($D$5:$D$69,"&lt;"&amp;D9)+(COUNTIF($D$5:$D$69,"="&amp;D9)+1)/2</f>
        <v/>
      </c>
      <c r="N9" s="99">
        <f>COUNTIF($E$5:$E$69,"&lt;"&amp;E9)+(COUNTIF($E$5:$E$69,"="&amp;E9)+1)/2</f>
        <v/>
      </c>
      <c r="O9" s="99">
        <f>COUNTIF($F$5:$F$69,"&lt;"&amp;F9)+(COUNTIF($F$5:$F$69,"="&amp;F9)+1)/2</f>
        <v/>
      </c>
      <c r="P9" s="99">
        <f>COUNTIF($J$5:$J$69,"&lt;"&amp;J9)+(COUNTIF($J$5:$J$69,"="&amp;J9)+1)/2</f>
        <v/>
      </c>
    </row>
    <row r="10" ht="15" customHeight="1" s="68">
      <c r="A10" s="83" t="inlineStr">
        <is>
          <t>PAT-06</t>
        </is>
      </c>
      <c r="B10" s="85">
        <f>AVERAGEIFS('01_원자료'!$S$2:$S$976,'01_원자료'!$A$2:$A$976,$A10)</f>
        <v/>
      </c>
      <c r="C10" s="85">
        <f>AVERAGEIFS('01_원자료'!$O$2:$O$976,'01_원자료'!$A$2:$A$976,$A10)</f>
        <v/>
      </c>
      <c r="D10" s="85">
        <f>SQRT(SUMPRODUCT(('01_원자료'!$A$2:$A$976=$A10)*('01_원자료'!$O$2:$O$976-$C10)^2)/14)</f>
        <v/>
      </c>
      <c r="E10" s="137" t="n">
        <v>885</v>
      </c>
      <c r="F10" s="84" t="n">
        <v>0.736842105263158</v>
      </c>
      <c r="G10" s="84" t="n">
        <v>0.227901422048536</v>
      </c>
      <c r="H10" s="85">
        <f>AVERAGEIFS('01_원자료'!$P$2:$P$976,'01_원자료'!$A$2:$A$976,$A10)</f>
        <v/>
      </c>
      <c r="I10" s="85">
        <f>AVERAGEIFS('01_원자료'!$Q$2:$Q$976,'01_원자료'!$A$2:$A$976,$A10)</f>
        <v/>
      </c>
      <c r="J10" s="85">
        <f>('02_지표정의'!$C$22*H10+'02_지표정의'!$C$23*I10)/('02_지표정의'!$C$22+'02_지표정의'!$C$23)</f>
        <v/>
      </c>
      <c r="K10" s="73">
        <f>IF(LEFT(A10,3)="PAT","특허","보고서")</f>
        <v/>
      </c>
      <c r="L10" s="99">
        <f>COUNTIF($B$5:$B$69,"&lt;"&amp;B10)+(COUNTIF($B$5:$B$69,"="&amp;B10)+1)/2</f>
        <v/>
      </c>
      <c r="M10" s="99">
        <f>COUNTIF($D$5:$D$69,"&lt;"&amp;D10)+(COUNTIF($D$5:$D$69,"="&amp;D10)+1)/2</f>
        <v/>
      </c>
      <c r="N10" s="99">
        <f>COUNTIF($E$5:$E$69,"&lt;"&amp;E10)+(COUNTIF($E$5:$E$69,"="&amp;E10)+1)/2</f>
        <v/>
      </c>
      <c r="O10" s="99">
        <f>COUNTIF($F$5:$F$69,"&lt;"&amp;F10)+(COUNTIF($F$5:$F$69,"="&amp;F10)+1)/2</f>
        <v/>
      </c>
      <c r="P10" s="99">
        <f>COUNTIF($J$5:$J$69,"&lt;"&amp;J10)+(COUNTIF($J$5:$J$69,"="&amp;J10)+1)/2</f>
        <v/>
      </c>
    </row>
    <row r="11" ht="15" customHeight="1" s="68">
      <c r="A11" s="83" t="inlineStr">
        <is>
          <t>PAT-07</t>
        </is>
      </c>
      <c r="B11" s="85">
        <f>AVERAGEIFS('01_원자료'!$S$2:$S$976,'01_원자료'!$A$2:$A$976,$A11)</f>
        <v/>
      </c>
      <c r="C11" s="85">
        <f>AVERAGEIFS('01_원자료'!$O$2:$O$976,'01_원자료'!$A$2:$A$976,$A11)</f>
        <v/>
      </c>
      <c r="D11" s="85">
        <f>SQRT(SUMPRODUCT(('01_원자료'!$A$2:$A$976=$A11)*('01_원자료'!$O$2:$O$976-$C11)^2)/14)</f>
        <v/>
      </c>
      <c r="E11" s="137" t="n">
        <v>987.333333333333</v>
      </c>
      <c r="F11" s="84" t="n">
        <v>1</v>
      </c>
      <c r="G11" s="84" t="n">
        <v>0</v>
      </c>
      <c r="H11" s="85">
        <f>AVERAGEIFS('01_원자료'!$P$2:$P$976,'01_원자료'!$A$2:$A$976,$A11)</f>
        <v/>
      </c>
      <c r="I11" s="85">
        <f>AVERAGEIFS('01_원자료'!$Q$2:$Q$976,'01_원자료'!$A$2:$A$976,$A11)</f>
        <v/>
      </c>
      <c r="J11" s="85">
        <f>('02_지표정의'!$C$22*H11+'02_지표정의'!$C$23*I11)/('02_지표정의'!$C$22+'02_지표정의'!$C$23)</f>
        <v/>
      </c>
      <c r="K11" s="73">
        <f>IF(LEFT(A11,3)="PAT","특허","보고서")</f>
        <v/>
      </c>
      <c r="L11" s="99">
        <f>COUNTIF($B$5:$B$69,"&lt;"&amp;B11)+(COUNTIF($B$5:$B$69,"="&amp;B11)+1)/2</f>
        <v/>
      </c>
      <c r="M11" s="99">
        <f>COUNTIF($D$5:$D$69,"&lt;"&amp;D11)+(COUNTIF($D$5:$D$69,"="&amp;D11)+1)/2</f>
        <v/>
      </c>
      <c r="N11" s="99">
        <f>COUNTIF($E$5:$E$69,"&lt;"&amp;E11)+(COUNTIF($E$5:$E$69,"="&amp;E11)+1)/2</f>
        <v/>
      </c>
      <c r="O11" s="99">
        <f>COUNTIF($F$5:$F$69,"&lt;"&amp;F11)+(COUNTIF($F$5:$F$69,"="&amp;F11)+1)/2</f>
        <v/>
      </c>
      <c r="P11" s="99">
        <f>COUNTIF($J$5:$J$69,"&lt;"&amp;J11)+(COUNTIF($J$5:$J$69,"="&amp;J11)+1)/2</f>
        <v/>
      </c>
    </row>
    <row r="12" ht="15" customHeight="1" s="68">
      <c r="A12" s="83" t="inlineStr">
        <is>
          <t>PAT-08</t>
        </is>
      </c>
      <c r="B12" s="85">
        <f>AVERAGEIFS('01_원자료'!$S$2:$S$976,'01_원자료'!$A$2:$A$976,$A12)</f>
        <v/>
      </c>
      <c r="C12" s="85">
        <f>AVERAGEIFS('01_원자료'!$O$2:$O$976,'01_원자료'!$A$2:$A$976,$A12)</f>
        <v/>
      </c>
      <c r="D12" s="85">
        <f>SQRT(SUMPRODUCT(('01_원자료'!$A$2:$A$976=$A12)*('01_원자료'!$O$2:$O$976-$C12)^2)/14)</f>
        <v/>
      </c>
      <c r="E12" s="137" t="n">
        <v>887.333333333333</v>
      </c>
      <c r="F12" s="84" t="n">
        <v>1</v>
      </c>
      <c r="G12" s="84" t="n">
        <v>0</v>
      </c>
      <c r="H12" s="85">
        <f>AVERAGEIFS('01_원자료'!$P$2:$P$976,'01_원자료'!$A$2:$A$976,$A12)</f>
        <v/>
      </c>
      <c r="I12" s="85">
        <f>AVERAGEIFS('01_원자료'!$Q$2:$Q$976,'01_원자료'!$A$2:$A$976,$A12)</f>
        <v/>
      </c>
      <c r="J12" s="85">
        <f>('02_지표정의'!$C$22*H12+'02_지표정의'!$C$23*I12)/('02_지표정의'!$C$22+'02_지표정의'!$C$23)</f>
        <v/>
      </c>
      <c r="K12" s="73">
        <f>IF(LEFT(A12,3)="PAT","특허","보고서")</f>
        <v/>
      </c>
      <c r="L12" s="99">
        <f>COUNTIF($B$5:$B$69,"&lt;"&amp;B12)+(COUNTIF($B$5:$B$69,"="&amp;B12)+1)/2</f>
        <v/>
      </c>
      <c r="M12" s="99">
        <f>COUNTIF($D$5:$D$69,"&lt;"&amp;D12)+(COUNTIF($D$5:$D$69,"="&amp;D12)+1)/2</f>
        <v/>
      </c>
      <c r="N12" s="99">
        <f>COUNTIF($E$5:$E$69,"&lt;"&amp;E12)+(COUNTIF($E$5:$E$69,"="&amp;E12)+1)/2</f>
        <v/>
      </c>
      <c r="O12" s="99">
        <f>COUNTIF($F$5:$F$69,"&lt;"&amp;F12)+(COUNTIF($F$5:$F$69,"="&amp;F12)+1)/2</f>
        <v/>
      </c>
      <c r="P12" s="99">
        <f>COUNTIF($J$5:$J$69,"&lt;"&amp;J12)+(COUNTIF($J$5:$J$69,"="&amp;J12)+1)/2</f>
        <v/>
      </c>
    </row>
    <row r="13" ht="15" customHeight="1" s="68">
      <c r="A13" s="83" t="inlineStr">
        <is>
          <t>PAT-09</t>
        </is>
      </c>
      <c r="B13" s="85">
        <f>AVERAGEIFS('01_원자료'!$S$2:$S$976,'01_원자료'!$A$2:$A$976,$A13)</f>
        <v/>
      </c>
      <c r="C13" s="85">
        <f>AVERAGEIFS('01_원자료'!$O$2:$O$976,'01_원자료'!$A$2:$A$976,$A13)</f>
        <v/>
      </c>
      <c r="D13" s="85">
        <f>SQRT(SUMPRODUCT(('01_원자료'!$A$2:$A$976=$A13)*('01_원자료'!$O$2:$O$976-$C13)^2)/14)</f>
        <v/>
      </c>
      <c r="E13" s="137" t="n">
        <v>895.666666666667</v>
      </c>
      <c r="F13" s="84" t="n">
        <v>0.68421052631579</v>
      </c>
      <c r="G13" s="84" t="n">
        <v>0.273481706458244</v>
      </c>
      <c r="H13" s="85">
        <f>AVERAGEIFS('01_원자료'!$P$2:$P$976,'01_원자료'!$A$2:$A$976,$A13)</f>
        <v/>
      </c>
      <c r="I13" s="85">
        <f>AVERAGEIFS('01_원자료'!$Q$2:$Q$976,'01_원자료'!$A$2:$A$976,$A13)</f>
        <v/>
      </c>
      <c r="J13" s="85">
        <f>('02_지표정의'!$C$22*H13+'02_지표정의'!$C$23*I13)/('02_지표정의'!$C$22+'02_지표정의'!$C$23)</f>
        <v/>
      </c>
      <c r="K13" s="73">
        <f>IF(LEFT(A13,3)="PAT","특허","보고서")</f>
        <v/>
      </c>
      <c r="L13" s="99">
        <f>COUNTIF($B$5:$B$69,"&lt;"&amp;B13)+(COUNTIF($B$5:$B$69,"="&amp;B13)+1)/2</f>
        <v/>
      </c>
      <c r="M13" s="99">
        <f>COUNTIF($D$5:$D$69,"&lt;"&amp;D13)+(COUNTIF($D$5:$D$69,"="&amp;D13)+1)/2</f>
        <v/>
      </c>
      <c r="N13" s="99">
        <f>COUNTIF($E$5:$E$69,"&lt;"&amp;E13)+(COUNTIF($E$5:$E$69,"="&amp;E13)+1)/2</f>
        <v/>
      </c>
      <c r="O13" s="99">
        <f>COUNTIF($F$5:$F$69,"&lt;"&amp;F13)+(COUNTIF($F$5:$F$69,"="&amp;F13)+1)/2</f>
        <v/>
      </c>
      <c r="P13" s="99">
        <f>COUNTIF($J$5:$J$69,"&lt;"&amp;J13)+(COUNTIF($J$5:$J$69,"="&amp;J13)+1)/2</f>
        <v/>
      </c>
    </row>
    <row r="14" ht="15" customHeight="1" s="68">
      <c r="A14" s="83" t="inlineStr">
        <is>
          <t>PAT-10</t>
        </is>
      </c>
      <c r="B14" s="85">
        <f>AVERAGEIFS('01_원자료'!$S$2:$S$976,'01_원자료'!$A$2:$A$976,$A14)</f>
        <v/>
      </c>
      <c r="C14" s="85">
        <f>AVERAGEIFS('01_원자료'!$O$2:$O$976,'01_원자료'!$A$2:$A$976,$A14)</f>
        <v/>
      </c>
      <c r="D14" s="85">
        <f>SQRT(SUMPRODUCT(('01_원자료'!$A$2:$A$976=$A14)*('01_원자료'!$O$2:$O$976-$C14)^2)/14)</f>
        <v/>
      </c>
      <c r="E14" s="137" t="n">
        <v>774.666666666667</v>
      </c>
      <c r="F14" s="84" t="n">
        <v>1</v>
      </c>
      <c r="G14" s="84" t="n">
        <v>0</v>
      </c>
      <c r="H14" s="85">
        <f>AVERAGEIFS('01_원자료'!$P$2:$P$976,'01_원자료'!$A$2:$A$976,$A14)</f>
        <v/>
      </c>
      <c r="I14" s="85">
        <f>AVERAGEIFS('01_원자료'!$Q$2:$Q$976,'01_원자료'!$A$2:$A$976,$A14)</f>
        <v/>
      </c>
      <c r="J14" s="85">
        <f>('02_지표정의'!$C$22*H14+'02_지표정의'!$C$23*I14)/('02_지표정의'!$C$22+'02_지표정의'!$C$23)</f>
        <v/>
      </c>
      <c r="K14" s="73">
        <f>IF(LEFT(A14,3)="PAT","특허","보고서")</f>
        <v/>
      </c>
      <c r="L14" s="99">
        <f>COUNTIF($B$5:$B$69,"&lt;"&amp;B14)+(COUNTIF($B$5:$B$69,"="&amp;B14)+1)/2</f>
        <v/>
      </c>
      <c r="M14" s="99">
        <f>COUNTIF($D$5:$D$69,"&lt;"&amp;D14)+(COUNTIF($D$5:$D$69,"="&amp;D14)+1)/2</f>
        <v/>
      </c>
      <c r="N14" s="99">
        <f>COUNTIF($E$5:$E$69,"&lt;"&amp;E14)+(COUNTIF($E$5:$E$69,"="&amp;E14)+1)/2</f>
        <v/>
      </c>
      <c r="O14" s="99">
        <f>COUNTIF($F$5:$F$69,"&lt;"&amp;F14)+(COUNTIF($F$5:$F$69,"="&amp;F14)+1)/2</f>
        <v/>
      </c>
      <c r="P14" s="99">
        <f>COUNTIF($J$5:$J$69,"&lt;"&amp;J14)+(COUNTIF($J$5:$J$69,"="&amp;J14)+1)/2</f>
        <v/>
      </c>
    </row>
    <row r="15" ht="15" customHeight="1" s="68">
      <c r="A15" s="83" t="inlineStr">
        <is>
          <t>PAT-11</t>
        </is>
      </c>
      <c r="B15" s="85">
        <f>AVERAGEIFS('01_원자료'!$S$2:$S$976,'01_원자료'!$A$2:$A$976,$A15)</f>
        <v/>
      </c>
      <c r="C15" s="85">
        <f>AVERAGEIFS('01_원자료'!$O$2:$O$976,'01_원자료'!$A$2:$A$976,$A15)</f>
        <v/>
      </c>
      <c r="D15" s="85">
        <f>SQRT(SUMPRODUCT(('01_원자료'!$A$2:$A$976=$A15)*('01_원자료'!$O$2:$O$976-$C15)^2)/14)</f>
        <v/>
      </c>
      <c r="E15" s="137" t="n">
        <v>798</v>
      </c>
      <c r="F15" s="84" t="n">
        <v>1</v>
      </c>
      <c r="G15" s="84" t="n">
        <v>0</v>
      </c>
      <c r="H15" s="85">
        <f>AVERAGEIFS('01_원자료'!$P$2:$P$976,'01_원자료'!$A$2:$A$976,$A15)</f>
        <v/>
      </c>
      <c r="I15" s="85">
        <f>AVERAGEIFS('01_원자료'!$Q$2:$Q$976,'01_원자료'!$A$2:$A$976,$A15)</f>
        <v/>
      </c>
      <c r="J15" s="85">
        <f>('02_지표정의'!$C$22*H15+'02_지표정의'!$C$23*I15)/('02_지표정의'!$C$22+'02_지표정의'!$C$23)</f>
        <v/>
      </c>
      <c r="K15" s="73">
        <f>IF(LEFT(A15,3)="PAT","특허","보고서")</f>
        <v/>
      </c>
      <c r="L15" s="99">
        <f>COUNTIF($B$5:$B$69,"&lt;"&amp;B15)+(COUNTIF($B$5:$B$69,"="&amp;B15)+1)/2</f>
        <v/>
      </c>
      <c r="M15" s="99">
        <f>COUNTIF($D$5:$D$69,"&lt;"&amp;D15)+(COUNTIF($D$5:$D$69,"="&amp;D15)+1)/2</f>
        <v/>
      </c>
      <c r="N15" s="99">
        <f>COUNTIF($E$5:$E$69,"&lt;"&amp;E15)+(COUNTIF($E$5:$E$69,"="&amp;E15)+1)/2</f>
        <v/>
      </c>
      <c r="O15" s="99">
        <f>COUNTIF($F$5:$F$69,"&lt;"&amp;F15)+(COUNTIF($F$5:$F$69,"="&amp;F15)+1)/2</f>
        <v/>
      </c>
      <c r="P15" s="99">
        <f>COUNTIF($J$5:$J$69,"&lt;"&amp;J15)+(COUNTIF($J$5:$J$69,"="&amp;J15)+1)/2</f>
        <v/>
      </c>
    </row>
    <row r="16" ht="15" customHeight="1" s="68">
      <c r="A16" s="83" t="inlineStr">
        <is>
          <t>PAT-12</t>
        </is>
      </c>
      <c r="B16" s="85">
        <f>AVERAGEIFS('01_원자료'!$S$2:$S$976,'01_원자료'!$A$2:$A$976,$A16)</f>
        <v/>
      </c>
      <c r="C16" s="85">
        <f>AVERAGEIFS('01_원자료'!$O$2:$O$976,'01_원자료'!$A$2:$A$976,$A16)</f>
        <v/>
      </c>
      <c r="D16" s="85">
        <f>SQRT(SUMPRODUCT(('01_원자료'!$A$2:$A$976=$A16)*('01_원자료'!$O$2:$O$976-$C16)^2)/14)</f>
        <v/>
      </c>
      <c r="E16" s="137" t="n">
        <v>666.333333333333</v>
      </c>
      <c r="F16" s="84" t="n">
        <v>1</v>
      </c>
      <c r="G16" s="84" t="n">
        <v>0</v>
      </c>
      <c r="H16" s="85">
        <f>AVERAGEIFS('01_원자료'!$P$2:$P$976,'01_원자료'!$A$2:$A$976,$A16)</f>
        <v/>
      </c>
      <c r="I16" s="85">
        <f>AVERAGEIFS('01_원자료'!$Q$2:$Q$976,'01_원자료'!$A$2:$A$976,$A16)</f>
        <v/>
      </c>
      <c r="J16" s="85">
        <f>('02_지표정의'!$C$22*H16+'02_지표정의'!$C$23*I16)/('02_지표정의'!$C$22+'02_지표정의'!$C$23)</f>
        <v/>
      </c>
      <c r="K16" s="73">
        <f>IF(LEFT(A16,3)="PAT","특허","보고서")</f>
        <v/>
      </c>
      <c r="L16" s="99">
        <f>COUNTIF($B$5:$B$69,"&lt;"&amp;B16)+(COUNTIF($B$5:$B$69,"="&amp;B16)+1)/2</f>
        <v/>
      </c>
      <c r="M16" s="99">
        <f>COUNTIF($D$5:$D$69,"&lt;"&amp;D16)+(COUNTIF($D$5:$D$69,"="&amp;D16)+1)/2</f>
        <v/>
      </c>
      <c r="N16" s="99">
        <f>COUNTIF($E$5:$E$69,"&lt;"&amp;E16)+(COUNTIF($E$5:$E$69,"="&amp;E16)+1)/2</f>
        <v/>
      </c>
      <c r="O16" s="99">
        <f>COUNTIF($F$5:$F$69,"&lt;"&amp;F16)+(COUNTIF($F$5:$F$69,"="&amp;F16)+1)/2</f>
        <v/>
      </c>
      <c r="P16" s="99">
        <f>COUNTIF($J$5:$J$69,"&lt;"&amp;J16)+(COUNTIF($J$5:$J$69,"="&amp;J16)+1)/2</f>
        <v/>
      </c>
    </row>
    <row r="17" ht="15" customHeight="1" s="68">
      <c r="A17" s="83" t="inlineStr">
        <is>
          <t>PAT-13</t>
        </is>
      </c>
      <c r="B17" s="85">
        <f>AVERAGEIFS('01_원자료'!$S$2:$S$976,'01_원자료'!$A$2:$A$976,$A17)</f>
        <v/>
      </c>
      <c r="C17" s="85">
        <f>AVERAGEIFS('01_원자료'!$O$2:$O$976,'01_원자료'!$A$2:$A$976,$A17)</f>
        <v/>
      </c>
      <c r="D17" s="85">
        <f>SQRT(SUMPRODUCT(('01_원자료'!$A$2:$A$976=$A17)*('01_원자료'!$O$2:$O$976-$C17)^2)/14)</f>
        <v/>
      </c>
      <c r="E17" s="137" t="n">
        <v>822</v>
      </c>
      <c r="F17" s="84" t="n">
        <v>1</v>
      </c>
      <c r="G17" s="84" t="n">
        <v>0</v>
      </c>
      <c r="H17" s="85">
        <f>AVERAGEIFS('01_원자료'!$P$2:$P$976,'01_원자료'!$A$2:$A$976,$A17)</f>
        <v/>
      </c>
      <c r="I17" s="85">
        <f>AVERAGEIFS('01_원자료'!$Q$2:$Q$976,'01_원자료'!$A$2:$A$976,$A17)</f>
        <v/>
      </c>
      <c r="J17" s="85">
        <f>('02_지표정의'!$C$22*H17+'02_지표정의'!$C$23*I17)/('02_지표정의'!$C$22+'02_지표정의'!$C$23)</f>
        <v/>
      </c>
      <c r="K17" s="73">
        <f>IF(LEFT(A17,3)="PAT","특허","보고서")</f>
        <v/>
      </c>
      <c r="L17" s="99">
        <f>COUNTIF($B$5:$B$69,"&lt;"&amp;B17)+(COUNTIF($B$5:$B$69,"="&amp;B17)+1)/2</f>
        <v/>
      </c>
      <c r="M17" s="99">
        <f>COUNTIF($D$5:$D$69,"&lt;"&amp;D17)+(COUNTIF($D$5:$D$69,"="&amp;D17)+1)/2</f>
        <v/>
      </c>
      <c r="N17" s="99">
        <f>COUNTIF($E$5:$E$69,"&lt;"&amp;E17)+(COUNTIF($E$5:$E$69,"="&amp;E17)+1)/2</f>
        <v/>
      </c>
      <c r="O17" s="99">
        <f>COUNTIF($F$5:$F$69,"&lt;"&amp;F17)+(COUNTIF($F$5:$F$69,"="&amp;F17)+1)/2</f>
        <v/>
      </c>
      <c r="P17" s="99">
        <f>COUNTIF($J$5:$J$69,"&lt;"&amp;J17)+(COUNTIF($J$5:$J$69,"="&amp;J17)+1)/2</f>
        <v/>
      </c>
    </row>
    <row r="18" ht="15" customHeight="1" s="68">
      <c r="A18" s="83" t="inlineStr">
        <is>
          <t>PAT-14</t>
        </is>
      </c>
      <c r="B18" s="85">
        <f>AVERAGEIFS('01_원자료'!$S$2:$S$976,'01_원자료'!$A$2:$A$976,$A18)</f>
        <v/>
      </c>
      <c r="C18" s="85">
        <f>AVERAGEIFS('01_원자료'!$O$2:$O$976,'01_원자료'!$A$2:$A$976,$A18)</f>
        <v/>
      </c>
      <c r="D18" s="85">
        <f>SQRT(SUMPRODUCT(('01_원자료'!$A$2:$A$976=$A18)*('01_원자료'!$O$2:$O$976-$C18)^2)/14)</f>
        <v/>
      </c>
      <c r="E18" s="137" t="n">
        <v>792.666666666667</v>
      </c>
      <c r="F18" s="84" t="n">
        <v>0.175438596491228</v>
      </c>
      <c r="G18" s="84" t="n">
        <v>0.303868562731382</v>
      </c>
      <c r="H18" s="85">
        <f>AVERAGEIFS('01_원자료'!$P$2:$P$976,'01_원자료'!$A$2:$A$976,$A18)</f>
        <v/>
      </c>
      <c r="I18" s="85">
        <f>AVERAGEIFS('01_원자료'!$Q$2:$Q$976,'01_원자료'!$A$2:$A$976,$A18)</f>
        <v/>
      </c>
      <c r="J18" s="85">
        <f>('02_지표정의'!$C$22*H18+'02_지표정의'!$C$23*I18)/('02_지표정의'!$C$22+'02_지표정의'!$C$23)</f>
        <v/>
      </c>
      <c r="K18" s="73">
        <f>IF(LEFT(A18,3)="PAT","특허","보고서")</f>
        <v/>
      </c>
      <c r="L18" s="99">
        <f>COUNTIF($B$5:$B$69,"&lt;"&amp;B18)+(COUNTIF($B$5:$B$69,"="&amp;B18)+1)/2</f>
        <v/>
      </c>
      <c r="M18" s="99">
        <f>COUNTIF($D$5:$D$69,"&lt;"&amp;D18)+(COUNTIF($D$5:$D$69,"="&amp;D18)+1)/2</f>
        <v/>
      </c>
      <c r="N18" s="99">
        <f>COUNTIF($E$5:$E$69,"&lt;"&amp;E18)+(COUNTIF($E$5:$E$69,"="&amp;E18)+1)/2</f>
        <v/>
      </c>
      <c r="O18" s="99">
        <f>COUNTIF($F$5:$F$69,"&lt;"&amp;F18)+(COUNTIF($F$5:$F$69,"="&amp;F18)+1)/2</f>
        <v/>
      </c>
      <c r="P18" s="99">
        <f>COUNTIF($J$5:$J$69,"&lt;"&amp;J18)+(COUNTIF($J$5:$J$69,"="&amp;J18)+1)/2</f>
        <v/>
      </c>
    </row>
    <row r="19" ht="15" customHeight="1" s="68">
      <c r="A19" s="83" t="inlineStr">
        <is>
          <t>PAT-15</t>
        </is>
      </c>
      <c r="B19" s="85">
        <f>AVERAGEIFS('01_원자료'!$S$2:$S$976,'01_원자료'!$A$2:$A$976,$A19)</f>
        <v/>
      </c>
      <c r="C19" s="85">
        <f>AVERAGEIFS('01_원자료'!$O$2:$O$976,'01_원자료'!$A$2:$A$976,$A19)</f>
        <v/>
      </c>
      <c r="D19" s="85">
        <f>SQRT(SUMPRODUCT(('01_원자료'!$A$2:$A$976=$A19)*('01_원자료'!$O$2:$O$976-$C19)^2)/14)</f>
        <v/>
      </c>
      <c r="E19" s="137" t="n">
        <v>818.666666666667</v>
      </c>
      <c r="F19" s="84" t="n">
        <v>1</v>
      </c>
      <c r="G19" s="84" t="n">
        <v>0</v>
      </c>
      <c r="H19" s="85">
        <f>AVERAGEIFS('01_원자료'!$P$2:$P$976,'01_원자료'!$A$2:$A$976,$A19)</f>
        <v/>
      </c>
      <c r="I19" s="85">
        <f>AVERAGEIFS('01_원자료'!$Q$2:$Q$976,'01_원자료'!$A$2:$A$976,$A19)</f>
        <v/>
      </c>
      <c r="J19" s="85">
        <f>('02_지표정의'!$C$22*H19+'02_지표정의'!$C$23*I19)/('02_지표정의'!$C$22+'02_지표정의'!$C$23)</f>
        <v/>
      </c>
      <c r="K19" s="73">
        <f>IF(LEFT(A19,3)="PAT","특허","보고서")</f>
        <v/>
      </c>
      <c r="L19" s="99">
        <f>COUNTIF($B$5:$B$69,"&lt;"&amp;B19)+(COUNTIF($B$5:$B$69,"="&amp;B19)+1)/2</f>
        <v/>
      </c>
      <c r="M19" s="99">
        <f>COUNTIF($D$5:$D$69,"&lt;"&amp;D19)+(COUNTIF($D$5:$D$69,"="&amp;D19)+1)/2</f>
        <v/>
      </c>
      <c r="N19" s="99">
        <f>COUNTIF($E$5:$E$69,"&lt;"&amp;E19)+(COUNTIF($E$5:$E$69,"="&amp;E19)+1)/2</f>
        <v/>
      </c>
      <c r="O19" s="99">
        <f>COUNTIF($F$5:$F$69,"&lt;"&amp;F19)+(COUNTIF($F$5:$F$69,"="&amp;F19)+1)/2</f>
        <v/>
      </c>
      <c r="P19" s="99">
        <f>COUNTIF($J$5:$J$69,"&lt;"&amp;J19)+(COUNTIF($J$5:$J$69,"="&amp;J19)+1)/2</f>
        <v/>
      </c>
    </row>
    <row r="20" ht="15" customHeight="1" s="68">
      <c r="A20" s="83" t="inlineStr">
        <is>
          <t>PAT-16</t>
        </is>
      </c>
      <c r="B20" s="85">
        <f>AVERAGEIFS('01_원자료'!$S$2:$S$976,'01_원자료'!$A$2:$A$976,$A20)</f>
        <v/>
      </c>
      <c r="C20" s="85">
        <f>AVERAGEIFS('01_원자료'!$O$2:$O$976,'01_원자료'!$A$2:$A$976,$A20)</f>
        <v/>
      </c>
      <c r="D20" s="85">
        <f>SQRT(SUMPRODUCT(('01_원자료'!$A$2:$A$976=$A20)*('01_원자료'!$O$2:$O$976-$C20)^2)/14)</f>
        <v/>
      </c>
      <c r="E20" s="137" t="n">
        <v>934.333333333333</v>
      </c>
      <c r="F20" s="84" t="n">
        <v>0.68421052631579</v>
      </c>
      <c r="G20" s="84" t="n">
        <v>0.273481706458244</v>
      </c>
      <c r="H20" s="85">
        <f>AVERAGEIFS('01_원자료'!$P$2:$P$976,'01_원자료'!$A$2:$A$976,$A20)</f>
        <v/>
      </c>
      <c r="I20" s="85">
        <f>AVERAGEIFS('01_원자료'!$Q$2:$Q$976,'01_원자료'!$A$2:$A$976,$A20)</f>
        <v/>
      </c>
      <c r="J20" s="85">
        <f>('02_지표정의'!$C$22*H20+'02_지표정의'!$C$23*I20)/('02_지표정의'!$C$22+'02_지표정의'!$C$23)</f>
        <v/>
      </c>
      <c r="K20" s="73">
        <f>IF(LEFT(A20,3)="PAT","특허","보고서")</f>
        <v/>
      </c>
      <c r="L20" s="99">
        <f>COUNTIF($B$5:$B$69,"&lt;"&amp;B20)+(COUNTIF($B$5:$B$69,"="&amp;B20)+1)/2</f>
        <v/>
      </c>
      <c r="M20" s="99">
        <f>COUNTIF($D$5:$D$69,"&lt;"&amp;D20)+(COUNTIF($D$5:$D$69,"="&amp;D20)+1)/2</f>
        <v/>
      </c>
      <c r="N20" s="99">
        <f>COUNTIF($E$5:$E$69,"&lt;"&amp;E20)+(COUNTIF($E$5:$E$69,"="&amp;E20)+1)/2</f>
        <v/>
      </c>
      <c r="O20" s="99">
        <f>COUNTIF($F$5:$F$69,"&lt;"&amp;F20)+(COUNTIF($F$5:$F$69,"="&amp;F20)+1)/2</f>
        <v/>
      </c>
      <c r="P20" s="99">
        <f>COUNTIF($J$5:$J$69,"&lt;"&amp;J20)+(COUNTIF($J$5:$J$69,"="&amp;J20)+1)/2</f>
        <v/>
      </c>
    </row>
    <row r="21" ht="15" customHeight="1" s="68">
      <c r="A21" s="83" t="inlineStr">
        <is>
          <t>PAT-17</t>
        </is>
      </c>
      <c r="B21" s="85">
        <f>AVERAGEIFS('01_원자료'!$S$2:$S$976,'01_원자료'!$A$2:$A$976,$A21)</f>
        <v/>
      </c>
      <c r="C21" s="85">
        <f>AVERAGEIFS('01_원자료'!$O$2:$O$976,'01_원자료'!$A$2:$A$976,$A21)</f>
        <v/>
      </c>
      <c r="D21" s="85">
        <f>SQRT(SUMPRODUCT(('01_원자료'!$A$2:$A$976=$A21)*('01_원자료'!$O$2:$O$976-$C21)^2)/14)</f>
        <v/>
      </c>
      <c r="E21" s="137" t="n">
        <v>907.333333333333</v>
      </c>
      <c r="F21" s="84" t="n">
        <v>0.68421052631579</v>
      </c>
      <c r="G21" s="84" t="n">
        <v>0.273481706458244</v>
      </c>
      <c r="H21" s="85">
        <f>AVERAGEIFS('01_원자료'!$P$2:$P$976,'01_원자료'!$A$2:$A$976,$A21)</f>
        <v/>
      </c>
      <c r="I21" s="85">
        <f>AVERAGEIFS('01_원자료'!$Q$2:$Q$976,'01_원자료'!$A$2:$A$976,$A21)</f>
        <v/>
      </c>
      <c r="J21" s="85">
        <f>('02_지표정의'!$C$22*H21+'02_지표정의'!$C$23*I21)/('02_지표정의'!$C$22+'02_지표정의'!$C$23)</f>
        <v/>
      </c>
      <c r="K21" s="73">
        <f>IF(LEFT(A21,3)="PAT","특허","보고서")</f>
        <v/>
      </c>
      <c r="L21" s="99">
        <f>COUNTIF($B$5:$B$69,"&lt;"&amp;B21)+(COUNTIF($B$5:$B$69,"="&amp;B21)+1)/2</f>
        <v/>
      </c>
      <c r="M21" s="99">
        <f>COUNTIF($D$5:$D$69,"&lt;"&amp;D21)+(COUNTIF($D$5:$D$69,"="&amp;D21)+1)/2</f>
        <v/>
      </c>
      <c r="N21" s="99">
        <f>COUNTIF($E$5:$E$69,"&lt;"&amp;E21)+(COUNTIF($E$5:$E$69,"="&amp;E21)+1)/2</f>
        <v/>
      </c>
      <c r="O21" s="99">
        <f>COUNTIF($F$5:$F$69,"&lt;"&amp;F21)+(COUNTIF($F$5:$F$69,"="&amp;F21)+1)/2</f>
        <v/>
      </c>
      <c r="P21" s="99">
        <f>COUNTIF($J$5:$J$69,"&lt;"&amp;J21)+(COUNTIF($J$5:$J$69,"="&amp;J21)+1)/2</f>
        <v/>
      </c>
    </row>
    <row r="22" ht="15" customHeight="1" s="68">
      <c r="A22" s="83" t="inlineStr">
        <is>
          <t>PAT-18</t>
        </is>
      </c>
      <c r="B22" s="85">
        <f>AVERAGEIFS('01_원자료'!$S$2:$S$976,'01_원자료'!$A$2:$A$976,$A22)</f>
        <v/>
      </c>
      <c r="C22" s="85">
        <f>AVERAGEIFS('01_원자료'!$O$2:$O$976,'01_원자료'!$A$2:$A$976,$A22)</f>
        <v/>
      </c>
      <c r="D22" s="85">
        <f>SQRT(SUMPRODUCT(('01_원자료'!$A$2:$A$976=$A22)*('01_원자료'!$O$2:$O$976-$C22)^2)/14)</f>
        <v/>
      </c>
      <c r="E22" s="137" t="n">
        <v>887</v>
      </c>
      <c r="F22" s="84" t="n">
        <v>1</v>
      </c>
      <c r="G22" s="84" t="n">
        <v>0</v>
      </c>
      <c r="H22" s="85">
        <f>AVERAGEIFS('01_원자료'!$P$2:$P$976,'01_원자료'!$A$2:$A$976,$A22)</f>
        <v/>
      </c>
      <c r="I22" s="85">
        <f>AVERAGEIFS('01_원자료'!$Q$2:$Q$976,'01_원자료'!$A$2:$A$976,$A22)</f>
        <v/>
      </c>
      <c r="J22" s="85">
        <f>('02_지표정의'!$C$22*H22+'02_지표정의'!$C$23*I22)/('02_지표정의'!$C$22+'02_지표정의'!$C$23)</f>
        <v/>
      </c>
      <c r="K22" s="73">
        <f>IF(LEFT(A22,3)="PAT","특허","보고서")</f>
        <v/>
      </c>
      <c r="L22" s="99">
        <f>COUNTIF($B$5:$B$69,"&lt;"&amp;B22)+(COUNTIF($B$5:$B$69,"="&amp;B22)+1)/2</f>
        <v/>
      </c>
      <c r="M22" s="99">
        <f>COUNTIF($D$5:$D$69,"&lt;"&amp;D22)+(COUNTIF($D$5:$D$69,"="&amp;D22)+1)/2</f>
        <v/>
      </c>
      <c r="N22" s="99">
        <f>COUNTIF($E$5:$E$69,"&lt;"&amp;E22)+(COUNTIF($E$5:$E$69,"="&amp;E22)+1)/2</f>
        <v/>
      </c>
      <c r="O22" s="99">
        <f>COUNTIF($F$5:$F$69,"&lt;"&amp;F22)+(COUNTIF($F$5:$F$69,"="&amp;F22)+1)/2</f>
        <v/>
      </c>
      <c r="P22" s="99">
        <f>COUNTIF($J$5:$J$69,"&lt;"&amp;J22)+(COUNTIF($J$5:$J$69,"="&amp;J22)+1)/2</f>
        <v/>
      </c>
    </row>
    <row r="23" ht="15" customHeight="1" s="68">
      <c r="A23" s="83" t="inlineStr">
        <is>
          <t>PAT-19</t>
        </is>
      </c>
      <c r="B23" s="85">
        <f>AVERAGEIFS('01_원자료'!$S$2:$S$976,'01_원자료'!$A$2:$A$976,$A23)</f>
        <v/>
      </c>
      <c r="C23" s="85">
        <f>AVERAGEIFS('01_원자료'!$O$2:$O$976,'01_원자료'!$A$2:$A$976,$A23)</f>
        <v/>
      </c>
      <c r="D23" s="85">
        <f>SQRT(SUMPRODUCT(('01_원자료'!$A$2:$A$976=$A23)*('01_원자료'!$O$2:$O$976-$C23)^2)/14)</f>
        <v/>
      </c>
      <c r="E23" s="137" t="n">
        <v>957</v>
      </c>
      <c r="F23" s="84" t="n">
        <v>0.740601503759399</v>
      </c>
      <c r="G23" s="84" t="n">
        <v>0.224716453141029</v>
      </c>
      <c r="H23" s="85">
        <f>AVERAGEIFS('01_원자료'!$P$2:$P$976,'01_원자료'!$A$2:$A$976,$A23)</f>
        <v/>
      </c>
      <c r="I23" s="85">
        <f>AVERAGEIFS('01_원자료'!$Q$2:$Q$976,'01_원자료'!$A$2:$A$976,$A23)</f>
        <v/>
      </c>
      <c r="J23" s="85">
        <f>('02_지표정의'!$C$22*H23+'02_지표정의'!$C$23*I23)/('02_지표정의'!$C$22+'02_지표정의'!$C$23)</f>
        <v/>
      </c>
      <c r="K23" s="73">
        <f>IF(LEFT(A23,3)="PAT","특허","보고서")</f>
        <v/>
      </c>
      <c r="L23" s="99">
        <f>COUNTIF($B$5:$B$69,"&lt;"&amp;B23)+(COUNTIF($B$5:$B$69,"="&amp;B23)+1)/2</f>
        <v/>
      </c>
      <c r="M23" s="99">
        <f>COUNTIF($D$5:$D$69,"&lt;"&amp;D23)+(COUNTIF($D$5:$D$69,"="&amp;D23)+1)/2</f>
        <v/>
      </c>
      <c r="N23" s="99">
        <f>COUNTIF($E$5:$E$69,"&lt;"&amp;E23)+(COUNTIF($E$5:$E$69,"="&amp;E23)+1)/2</f>
        <v/>
      </c>
      <c r="O23" s="99">
        <f>COUNTIF($F$5:$F$69,"&lt;"&amp;F23)+(COUNTIF($F$5:$F$69,"="&amp;F23)+1)/2</f>
        <v/>
      </c>
      <c r="P23" s="99">
        <f>COUNTIF($J$5:$J$69,"&lt;"&amp;J23)+(COUNTIF($J$5:$J$69,"="&amp;J23)+1)/2</f>
        <v/>
      </c>
    </row>
    <row r="24" ht="15" customHeight="1" s="68">
      <c r="A24" s="83" t="inlineStr">
        <is>
          <t>PAT-20</t>
        </is>
      </c>
      <c r="B24" s="85">
        <f>AVERAGEIFS('01_원자료'!$S$2:$S$976,'01_원자료'!$A$2:$A$976,$A24)</f>
        <v/>
      </c>
      <c r="C24" s="85">
        <f>AVERAGEIFS('01_원자료'!$O$2:$O$976,'01_원자료'!$A$2:$A$976,$A24)</f>
        <v/>
      </c>
      <c r="D24" s="85">
        <f>SQRT(SUMPRODUCT(('01_원자료'!$A$2:$A$976=$A24)*('01_원자료'!$O$2:$O$976-$C24)^2)/14)</f>
        <v/>
      </c>
      <c r="E24" s="137" t="n">
        <v>922.333333333333</v>
      </c>
      <c r="F24" s="84" t="n">
        <v>1</v>
      </c>
      <c r="G24" s="84" t="n">
        <v>0</v>
      </c>
      <c r="H24" s="85">
        <f>AVERAGEIFS('01_원자료'!$P$2:$P$976,'01_원자료'!$A$2:$A$976,$A24)</f>
        <v/>
      </c>
      <c r="I24" s="85">
        <f>AVERAGEIFS('01_원자료'!$Q$2:$Q$976,'01_원자료'!$A$2:$A$976,$A24)</f>
        <v/>
      </c>
      <c r="J24" s="85">
        <f>('02_지표정의'!$C$22*H24+'02_지표정의'!$C$23*I24)/('02_지표정의'!$C$22+'02_지표정의'!$C$23)</f>
        <v/>
      </c>
      <c r="K24" s="73">
        <f>IF(LEFT(A24,3)="PAT","특허","보고서")</f>
        <v/>
      </c>
      <c r="L24" s="99">
        <f>COUNTIF($B$5:$B$69,"&lt;"&amp;B24)+(COUNTIF($B$5:$B$69,"="&amp;B24)+1)/2</f>
        <v/>
      </c>
      <c r="M24" s="99">
        <f>COUNTIF($D$5:$D$69,"&lt;"&amp;D24)+(COUNTIF($D$5:$D$69,"="&amp;D24)+1)/2</f>
        <v/>
      </c>
      <c r="N24" s="99">
        <f>COUNTIF($E$5:$E$69,"&lt;"&amp;E24)+(COUNTIF($E$5:$E$69,"="&amp;E24)+1)/2</f>
        <v/>
      </c>
      <c r="O24" s="99">
        <f>COUNTIF($F$5:$F$69,"&lt;"&amp;F24)+(COUNTIF($F$5:$F$69,"="&amp;F24)+1)/2</f>
        <v/>
      </c>
      <c r="P24" s="99">
        <f>COUNTIF($J$5:$J$69,"&lt;"&amp;J24)+(COUNTIF($J$5:$J$69,"="&amp;J24)+1)/2</f>
        <v/>
      </c>
    </row>
    <row r="25" ht="15" customHeight="1" s="68">
      <c r="A25" s="83" t="inlineStr">
        <is>
          <t>PAT-21</t>
        </is>
      </c>
      <c r="B25" s="85">
        <f>AVERAGEIFS('01_원자료'!$S$2:$S$976,'01_원자료'!$A$2:$A$976,$A25)</f>
        <v/>
      </c>
      <c r="C25" s="85">
        <f>AVERAGEIFS('01_원자료'!$O$2:$O$976,'01_원자료'!$A$2:$A$976,$A25)</f>
        <v/>
      </c>
      <c r="D25" s="85">
        <f>SQRT(SUMPRODUCT(('01_원자료'!$A$2:$A$976=$A25)*('01_원자료'!$O$2:$O$976-$C25)^2)/14)</f>
        <v/>
      </c>
      <c r="E25" s="137" t="n">
        <v>872.666666666667</v>
      </c>
      <c r="F25" s="84" t="n">
        <v>1</v>
      </c>
      <c r="G25" s="84" t="n">
        <v>0</v>
      </c>
      <c r="H25" s="85">
        <f>AVERAGEIFS('01_원자료'!$P$2:$P$976,'01_원자료'!$A$2:$A$976,$A25)</f>
        <v/>
      </c>
      <c r="I25" s="85">
        <f>AVERAGEIFS('01_원자료'!$Q$2:$Q$976,'01_원자료'!$A$2:$A$976,$A25)</f>
        <v/>
      </c>
      <c r="J25" s="85">
        <f>('02_지표정의'!$C$22*H25+'02_지표정의'!$C$23*I25)/('02_지표정의'!$C$22+'02_지표정의'!$C$23)</f>
        <v/>
      </c>
      <c r="K25" s="73">
        <f>IF(LEFT(A25,3)="PAT","특허","보고서")</f>
        <v/>
      </c>
      <c r="L25" s="99">
        <f>COUNTIF($B$5:$B$69,"&lt;"&amp;B25)+(COUNTIF($B$5:$B$69,"="&amp;B25)+1)/2</f>
        <v/>
      </c>
      <c r="M25" s="99">
        <f>COUNTIF($D$5:$D$69,"&lt;"&amp;D25)+(COUNTIF($D$5:$D$69,"="&amp;D25)+1)/2</f>
        <v/>
      </c>
      <c r="N25" s="99">
        <f>COUNTIF($E$5:$E$69,"&lt;"&amp;E25)+(COUNTIF($E$5:$E$69,"="&amp;E25)+1)/2</f>
        <v/>
      </c>
      <c r="O25" s="99">
        <f>COUNTIF($F$5:$F$69,"&lt;"&amp;F25)+(COUNTIF($F$5:$F$69,"="&amp;F25)+1)/2</f>
        <v/>
      </c>
      <c r="P25" s="99">
        <f>COUNTIF($J$5:$J$69,"&lt;"&amp;J25)+(COUNTIF($J$5:$J$69,"="&amp;J25)+1)/2</f>
        <v/>
      </c>
    </row>
    <row r="26" ht="15" customHeight="1" s="68">
      <c r="A26" s="83" t="inlineStr">
        <is>
          <t>PAT-22</t>
        </is>
      </c>
      <c r="B26" s="85">
        <f>AVERAGEIFS('01_원자료'!$S$2:$S$976,'01_원자료'!$A$2:$A$976,$A26)</f>
        <v/>
      </c>
      <c r="C26" s="85">
        <f>AVERAGEIFS('01_원자료'!$O$2:$O$976,'01_원자료'!$A$2:$A$976,$A26)</f>
        <v/>
      </c>
      <c r="D26" s="85">
        <f>SQRT(SUMPRODUCT(('01_원자료'!$A$2:$A$976=$A26)*('01_원자료'!$O$2:$O$976-$C26)^2)/14)</f>
        <v/>
      </c>
      <c r="E26" s="137" t="n">
        <v>951.666666666667</v>
      </c>
      <c r="F26" s="84" t="n">
        <v>1</v>
      </c>
      <c r="G26" s="84" t="n">
        <v>0</v>
      </c>
      <c r="H26" s="85">
        <f>AVERAGEIFS('01_원자료'!$P$2:$P$976,'01_원자료'!$A$2:$A$976,$A26)</f>
        <v/>
      </c>
      <c r="I26" s="85">
        <f>AVERAGEIFS('01_원자료'!$Q$2:$Q$976,'01_원자료'!$A$2:$A$976,$A26)</f>
        <v/>
      </c>
      <c r="J26" s="85">
        <f>('02_지표정의'!$C$22*H26+'02_지표정의'!$C$23*I26)/('02_지표정의'!$C$22+'02_지표정의'!$C$23)</f>
        <v/>
      </c>
      <c r="K26" s="73">
        <f>IF(LEFT(A26,3)="PAT","특허","보고서")</f>
        <v/>
      </c>
      <c r="L26" s="99">
        <f>COUNTIF($B$5:$B$69,"&lt;"&amp;B26)+(COUNTIF($B$5:$B$69,"="&amp;B26)+1)/2</f>
        <v/>
      </c>
      <c r="M26" s="99">
        <f>COUNTIF($D$5:$D$69,"&lt;"&amp;D26)+(COUNTIF($D$5:$D$69,"="&amp;D26)+1)/2</f>
        <v/>
      </c>
      <c r="N26" s="99">
        <f>COUNTIF($E$5:$E$69,"&lt;"&amp;E26)+(COUNTIF($E$5:$E$69,"="&amp;E26)+1)/2</f>
        <v/>
      </c>
      <c r="O26" s="99">
        <f>COUNTIF($F$5:$F$69,"&lt;"&amp;F26)+(COUNTIF($F$5:$F$69,"="&amp;F26)+1)/2</f>
        <v/>
      </c>
      <c r="P26" s="99">
        <f>COUNTIF($J$5:$J$69,"&lt;"&amp;J26)+(COUNTIF($J$5:$J$69,"="&amp;J26)+1)/2</f>
        <v/>
      </c>
    </row>
    <row r="27" ht="15" customHeight="1" s="68">
      <c r="A27" s="83" t="inlineStr">
        <is>
          <t>PAT-23</t>
        </is>
      </c>
      <c r="B27" s="85">
        <f>AVERAGEIFS('01_원자료'!$S$2:$S$976,'01_원자료'!$A$2:$A$976,$A27)</f>
        <v/>
      </c>
      <c r="C27" s="85">
        <f>AVERAGEIFS('01_원자료'!$O$2:$O$976,'01_원자료'!$A$2:$A$976,$A27)</f>
        <v/>
      </c>
      <c r="D27" s="85">
        <f>SQRT(SUMPRODUCT(('01_원자료'!$A$2:$A$976=$A27)*('01_원자료'!$O$2:$O$976-$C27)^2)/14)</f>
        <v/>
      </c>
      <c r="E27" s="137" t="n">
        <v>985</v>
      </c>
      <c r="F27" s="84" t="n">
        <v>0.68421052631579</v>
      </c>
      <c r="G27" s="84" t="n">
        <v>0.273481706458244</v>
      </c>
      <c r="H27" s="85">
        <f>AVERAGEIFS('01_원자료'!$P$2:$P$976,'01_원자료'!$A$2:$A$976,$A27)</f>
        <v/>
      </c>
      <c r="I27" s="85">
        <f>AVERAGEIFS('01_원자료'!$Q$2:$Q$976,'01_원자료'!$A$2:$A$976,$A27)</f>
        <v/>
      </c>
      <c r="J27" s="85">
        <f>('02_지표정의'!$C$22*H27+'02_지표정의'!$C$23*I27)/('02_지표정의'!$C$22+'02_지표정의'!$C$23)</f>
        <v/>
      </c>
      <c r="K27" s="73">
        <f>IF(LEFT(A27,3)="PAT","특허","보고서")</f>
        <v/>
      </c>
      <c r="L27" s="99">
        <f>COUNTIF($B$5:$B$69,"&lt;"&amp;B27)+(COUNTIF($B$5:$B$69,"="&amp;B27)+1)/2</f>
        <v/>
      </c>
      <c r="M27" s="99">
        <f>COUNTIF($D$5:$D$69,"&lt;"&amp;D27)+(COUNTIF($D$5:$D$69,"="&amp;D27)+1)/2</f>
        <v/>
      </c>
      <c r="N27" s="99">
        <f>COUNTIF($E$5:$E$69,"&lt;"&amp;E27)+(COUNTIF($E$5:$E$69,"="&amp;E27)+1)/2</f>
        <v/>
      </c>
      <c r="O27" s="99">
        <f>COUNTIF($F$5:$F$69,"&lt;"&amp;F27)+(COUNTIF($F$5:$F$69,"="&amp;F27)+1)/2</f>
        <v/>
      </c>
      <c r="P27" s="99">
        <f>COUNTIF($J$5:$J$69,"&lt;"&amp;J27)+(COUNTIF($J$5:$J$69,"="&amp;J27)+1)/2</f>
        <v/>
      </c>
    </row>
    <row r="28" ht="15" customHeight="1" s="68">
      <c r="A28" s="83" t="inlineStr">
        <is>
          <t>PAT-24</t>
        </is>
      </c>
      <c r="B28" s="85">
        <f>AVERAGEIFS('01_원자료'!$S$2:$S$976,'01_원자료'!$A$2:$A$976,$A28)</f>
        <v/>
      </c>
      <c r="C28" s="85">
        <f>AVERAGEIFS('01_원자료'!$O$2:$O$976,'01_원자료'!$A$2:$A$976,$A28)</f>
        <v/>
      </c>
      <c r="D28" s="85">
        <f>SQRT(SUMPRODUCT(('01_원자료'!$A$2:$A$976=$A28)*('01_원자료'!$O$2:$O$976-$C28)^2)/14)</f>
        <v/>
      </c>
      <c r="E28" s="137" t="n">
        <v>828.666666666667</v>
      </c>
      <c r="F28" s="84" t="n">
        <v>0.68421052631579</v>
      </c>
      <c r="G28" s="84" t="n">
        <v>0.273481706458244</v>
      </c>
      <c r="H28" s="85">
        <f>AVERAGEIFS('01_원자료'!$P$2:$P$976,'01_원자료'!$A$2:$A$976,$A28)</f>
        <v/>
      </c>
      <c r="I28" s="85">
        <f>AVERAGEIFS('01_원자료'!$Q$2:$Q$976,'01_원자료'!$A$2:$A$976,$A28)</f>
        <v/>
      </c>
      <c r="J28" s="85">
        <f>('02_지표정의'!$C$22*H28+'02_지표정의'!$C$23*I28)/('02_지표정의'!$C$22+'02_지표정의'!$C$23)</f>
        <v/>
      </c>
      <c r="K28" s="73">
        <f>IF(LEFT(A28,3)="PAT","특허","보고서")</f>
        <v/>
      </c>
      <c r="L28" s="99">
        <f>COUNTIF($B$5:$B$69,"&lt;"&amp;B28)+(COUNTIF($B$5:$B$69,"="&amp;B28)+1)/2</f>
        <v/>
      </c>
      <c r="M28" s="99">
        <f>COUNTIF($D$5:$D$69,"&lt;"&amp;D28)+(COUNTIF($D$5:$D$69,"="&amp;D28)+1)/2</f>
        <v/>
      </c>
      <c r="N28" s="99">
        <f>COUNTIF($E$5:$E$69,"&lt;"&amp;E28)+(COUNTIF($E$5:$E$69,"="&amp;E28)+1)/2</f>
        <v/>
      </c>
      <c r="O28" s="99">
        <f>COUNTIF($F$5:$F$69,"&lt;"&amp;F28)+(COUNTIF($F$5:$F$69,"="&amp;F28)+1)/2</f>
        <v/>
      </c>
      <c r="P28" s="99">
        <f>COUNTIF($J$5:$J$69,"&lt;"&amp;J28)+(COUNTIF($J$5:$J$69,"="&amp;J28)+1)/2</f>
        <v/>
      </c>
    </row>
    <row r="29" ht="15" customHeight="1" s="68">
      <c r="A29" s="83" t="inlineStr">
        <is>
          <t>PAT-25</t>
        </is>
      </c>
      <c r="B29" s="85">
        <f>AVERAGEIFS('01_원자료'!$S$2:$S$976,'01_원자료'!$A$2:$A$976,$A29)</f>
        <v/>
      </c>
      <c r="C29" s="85">
        <f>AVERAGEIFS('01_원자료'!$O$2:$O$976,'01_원자료'!$A$2:$A$976,$A29)</f>
        <v/>
      </c>
      <c r="D29" s="85">
        <f>SQRT(SUMPRODUCT(('01_원자료'!$A$2:$A$976=$A29)*('01_원자료'!$O$2:$O$976-$C29)^2)/14)</f>
        <v/>
      </c>
      <c r="E29" s="137" t="n">
        <v>878</v>
      </c>
      <c r="F29" s="84" t="n">
        <v>1</v>
      </c>
      <c r="G29" s="84" t="n">
        <v>0</v>
      </c>
      <c r="H29" s="85">
        <f>AVERAGEIFS('01_원자료'!$P$2:$P$976,'01_원자료'!$A$2:$A$976,$A29)</f>
        <v/>
      </c>
      <c r="I29" s="85">
        <f>AVERAGEIFS('01_원자료'!$Q$2:$Q$976,'01_원자료'!$A$2:$A$976,$A29)</f>
        <v/>
      </c>
      <c r="J29" s="85">
        <f>('02_지표정의'!$C$22*H29+'02_지표정의'!$C$23*I29)/('02_지표정의'!$C$22+'02_지표정의'!$C$23)</f>
        <v/>
      </c>
      <c r="K29" s="73">
        <f>IF(LEFT(A29,3)="PAT","특허","보고서")</f>
        <v/>
      </c>
      <c r="L29" s="99">
        <f>COUNTIF($B$5:$B$69,"&lt;"&amp;B29)+(COUNTIF($B$5:$B$69,"="&amp;B29)+1)/2</f>
        <v/>
      </c>
      <c r="M29" s="99">
        <f>COUNTIF($D$5:$D$69,"&lt;"&amp;D29)+(COUNTIF($D$5:$D$69,"="&amp;D29)+1)/2</f>
        <v/>
      </c>
      <c r="N29" s="99">
        <f>COUNTIF($E$5:$E$69,"&lt;"&amp;E29)+(COUNTIF($E$5:$E$69,"="&amp;E29)+1)/2</f>
        <v/>
      </c>
      <c r="O29" s="99">
        <f>COUNTIF($F$5:$F$69,"&lt;"&amp;F29)+(COUNTIF($F$5:$F$69,"="&amp;F29)+1)/2</f>
        <v/>
      </c>
      <c r="P29" s="99">
        <f>COUNTIF($J$5:$J$69,"&lt;"&amp;J29)+(COUNTIF($J$5:$J$69,"="&amp;J29)+1)/2</f>
        <v/>
      </c>
    </row>
    <row r="30" ht="15" customHeight="1" s="68">
      <c r="A30" s="83" t="inlineStr">
        <is>
          <t>PAT-26</t>
        </is>
      </c>
      <c r="B30" s="85">
        <f>AVERAGEIFS('01_원자료'!$S$2:$S$976,'01_원자료'!$A$2:$A$976,$A30)</f>
        <v/>
      </c>
      <c r="C30" s="85">
        <f>AVERAGEIFS('01_원자료'!$O$2:$O$976,'01_원자료'!$A$2:$A$976,$A30)</f>
        <v/>
      </c>
      <c r="D30" s="85">
        <f>SQRT(SUMPRODUCT(('01_원자료'!$A$2:$A$976=$A30)*('01_원자료'!$O$2:$O$976-$C30)^2)/14)</f>
        <v/>
      </c>
      <c r="E30" s="137" t="n">
        <v>886</v>
      </c>
      <c r="F30" s="84" t="n">
        <v>1</v>
      </c>
      <c r="G30" s="84" t="n">
        <v>0</v>
      </c>
      <c r="H30" s="85">
        <f>AVERAGEIFS('01_원자료'!$P$2:$P$976,'01_원자료'!$A$2:$A$976,$A30)</f>
        <v/>
      </c>
      <c r="I30" s="85">
        <f>AVERAGEIFS('01_원자료'!$Q$2:$Q$976,'01_원자료'!$A$2:$A$976,$A30)</f>
        <v/>
      </c>
      <c r="J30" s="85">
        <f>('02_지표정의'!$C$22*H30+'02_지표정의'!$C$23*I30)/('02_지표정의'!$C$22+'02_지표정의'!$C$23)</f>
        <v/>
      </c>
      <c r="K30" s="73">
        <f>IF(LEFT(A30,3)="PAT","특허","보고서")</f>
        <v/>
      </c>
      <c r="L30" s="99">
        <f>COUNTIF($B$5:$B$69,"&lt;"&amp;B30)+(COUNTIF($B$5:$B$69,"="&amp;B30)+1)/2</f>
        <v/>
      </c>
      <c r="M30" s="99">
        <f>COUNTIF($D$5:$D$69,"&lt;"&amp;D30)+(COUNTIF($D$5:$D$69,"="&amp;D30)+1)/2</f>
        <v/>
      </c>
      <c r="N30" s="99">
        <f>COUNTIF($E$5:$E$69,"&lt;"&amp;E30)+(COUNTIF($E$5:$E$69,"="&amp;E30)+1)/2</f>
        <v/>
      </c>
      <c r="O30" s="99">
        <f>COUNTIF($F$5:$F$69,"&lt;"&amp;F30)+(COUNTIF($F$5:$F$69,"="&amp;F30)+1)/2</f>
        <v/>
      </c>
      <c r="P30" s="99">
        <f>COUNTIF($J$5:$J$69,"&lt;"&amp;J30)+(COUNTIF($J$5:$J$69,"="&amp;J30)+1)/2</f>
        <v/>
      </c>
    </row>
    <row r="31" ht="15" customHeight="1" s="68">
      <c r="A31" s="83" t="inlineStr">
        <is>
          <t>PAT-27</t>
        </is>
      </c>
      <c r="B31" s="85">
        <f>AVERAGEIFS('01_원자료'!$S$2:$S$976,'01_원자료'!$A$2:$A$976,$A31)</f>
        <v/>
      </c>
      <c r="C31" s="85">
        <f>AVERAGEIFS('01_원자료'!$O$2:$O$976,'01_원자료'!$A$2:$A$976,$A31)</f>
        <v/>
      </c>
      <c r="D31" s="85">
        <f>SQRT(SUMPRODUCT(('01_원자료'!$A$2:$A$976=$A31)*('01_원자료'!$O$2:$O$976-$C31)^2)/14)</f>
        <v/>
      </c>
      <c r="E31" s="137" t="n">
        <v>717.333333333333</v>
      </c>
      <c r="F31" s="84" t="n">
        <v>1</v>
      </c>
      <c r="G31" s="84" t="n">
        <v>0</v>
      </c>
      <c r="H31" s="85">
        <f>AVERAGEIFS('01_원자료'!$P$2:$P$976,'01_원자료'!$A$2:$A$976,$A31)</f>
        <v/>
      </c>
      <c r="I31" s="85">
        <f>AVERAGEIFS('01_원자료'!$Q$2:$Q$976,'01_원자료'!$A$2:$A$976,$A31)</f>
        <v/>
      </c>
      <c r="J31" s="85">
        <f>('02_지표정의'!$C$22*H31+'02_지표정의'!$C$23*I31)/('02_지표정의'!$C$22+'02_지표정의'!$C$23)</f>
        <v/>
      </c>
      <c r="K31" s="73">
        <f>IF(LEFT(A31,3)="PAT","특허","보고서")</f>
        <v/>
      </c>
      <c r="L31" s="99">
        <f>COUNTIF($B$5:$B$69,"&lt;"&amp;B31)+(COUNTIF($B$5:$B$69,"="&amp;B31)+1)/2</f>
        <v/>
      </c>
      <c r="M31" s="99">
        <f>COUNTIF($D$5:$D$69,"&lt;"&amp;D31)+(COUNTIF($D$5:$D$69,"="&amp;D31)+1)/2</f>
        <v/>
      </c>
      <c r="N31" s="99">
        <f>COUNTIF($E$5:$E$69,"&lt;"&amp;E31)+(COUNTIF($E$5:$E$69,"="&amp;E31)+1)/2</f>
        <v/>
      </c>
      <c r="O31" s="99">
        <f>COUNTIF($F$5:$F$69,"&lt;"&amp;F31)+(COUNTIF($F$5:$F$69,"="&amp;F31)+1)/2</f>
        <v/>
      </c>
      <c r="P31" s="99">
        <f>COUNTIF($J$5:$J$69,"&lt;"&amp;J31)+(COUNTIF($J$5:$J$69,"="&amp;J31)+1)/2</f>
        <v/>
      </c>
    </row>
    <row r="32" ht="15" customHeight="1" s="68">
      <c r="A32" s="83" t="inlineStr">
        <is>
          <t>PAT-28</t>
        </is>
      </c>
      <c r="B32" s="85">
        <f>AVERAGEIFS('01_원자료'!$S$2:$S$976,'01_원자료'!$A$2:$A$976,$A32)</f>
        <v/>
      </c>
      <c r="C32" s="85">
        <f>AVERAGEIFS('01_원자료'!$O$2:$O$976,'01_원자료'!$A$2:$A$976,$A32)</f>
        <v/>
      </c>
      <c r="D32" s="85">
        <f>SQRT(SUMPRODUCT(('01_원자료'!$A$2:$A$976=$A32)*('01_원자료'!$O$2:$O$976-$C32)^2)/14)</f>
        <v/>
      </c>
      <c r="E32" s="137" t="n">
        <v>944</v>
      </c>
      <c r="F32" s="84" t="n">
        <v>1</v>
      </c>
      <c r="G32" s="84" t="n">
        <v>0</v>
      </c>
      <c r="H32" s="85">
        <f>AVERAGEIFS('01_원자료'!$P$2:$P$976,'01_원자료'!$A$2:$A$976,$A32)</f>
        <v/>
      </c>
      <c r="I32" s="85">
        <f>AVERAGEIFS('01_원자료'!$Q$2:$Q$976,'01_원자료'!$A$2:$A$976,$A32)</f>
        <v/>
      </c>
      <c r="J32" s="85">
        <f>('02_지표정의'!$C$22*H32+'02_지표정의'!$C$23*I32)/('02_지표정의'!$C$22+'02_지표정의'!$C$23)</f>
        <v/>
      </c>
      <c r="K32" s="73">
        <f>IF(LEFT(A32,3)="PAT","특허","보고서")</f>
        <v/>
      </c>
      <c r="L32" s="99">
        <f>COUNTIF($B$5:$B$69,"&lt;"&amp;B32)+(COUNTIF($B$5:$B$69,"="&amp;B32)+1)/2</f>
        <v/>
      </c>
      <c r="M32" s="99">
        <f>COUNTIF($D$5:$D$69,"&lt;"&amp;D32)+(COUNTIF($D$5:$D$69,"="&amp;D32)+1)/2</f>
        <v/>
      </c>
      <c r="N32" s="99">
        <f>COUNTIF($E$5:$E$69,"&lt;"&amp;E32)+(COUNTIF($E$5:$E$69,"="&amp;E32)+1)/2</f>
        <v/>
      </c>
      <c r="O32" s="99">
        <f>COUNTIF($F$5:$F$69,"&lt;"&amp;F32)+(COUNTIF($F$5:$F$69,"="&amp;F32)+1)/2</f>
        <v/>
      </c>
      <c r="P32" s="99">
        <f>COUNTIF($J$5:$J$69,"&lt;"&amp;J32)+(COUNTIF($J$5:$J$69,"="&amp;J32)+1)/2</f>
        <v/>
      </c>
    </row>
    <row r="33" ht="15" customHeight="1" s="68">
      <c r="A33" s="83" t="inlineStr">
        <is>
          <t>PAT-29</t>
        </is>
      </c>
      <c r="B33" s="85">
        <f>AVERAGEIFS('01_원자료'!$S$2:$S$976,'01_원자료'!$A$2:$A$976,$A33)</f>
        <v/>
      </c>
      <c r="C33" s="85">
        <f>AVERAGEIFS('01_원자료'!$O$2:$O$976,'01_원자료'!$A$2:$A$976,$A33)</f>
        <v/>
      </c>
      <c r="D33" s="85">
        <f>SQRT(SUMPRODUCT(('01_원자료'!$A$2:$A$976=$A33)*('01_원자료'!$O$2:$O$976-$C33)^2)/14)</f>
        <v/>
      </c>
      <c r="E33" s="137" t="n">
        <v>748.666666666667</v>
      </c>
      <c r="F33" s="84" t="n">
        <v>1</v>
      </c>
      <c r="G33" s="84" t="n">
        <v>0</v>
      </c>
      <c r="H33" s="85">
        <f>AVERAGEIFS('01_원자료'!$P$2:$P$976,'01_원자료'!$A$2:$A$976,$A33)</f>
        <v/>
      </c>
      <c r="I33" s="85">
        <f>AVERAGEIFS('01_원자료'!$Q$2:$Q$976,'01_원자료'!$A$2:$A$976,$A33)</f>
        <v/>
      </c>
      <c r="J33" s="85">
        <f>('02_지표정의'!$C$22*H33+'02_지표정의'!$C$23*I33)/('02_지표정의'!$C$22+'02_지표정의'!$C$23)</f>
        <v/>
      </c>
      <c r="K33" s="73">
        <f>IF(LEFT(A33,3)="PAT","특허","보고서")</f>
        <v/>
      </c>
      <c r="L33" s="99">
        <f>COUNTIF($B$5:$B$69,"&lt;"&amp;B33)+(COUNTIF($B$5:$B$69,"="&amp;B33)+1)/2</f>
        <v/>
      </c>
      <c r="M33" s="99">
        <f>COUNTIF($D$5:$D$69,"&lt;"&amp;D33)+(COUNTIF($D$5:$D$69,"="&amp;D33)+1)/2</f>
        <v/>
      </c>
      <c r="N33" s="99">
        <f>COUNTIF($E$5:$E$69,"&lt;"&amp;E33)+(COUNTIF($E$5:$E$69,"="&amp;E33)+1)/2</f>
        <v/>
      </c>
      <c r="O33" s="99">
        <f>COUNTIF($F$5:$F$69,"&lt;"&amp;F33)+(COUNTIF($F$5:$F$69,"="&amp;F33)+1)/2</f>
        <v/>
      </c>
      <c r="P33" s="99">
        <f>COUNTIF($J$5:$J$69,"&lt;"&amp;J33)+(COUNTIF($J$5:$J$69,"="&amp;J33)+1)/2</f>
        <v/>
      </c>
    </row>
    <row r="34" ht="15" customHeight="1" s="68">
      <c r="A34" s="83" t="inlineStr">
        <is>
          <t>PAT-30</t>
        </is>
      </c>
      <c r="B34" s="85">
        <f>AVERAGEIFS('01_원자료'!$S$2:$S$976,'01_원자료'!$A$2:$A$976,$A34)</f>
        <v/>
      </c>
      <c r="C34" s="85">
        <f>AVERAGEIFS('01_원자료'!$O$2:$O$976,'01_원자료'!$A$2:$A$976,$A34)</f>
        <v/>
      </c>
      <c r="D34" s="85">
        <f>SQRT(SUMPRODUCT(('01_원자료'!$A$2:$A$976=$A34)*('01_원자료'!$O$2:$O$976-$C34)^2)/14)</f>
        <v/>
      </c>
      <c r="E34" s="137" t="n">
        <v>768.333333333333</v>
      </c>
      <c r="F34" s="84" t="n">
        <v>0.68421052631579</v>
      </c>
      <c r="G34" s="84" t="n">
        <v>0.273481706458244</v>
      </c>
      <c r="H34" s="85">
        <f>AVERAGEIFS('01_원자료'!$P$2:$P$976,'01_원자료'!$A$2:$A$976,$A34)</f>
        <v/>
      </c>
      <c r="I34" s="85">
        <f>AVERAGEIFS('01_원자료'!$Q$2:$Q$976,'01_원자료'!$A$2:$A$976,$A34)</f>
        <v/>
      </c>
      <c r="J34" s="85">
        <f>('02_지표정의'!$C$22*H34+'02_지표정의'!$C$23*I34)/('02_지표정의'!$C$22+'02_지표정의'!$C$23)</f>
        <v/>
      </c>
      <c r="K34" s="73">
        <f>IF(LEFT(A34,3)="PAT","특허","보고서")</f>
        <v/>
      </c>
      <c r="L34" s="99">
        <f>COUNTIF($B$5:$B$69,"&lt;"&amp;B34)+(COUNTIF($B$5:$B$69,"="&amp;B34)+1)/2</f>
        <v/>
      </c>
      <c r="M34" s="99">
        <f>COUNTIF($D$5:$D$69,"&lt;"&amp;D34)+(COUNTIF($D$5:$D$69,"="&amp;D34)+1)/2</f>
        <v/>
      </c>
      <c r="N34" s="99">
        <f>COUNTIF($E$5:$E$69,"&lt;"&amp;E34)+(COUNTIF($E$5:$E$69,"="&amp;E34)+1)/2</f>
        <v/>
      </c>
      <c r="O34" s="99">
        <f>COUNTIF($F$5:$F$69,"&lt;"&amp;F34)+(COUNTIF($F$5:$F$69,"="&amp;F34)+1)/2</f>
        <v/>
      </c>
      <c r="P34" s="99">
        <f>COUNTIF($J$5:$J$69,"&lt;"&amp;J34)+(COUNTIF($J$5:$J$69,"="&amp;J34)+1)/2</f>
        <v/>
      </c>
    </row>
    <row r="35" ht="15" customHeight="1" s="68">
      <c r="A35" s="83" t="inlineStr">
        <is>
          <t>PAT-31</t>
        </is>
      </c>
      <c r="B35" s="85">
        <f>AVERAGEIFS('01_원자료'!$S$2:$S$976,'01_원자료'!$A$2:$A$976,$A35)</f>
        <v/>
      </c>
      <c r="C35" s="85">
        <f>AVERAGEIFS('01_원자료'!$O$2:$O$976,'01_원자료'!$A$2:$A$976,$A35)</f>
        <v/>
      </c>
      <c r="D35" s="85">
        <f>SQRT(SUMPRODUCT(('01_원자료'!$A$2:$A$976=$A35)*('01_원자료'!$O$2:$O$976-$C35)^2)/14)</f>
        <v/>
      </c>
      <c r="E35" s="137" t="n">
        <v>847.333333333333</v>
      </c>
      <c r="F35" s="84" t="n">
        <v>1</v>
      </c>
      <c r="G35" s="84" t="n">
        <v>0</v>
      </c>
      <c r="H35" s="85">
        <f>AVERAGEIFS('01_원자료'!$P$2:$P$976,'01_원자료'!$A$2:$A$976,$A35)</f>
        <v/>
      </c>
      <c r="I35" s="85">
        <f>AVERAGEIFS('01_원자료'!$Q$2:$Q$976,'01_원자료'!$A$2:$A$976,$A35)</f>
        <v/>
      </c>
      <c r="J35" s="85">
        <f>('02_지표정의'!$C$22*H35+'02_지표정의'!$C$23*I35)/('02_지표정의'!$C$22+'02_지표정의'!$C$23)</f>
        <v/>
      </c>
      <c r="K35" s="73">
        <f>IF(LEFT(A35,3)="PAT","특허","보고서")</f>
        <v/>
      </c>
      <c r="L35" s="99">
        <f>COUNTIF($B$5:$B$69,"&lt;"&amp;B35)+(COUNTIF($B$5:$B$69,"="&amp;B35)+1)/2</f>
        <v/>
      </c>
      <c r="M35" s="99">
        <f>COUNTIF($D$5:$D$69,"&lt;"&amp;D35)+(COUNTIF($D$5:$D$69,"="&amp;D35)+1)/2</f>
        <v/>
      </c>
      <c r="N35" s="99">
        <f>COUNTIF($E$5:$E$69,"&lt;"&amp;E35)+(COUNTIF($E$5:$E$69,"="&amp;E35)+1)/2</f>
        <v/>
      </c>
      <c r="O35" s="99">
        <f>COUNTIF($F$5:$F$69,"&lt;"&amp;F35)+(COUNTIF($F$5:$F$69,"="&amp;F35)+1)/2</f>
        <v/>
      </c>
      <c r="P35" s="99">
        <f>COUNTIF($J$5:$J$69,"&lt;"&amp;J35)+(COUNTIF($J$5:$J$69,"="&amp;J35)+1)/2</f>
        <v/>
      </c>
    </row>
    <row r="36" ht="15" customHeight="1" s="68">
      <c r="A36" s="83" t="inlineStr">
        <is>
          <t>RPT-01</t>
        </is>
      </c>
      <c r="B36" s="85">
        <f>AVERAGEIFS('01_원자료'!$S$2:$S$976,'01_원자료'!$A$2:$A$976,$A36)</f>
        <v/>
      </c>
      <c r="C36" s="85">
        <f>AVERAGEIFS('01_원자료'!$O$2:$O$976,'01_원자료'!$A$2:$A$976,$A36)</f>
        <v/>
      </c>
      <c r="D36" s="85">
        <f>SQRT(SUMPRODUCT(('01_원자료'!$A$2:$A$976=$A36)*('01_원자료'!$O$2:$O$976-$C36)^2)/14)</f>
        <v/>
      </c>
      <c r="E36" s="137" t="n">
        <v>813</v>
      </c>
      <c r="F36" s="84" t="n">
        <v>1</v>
      </c>
      <c r="G36" s="84" t="n">
        <v>0</v>
      </c>
      <c r="H36" s="85">
        <f>AVERAGEIFS('01_원자료'!$P$2:$P$976,'01_원자료'!$A$2:$A$976,$A36)</f>
        <v/>
      </c>
      <c r="I36" s="85">
        <f>AVERAGEIFS('01_원자료'!$Q$2:$Q$976,'01_원자료'!$A$2:$A$976,$A36)</f>
        <v/>
      </c>
      <c r="J36" s="85">
        <f>('02_지표정의'!$C$22*H36+'02_지표정의'!$C$23*I36)/('02_지표정의'!$C$22+'02_지표정의'!$C$23)</f>
        <v/>
      </c>
      <c r="K36" s="73">
        <f>IF(LEFT(A36,3)="PAT","특허","보고서")</f>
        <v/>
      </c>
      <c r="L36" s="99">
        <f>COUNTIF($B$5:$B$69,"&lt;"&amp;B36)+(COUNTIF($B$5:$B$69,"="&amp;B36)+1)/2</f>
        <v/>
      </c>
      <c r="M36" s="99">
        <f>COUNTIF($D$5:$D$69,"&lt;"&amp;D36)+(COUNTIF($D$5:$D$69,"="&amp;D36)+1)/2</f>
        <v/>
      </c>
      <c r="N36" s="99">
        <f>COUNTIF($E$5:$E$69,"&lt;"&amp;E36)+(COUNTIF($E$5:$E$69,"="&amp;E36)+1)/2</f>
        <v/>
      </c>
      <c r="O36" s="99">
        <f>COUNTIF($F$5:$F$69,"&lt;"&amp;F36)+(COUNTIF($F$5:$F$69,"="&amp;F36)+1)/2</f>
        <v/>
      </c>
      <c r="P36" s="99">
        <f>COUNTIF($J$5:$J$69,"&lt;"&amp;J36)+(COUNTIF($J$5:$J$69,"="&amp;J36)+1)/2</f>
        <v/>
      </c>
    </row>
    <row r="37" ht="15" customHeight="1" s="68">
      <c r="A37" s="83" t="inlineStr">
        <is>
          <t>RPT-02</t>
        </is>
      </c>
      <c r="B37" s="85">
        <f>AVERAGEIFS('01_원자료'!$S$2:$S$976,'01_원자료'!$A$2:$A$976,$A37)</f>
        <v/>
      </c>
      <c r="C37" s="85">
        <f>AVERAGEIFS('01_원자료'!$O$2:$O$976,'01_원자료'!$A$2:$A$976,$A37)</f>
        <v/>
      </c>
      <c r="D37" s="85">
        <f>SQRT(SUMPRODUCT(('01_원자료'!$A$2:$A$976=$A37)*('01_원자료'!$O$2:$O$976-$C37)^2)/14)</f>
        <v/>
      </c>
      <c r="E37" s="137" t="n">
        <v>728.333333333333</v>
      </c>
      <c r="F37" s="84" t="n">
        <v>0.8947368421052631</v>
      </c>
      <c r="G37" s="84" t="n">
        <v>0.0911605688194146</v>
      </c>
      <c r="H37" s="85">
        <f>AVERAGEIFS('01_원자료'!$P$2:$P$976,'01_원자료'!$A$2:$A$976,$A37)</f>
        <v/>
      </c>
      <c r="I37" s="85">
        <f>AVERAGEIFS('01_원자료'!$Q$2:$Q$976,'01_원자료'!$A$2:$A$976,$A37)</f>
        <v/>
      </c>
      <c r="J37" s="85">
        <f>('02_지표정의'!$C$22*H37+'02_지표정의'!$C$23*I37)/('02_지표정의'!$C$22+'02_지표정의'!$C$23)</f>
        <v/>
      </c>
      <c r="K37" s="73">
        <f>IF(LEFT(A37,3)="PAT","특허","보고서")</f>
        <v/>
      </c>
      <c r="L37" s="99">
        <f>COUNTIF($B$5:$B$69,"&lt;"&amp;B37)+(COUNTIF($B$5:$B$69,"="&amp;B37)+1)/2</f>
        <v/>
      </c>
      <c r="M37" s="99">
        <f>COUNTIF($D$5:$D$69,"&lt;"&amp;D37)+(COUNTIF($D$5:$D$69,"="&amp;D37)+1)/2</f>
        <v/>
      </c>
      <c r="N37" s="99">
        <f>COUNTIF($E$5:$E$69,"&lt;"&amp;E37)+(COUNTIF($E$5:$E$69,"="&amp;E37)+1)/2</f>
        <v/>
      </c>
      <c r="O37" s="99">
        <f>COUNTIF($F$5:$F$69,"&lt;"&amp;F37)+(COUNTIF($F$5:$F$69,"="&amp;F37)+1)/2</f>
        <v/>
      </c>
      <c r="P37" s="99">
        <f>COUNTIF($J$5:$J$69,"&lt;"&amp;J37)+(COUNTIF($J$5:$J$69,"="&amp;J37)+1)/2</f>
        <v/>
      </c>
    </row>
    <row r="38" ht="15" customHeight="1" s="68">
      <c r="A38" s="83" t="inlineStr">
        <is>
          <t>RPT-03</t>
        </is>
      </c>
      <c r="B38" s="85">
        <f>AVERAGEIFS('01_원자료'!$S$2:$S$976,'01_원자료'!$A$2:$A$976,$A38)</f>
        <v/>
      </c>
      <c r="C38" s="85">
        <f>AVERAGEIFS('01_원자료'!$O$2:$O$976,'01_원자료'!$A$2:$A$976,$A38)</f>
        <v/>
      </c>
      <c r="D38" s="85">
        <f>SQRT(SUMPRODUCT(('01_원자료'!$A$2:$A$976=$A38)*('01_원자료'!$O$2:$O$976-$C38)^2)/14)</f>
        <v/>
      </c>
      <c r="E38" s="137" t="n">
        <v>806.333333333333</v>
      </c>
      <c r="F38" s="84" t="n">
        <v>0.68421052631579</v>
      </c>
      <c r="G38" s="84" t="n">
        <v>0.273481706458244</v>
      </c>
      <c r="H38" s="85">
        <f>AVERAGEIFS('01_원자료'!$P$2:$P$976,'01_원자료'!$A$2:$A$976,$A38)</f>
        <v/>
      </c>
      <c r="I38" s="85">
        <f>AVERAGEIFS('01_원자료'!$Q$2:$Q$976,'01_원자료'!$A$2:$A$976,$A38)</f>
        <v/>
      </c>
      <c r="J38" s="85">
        <f>('02_지표정의'!$C$22*H38+'02_지표정의'!$C$23*I38)/('02_지표정의'!$C$22+'02_지표정의'!$C$23)</f>
        <v/>
      </c>
      <c r="K38" s="73">
        <f>IF(LEFT(A38,3)="PAT","특허","보고서")</f>
        <v/>
      </c>
      <c r="L38" s="99">
        <f>COUNTIF($B$5:$B$69,"&lt;"&amp;B38)+(COUNTIF($B$5:$B$69,"="&amp;B38)+1)/2</f>
        <v/>
      </c>
      <c r="M38" s="99">
        <f>COUNTIF($D$5:$D$69,"&lt;"&amp;D38)+(COUNTIF($D$5:$D$69,"="&amp;D38)+1)/2</f>
        <v/>
      </c>
      <c r="N38" s="99">
        <f>COUNTIF($E$5:$E$69,"&lt;"&amp;E38)+(COUNTIF($E$5:$E$69,"="&amp;E38)+1)/2</f>
        <v/>
      </c>
      <c r="O38" s="99">
        <f>COUNTIF($F$5:$F$69,"&lt;"&amp;F38)+(COUNTIF($F$5:$F$69,"="&amp;F38)+1)/2</f>
        <v/>
      </c>
      <c r="P38" s="99">
        <f>COUNTIF($J$5:$J$69,"&lt;"&amp;J38)+(COUNTIF($J$5:$J$69,"="&amp;J38)+1)/2</f>
        <v/>
      </c>
    </row>
    <row r="39" ht="15" customHeight="1" s="68">
      <c r="A39" s="83" t="inlineStr">
        <is>
          <t>RPT-04</t>
        </is>
      </c>
      <c r="B39" s="85">
        <f>AVERAGEIFS('01_원자료'!$S$2:$S$976,'01_원자료'!$A$2:$A$976,$A39)</f>
        <v/>
      </c>
      <c r="C39" s="85">
        <f>AVERAGEIFS('01_원자료'!$O$2:$O$976,'01_원자료'!$A$2:$A$976,$A39)</f>
        <v/>
      </c>
      <c r="D39" s="85">
        <f>SQRT(SUMPRODUCT(('01_원자료'!$A$2:$A$976=$A39)*('01_원자료'!$O$2:$O$976-$C39)^2)/14)</f>
        <v/>
      </c>
      <c r="E39" s="137" t="n">
        <v>891.666666666667</v>
      </c>
      <c r="F39" s="84" t="n">
        <v>1</v>
      </c>
      <c r="G39" s="84" t="n">
        <v>0</v>
      </c>
      <c r="H39" s="85">
        <f>AVERAGEIFS('01_원자료'!$P$2:$P$976,'01_원자료'!$A$2:$A$976,$A39)</f>
        <v/>
      </c>
      <c r="I39" s="85">
        <f>AVERAGEIFS('01_원자료'!$Q$2:$Q$976,'01_원자료'!$A$2:$A$976,$A39)</f>
        <v/>
      </c>
      <c r="J39" s="85">
        <f>('02_지표정의'!$C$22*H39+'02_지표정의'!$C$23*I39)/('02_지표정의'!$C$22+'02_지표정의'!$C$23)</f>
        <v/>
      </c>
      <c r="K39" s="73">
        <f>IF(LEFT(A39,3)="PAT","특허","보고서")</f>
        <v/>
      </c>
      <c r="L39" s="99">
        <f>COUNTIF($B$5:$B$69,"&lt;"&amp;B39)+(COUNTIF($B$5:$B$69,"="&amp;B39)+1)/2</f>
        <v/>
      </c>
      <c r="M39" s="99">
        <f>COUNTIF($D$5:$D$69,"&lt;"&amp;D39)+(COUNTIF($D$5:$D$69,"="&amp;D39)+1)/2</f>
        <v/>
      </c>
      <c r="N39" s="99">
        <f>COUNTIF($E$5:$E$69,"&lt;"&amp;E39)+(COUNTIF($E$5:$E$69,"="&amp;E39)+1)/2</f>
        <v/>
      </c>
      <c r="O39" s="99">
        <f>COUNTIF($F$5:$F$69,"&lt;"&amp;F39)+(COUNTIF($F$5:$F$69,"="&amp;F39)+1)/2</f>
        <v/>
      </c>
      <c r="P39" s="99">
        <f>COUNTIF($J$5:$J$69,"&lt;"&amp;J39)+(COUNTIF($J$5:$J$69,"="&amp;J39)+1)/2</f>
        <v/>
      </c>
    </row>
    <row r="40" ht="15" customHeight="1" s="68">
      <c r="A40" s="83" t="inlineStr">
        <is>
          <t>RPT-05</t>
        </is>
      </c>
      <c r="B40" s="85">
        <f>AVERAGEIFS('01_원자료'!$S$2:$S$976,'01_원자료'!$A$2:$A$976,$A40)</f>
        <v/>
      </c>
      <c r="C40" s="85">
        <f>AVERAGEIFS('01_원자료'!$O$2:$O$976,'01_원자료'!$A$2:$A$976,$A40)</f>
        <v/>
      </c>
      <c r="D40" s="85">
        <f>SQRT(SUMPRODUCT(('01_원자료'!$A$2:$A$976=$A40)*('01_원자료'!$O$2:$O$976-$C40)^2)/14)</f>
        <v/>
      </c>
      <c r="E40" s="137" t="n">
        <v>912.333333333333</v>
      </c>
      <c r="F40" s="84" t="n">
        <v>0.745614035087719</v>
      </c>
      <c r="G40" s="84" t="n">
        <v>0.220697291673844</v>
      </c>
      <c r="H40" s="85">
        <f>AVERAGEIFS('01_원자료'!$P$2:$P$976,'01_원자료'!$A$2:$A$976,$A40)</f>
        <v/>
      </c>
      <c r="I40" s="85">
        <f>AVERAGEIFS('01_원자료'!$Q$2:$Q$976,'01_원자료'!$A$2:$A$976,$A40)</f>
        <v/>
      </c>
      <c r="J40" s="85">
        <f>('02_지표정의'!$C$22*H40+'02_지표정의'!$C$23*I40)/('02_지표정의'!$C$22+'02_지표정의'!$C$23)</f>
        <v/>
      </c>
      <c r="K40" s="73">
        <f>IF(LEFT(A40,3)="PAT","특허","보고서")</f>
        <v/>
      </c>
      <c r="L40" s="99">
        <f>COUNTIF($B$5:$B$69,"&lt;"&amp;B40)+(COUNTIF($B$5:$B$69,"="&amp;B40)+1)/2</f>
        <v/>
      </c>
      <c r="M40" s="99">
        <f>COUNTIF($D$5:$D$69,"&lt;"&amp;D40)+(COUNTIF($D$5:$D$69,"="&amp;D40)+1)/2</f>
        <v/>
      </c>
      <c r="N40" s="99">
        <f>COUNTIF($E$5:$E$69,"&lt;"&amp;E40)+(COUNTIF($E$5:$E$69,"="&amp;E40)+1)/2</f>
        <v/>
      </c>
      <c r="O40" s="99">
        <f>COUNTIF($F$5:$F$69,"&lt;"&amp;F40)+(COUNTIF($F$5:$F$69,"="&amp;F40)+1)/2</f>
        <v/>
      </c>
      <c r="P40" s="99">
        <f>COUNTIF($J$5:$J$69,"&lt;"&amp;J40)+(COUNTIF($J$5:$J$69,"="&amp;J40)+1)/2</f>
        <v/>
      </c>
    </row>
    <row r="41" ht="15" customHeight="1" s="68">
      <c r="A41" s="83" t="inlineStr">
        <is>
          <t>RPT-06</t>
        </is>
      </c>
      <c r="B41" s="85">
        <f>AVERAGEIFS('01_원자료'!$S$2:$S$976,'01_원자료'!$A$2:$A$976,$A41)</f>
        <v/>
      </c>
      <c r="C41" s="85">
        <f>AVERAGEIFS('01_원자료'!$O$2:$O$976,'01_원자료'!$A$2:$A$976,$A41)</f>
        <v/>
      </c>
      <c r="D41" s="85">
        <f>SQRT(SUMPRODUCT(('01_원자료'!$A$2:$A$976=$A41)*('01_원자료'!$O$2:$O$976-$C41)^2)/14)</f>
        <v/>
      </c>
      <c r="E41" s="137" t="n">
        <v>928.333333333333</v>
      </c>
      <c r="F41" s="84" t="n">
        <v>0.785406698564593</v>
      </c>
      <c r="G41" s="84" t="n">
        <v>0.186607011363705</v>
      </c>
      <c r="H41" s="85">
        <f>AVERAGEIFS('01_원자료'!$P$2:$P$976,'01_원자료'!$A$2:$A$976,$A41)</f>
        <v/>
      </c>
      <c r="I41" s="85">
        <f>AVERAGEIFS('01_원자료'!$Q$2:$Q$976,'01_원자료'!$A$2:$A$976,$A41)</f>
        <v/>
      </c>
      <c r="J41" s="85">
        <f>('02_지표정의'!$C$22*H41+'02_지표정의'!$C$23*I41)/('02_지표정의'!$C$22+'02_지표정의'!$C$23)</f>
        <v/>
      </c>
      <c r="K41" s="73">
        <f>IF(LEFT(A41,3)="PAT","특허","보고서")</f>
        <v/>
      </c>
      <c r="L41" s="99">
        <f>COUNTIF($B$5:$B$69,"&lt;"&amp;B41)+(COUNTIF($B$5:$B$69,"="&amp;B41)+1)/2</f>
        <v/>
      </c>
      <c r="M41" s="99">
        <f>COUNTIF($D$5:$D$69,"&lt;"&amp;D41)+(COUNTIF($D$5:$D$69,"="&amp;D41)+1)/2</f>
        <v/>
      </c>
      <c r="N41" s="99">
        <f>COUNTIF($E$5:$E$69,"&lt;"&amp;E41)+(COUNTIF($E$5:$E$69,"="&amp;E41)+1)/2</f>
        <v/>
      </c>
      <c r="O41" s="99">
        <f>COUNTIF($F$5:$F$69,"&lt;"&amp;F41)+(COUNTIF($F$5:$F$69,"="&amp;F41)+1)/2</f>
        <v/>
      </c>
      <c r="P41" s="99">
        <f>COUNTIF($J$5:$J$69,"&lt;"&amp;J41)+(COUNTIF($J$5:$J$69,"="&amp;J41)+1)/2</f>
        <v/>
      </c>
    </row>
    <row r="42" ht="15" customHeight="1" s="68">
      <c r="A42" s="83" t="inlineStr">
        <is>
          <t>RPT-07</t>
        </is>
      </c>
      <c r="B42" s="85">
        <f>AVERAGEIFS('01_원자료'!$S$2:$S$976,'01_원자료'!$A$2:$A$976,$A42)</f>
        <v/>
      </c>
      <c r="C42" s="85">
        <f>AVERAGEIFS('01_원자료'!$O$2:$O$976,'01_원자료'!$A$2:$A$976,$A42)</f>
        <v/>
      </c>
      <c r="D42" s="85">
        <f>SQRT(SUMPRODUCT(('01_원자료'!$A$2:$A$976=$A42)*('01_원자료'!$O$2:$O$976-$C42)^2)/14)</f>
        <v/>
      </c>
      <c r="E42" s="137" t="n">
        <v>954.333333333333</v>
      </c>
      <c r="F42" s="84" t="n">
        <v>0.736842105263158</v>
      </c>
      <c r="G42" s="84" t="n">
        <v>0.227901422048536</v>
      </c>
      <c r="H42" s="85">
        <f>AVERAGEIFS('01_원자료'!$P$2:$P$976,'01_원자료'!$A$2:$A$976,$A42)</f>
        <v/>
      </c>
      <c r="I42" s="85">
        <f>AVERAGEIFS('01_원자료'!$Q$2:$Q$976,'01_원자료'!$A$2:$A$976,$A42)</f>
        <v/>
      </c>
      <c r="J42" s="85">
        <f>('02_지표정의'!$C$22*H42+'02_지표정의'!$C$23*I42)/('02_지표정의'!$C$22+'02_지표정의'!$C$23)</f>
        <v/>
      </c>
      <c r="K42" s="73">
        <f>IF(LEFT(A42,3)="PAT","특허","보고서")</f>
        <v/>
      </c>
      <c r="L42" s="99">
        <f>COUNTIF($B$5:$B$69,"&lt;"&amp;B42)+(COUNTIF($B$5:$B$69,"="&amp;B42)+1)/2</f>
        <v/>
      </c>
      <c r="M42" s="99">
        <f>COUNTIF($D$5:$D$69,"&lt;"&amp;D42)+(COUNTIF($D$5:$D$69,"="&amp;D42)+1)/2</f>
        <v/>
      </c>
      <c r="N42" s="99">
        <f>COUNTIF($E$5:$E$69,"&lt;"&amp;E42)+(COUNTIF($E$5:$E$69,"="&amp;E42)+1)/2</f>
        <v/>
      </c>
      <c r="O42" s="99">
        <f>COUNTIF($F$5:$F$69,"&lt;"&amp;F42)+(COUNTIF($F$5:$F$69,"="&amp;F42)+1)/2</f>
        <v/>
      </c>
      <c r="P42" s="99">
        <f>COUNTIF($J$5:$J$69,"&lt;"&amp;J42)+(COUNTIF($J$5:$J$69,"="&amp;J42)+1)/2</f>
        <v/>
      </c>
    </row>
    <row r="43" ht="15" customHeight="1" s="68">
      <c r="A43" s="83" t="inlineStr">
        <is>
          <t>RPT-08</t>
        </is>
      </c>
      <c r="B43" s="85">
        <f>AVERAGEIFS('01_원자료'!$S$2:$S$976,'01_원자료'!$A$2:$A$976,$A43)</f>
        <v/>
      </c>
      <c r="C43" s="85">
        <f>AVERAGEIFS('01_원자료'!$O$2:$O$976,'01_원자료'!$A$2:$A$976,$A43)</f>
        <v/>
      </c>
      <c r="D43" s="85">
        <f>SQRT(SUMPRODUCT(('01_원자료'!$A$2:$A$976=$A43)*('01_원자료'!$O$2:$O$976-$C43)^2)/14)</f>
        <v/>
      </c>
      <c r="E43" s="137" t="n">
        <v>752</v>
      </c>
      <c r="F43" s="84" t="n">
        <v>1</v>
      </c>
      <c r="G43" s="84" t="n">
        <v>0</v>
      </c>
      <c r="H43" s="85">
        <f>AVERAGEIFS('01_원자료'!$P$2:$P$976,'01_원자료'!$A$2:$A$976,$A43)</f>
        <v/>
      </c>
      <c r="I43" s="85">
        <f>AVERAGEIFS('01_원자료'!$Q$2:$Q$976,'01_원자료'!$A$2:$A$976,$A43)</f>
        <v/>
      </c>
      <c r="J43" s="85">
        <f>('02_지표정의'!$C$22*H43+'02_지표정의'!$C$23*I43)/('02_지표정의'!$C$22+'02_지표정의'!$C$23)</f>
        <v/>
      </c>
      <c r="K43" s="73">
        <f>IF(LEFT(A43,3)="PAT","특허","보고서")</f>
        <v/>
      </c>
      <c r="L43" s="99">
        <f>COUNTIF($B$5:$B$69,"&lt;"&amp;B43)+(COUNTIF($B$5:$B$69,"="&amp;B43)+1)/2</f>
        <v/>
      </c>
      <c r="M43" s="99">
        <f>COUNTIF($D$5:$D$69,"&lt;"&amp;D43)+(COUNTIF($D$5:$D$69,"="&amp;D43)+1)/2</f>
        <v/>
      </c>
      <c r="N43" s="99">
        <f>COUNTIF($E$5:$E$69,"&lt;"&amp;E43)+(COUNTIF($E$5:$E$69,"="&amp;E43)+1)/2</f>
        <v/>
      </c>
      <c r="O43" s="99">
        <f>COUNTIF($F$5:$F$69,"&lt;"&amp;F43)+(COUNTIF($F$5:$F$69,"="&amp;F43)+1)/2</f>
        <v/>
      </c>
      <c r="P43" s="99">
        <f>COUNTIF($J$5:$J$69,"&lt;"&amp;J43)+(COUNTIF($J$5:$J$69,"="&amp;J43)+1)/2</f>
        <v/>
      </c>
    </row>
    <row r="44" ht="15" customHeight="1" s="68">
      <c r="A44" s="83" t="inlineStr">
        <is>
          <t>RPT-09</t>
        </is>
      </c>
      <c r="B44" s="85">
        <f>AVERAGEIFS('01_원자료'!$S$2:$S$976,'01_원자료'!$A$2:$A$976,$A44)</f>
        <v/>
      </c>
      <c r="C44" s="85">
        <f>AVERAGEIFS('01_원자료'!$O$2:$O$976,'01_원자료'!$A$2:$A$976,$A44)</f>
        <v/>
      </c>
      <c r="D44" s="85">
        <f>SQRT(SUMPRODUCT(('01_원자료'!$A$2:$A$976=$A44)*('01_원자료'!$O$2:$O$976-$C44)^2)/14)</f>
        <v/>
      </c>
      <c r="E44" s="137" t="n">
        <v>777</v>
      </c>
      <c r="F44" s="84" t="n">
        <v>1</v>
      </c>
      <c r="G44" s="84" t="n">
        <v>0</v>
      </c>
      <c r="H44" s="85">
        <f>AVERAGEIFS('01_원자료'!$P$2:$P$976,'01_원자료'!$A$2:$A$976,$A44)</f>
        <v/>
      </c>
      <c r="I44" s="85">
        <f>AVERAGEIFS('01_원자료'!$Q$2:$Q$976,'01_원자료'!$A$2:$A$976,$A44)</f>
        <v/>
      </c>
      <c r="J44" s="85">
        <f>('02_지표정의'!$C$22*H44+'02_지표정의'!$C$23*I44)/('02_지표정의'!$C$22+'02_지표정의'!$C$23)</f>
        <v/>
      </c>
      <c r="K44" s="73">
        <f>IF(LEFT(A44,3)="PAT","특허","보고서")</f>
        <v/>
      </c>
      <c r="L44" s="99">
        <f>COUNTIF($B$5:$B$69,"&lt;"&amp;B44)+(COUNTIF($B$5:$B$69,"="&amp;B44)+1)/2</f>
        <v/>
      </c>
      <c r="M44" s="99">
        <f>COUNTIF($D$5:$D$69,"&lt;"&amp;D44)+(COUNTIF($D$5:$D$69,"="&amp;D44)+1)/2</f>
        <v/>
      </c>
      <c r="N44" s="99">
        <f>COUNTIF($E$5:$E$69,"&lt;"&amp;E44)+(COUNTIF($E$5:$E$69,"="&amp;E44)+1)/2</f>
        <v/>
      </c>
      <c r="O44" s="99">
        <f>COUNTIF($F$5:$F$69,"&lt;"&amp;F44)+(COUNTIF($F$5:$F$69,"="&amp;F44)+1)/2</f>
        <v/>
      </c>
      <c r="P44" s="99">
        <f>COUNTIF($J$5:$J$69,"&lt;"&amp;J44)+(COUNTIF($J$5:$J$69,"="&amp;J44)+1)/2</f>
        <v/>
      </c>
    </row>
    <row r="45" ht="15" customHeight="1" s="68">
      <c r="A45" s="83" t="inlineStr">
        <is>
          <t>RPT-10</t>
        </is>
      </c>
      <c r="B45" s="85">
        <f>AVERAGEIFS('01_원자료'!$S$2:$S$976,'01_원자료'!$A$2:$A$976,$A45)</f>
        <v/>
      </c>
      <c r="C45" s="85">
        <f>AVERAGEIFS('01_원자료'!$O$2:$O$976,'01_원자료'!$A$2:$A$976,$A45)</f>
        <v/>
      </c>
      <c r="D45" s="85">
        <f>SQRT(SUMPRODUCT(('01_원자료'!$A$2:$A$976=$A45)*('01_원자료'!$O$2:$O$976-$C45)^2)/14)</f>
        <v/>
      </c>
      <c r="E45" s="137" t="n">
        <v>958.333333333333</v>
      </c>
      <c r="F45" s="84" t="n">
        <v>0.68421052631579</v>
      </c>
      <c r="G45" s="84" t="n">
        <v>0.273481706458244</v>
      </c>
      <c r="H45" s="85">
        <f>AVERAGEIFS('01_원자료'!$P$2:$P$976,'01_원자료'!$A$2:$A$976,$A45)</f>
        <v/>
      </c>
      <c r="I45" s="85">
        <f>AVERAGEIFS('01_원자료'!$Q$2:$Q$976,'01_원자료'!$A$2:$A$976,$A45)</f>
        <v/>
      </c>
      <c r="J45" s="85">
        <f>('02_지표정의'!$C$22*H45+'02_지표정의'!$C$23*I45)/('02_지표정의'!$C$22+'02_지표정의'!$C$23)</f>
        <v/>
      </c>
      <c r="K45" s="73">
        <f>IF(LEFT(A45,3)="PAT","특허","보고서")</f>
        <v/>
      </c>
      <c r="L45" s="99">
        <f>COUNTIF($B$5:$B$69,"&lt;"&amp;B45)+(COUNTIF($B$5:$B$69,"="&amp;B45)+1)/2</f>
        <v/>
      </c>
      <c r="M45" s="99">
        <f>COUNTIF($D$5:$D$69,"&lt;"&amp;D45)+(COUNTIF($D$5:$D$69,"="&amp;D45)+1)/2</f>
        <v/>
      </c>
      <c r="N45" s="99">
        <f>COUNTIF($E$5:$E$69,"&lt;"&amp;E45)+(COUNTIF($E$5:$E$69,"="&amp;E45)+1)/2</f>
        <v/>
      </c>
      <c r="O45" s="99">
        <f>COUNTIF($F$5:$F$69,"&lt;"&amp;F45)+(COUNTIF($F$5:$F$69,"="&amp;F45)+1)/2</f>
        <v/>
      </c>
      <c r="P45" s="99">
        <f>COUNTIF($J$5:$J$69,"&lt;"&amp;J45)+(COUNTIF($J$5:$J$69,"="&amp;J45)+1)/2</f>
        <v/>
      </c>
    </row>
    <row r="46" ht="15" customHeight="1" s="68">
      <c r="A46" s="83" t="inlineStr">
        <is>
          <t>RPT-11</t>
        </is>
      </c>
      <c r="B46" s="85">
        <f>AVERAGEIFS('01_원자료'!$S$2:$S$976,'01_원자료'!$A$2:$A$976,$A46)</f>
        <v/>
      </c>
      <c r="C46" s="85">
        <f>AVERAGEIFS('01_원자료'!$O$2:$O$976,'01_원자료'!$A$2:$A$976,$A46)</f>
        <v/>
      </c>
      <c r="D46" s="85">
        <f>SQRT(SUMPRODUCT(('01_원자료'!$A$2:$A$976=$A46)*('01_원자료'!$O$2:$O$976-$C46)^2)/14)</f>
        <v/>
      </c>
      <c r="E46" s="137" t="n">
        <v>780.666666666667</v>
      </c>
      <c r="F46" s="84" t="n">
        <v>0.763157894736842</v>
      </c>
      <c r="G46" s="84" t="n">
        <v>0.205111279843683</v>
      </c>
      <c r="H46" s="85">
        <f>AVERAGEIFS('01_원자료'!$P$2:$P$976,'01_원자료'!$A$2:$A$976,$A46)</f>
        <v/>
      </c>
      <c r="I46" s="85">
        <f>AVERAGEIFS('01_원자료'!$Q$2:$Q$976,'01_원자료'!$A$2:$A$976,$A46)</f>
        <v/>
      </c>
      <c r="J46" s="85">
        <f>('02_지표정의'!$C$22*H46+'02_지표정의'!$C$23*I46)/('02_지표정의'!$C$22+'02_지표정의'!$C$23)</f>
        <v/>
      </c>
      <c r="K46" s="73">
        <f>IF(LEFT(A46,3)="PAT","특허","보고서")</f>
        <v/>
      </c>
      <c r="L46" s="99">
        <f>COUNTIF($B$5:$B$69,"&lt;"&amp;B46)+(COUNTIF($B$5:$B$69,"="&amp;B46)+1)/2</f>
        <v/>
      </c>
      <c r="M46" s="99">
        <f>COUNTIF($D$5:$D$69,"&lt;"&amp;D46)+(COUNTIF($D$5:$D$69,"="&amp;D46)+1)/2</f>
        <v/>
      </c>
      <c r="N46" s="99">
        <f>COUNTIF($E$5:$E$69,"&lt;"&amp;E46)+(COUNTIF($E$5:$E$69,"="&amp;E46)+1)/2</f>
        <v/>
      </c>
      <c r="O46" s="99">
        <f>COUNTIF($F$5:$F$69,"&lt;"&amp;F46)+(COUNTIF($F$5:$F$69,"="&amp;F46)+1)/2</f>
        <v/>
      </c>
      <c r="P46" s="99">
        <f>COUNTIF($J$5:$J$69,"&lt;"&amp;J46)+(COUNTIF($J$5:$J$69,"="&amp;J46)+1)/2</f>
        <v/>
      </c>
    </row>
    <row r="47" ht="15" customHeight="1" s="68">
      <c r="A47" s="83" t="inlineStr">
        <is>
          <t>RPT-12</t>
        </is>
      </c>
      <c r="B47" s="85">
        <f>AVERAGEIFS('01_원자료'!$S$2:$S$976,'01_원자료'!$A$2:$A$976,$A47)</f>
        <v/>
      </c>
      <c r="C47" s="85">
        <f>AVERAGEIFS('01_원자료'!$O$2:$O$976,'01_원자료'!$A$2:$A$976,$A47)</f>
        <v/>
      </c>
      <c r="D47" s="85">
        <f>SQRT(SUMPRODUCT(('01_원자료'!$A$2:$A$976=$A47)*('01_원자료'!$O$2:$O$976-$C47)^2)/14)</f>
        <v/>
      </c>
      <c r="E47" s="137" t="n">
        <v>847</v>
      </c>
      <c r="F47" s="84" t="n">
        <v>0.68421052631579</v>
      </c>
      <c r="G47" s="84" t="n">
        <v>0.273481706458244</v>
      </c>
      <c r="H47" s="85">
        <f>AVERAGEIFS('01_원자료'!$P$2:$P$976,'01_원자료'!$A$2:$A$976,$A47)</f>
        <v/>
      </c>
      <c r="I47" s="85">
        <f>AVERAGEIFS('01_원자료'!$Q$2:$Q$976,'01_원자료'!$A$2:$A$976,$A47)</f>
        <v/>
      </c>
      <c r="J47" s="85">
        <f>('02_지표정의'!$C$22*H47+'02_지표정의'!$C$23*I47)/('02_지표정의'!$C$22+'02_지표정의'!$C$23)</f>
        <v/>
      </c>
      <c r="K47" s="73">
        <f>IF(LEFT(A47,3)="PAT","특허","보고서")</f>
        <v/>
      </c>
      <c r="L47" s="99">
        <f>COUNTIF($B$5:$B$69,"&lt;"&amp;B47)+(COUNTIF($B$5:$B$69,"="&amp;B47)+1)/2</f>
        <v/>
      </c>
      <c r="M47" s="99">
        <f>COUNTIF($D$5:$D$69,"&lt;"&amp;D47)+(COUNTIF($D$5:$D$69,"="&amp;D47)+1)/2</f>
        <v/>
      </c>
      <c r="N47" s="99">
        <f>COUNTIF($E$5:$E$69,"&lt;"&amp;E47)+(COUNTIF($E$5:$E$69,"="&amp;E47)+1)/2</f>
        <v/>
      </c>
      <c r="O47" s="99">
        <f>COUNTIF($F$5:$F$69,"&lt;"&amp;F47)+(COUNTIF($F$5:$F$69,"="&amp;F47)+1)/2</f>
        <v/>
      </c>
      <c r="P47" s="99">
        <f>COUNTIF($J$5:$J$69,"&lt;"&amp;J47)+(COUNTIF($J$5:$J$69,"="&amp;J47)+1)/2</f>
        <v/>
      </c>
    </row>
    <row r="48" ht="15" customHeight="1" s="68">
      <c r="A48" s="83" t="inlineStr">
        <is>
          <t>RPT-13</t>
        </is>
      </c>
      <c r="B48" s="85">
        <f>AVERAGEIFS('01_원자료'!$S$2:$S$976,'01_원자료'!$A$2:$A$976,$A48)</f>
        <v/>
      </c>
      <c r="C48" s="85">
        <f>AVERAGEIFS('01_원자료'!$O$2:$O$976,'01_원자료'!$A$2:$A$976,$A48)</f>
        <v/>
      </c>
      <c r="D48" s="85">
        <f>SQRT(SUMPRODUCT(('01_원자료'!$A$2:$A$976=$A48)*('01_원자료'!$O$2:$O$976-$C48)^2)/14)</f>
        <v/>
      </c>
      <c r="E48" s="137" t="n">
        <v>939.333333333333</v>
      </c>
      <c r="F48" s="84" t="n">
        <v>0.68421052631579</v>
      </c>
      <c r="G48" s="84" t="n">
        <v>0.273481706458244</v>
      </c>
      <c r="H48" s="85">
        <f>AVERAGEIFS('01_원자료'!$P$2:$P$976,'01_원자료'!$A$2:$A$976,$A48)</f>
        <v/>
      </c>
      <c r="I48" s="85">
        <f>AVERAGEIFS('01_원자료'!$Q$2:$Q$976,'01_원자료'!$A$2:$A$976,$A48)</f>
        <v/>
      </c>
      <c r="J48" s="85">
        <f>('02_지표정의'!$C$22*H48+'02_지표정의'!$C$23*I48)/('02_지표정의'!$C$22+'02_지표정의'!$C$23)</f>
        <v/>
      </c>
      <c r="K48" s="73">
        <f>IF(LEFT(A48,3)="PAT","특허","보고서")</f>
        <v/>
      </c>
      <c r="L48" s="99">
        <f>COUNTIF($B$5:$B$69,"&lt;"&amp;B48)+(COUNTIF($B$5:$B$69,"="&amp;B48)+1)/2</f>
        <v/>
      </c>
      <c r="M48" s="99">
        <f>COUNTIF($D$5:$D$69,"&lt;"&amp;D48)+(COUNTIF($D$5:$D$69,"="&amp;D48)+1)/2</f>
        <v/>
      </c>
      <c r="N48" s="99">
        <f>COUNTIF($E$5:$E$69,"&lt;"&amp;E48)+(COUNTIF($E$5:$E$69,"="&amp;E48)+1)/2</f>
        <v/>
      </c>
      <c r="O48" s="99">
        <f>COUNTIF($F$5:$F$69,"&lt;"&amp;F48)+(COUNTIF($F$5:$F$69,"="&amp;F48)+1)/2</f>
        <v/>
      </c>
      <c r="P48" s="99">
        <f>COUNTIF($J$5:$J$69,"&lt;"&amp;J48)+(COUNTIF($J$5:$J$69,"="&amp;J48)+1)/2</f>
        <v/>
      </c>
    </row>
    <row r="49" ht="15" customHeight="1" s="68">
      <c r="A49" s="83" t="inlineStr">
        <is>
          <t>RPT-14</t>
        </is>
      </c>
      <c r="B49" s="85">
        <f>AVERAGEIFS('01_원자료'!$S$2:$S$976,'01_원자료'!$A$2:$A$976,$A49)</f>
        <v/>
      </c>
      <c r="C49" s="85">
        <f>AVERAGEIFS('01_원자료'!$O$2:$O$976,'01_원자료'!$A$2:$A$976,$A49)</f>
        <v/>
      </c>
      <c r="D49" s="85">
        <f>SQRT(SUMPRODUCT(('01_원자료'!$A$2:$A$976=$A49)*('01_원자료'!$O$2:$O$976-$C49)^2)/14)</f>
        <v/>
      </c>
      <c r="E49" s="137" t="n">
        <v>811.333333333333</v>
      </c>
      <c r="F49" s="84" t="n">
        <v>0.68421052631579</v>
      </c>
      <c r="G49" s="84" t="n">
        <v>0.273481706458244</v>
      </c>
      <c r="H49" s="85">
        <f>AVERAGEIFS('01_원자료'!$P$2:$P$976,'01_원자료'!$A$2:$A$976,$A49)</f>
        <v/>
      </c>
      <c r="I49" s="85">
        <f>AVERAGEIFS('01_원자료'!$Q$2:$Q$976,'01_원자료'!$A$2:$A$976,$A49)</f>
        <v/>
      </c>
      <c r="J49" s="85">
        <f>('02_지표정의'!$C$22*H49+'02_지표정의'!$C$23*I49)/('02_지표정의'!$C$22+'02_지표정의'!$C$23)</f>
        <v/>
      </c>
      <c r="K49" s="73">
        <f>IF(LEFT(A49,3)="PAT","특허","보고서")</f>
        <v/>
      </c>
      <c r="L49" s="99">
        <f>COUNTIF($B$5:$B$69,"&lt;"&amp;B49)+(COUNTIF($B$5:$B$69,"="&amp;B49)+1)/2</f>
        <v/>
      </c>
      <c r="M49" s="99">
        <f>COUNTIF($D$5:$D$69,"&lt;"&amp;D49)+(COUNTIF($D$5:$D$69,"="&amp;D49)+1)/2</f>
        <v/>
      </c>
      <c r="N49" s="99">
        <f>COUNTIF($E$5:$E$69,"&lt;"&amp;E49)+(COUNTIF($E$5:$E$69,"="&amp;E49)+1)/2</f>
        <v/>
      </c>
      <c r="O49" s="99">
        <f>COUNTIF($F$5:$F$69,"&lt;"&amp;F49)+(COUNTIF($F$5:$F$69,"="&amp;F49)+1)/2</f>
        <v/>
      </c>
      <c r="P49" s="99">
        <f>COUNTIF($J$5:$J$69,"&lt;"&amp;J49)+(COUNTIF($J$5:$J$69,"="&amp;J49)+1)/2</f>
        <v/>
      </c>
    </row>
    <row r="50" ht="15" customHeight="1" s="68">
      <c r="A50" s="83" t="inlineStr">
        <is>
          <t>RPT-15</t>
        </is>
      </c>
      <c r="B50" s="85">
        <f>AVERAGEIFS('01_원자료'!$S$2:$S$976,'01_원자료'!$A$2:$A$976,$A50)</f>
        <v/>
      </c>
      <c r="C50" s="85">
        <f>AVERAGEIFS('01_원자료'!$O$2:$O$976,'01_원자료'!$A$2:$A$976,$A50)</f>
        <v/>
      </c>
      <c r="D50" s="85">
        <f>SQRT(SUMPRODUCT(('01_원자료'!$A$2:$A$976=$A50)*('01_원자료'!$O$2:$O$976-$C50)^2)/14)</f>
        <v/>
      </c>
      <c r="E50" s="137" t="n">
        <v>846</v>
      </c>
      <c r="F50" s="84" t="n">
        <v>1</v>
      </c>
      <c r="G50" s="84" t="n">
        <v>0</v>
      </c>
      <c r="H50" s="85">
        <f>AVERAGEIFS('01_원자료'!$P$2:$P$976,'01_원자료'!$A$2:$A$976,$A50)</f>
        <v/>
      </c>
      <c r="I50" s="85">
        <f>AVERAGEIFS('01_원자료'!$Q$2:$Q$976,'01_원자료'!$A$2:$A$976,$A50)</f>
        <v/>
      </c>
      <c r="J50" s="85">
        <f>('02_지표정의'!$C$22*H50+'02_지표정의'!$C$23*I50)/('02_지표정의'!$C$22+'02_지표정의'!$C$23)</f>
        <v/>
      </c>
      <c r="K50" s="73">
        <f>IF(LEFT(A50,3)="PAT","특허","보고서")</f>
        <v/>
      </c>
      <c r="L50" s="99">
        <f>COUNTIF($B$5:$B$69,"&lt;"&amp;B50)+(COUNTIF($B$5:$B$69,"="&amp;B50)+1)/2</f>
        <v/>
      </c>
      <c r="M50" s="99">
        <f>COUNTIF($D$5:$D$69,"&lt;"&amp;D50)+(COUNTIF($D$5:$D$69,"="&amp;D50)+1)/2</f>
        <v/>
      </c>
      <c r="N50" s="99">
        <f>COUNTIF($E$5:$E$69,"&lt;"&amp;E50)+(COUNTIF($E$5:$E$69,"="&amp;E50)+1)/2</f>
        <v/>
      </c>
      <c r="O50" s="99">
        <f>COUNTIF($F$5:$F$69,"&lt;"&amp;F50)+(COUNTIF($F$5:$F$69,"="&amp;F50)+1)/2</f>
        <v/>
      </c>
      <c r="P50" s="99">
        <f>COUNTIF($J$5:$J$69,"&lt;"&amp;J50)+(COUNTIF($J$5:$J$69,"="&amp;J50)+1)/2</f>
        <v/>
      </c>
    </row>
    <row r="51" ht="15" customHeight="1" s="68">
      <c r="A51" s="83" t="inlineStr">
        <is>
          <t>RPT-16</t>
        </is>
      </c>
      <c r="B51" s="85">
        <f>AVERAGEIFS('01_원자료'!$S$2:$S$976,'01_원자료'!$A$2:$A$976,$A51)</f>
        <v/>
      </c>
      <c r="C51" s="85">
        <f>AVERAGEIFS('01_원자료'!$O$2:$O$976,'01_원자료'!$A$2:$A$976,$A51)</f>
        <v/>
      </c>
      <c r="D51" s="85">
        <f>SQRT(SUMPRODUCT(('01_원자료'!$A$2:$A$976=$A51)*('01_원자료'!$O$2:$O$976-$C51)^2)/14)</f>
        <v/>
      </c>
      <c r="E51" s="137" t="n">
        <v>821.333333333333</v>
      </c>
      <c r="F51" s="84" t="n">
        <v>0.68421052631579</v>
      </c>
      <c r="G51" s="84" t="n">
        <v>0.273481706458244</v>
      </c>
      <c r="H51" s="85">
        <f>AVERAGEIFS('01_원자료'!$P$2:$P$976,'01_원자료'!$A$2:$A$976,$A51)</f>
        <v/>
      </c>
      <c r="I51" s="85">
        <f>AVERAGEIFS('01_원자료'!$Q$2:$Q$976,'01_원자료'!$A$2:$A$976,$A51)</f>
        <v/>
      </c>
      <c r="J51" s="85">
        <f>('02_지표정의'!$C$22*H51+'02_지표정의'!$C$23*I51)/('02_지표정의'!$C$22+'02_지표정의'!$C$23)</f>
        <v/>
      </c>
      <c r="K51" s="73">
        <f>IF(LEFT(A51,3)="PAT","특허","보고서")</f>
        <v/>
      </c>
      <c r="L51" s="99">
        <f>COUNTIF($B$5:$B$69,"&lt;"&amp;B51)+(COUNTIF($B$5:$B$69,"="&amp;B51)+1)/2</f>
        <v/>
      </c>
      <c r="M51" s="99">
        <f>COUNTIF($D$5:$D$69,"&lt;"&amp;D51)+(COUNTIF($D$5:$D$69,"="&amp;D51)+1)/2</f>
        <v/>
      </c>
      <c r="N51" s="99">
        <f>COUNTIF($E$5:$E$69,"&lt;"&amp;E51)+(COUNTIF($E$5:$E$69,"="&amp;E51)+1)/2</f>
        <v/>
      </c>
      <c r="O51" s="99">
        <f>COUNTIF($F$5:$F$69,"&lt;"&amp;F51)+(COUNTIF($F$5:$F$69,"="&amp;F51)+1)/2</f>
        <v/>
      </c>
      <c r="P51" s="99">
        <f>COUNTIF($J$5:$J$69,"&lt;"&amp;J51)+(COUNTIF($J$5:$J$69,"="&amp;J51)+1)/2</f>
        <v/>
      </c>
    </row>
    <row r="52" ht="15" customHeight="1" s="68">
      <c r="A52" s="83" t="inlineStr">
        <is>
          <t>RPT-17</t>
        </is>
      </c>
      <c r="B52" s="85">
        <f>AVERAGEIFS('01_원자료'!$S$2:$S$976,'01_원자료'!$A$2:$A$976,$A52)</f>
        <v/>
      </c>
      <c r="C52" s="85">
        <f>AVERAGEIFS('01_원자료'!$O$2:$O$976,'01_원자료'!$A$2:$A$976,$A52)</f>
        <v/>
      </c>
      <c r="D52" s="85">
        <f>SQRT(SUMPRODUCT(('01_원자료'!$A$2:$A$976=$A52)*('01_원자료'!$O$2:$O$976-$C52)^2)/14)</f>
        <v/>
      </c>
      <c r="E52" s="137" t="n">
        <v>982.333333333333</v>
      </c>
      <c r="F52" s="84" t="n">
        <v>1</v>
      </c>
      <c r="G52" s="84" t="n">
        <v>0</v>
      </c>
      <c r="H52" s="85">
        <f>AVERAGEIFS('01_원자료'!$P$2:$P$976,'01_원자료'!$A$2:$A$976,$A52)</f>
        <v/>
      </c>
      <c r="I52" s="85">
        <f>AVERAGEIFS('01_원자료'!$Q$2:$Q$976,'01_원자료'!$A$2:$A$976,$A52)</f>
        <v/>
      </c>
      <c r="J52" s="85">
        <f>('02_지표정의'!$C$22*H52+'02_지표정의'!$C$23*I52)/('02_지표정의'!$C$22+'02_지표정의'!$C$23)</f>
        <v/>
      </c>
      <c r="K52" s="73">
        <f>IF(LEFT(A52,3)="PAT","특허","보고서")</f>
        <v/>
      </c>
      <c r="L52" s="99">
        <f>COUNTIF($B$5:$B$69,"&lt;"&amp;B52)+(COUNTIF($B$5:$B$69,"="&amp;B52)+1)/2</f>
        <v/>
      </c>
      <c r="M52" s="99">
        <f>COUNTIF($D$5:$D$69,"&lt;"&amp;D52)+(COUNTIF($D$5:$D$69,"="&amp;D52)+1)/2</f>
        <v/>
      </c>
      <c r="N52" s="99">
        <f>COUNTIF($E$5:$E$69,"&lt;"&amp;E52)+(COUNTIF($E$5:$E$69,"="&amp;E52)+1)/2</f>
        <v/>
      </c>
      <c r="O52" s="99">
        <f>COUNTIF($F$5:$F$69,"&lt;"&amp;F52)+(COUNTIF($F$5:$F$69,"="&amp;F52)+1)/2</f>
        <v/>
      </c>
      <c r="P52" s="99">
        <f>COUNTIF($J$5:$J$69,"&lt;"&amp;J52)+(COUNTIF($J$5:$J$69,"="&amp;J52)+1)/2</f>
        <v/>
      </c>
    </row>
    <row r="53" ht="15" customHeight="1" s="68">
      <c r="A53" s="83" t="inlineStr">
        <is>
          <t>RPT-18</t>
        </is>
      </c>
      <c r="B53" s="85">
        <f>AVERAGEIFS('01_원자료'!$S$2:$S$976,'01_원자료'!$A$2:$A$976,$A53)</f>
        <v/>
      </c>
      <c r="C53" s="85">
        <f>AVERAGEIFS('01_원자료'!$O$2:$O$976,'01_원자료'!$A$2:$A$976,$A53)</f>
        <v/>
      </c>
      <c r="D53" s="85">
        <f>SQRT(SUMPRODUCT(('01_원자료'!$A$2:$A$976=$A53)*('01_원자료'!$O$2:$O$976-$C53)^2)/14)</f>
        <v/>
      </c>
      <c r="E53" s="137" t="n">
        <v>947.333333333333</v>
      </c>
      <c r="F53" s="84" t="n">
        <v>0.68421052631579</v>
      </c>
      <c r="G53" s="84" t="n">
        <v>0.273481706458244</v>
      </c>
      <c r="H53" s="85">
        <f>AVERAGEIFS('01_원자료'!$P$2:$P$976,'01_원자료'!$A$2:$A$976,$A53)</f>
        <v/>
      </c>
      <c r="I53" s="85">
        <f>AVERAGEIFS('01_원자료'!$Q$2:$Q$976,'01_원자료'!$A$2:$A$976,$A53)</f>
        <v/>
      </c>
      <c r="J53" s="85">
        <f>('02_지표정의'!$C$22*H53+'02_지표정의'!$C$23*I53)/('02_지표정의'!$C$22+'02_지표정의'!$C$23)</f>
        <v/>
      </c>
      <c r="K53" s="73">
        <f>IF(LEFT(A53,3)="PAT","특허","보고서")</f>
        <v/>
      </c>
      <c r="L53" s="99">
        <f>COUNTIF($B$5:$B$69,"&lt;"&amp;B53)+(COUNTIF($B$5:$B$69,"="&amp;B53)+1)/2</f>
        <v/>
      </c>
      <c r="M53" s="99">
        <f>COUNTIF($D$5:$D$69,"&lt;"&amp;D53)+(COUNTIF($D$5:$D$69,"="&amp;D53)+1)/2</f>
        <v/>
      </c>
      <c r="N53" s="99">
        <f>COUNTIF($E$5:$E$69,"&lt;"&amp;E53)+(COUNTIF($E$5:$E$69,"="&amp;E53)+1)/2</f>
        <v/>
      </c>
      <c r="O53" s="99">
        <f>COUNTIF($F$5:$F$69,"&lt;"&amp;F53)+(COUNTIF($F$5:$F$69,"="&amp;F53)+1)/2</f>
        <v/>
      </c>
      <c r="P53" s="99">
        <f>COUNTIF($J$5:$J$69,"&lt;"&amp;J53)+(COUNTIF($J$5:$J$69,"="&amp;J53)+1)/2</f>
        <v/>
      </c>
    </row>
    <row r="54" ht="15" customHeight="1" s="68">
      <c r="A54" s="83" t="inlineStr">
        <is>
          <t>RPT-19</t>
        </is>
      </c>
      <c r="B54" s="85">
        <f>AVERAGEIFS('01_원자료'!$S$2:$S$976,'01_원자료'!$A$2:$A$976,$A54)</f>
        <v/>
      </c>
      <c r="C54" s="85">
        <f>AVERAGEIFS('01_원자료'!$O$2:$O$976,'01_원자료'!$A$2:$A$976,$A54)</f>
        <v/>
      </c>
      <c r="D54" s="85">
        <f>SQRT(SUMPRODUCT(('01_원자료'!$A$2:$A$976=$A54)*('01_원자료'!$O$2:$O$976-$C54)^2)/14)</f>
        <v/>
      </c>
      <c r="E54" s="137" t="n">
        <v>794.333333333333</v>
      </c>
      <c r="F54" s="84" t="n">
        <v>0.68421052631579</v>
      </c>
      <c r="G54" s="84" t="n">
        <v>0.273481706458244</v>
      </c>
      <c r="H54" s="85">
        <f>AVERAGEIFS('01_원자료'!$P$2:$P$976,'01_원자료'!$A$2:$A$976,$A54)</f>
        <v/>
      </c>
      <c r="I54" s="85">
        <f>AVERAGEIFS('01_원자료'!$Q$2:$Q$976,'01_원자료'!$A$2:$A$976,$A54)</f>
        <v/>
      </c>
      <c r="J54" s="85">
        <f>('02_지표정의'!$C$22*H54+'02_지표정의'!$C$23*I54)/('02_지표정의'!$C$22+'02_지표정의'!$C$23)</f>
        <v/>
      </c>
      <c r="K54" s="73">
        <f>IF(LEFT(A54,3)="PAT","특허","보고서")</f>
        <v/>
      </c>
      <c r="L54" s="99">
        <f>COUNTIF($B$5:$B$69,"&lt;"&amp;B54)+(COUNTIF($B$5:$B$69,"="&amp;B54)+1)/2</f>
        <v/>
      </c>
      <c r="M54" s="99">
        <f>COUNTIF($D$5:$D$69,"&lt;"&amp;D54)+(COUNTIF($D$5:$D$69,"="&amp;D54)+1)/2</f>
        <v/>
      </c>
      <c r="N54" s="99">
        <f>COUNTIF($E$5:$E$69,"&lt;"&amp;E54)+(COUNTIF($E$5:$E$69,"="&amp;E54)+1)/2</f>
        <v/>
      </c>
      <c r="O54" s="99">
        <f>COUNTIF($F$5:$F$69,"&lt;"&amp;F54)+(COUNTIF($F$5:$F$69,"="&amp;F54)+1)/2</f>
        <v/>
      </c>
      <c r="P54" s="99">
        <f>COUNTIF($J$5:$J$69,"&lt;"&amp;J54)+(COUNTIF($J$5:$J$69,"="&amp;J54)+1)/2</f>
        <v/>
      </c>
    </row>
    <row r="55" ht="15" customHeight="1" s="68">
      <c r="A55" s="83" t="inlineStr">
        <is>
          <t>RPT-20</t>
        </is>
      </c>
      <c r="B55" s="85">
        <f>AVERAGEIFS('01_원자료'!$S$2:$S$976,'01_원자료'!$A$2:$A$976,$A55)</f>
        <v/>
      </c>
      <c r="C55" s="85">
        <f>AVERAGEIFS('01_원자료'!$O$2:$O$976,'01_원자료'!$A$2:$A$976,$A55)</f>
        <v/>
      </c>
      <c r="D55" s="85">
        <f>SQRT(SUMPRODUCT(('01_원자료'!$A$2:$A$976=$A55)*('01_원자료'!$O$2:$O$976-$C55)^2)/14)</f>
        <v/>
      </c>
      <c r="E55" s="137" t="n">
        <v>1026</v>
      </c>
      <c r="F55" s="84" t="n">
        <v>1</v>
      </c>
      <c r="G55" s="84" t="n">
        <v>0</v>
      </c>
      <c r="H55" s="85">
        <f>AVERAGEIFS('01_원자료'!$P$2:$P$976,'01_원자료'!$A$2:$A$976,$A55)</f>
        <v/>
      </c>
      <c r="I55" s="85">
        <f>AVERAGEIFS('01_원자료'!$Q$2:$Q$976,'01_원자료'!$A$2:$A$976,$A55)</f>
        <v/>
      </c>
      <c r="J55" s="85">
        <f>('02_지표정의'!$C$22*H55+'02_지표정의'!$C$23*I55)/('02_지표정의'!$C$22+'02_지표정의'!$C$23)</f>
        <v/>
      </c>
      <c r="K55" s="73">
        <f>IF(LEFT(A55,3)="PAT","특허","보고서")</f>
        <v/>
      </c>
      <c r="L55" s="99">
        <f>COUNTIF($B$5:$B$69,"&lt;"&amp;B55)+(COUNTIF($B$5:$B$69,"="&amp;B55)+1)/2</f>
        <v/>
      </c>
      <c r="M55" s="99">
        <f>COUNTIF($D$5:$D$69,"&lt;"&amp;D55)+(COUNTIF($D$5:$D$69,"="&amp;D55)+1)/2</f>
        <v/>
      </c>
      <c r="N55" s="99">
        <f>COUNTIF($E$5:$E$69,"&lt;"&amp;E55)+(COUNTIF($E$5:$E$69,"="&amp;E55)+1)/2</f>
        <v/>
      </c>
      <c r="O55" s="99">
        <f>COUNTIF($F$5:$F$69,"&lt;"&amp;F55)+(COUNTIF($F$5:$F$69,"="&amp;F55)+1)/2</f>
        <v/>
      </c>
      <c r="P55" s="99">
        <f>COUNTIF($J$5:$J$69,"&lt;"&amp;J55)+(COUNTIF($J$5:$J$69,"="&amp;J55)+1)/2</f>
        <v/>
      </c>
    </row>
    <row r="56" ht="15" customHeight="1" s="68">
      <c r="A56" s="83" t="inlineStr">
        <is>
          <t>RPT-21</t>
        </is>
      </c>
      <c r="B56" s="85">
        <f>AVERAGEIFS('01_원자료'!$S$2:$S$976,'01_원자료'!$A$2:$A$976,$A56)</f>
        <v/>
      </c>
      <c r="C56" s="85">
        <f>AVERAGEIFS('01_원자료'!$O$2:$O$976,'01_원자료'!$A$2:$A$976,$A56)</f>
        <v/>
      </c>
      <c r="D56" s="85">
        <f>SQRT(SUMPRODUCT(('01_원자료'!$A$2:$A$976=$A56)*('01_원자료'!$O$2:$O$976-$C56)^2)/14)</f>
        <v/>
      </c>
      <c r="E56" s="137" t="n">
        <v>830.333333333333</v>
      </c>
      <c r="F56" s="84" t="n">
        <v>1</v>
      </c>
      <c r="G56" s="84" t="n">
        <v>0</v>
      </c>
      <c r="H56" s="85">
        <f>AVERAGEIFS('01_원자료'!$P$2:$P$976,'01_원자료'!$A$2:$A$976,$A56)</f>
        <v/>
      </c>
      <c r="I56" s="85">
        <f>AVERAGEIFS('01_원자료'!$Q$2:$Q$976,'01_원자료'!$A$2:$A$976,$A56)</f>
        <v/>
      </c>
      <c r="J56" s="85">
        <f>('02_지표정의'!$C$22*H56+'02_지표정의'!$C$23*I56)/('02_지표정의'!$C$22+'02_지표정의'!$C$23)</f>
        <v/>
      </c>
      <c r="K56" s="73">
        <f>IF(LEFT(A56,3)="PAT","특허","보고서")</f>
        <v/>
      </c>
      <c r="L56" s="99">
        <f>COUNTIF($B$5:$B$69,"&lt;"&amp;B56)+(COUNTIF($B$5:$B$69,"="&amp;B56)+1)/2</f>
        <v/>
      </c>
      <c r="M56" s="99">
        <f>COUNTIF($D$5:$D$69,"&lt;"&amp;D56)+(COUNTIF($D$5:$D$69,"="&amp;D56)+1)/2</f>
        <v/>
      </c>
      <c r="N56" s="99">
        <f>COUNTIF($E$5:$E$69,"&lt;"&amp;E56)+(COUNTIF($E$5:$E$69,"="&amp;E56)+1)/2</f>
        <v/>
      </c>
      <c r="O56" s="99">
        <f>COUNTIF($F$5:$F$69,"&lt;"&amp;F56)+(COUNTIF($F$5:$F$69,"="&amp;F56)+1)/2</f>
        <v/>
      </c>
      <c r="P56" s="99">
        <f>COUNTIF($J$5:$J$69,"&lt;"&amp;J56)+(COUNTIF($J$5:$J$69,"="&amp;J56)+1)/2</f>
        <v/>
      </c>
    </row>
    <row r="57" ht="15" customHeight="1" s="68">
      <c r="A57" s="83" t="inlineStr">
        <is>
          <t>RPT-22</t>
        </is>
      </c>
      <c r="B57" s="85">
        <f>AVERAGEIFS('01_원자료'!$S$2:$S$976,'01_원자료'!$A$2:$A$976,$A57)</f>
        <v/>
      </c>
      <c r="C57" s="85">
        <f>AVERAGEIFS('01_원자료'!$O$2:$O$976,'01_원자료'!$A$2:$A$976,$A57)</f>
        <v/>
      </c>
      <c r="D57" s="85">
        <f>SQRT(SUMPRODUCT(('01_원자료'!$A$2:$A$976=$A57)*('01_원자료'!$O$2:$O$976-$C57)^2)/14)</f>
        <v/>
      </c>
      <c r="E57" s="137" t="n">
        <v>743</v>
      </c>
      <c r="F57" s="84" t="n">
        <v>1</v>
      </c>
      <c r="G57" s="84" t="n">
        <v>0</v>
      </c>
      <c r="H57" s="85">
        <f>AVERAGEIFS('01_원자료'!$P$2:$P$976,'01_원자료'!$A$2:$A$976,$A57)</f>
        <v/>
      </c>
      <c r="I57" s="85">
        <f>AVERAGEIFS('01_원자료'!$Q$2:$Q$976,'01_원자료'!$A$2:$A$976,$A57)</f>
        <v/>
      </c>
      <c r="J57" s="85">
        <f>('02_지표정의'!$C$22*H57+'02_지표정의'!$C$23*I57)/('02_지표정의'!$C$22+'02_지표정의'!$C$23)</f>
        <v/>
      </c>
      <c r="K57" s="73">
        <f>IF(LEFT(A57,3)="PAT","특허","보고서")</f>
        <v/>
      </c>
      <c r="L57" s="99">
        <f>COUNTIF($B$5:$B$69,"&lt;"&amp;B57)+(COUNTIF($B$5:$B$69,"="&amp;B57)+1)/2</f>
        <v/>
      </c>
      <c r="M57" s="99">
        <f>COUNTIF($D$5:$D$69,"&lt;"&amp;D57)+(COUNTIF($D$5:$D$69,"="&amp;D57)+1)/2</f>
        <v/>
      </c>
      <c r="N57" s="99">
        <f>COUNTIF($E$5:$E$69,"&lt;"&amp;E57)+(COUNTIF($E$5:$E$69,"="&amp;E57)+1)/2</f>
        <v/>
      </c>
      <c r="O57" s="99">
        <f>COUNTIF($F$5:$F$69,"&lt;"&amp;F57)+(COUNTIF($F$5:$F$69,"="&amp;F57)+1)/2</f>
        <v/>
      </c>
      <c r="P57" s="99">
        <f>COUNTIF($J$5:$J$69,"&lt;"&amp;J57)+(COUNTIF($J$5:$J$69,"="&amp;J57)+1)/2</f>
        <v/>
      </c>
    </row>
    <row r="58" ht="15" customHeight="1" s="68">
      <c r="A58" s="83" t="inlineStr">
        <is>
          <t>RPT-23</t>
        </is>
      </c>
      <c r="B58" s="85">
        <f>AVERAGEIFS('01_원자료'!$S$2:$S$976,'01_원자료'!$A$2:$A$976,$A58)</f>
        <v/>
      </c>
      <c r="C58" s="85">
        <f>AVERAGEIFS('01_원자료'!$O$2:$O$976,'01_원자료'!$A$2:$A$976,$A58)</f>
        <v/>
      </c>
      <c r="D58" s="85">
        <f>SQRT(SUMPRODUCT(('01_원자료'!$A$2:$A$976=$A58)*('01_원자료'!$O$2:$O$976-$C58)^2)/14)</f>
        <v/>
      </c>
      <c r="E58" s="137" t="n">
        <v>1045.33333333333</v>
      </c>
      <c r="F58" s="84" t="n">
        <v>1</v>
      </c>
      <c r="G58" s="84" t="n">
        <v>0</v>
      </c>
      <c r="H58" s="85">
        <f>AVERAGEIFS('01_원자료'!$P$2:$P$976,'01_원자료'!$A$2:$A$976,$A58)</f>
        <v/>
      </c>
      <c r="I58" s="85">
        <f>AVERAGEIFS('01_원자료'!$Q$2:$Q$976,'01_원자료'!$A$2:$A$976,$A58)</f>
        <v/>
      </c>
      <c r="J58" s="85">
        <f>('02_지표정의'!$C$22*H58+'02_지표정의'!$C$23*I58)/('02_지표정의'!$C$22+'02_지표정의'!$C$23)</f>
        <v/>
      </c>
      <c r="K58" s="73">
        <f>IF(LEFT(A58,3)="PAT","특허","보고서")</f>
        <v/>
      </c>
      <c r="L58" s="99">
        <f>COUNTIF($B$5:$B$69,"&lt;"&amp;B58)+(COUNTIF($B$5:$B$69,"="&amp;B58)+1)/2</f>
        <v/>
      </c>
      <c r="M58" s="99">
        <f>COUNTIF($D$5:$D$69,"&lt;"&amp;D58)+(COUNTIF($D$5:$D$69,"="&amp;D58)+1)/2</f>
        <v/>
      </c>
      <c r="N58" s="99">
        <f>COUNTIF($E$5:$E$69,"&lt;"&amp;E58)+(COUNTIF($E$5:$E$69,"="&amp;E58)+1)/2</f>
        <v/>
      </c>
      <c r="O58" s="99">
        <f>COUNTIF($F$5:$F$69,"&lt;"&amp;F58)+(COUNTIF($F$5:$F$69,"="&amp;F58)+1)/2</f>
        <v/>
      </c>
      <c r="P58" s="99">
        <f>COUNTIF($J$5:$J$69,"&lt;"&amp;J58)+(COUNTIF($J$5:$J$69,"="&amp;J58)+1)/2</f>
        <v/>
      </c>
    </row>
    <row r="59" ht="15" customHeight="1" s="68">
      <c r="A59" s="83" t="inlineStr">
        <is>
          <t>RPT-24</t>
        </is>
      </c>
      <c r="B59" s="85">
        <f>AVERAGEIFS('01_원자료'!$S$2:$S$976,'01_원자료'!$A$2:$A$976,$A59)</f>
        <v/>
      </c>
      <c r="C59" s="85">
        <f>AVERAGEIFS('01_원자료'!$O$2:$O$976,'01_원자료'!$A$2:$A$976,$A59)</f>
        <v/>
      </c>
      <c r="D59" s="85">
        <f>SQRT(SUMPRODUCT(('01_원자료'!$A$2:$A$976=$A59)*('01_원자료'!$O$2:$O$976-$C59)^2)/14)</f>
        <v/>
      </c>
      <c r="E59" s="137" t="n">
        <v>942.666666666667</v>
      </c>
      <c r="F59" s="84" t="n">
        <v>0.68530701754386</v>
      </c>
      <c r="G59" s="84" t="n">
        <v>0.20826118325902</v>
      </c>
      <c r="H59" s="85">
        <f>AVERAGEIFS('01_원자료'!$P$2:$P$976,'01_원자료'!$A$2:$A$976,$A59)</f>
        <v/>
      </c>
      <c r="I59" s="85">
        <f>AVERAGEIFS('01_원자료'!$Q$2:$Q$976,'01_원자료'!$A$2:$A$976,$A59)</f>
        <v/>
      </c>
      <c r="J59" s="85">
        <f>('02_지표정의'!$C$22*H59+'02_지표정의'!$C$23*I59)/('02_지표정의'!$C$22+'02_지표정의'!$C$23)</f>
        <v/>
      </c>
      <c r="K59" s="73">
        <f>IF(LEFT(A59,3)="PAT","특허","보고서")</f>
        <v/>
      </c>
      <c r="L59" s="99">
        <f>COUNTIF($B$5:$B$69,"&lt;"&amp;B59)+(COUNTIF($B$5:$B$69,"="&amp;B59)+1)/2</f>
        <v/>
      </c>
      <c r="M59" s="99">
        <f>COUNTIF($D$5:$D$69,"&lt;"&amp;D59)+(COUNTIF($D$5:$D$69,"="&amp;D59)+1)/2</f>
        <v/>
      </c>
      <c r="N59" s="99">
        <f>COUNTIF($E$5:$E$69,"&lt;"&amp;E59)+(COUNTIF($E$5:$E$69,"="&amp;E59)+1)/2</f>
        <v/>
      </c>
      <c r="O59" s="99">
        <f>COUNTIF($F$5:$F$69,"&lt;"&amp;F59)+(COUNTIF($F$5:$F$69,"="&amp;F59)+1)/2</f>
        <v/>
      </c>
      <c r="P59" s="99">
        <f>COUNTIF($J$5:$J$69,"&lt;"&amp;J59)+(COUNTIF($J$5:$J$69,"="&amp;J59)+1)/2</f>
        <v/>
      </c>
    </row>
    <row r="60" ht="15" customHeight="1" s="68">
      <c r="A60" s="83" t="inlineStr">
        <is>
          <t>RPT-25</t>
        </is>
      </c>
      <c r="B60" s="85">
        <f>AVERAGEIFS('01_원자료'!$S$2:$S$976,'01_원자료'!$A$2:$A$976,$A60)</f>
        <v/>
      </c>
      <c r="C60" s="85">
        <f>AVERAGEIFS('01_원자료'!$O$2:$O$976,'01_원자료'!$A$2:$A$976,$A60)</f>
        <v/>
      </c>
      <c r="D60" s="85">
        <f>SQRT(SUMPRODUCT(('01_원자료'!$A$2:$A$976=$A60)*('01_원자료'!$O$2:$O$976-$C60)^2)/14)</f>
        <v/>
      </c>
      <c r="E60" s="137" t="n">
        <v>789.666666666667</v>
      </c>
      <c r="F60" s="84" t="n">
        <v>1</v>
      </c>
      <c r="G60" s="84" t="n">
        <v>0</v>
      </c>
      <c r="H60" s="85">
        <f>AVERAGEIFS('01_원자료'!$P$2:$P$976,'01_원자료'!$A$2:$A$976,$A60)</f>
        <v/>
      </c>
      <c r="I60" s="85">
        <f>AVERAGEIFS('01_원자료'!$Q$2:$Q$976,'01_원자료'!$A$2:$A$976,$A60)</f>
        <v/>
      </c>
      <c r="J60" s="85">
        <f>('02_지표정의'!$C$22*H60+'02_지표정의'!$C$23*I60)/('02_지표정의'!$C$22+'02_지표정의'!$C$23)</f>
        <v/>
      </c>
      <c r="K60" s="73">
        <f>IF(LEFT(A60,3)="PAT","특허","보고서")</f>
        <v/>
      </c>
      <c r="L60" s="99">
        <f>COUNTIF($B$5:$B$69,"&lt;"&amp;B60)+(COUNTIF($B$5:$B$69,"="&amp;B60)+1)/2</f>
        <v/>
      </c>
      <c r="M60" s="99">
        <f>COUNTIF($D$5:$D$69,"&lt;"&amp;D60)+(COUNTIF($D$5:$D$69,"="&amp;D60)+1)/2</f>
        <v/>
      </c>
      <c r="N60" s="99">
        <f>COUNTIF($E$5:$E$69,"&lt;"&amp;E60)+(COUNTIF($E$5:$E$69,"="&amp;E60)+1)/2</f>
        <v/>
      </c>
      <c r="O60" s="99">
        <f>COUNTIF($F$5:$F$69,"&lt;"&amp;F60)+(COUNTIF($F$5:$F$69,"="&amp;F60)+1)/2</f>
        <v/>
      </c>
      <c r="P60" s="99">
        <f>COUNTIF($J$5:$J$69,"&lt;"&amp;J60)+(COUNTIF($J$5:$J$69,"="&amp;J60)+1)/2</f>
        <v/>
      </c>
    </row>
    <row r="61" ht="15" customHeight="1" s="68">
      <c r="A61" s="83" t="inlineStr">
        <is>
          <t>RPT-26</t>
        </is>
      </c>
      <c r="B61" s="85">
        <f>AVERAGEIFS('01_원자료'!$S$2:$S$976,'01_원자료'!$A$2:$A$976,$A61)</f>
        <v/>
      </c>
      <c r="C61" s="85">
        <f>AVERAGEIFS('01_원자료'!$O$2:$O$976,'01_원자료'!$A$2:$A$976,$A61)</f>
        <v/>
      </c>
      <c r="D61" s="85">
        <f>SQRT(SUMPRODUCT(('01_원자료'!$A$2:$A$976=$A61)*('01_원자료'!$O$2:$O$976-$C61)^2)/14)</f>
        <v/>
      </c>
      <c r="E61" s="137" t="n">
        <v>976.333333333333</v>
      </c>
      <c r="F61" s="84" t="n">
        <v>0.68421052631579</v>
      </c>
      <c r="G61" s="84" t="n">
        <v>0.273481706458244</v>
      </c>
      <c r="H61" s="85">
        <f>AVERAGEIFS('01_원자료'!$P$2:$P$976,'01_원자료'!$A$2:$A$976,$A61)</f>
        <v/>
      </c>
      <c r="I61" s="85">
        <f>AVERAGEIFS('01_원자료'!$Q$2:$Q$976,'01_원자료'!$A$2:$A$976,$A61)</f>
        <v/>
      </c>
      <c r="J61" s="85">
        <f>('02_지표정의'!$C$22*H61+'02_지표정의'!$C$23*I61)/('02_지표정의'!$C$22+'02_지표정의'!$C$23)</f>
        <v/>
      </c>
      <c r="K61" s="73">
        <f>IF(LEFT(A61,3)="PAT","특허","보고서")</f>
        <v/>
      </c>
      <c r="L61" s="99">
        <f>COUNTIF($B$5:$B$69,"&lt;"&amp;B61)+(COUNTIF($B$5:$B$69,"="&amp;B61)+1)/2</f>
        <v/>
      </c>
      <c r="M61" s="99">
        <f>COUNTIF($D$5:$D$69,"&lt;"&amp;D61)+(COUNTIF($D$5:$D$69,"="&amp;D61)+1)/2</f>
        <v/>
      </c>
      <c r="N61" s="99">
        <f>COUNTIF($E$5:$E$69,"&lt;"&amp;E61)+(COUNTIF($E$5:$E$69,"="&amp;E61)+1)/2</f>
        <v/>
      </c>
      <c r="O61" s="99">
        <f>COUNTIF($F$5:$F$69,"&lt;"&amp;F61)+(COUNTIF($F$5:$F$69,"="&amp;F61)+1)/2</f>
        <v/>
      </c>
      <c r="P61" s="99">
        <f>COUNTIF($J$5:$J$69,"&lt;"&amp;J61)+(COUNTIF($J$5:$J$69,"="&amp;J61)+1)/2</f>
        <v/>
      </c>
    </row>
    <row r="62" ht="15" customHeight="1" s="68">
      <c r="A62" s="83" t="inlineStr">
        <is>
          <t>RPT-27</t>
        </is>
      </c>
      <c r="B62" s="85">
        <f>AVERAGEIFS('01_원자료'!$S$2:$S$976,'01_원자료'!$A$2:$A$976,$A62)</f>
        <v/>
      </c>
      <c r="C62" s="85">
        <f>AVERAGEIFS('01_원자료'!$O$2:$O$976,'01_원자료'!$A$2:$A$976,$A62)</f>
        <v/>
      </c>
      <c r="D62" s="85">
        <f>SQRT(SUMPRODUCT(('01_원자료'!$A$2:$A$976=$A62)*('01_원자료'!$O$2:$O$976-$C62)^2)/14)</f>
        <v/>
      </c>
      <c r="E62" s="137" t="n">
        <v>1014</v>
      </c>
      <c r="F62" s="84" t="n">
        <v>1</v>
      </c>
      <c r="G62" s="84" t="n">
        <v>0</v>
      </c>
      <c r="H62" s="85">
        <f>AVERAGEIFS('01_원자료'!$P$2:$P$976,'01_원자료'!$A$2:$A$976,$A62)</f>
        <v/>
      </c>
      <c r="I62" s="85">
        <f>AVERAGEIFS('01_원자료'!$Q$2:$Q$976,'01_원자료'!$A$2:$A$976,$A62)</f>
        <v/>
      </c>
      <c r="J62" s="85">
        <f>('02_지표정의'!$C$22*H62+'02_지표정의'!$C$23*I62)/('02_지표정의'!$C$22+'02_지표정의'!$C$23)</f>
        <v/>
      </c>
      <c r="K62" s="73">
        <f>IF(LEFT(A62,3)="PAT","특허","보고서")</f>
        <v/>
      </c>
      <c r="L62" s="99">
        <f>COUNTIF($B$5:$B$69,"&lt;"&amp;B62)+(COUNTIF($B$5:$B$69,"="&amp;B62)+1)/2</f>
        <v/>
      </c>
      <c r="M62" s="99">
        <f>COUNTIF($D$5:$D$69,"&lt;"&amp;D62)+(COUNTIF($D$5:$D$69,"="&amp;D62)+1)/2</f>
        <v/>
      </c>
      <c r="N62" s="99">
        <f>COUNTIF($E$5:$E$69,"&lt;"&amp;E62)+(COUNTIF($E$5:$E$69,"="&amp;E62)+1)/2</f>
        <v/>
      </c>
      <c r="O62" s="99">
        <f>COUNTIF($F$5:$F$69,"&lt;"&amp;F62)+(COUNTIF($F$5:$F$69,"="&amp;F62)+1)/2</f>
        <v/>
      </c>
      <c r="P62" s="99">
        <f>COUNTIF($J$5:$J$69,"&lt;"&amp;J62)+(COUNTIF($J$5:$J$69,"="&amp;J62)+1)/2</f>
        <v/>
      </c>
    </row>
    <row r="63" ht="15" customHeight="1" s="68">
      <c r="A63" s="83" t="inlineStr">
        <is>
          <t>RPT-28</t>
        </is>
      </c>
      <c r="B63" s="85">
        <f>AVERAGEIFS('01_원자료'!$S$2:$S$976,'01_원자료'!$A$2:$A$976,$A63)</f>
        <v/>
      </c>
      <c r="C63" s="85">
        <f>AVERAGEIFS('01_원자료'!$O$2:$O$976,'01_원자료'!$A$2:$A$976,$A63)</f>
        <v/>
      </c>
      <c r="D63" s="85">
        <f>SQRT(SUMPRODUCT(('01_원자료'!$A$2:$A$976=$A63)*('01_원자료'!$O$2:$O$976-$C63)^2)/14)</f>
        <v/>
      </c>
      <c r="E63" s="137" t="n">
        <v>960.333333333333</v>
      </c>
      <c r="F63" s="84" t="n">
        <v>1</v>
      </c>
      <c r="G63" s="84" t="n">
        <v>0</v>
      </c>
      <c r="H63" s="85">
        <f>AVERAGEIFS('01_원자료'!$P$2:$P$976,'01_원자료'!$A$2:$A$976,$A63)</f>
        <v/>
      </c>
      <c r="I63" s="85">
        <f>AVERAGEIFS('01_원자료'!$Q$2:$Q$976,'01_원자료'!$A$2:$A$976,$A63)</f>
        <v/>
      </c>
      <c r="J63" s="85">
        <f>('02_지표정의'!$C$22*H63+'02_지표정의'!$C$23*I63)/('02_지표정의'!$C$22+'02_지표정의'!$C$23)</f>
        <v/>
      </c>
      <c r="K63" s="73">
        <f>IF(LEFT(A63,3)="PAT","특허","보고서")</f>
        <v/>
      </c>
      <c r="L63" s="99">
        <f>COUNTIF($B$5:$B$69,"&lt;"&amp;B63)+(COUNTIF($B$5:$B$69,"="&amp;B63)+1)/2</f>
        <v/>
      </c>
      <c r="M63" s="99">
        <f>COUNTIF($D$5:$D$69,"&lt;"&amp;D63)+(COUNTIF($D$5:$D$69,"="&amp;D63)+1)/2</f>
        <v/>
      </c>
      <c r="N63" s="99">
        <f>COUNTIF($E$5:$E$69,"&lt;"&amp;E63)+(COUNTIF($E$5:$E$69,"="&amp;E63)+1)/2</f>
        <v/>
      </c>
      <c r="O63" s="99">
        <f>COUNTIF($F$5:$F$69,"&lt;"&amp;F63)+(COUNTIF($F$5:$F$69,"="&amp;F63)+1)/2</f>
        <v/>
      </c>
      <c r="P63" s="99">
        <f>COUNTIF($J$5:$J$69,"&lt;"&amp;J63)+(COUNTIF($J$5:$J$69,"="&amp;J63)+1)/2</f>
        <v/>
      </c>
    </row>
    <row r="64" ht="15" customHeight="1" s="68">
      <c r="A64" s="83" t="inlineStr">
        <is>
          <t>RPT-29</t>
        </is>
      </c>
      <c r="B64" s="85">
        <f>AVERAGEIFS('01_원자료'!$S$2:$S$976,'01_원자료'!$A$2:$A$976,$A64)</f>
        <v/>
      </c>
      <c r="C64" s="85">
        <f>AVERAGEIFS('01_원자료'!$O$2:$O$976,'01_원자료'!$A$2:$A$976,$A64)</f>
        <v/>
      </c>
      <c r="D64" s="85">
        <f>SQRT(SUMPRODUCT(('01_원자료'!$A$2:$A$976=$A64)*('01_원자료'!$O$2:$O$976-$C64)^2)/14)</f>
        <v/>
      </c>
      <c r="E64" s="137" t="n">
        <v>1074.33333333333</v>
      </c>
      <c r="F64" s="84" t="n">
        <v>1</v>
      </c>
      <c r="G64" s="84" t="n">
        <v>0</v>
      </c>
      <c r="H64" s="85">
        <f>AVERAGEIFS('01_원자료'!$P$2:$P$976,'01_원자료'!$A$2:$A$976,$A64)</f>
        <v/>
      </c>
      <c r="I64" s="85">
        <f>AVERAGEIFS('01_원자료'!$Q$2:$Q$976,'01_원자료'!$A$2:$A$976,$A64)</f>
        <v/>
      </c>
      <c r="J64" s="85">
        <f>('02_지표정의'!$C$22*H64+'02_지표정의'!$C$23*I64)/('02_지표정의'!$C$22+'02_지표정의'!$C$23)</f>
        <v/>
      </c>
      <c r="K64" s="73">
        <f>IF(LEFT(A64,3)="PAT","특허","보고서")</f>
        <v/>
      </c>
      <c r="L64" s="99">
        <f>COUNTIF($B$5:$B$69,"&lt;"&amp;B64)+(COUNTIF($B$5:$B$69,"="&amp;B64)+1)/2</f>
        <v/>
      </c>
      <c r="M64" s="99">
        <f>COUNTIF($D$5:$D$69,"&lt;"&amp;D64)+(COUNTIF($D$5:$D$69,"="&amp;D64)+1)/2</f>
        <v/>
      </c>
      <c r="N64" s="99">
        <f>COUNTIF($E$5:$E$69,"&lt;"&amp;E64)+(COUNTIF($E$5:$E$69,"="&amp;E64)+1)/2</f>
        <v/>
      </c>
      <c r="O64" s="99">
        <f>COUNTIF($F$5:$F$69,"&lt;"&amp;F64)+(COUNTIF($F$5:$F$69,"="&amp;F64)+1)/2</f>
        <v/>
      </c>
      <c r="P64" s="99">
        <f>COUNTIF($J$5:$J$69,"&lt;"&amp;J64)+(COUNTIF($J$5:$J$69,"="&amp;J64)+1)/2</f>
        <v/>
      </c>
    </row>
    <row r="65" ht="15" customHeight="1" s="68">
      <c r="A65" s="83" t="inlineStr">
        <is>
          <t>RPT-30</t>
        </is>
      </c>
      <c r="B65" s="85">
        <f>AVERAGEIFS('01_원자료'!$S$2:$S$976,'01_원자료'!$A$2:$A$976,$A65)</f>
        <v/>
      </c>
      <c r="C65" s="85">
        <f>AVERAGEIFS('01_원자료'!$O$2:$O$976,'01_원자료'!$A$2:$A$976,$A65)</f>
        <v/>
      </c>
      <c r="D65" s="85">
        <f>SQRT(SUMPRODUCT(('01_원자료'!$A$2:$A$976=$A65)*('01_원자료'!$O$2:$O$976-$C65)^2)/14)</f>
        <v/>
      </c>
      <c r="E65" s="137" t="n">
        <v>874.333333333333</v>
      </c>
      <c r="F65" s="84" t="n">
        <v>0.68421052631579</v>
      </c>
      <c r="G65" s="84" t="n">
        <v>0.273481706458244</v>
      </c>
      <c r="H65" s="85">
        <f>AVERAGEIFS('01_원자료'!$P$2:$P$976,'01_원자료'!$A$2:$A$976,$A65)</f>
        <v/>
      </c>
      <c r="I65" s="85">
        <f>AVERAGEIFS('01_원자료'!$Q$2:$Q$976,'01_원자료'!$A$2:$A$976,$A65)</f>
        <v/>
      </c>
      <c r="J65" s="85">
        <f>('02_지표정의'!$C$22*H65+'02_지표정의'!$C$23*I65)/('02_지표정의'!$C$22+'02_지표정의'!$C$23)</f>
        <v/>
      </c>
      <c r="K65" s="73">
        <f>IF(LEFT(A65,3)="PAT","특허","보고서")</f>
        <v/>
      </c>
      <c r="L65" s="99">
        <f>COUNTIF($B$5:$B$69,"&lt;"&amp;B65)+(COUNTIF($B$5:$B$69,"="&amp;B65)+1)/2</f>
        <v/>
      </c>
      <c r="M65" s="99">
        <f>COUNTIF($D$5:$D$69,"&lt;"&amp;D65)+(COUNTIF($D$5:$D$69,"="&amp;D65)+1)/2</f>
        <v/>
      </c>
      <c r="N65" s="99">
        <f>COUNTIF($E$5:$E$69,"&lt;"&amp;E65)+(COUNTIF($E$5:$E$69,"="&amp;E65)+1)/2</f>
        <v/>
      </c>
      <c r="O65" s="99">
        <f>COUNTIF($F$5:$F$69,"&lt;"&amp;F65)+(COUNTIF($F$5:$F$69,"="&amp;F65)+1)/2</f>
        <v/>
      </c>
      <c r="P65" s="99">
        <f>COUNTIF($J$5:$J$69,"&lt;"&amp;J65)+(COUNTIF($J$5:$J$69,"="&amp;J65)+1)/2</f>
        <v/>
      </c>
    </row>
    <row r="66" ht="15" customHeight="1" s="68">
      <c r="A66" s="83" t="inlineStr">
        <is>
          <t>RPT-31</t>
        </is>
      </c>
      <c r="B66" s="85">
        <f>AVERAGEIFS('01_원자료'!$S$2:$S$976,'01_원자료'!$A$2:$A$976,$A66)</f>
        <v/>
      </c>
      <c r="C66" s="85">
        <f>AVERAGEIFS('01_원자료'!$O$2:$O$976,'01_원자료'!$A$2:$A$976,$A66)</f>
        <v/>
      </c>
      <c r="D66" s="85">
        <f>SQRT(SUMPRODUCT(('01_원자료'!$A$2:$A$976=$A66)*('01_원자료'!$O$2:$O$976-$C66)^2)/14)</f>
        <v/>
      </c>
      <c r="E66" s="137" t="n">
        <v>779.333333333333</v>
      </c>
      <c r="F66" s="84" t="n">
        <v>1</v>
      </c>
      <c r="G66" s="84" t="n">
        <v>0</v>
      </c>
      <c r="H66" s="85">
        <f>AVERAGEIFS('01_원자료'!$P$2:$P$976,'01_원자료'!$A$2:$A$976,$A66)</f>
        <v/>
      </c>
      <c r="I66" s="85">
        <f>AVERAGEIFS('01_원자료'!$Q$2:$Q$976,'01_원자료'!$A$2:$A$976,$A66)</f>
        <v/>
      </c>
      <c r="J66" s="85">
        <f>('02_지표정의'!$C$22*H66+'02_지표정의'!$C$23*I66)/('02_지표정의'!$C$22+'02_지표정의'!$C$23)</f>
        <v/>
      </c>
      <c r="K66" s="73">
        <f>IF(LEFT(A66,3)="PAT","특허","보고서")</f>
        <v/>
      </c>
      <c r="L66" s="99">
        <f>COUNTIF($B$5:$B$69,"&lt;"&amp;B66)+(COUNTIF($B$5:$B$69,"="&amp;B66)+1)/2</f>
        <v/>
      </c>
      <c r="M66" s="99">
        <f>COUNTIF($D$5:$D$69,"&lt;"&amp;D66)+(COUNTIF($D$5:$D$69,"="&amp;D66)+1)/2</f>
        <v/>
      </c>
      <c r="N66" s="99">
        <f>COUNTIF($E$5:$E$69,"&lt;"&amp;E66)+(COUNTIF($E$5:$E$69,"="&amp;E66)+1)/2</f>
        <v/>
      </c>
      <c r="O66" s="99">
        <f>COUNTIF($F$5:$F$69,"&lt;"&amp;F66)+(COUNTIF($F$5:$F$69,"="&amp;F66)+1)/2</f>
        <v/>
      </c>
      <c r="P66" s="99">
        <f>COUNTIF($J$5:$J$69,"&lt;"&amp;J66)+(COUNTIF($J$5:$J$69,"="&amp;J66)+1)/2</f>
        <v/>
      </c>
    </row>
    <row r="67" ht="15" customHeight="1" s="68">
      <c r="A67" s="83" t="inlineStr">
        <is>
          <t>RPT-32</t>
        </is>
      </c>
      <c r="B67" s="85">
        <f>AVERAGEIFS('01_원자료'!$S$2:$S$976,'01_원자료'!$A$2:$A$976,$A67)</f>
        <v/>
      </c>
      <c r="C67" s="85">
        <f>AVERAGEIFS('01_원자료'!$O$2:$O$976,'01_원자료'!$A$2:$A$976,$A67)</f>
        <v/>
      </c>
      <c r="D67" s="85">
        <f>SQRT(SUMPRODUCT(('01_원자료'!$A$2:$A$976=$A67)*('01_원자료'!$O$2:$O$976-$C67)^2)/14)</f>
        <v/>
      </c>
      <c r="E67" s="137" t="n">
        <v>834.333333333333</v>
      </c>
      <c r="F67" s="84" t="n">
        <v>1</v>
      </c>
      <c r="G67" s="84" t="n">
        <v>0</v>
      </c>
      <c r="H67" s="85">
        <f>AVERAGEIFS('01_원자료'!$P$2:$P$976,'01_원자료'!$A$2:$A$976,$A67)</f>
        <v/>
      </c>
      <c r="I67" s="85">
        <f>AVERAGEIFS('01_원자료'!$Q$2:$Q$976,'01_원자료'!$A$2:$A$976,$A67)</f>
        <v/>
      </c>
      <c r="J67" s="85">
        <f>('02_지표정의'!$C$22*H67+'02_지표정의'!$C$23*I67)/('02_지표정의'!$C$22+'02_지표정의'!$C$23)</f>
        <v/>
      </c>
      <c r="K67" s="73">
        <f>IF(LEFT(A67,3)="PAT","특허","보고서")</f>
        <v/>
      </c>
      <c r="L67" s="99">
        <f>COUNTIF($B$5:$B$69,"&lt;"&amp;B67)+(COUNTIF($B$5:$B$69,"="&amp;B67)+1)/2</f>
        <v/>
      </c>
      <c r="M67" s="99">
        <f>COUNTIF($D$5:$D$69,"&lt;"&amp;D67)+(COUNTIF($D$5:$D$69,"="&amp;D67)+1)/2</f>
        <v/>
      </c>
      <c r="N67" s="99">
        <f>COUNTIF($E$5:$E$69,"&lt;"&amp;E67)+(COUNTIF($E$5:$E$69,"="&amp;E67)+1)/2</f>
        <v/>
      </c>
      <c r="O67" s="99">
        <f>COUNTIF($F$5:$F$69,"&lt;"&amp;F67)+(COUNTIF($F$5:$F$69,"="&amp;F67)+1)/2</f>
        <v/>
      </c>
      <c r="P67" s="99">
        <f>COUNTIF($J$5:$J$69,"&lt;"&amp;J67)+(COUNTIF($J$5:$J$69,"="&amp;J67)+1)/2</f>
        <v/>
      </c>
    </row>
    <row r="68" ht="15" customHeight="1" s="68">
      <c r="A68" s="83" t="inlineStr">
        <is>
          <t>RPT-33</t>
        </is>
      </c>
      <c r="B68" s="85">
        <f>AVERAGEIFS('01_원자료'!$S$2:$S$976,'01_원자료'!$A$2:$A$976,$A68)</f>
        <v/>
      </c>
      <c r="C68" s="85">
        <f>AVERAGEIFS('01_원자료'!$O$2:$O$976,'01_원자료'!$A$2:$A$976,$A68)</f>
        <v/>
      </c>
      <c r="D68" s="85">
        <f>SQRT(SUMPRODUCT(('01_원자료'!$A$2:$A$976=$A68)*('01_원자료'!$O$2:$O$976-$C68)^2)/14)</f>
        <v/>
      </c>
      <c r="E68" s="137" t="n">
        <v>815.666666666667</v>
      </c>
      <c r="F68" s="84" t="n">
        <v>0.742105263157895</v>
      </c>
      <c r="G68" s="84" t="n">
        <v>0.223482881532233</v>
      </c>
      <c r="H68" s="85">
        <f>AVERAGEIFS('01_원자료'!$P$2:$P$976,'01_원자료'!$A$2:$A$976,$A68)</f>
        <v/>
      </c>
      <c r="I68" s="85">
        <f>AVERAGEIFS('01_원자료'!$Q$2:$Q$976,'01_원자료'!$A$2:$A$976,$A68)</f>
        <v/>
      </c>
      <c r="J68" s="85">
        <f>('02_지표정의'!$C$22*H68+'02_지표정의'!$C$23*I68)/('02_지표정의'!$C$22+'02_지표정의'!$C$23)</f>
        <v/>
      </c>
      <c r="K68" s="73">
        <f>IF(LEFT(A68,3)="PAT","특허","보고서")</f>
        <v/>
      </c>
      <c r="L68" s="99">
        <f>COUNTIF($B$5:$B$69,"&lt;"&amp;B68)+(COUNTIF($B$5:$B$69,"="&amp;B68)+1)/2</f>
        <v/>
      </c>
      <c r="M68" s="99">
        <f>COUNTIF($D$5:$D$69,"&lt;"&amp;D68)+(COUNTIF($D$5:$D$69,"="&amp;D68)+1)/2</f>
        <v/>
      </c>
      <c r="N68" s="99">
        <f>COUNTIF($E$5:$E$69,"&lt;"&amp;E68)+(COUNTIF($E$5:$E$69,"="&amp;E68)+1)/2</f>
        <v/>
      </c>
      <c r="O68" s="99">
        <f>COUNTIF($F$5:$F$69,"&lt;"&amp;F68)+(COUNTIF($F$5:$F$69,"="&amp;F68)+1)/2</f>
        <v/>
      </c>
      <c r="P68" s="99">
        <f>COUNTIF($J$5:$J$69,"&lt;"&amp;J68)+(COUNTIF($J$5:$J$69,"="&amp;J68)+1)/2</f>
        <v/>
      </c>
    </row>
    <row r="69" ht="15" customHeight="1" s="68">
      <c r="A69" s="83" t="inlineStr">
        <is>
          <t>RPT-34</t>
        </is>
      </c>
      <c r="B69" s="85">
        <f>AVERAGEIFS('01_원자료'!$S$2:$S$976,'01_원자료'!$A$2:$A$976,$A69)</f>
        <v/>
      </c>
      <c r="C69" s="85">
        <f>AVERAGEIFS('01_원자료'!$O$2:$O$976,'01_원자료'!$A$2:$A$976,$A69)</f>
        <v/>
      </c>
      <c r="D69" s="85">
        <f>SQRT(SUMPRODUCT(('01_원자료'!$A$2:$A$976=$A69)*('01_원자료'!$O$2:$O$976-$C69)^2)/14)</f>
        <v/>
      </c>
      <c r="E69" s="137" t="n">
        <v>983.666666666667</v>
      </c>
      <c r="F69" s="84" t="n">
        <v>0.68421052631579</v>
      </c>
      <c r="G69" s="84" t="n">
        <v>0.273481706458244</v>
      </c>
      <c r="H69" s="85">
        <f>AVERAGEIFS('01_원자료'!$P$2:$P$976,'01_원자료'!$A$2:$A$976,$A69)</f>
        <v/>
      </c>
      <c r="I69" s="85">
        <f>AVERAGEIFS('01_원자료'!$Q$2:$Q$976,'01_원자료'!$A$2:$A$976,$A69)</f>
        <v/>
      </c>
      <c r="J69" s="85">
        <f>('02_지표정의'!$C$22*H69+'02_지표정의'!$C$23*I69)/('02_지표정의'!$C$22+'02_지표정의'!$C$23)</f>
        <v/>
      </c>
      <c r="K69" s="73">
        <f>IF(LEFT(A69,3)="PAT","특허","보고서")</f>
        <v/>
      </c>
      <c r="L69" s="99">
        <f>COUNTIF($B$5:$B$69,"&lt;"&amp;B69)+(COUNTIF($B$5:$B$69,"="&amp;B69)+1)/2</f>
        <v/>
      </c>
      <c r="M69" s="99">
        <f>COUNTIF($D$5:$D$69,"&lt;"&amp;D69)+(COUNTIF($D$5:$D$69,"="&amp;D69)+1)/2</f>
        <v/>
      </c>
      <c r="N69" s="99">
        <f>COUNTIF($E$5:$E$69,"&lt;"&amp;E69)+(COUNTIF($E$5:$E$69,"="&amp;E69)+1)/2</f>
        <v/>
      </c>
      <c r="O69" s="99">
        <f>COUNTIF($F$5:$F$69,"&lt;"&amp;F69)+(COUNTIF($F$5:$F$69,"="&amp;F69)+1)/2</f>
        <v/>
      </c>
      <c r="P69" s="99">
        <f>COUNTIF($J$5:$J$69,"&lt;"&amp;J69)+(COUNTIF($J$5:$J$69,"="&amp;J69)+1)/2</f>
        <v/>
      </c>
    </row>
    <row r="72" ht="15" customHeight="1" s="68">
      <c r="A72" s="71" t="inlineStr">
        <is>
          <t>입력 변수의 출처와 정의</t>
        </is>
      </c>
    </row>
    <row r="73" ht="15" customHeight="1" s="68">
      <c r="A73" s="79" t="inlineStr">
        <is>
          <t>D열 TEDS 표구조 표준편차: 한 문서에 대한 15개 (레퍼런스x모델) 조합의 teds_table_structure_similarity 표본표준편차(ddof=1). 레퍼런스 호출이 필요한 신호다.</t>
        </is>
      </c>
    </row>
    <row r="74" ht="15" customHeight="1" s="68">
      <c r="A74" s="79" t="inlineStr">
        <is>
          <t>E열 출력 어휘량: 로컬 모델 3종이 그 문서에 대해 생성한 ADR의 토큰 수 평균. 정규식 \w+ 기준. 원자료 = adrs/ 폴더의 원문 마크다운 파일.</t>
        </is>
      </c>
    </row>
    <row r="75" ht="15" customHeight="1" s="68">
      <c r="A75" s="79" t="inlineStr">
        <is>
          <t>F/G열 로컬 상호 합의도: 로컬 모델 3종의 출력끼리 직접 비교한 표 구조 TEDS 유사도 3쌍(gemma-ministral, gemma-qwen, ministral-qwen)의 평균과 표준편차. 레퍼런스를 전혀 호출하지 않으므로 운영 시점에 산출 가능하다.</t>
        </is>
      </c>
    </row>
    <row r="76" ht="15" customHeight="1" s="68">
      <c r="A76" s="70" t="inlineStr">
        <is>
          <t>출처: local_local_teds.csv (원 분석 산출물). E열은 adrs/ 원문에서 본 워크북 생성 시 직접 계수하였다.</t>
        </is>
      </c>
    </row>
    <row r="78" ht="17.15" customHeight="1" s="68">
      <c r="A78" s="71" t="inlineStr">
        <is>
          <t>문서 형식별 비교 (논문 4.3)</t>
        </is>
      </c>
    </row>
    <row r="79" ht="15" customHeight="1" s="68">
      <c r="A79" s="78" t="inlineStr">
        <is>
          <t>구분</t>
        </is>
      </c>
      <c r="B79" s="82" t="inlineStr">
        <is>
          <t>n</t>
        </is>
      </c>
      <c r="C79" s="78" t="inlineStr">
        <is>
          <t>평균 Overall</t>
        </is>
      </c>
      <c r="D79" s="78" t="inlineStr">
        <is>
          <t>순위합</t>
        </is>
      </c>
      <c r="E79" s="82" t="inlineStr">
        <is>
          <t>U</t>
        </is>
      </c>
      <c r="F79" s="82" t="inlineStr">
        <is>
          <t>z</t>
        </is>
      </c>
      <c r="G79" s="82" t="inlineStr">
        <is>
          <t>p</t>
        </is>
      </c>
    </row>
    <row r="80" ht="15" customHeight="1" s="68">
      <c r="A80" s="72" t="inlineStr">
        <is>
          <t>특허</t>
        </is>
      </c>
      <c r="B80" s="101">
        <f>COUNTIF($K$5:$K$69,"특허")</f>
        <v/>
      </c>
      <c r="C80" s="96">
        <f>AVERAGEIFS($B$5:$B$69,$K$5:$K$69,"특허")</f>
        <v/>
      </c>
      <c r="D80" s="101">
        <f>SUMPRODUCT(($K$5:$K$69="특허")*(COUNTIF($B$5:$B$69,"&lt;"&amp;$B$5:$B$69)+1))</f>
        <v/>
      </c>
      <c r="E80" s="81">
        <f>D80-B80*(B80+1)/2</f>
        <v/>
      </c>
      <c r="F80" s="102">
        <f>(E80-B80*B81/2)/SQRT(B80*B81*(B80+B81+1)/12)</f>
        <v/>
      </c>
      <c r="G80" s="108">
        <f>2*(1-NORMSDIST(ABS(F80)))</f>
        <v/>
      </c>
    </row>
    <row r="81" ht="15" customHeight="1" s="68">
      <c r="A81" s="72" t="inlineStr">
        <is>
          <t>보고서</t>
        </is>
      </c>
      <c r="B81" s="101">
        <f>COUNTIF($K$5:$K$69,"보고서")</f>
        <v/>
      </c>
      <c r="C81" s="96">
        <f>AVERAGEIFS($B$5:$B$69,$K$5:$K$69,"보고서")</f>
        <v/>
      </c>
    </row>
    <row r="83" ht="15" customHeight="1" s="68">
      <c r="A83" s="70" t="inlineStr">
        <is>
          <t>결론: 특허 문서와 보고서 문서 사이에 유의한 차이가 없다(p=0.458). 입력 문서의 표면적 형식은 ADR 생성 결과를 좌우하지 않는다.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I1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6" customWidth="1" style="67" min="1" max="1"/>
    <col width="15" customWidth="1" style="67" min="2" max="5"/>
    <col width="14" customWidth="1" style="67" min="6" max="9"/>
  </cols>
  <sheetData>
    <row r="1" ht="21.6" customHeight="1" s="68">
      <c r="A1" s="89" t="inlineStr">
        <is>
          <t>사후 출력 신호 회귀 — 레퍼런스 기반 2신호 모형 (논문 4.3)</t>
        </is>
      </c>
    </row>
    <row r="2" ht="15" customHeight="1" s="68">
      <c r="A2" s="70" t="inlineStr">
        <is>
          <t>분석단위: 문서 65건 / 종속변수: 문서별 평균 Overall Score / 설명변수: TEDS 표구조 표준편차, 출력 어휘량</t>
        </is>
      </c>
    </row>
    <row r="4" ht="15" customHeight="1" s="68">
      <c r="A4" s="82" t="inlineStr">
        <is>
          <t>document_id</t>
        </is>
      </c>
      <c r="B4" s="82" t="inlineStr">
        <is>
          <t>x0 (절편)</t>
        </is>
      </c>
      <c r="C4" s="82" t="inlineStr">
        <is>
          <t>TEDS표_표준편차</t>
        </is>
      </c>
      <c r="D4" s="78" t="inlineStr">
        <is>
          <t>출력어휘량</t>
        </is>
      </c>
      <c r="E4" s="82" t="inlineStr">
        <is>
          <t>y (종속변수)</t>
        </is>
      </c>
      <c r="F4" s="82" t="inlineStr">
        <is>
          <t>y_hat (적합값)</t>
        </is>
      </c>
      <c r="G4" s="82" t="inlineStr">
        <is>
          <t>e (잔차)</t>
        </is>
      </c>
      <c r="H4" s="82" t="inlineStr">
        <is>
          <t>h_ii (레버리지)</t>
        </is>
      </c>
      <c r="I4" s="82" t="inlineStr">
        <is>
          <t>(e/(1-h))²</t>
        </is>
      </c>
    </row>
    <row r="5" ht="15" customHeight="1" s="68">
      <c r="A5" s="70">
        <f>'11_문서단위'!A5</f>
        <v/>
      </c>
      <c r="B5" s="101" t="n">
        <v>1</v>
      </c>
      <c r="C5" s="85">
        <f>'11_문서단위'!D5</f>
        <v/>
      </c>
      <c r="D5" s="85">
        <f>'11_문서단위'!E5</f>
        <v/>
      </c>
      <c r="E5" s="85">
        <f>'11_문서단위'!B5</f>
        <v/>
      </c>
      <c r="F5" s="85">
        <f>$B5*$B$89+$C5*$B$90+$D5*$B$91</f>
        <v/>
      </c>
      <c r="G5" s="85">
        <f>E5-F5</f>
        <v/>
      </c>
      <c r="H5" s="138">
        <f>SUMPRODUCT(MMULT(B5:D5,$B$79:$D$81),B5:D5)</f>
        <v/>
      </c>
      <c r="I5" s="103">
        <f>(G5/(1-H5))^2</f>
        <v/>
      </c>
    </row>
    <row r="6" ht="15" customHeight="1" s="68">
      <c r="A6" s="70">
        <f>'11_문서단위'!A6</f>
        <v/>
      </c>
      <c r="B6" s="101" t="n">
        <v>1</v>
      </c>
      <c r="C6" s="85">
        <f>'11_문서단위'!D6</f>
        <v/>
      </c>
      <c r="D6" s="85">
        <f>'11_문서단위'!E6</f>
        <v/>
      </c>
      <c r="E6" s="85">
        <f>'11_문서단위'!B6</f>
        <v/>
      </c>
      <c r="F6" s="85">
        <f>$B6*$B$89+$C6*$B$90+$D6*$B$91</f>
        <v/>
      </c>
      <c r="G6" s="85">
        <f>E6-F6</f>
        <v/>
      </c>
      <c r="H6" s="138">
        <f>SUMPRODUCT(MMULT(B6:D6,$B$79:$D$81),B6:D6)</f>
        <v/>
      </c>
      <c r="I6" s="103">
        <f>(G6/(1-H6))^2</f>
        <v/>
      </c>
    </row>
    <row r="7" ht="15" customHeight="1" s="68">
      <c r="A7" s="70">
        <f>'11_문서단위'!A7</f>
        <v/>
      </c>
      <c r="B7" s="101" t="n">
        <v>1</v>
      </c>
      <c r="C7" s="85">
        <f>'11_문서단위'!D7</f>
        <v/>
      </c>
      <c r="D7" s="85">
        <f>'11_문서단위'!E7</f>
        <v/>
      </c>
      <c r="E7" s="85">
        <f>'11_문서단위'!B7</f>
        <v/>
      </c>
      <c r="F7" s="85">
        <f>$B7*$B$89+$C7*$B$90+$D7*$B$91</f>
        <v/>
      </c>
      <c r="G7" s="85">
        <f>E7-F7</f>
        <v/>
      </c>
      <c r="H7" s="138">
        <f>SUMPRODUCT(MMULT(B7:D7,$B$79:$D$81),B7:D7)</f>
        <v/>
      </c>
      <c r="I7" s="103">
        <f>(G7/(1-H7))^2</f>
        <v/>
      </c>
    </row>
    <row r="8" ht="15" customHeight="1" s="68">
      <c r="A8" s="70">
        <f>'11_문서단위'!A8</f>
        <v/>
      </c>
      <c r="B8" s="101" t="n">
        <v>1</v>
      </c>
      <c r="C8" s="85">
        <f>'11_문서단위'!D8</f>
        <v/>
      </c>
      <c r="D8" s="85">
        <f>'11_문서단위'!E8</f>
        <v/>
      </c>
      <c r="E8" s="85">
        <f>'11_문서단위'!B8</f>
        <v/>
      </c>
      <c r="F8" s="85">
        <f>$B8*$B$89+$C8*$B$90+$D8*$B$91</f>
        <v/>
      </c>
      <c r="G8" s="85">
        <f>E8-F8</f>
        <v/>
      </c>
      <c r="H8" s="138">
        <f>SUMPRODUCT(MMULT(B8:D8,$B$79:$D$81),B8:D8)</f>
        <v/>
      </c>
      <c r="I8" s="103">
        <f>(G8/(1-H8))^2</f>
        <v/>
      </c>
    </row>
    <row r="9" ht="15" customHeight="1" s="68">
      <c r="A9" s="70">
        <f>'11_문서단위'!A9</f>
        <v/>
      </c>
      <c r="B9" s="101" t="n">
        <v>1</v>
      </c>
      <c r="C9" s="85">
        <f>'11_문서단위'!D9</f>
        <v/>
      </c>
      <c r="D9" s="85">
        <f>'11_문서단위'!E9</f>
        <v/>
      </c>
      <c r="E9" s="85">
        <f>'11_문서단위'!B9</f>
        <v/>
      </c>
      <c r="F9" s="85">
        <f>$B9*$B$89+$C9*$B$90+$D9*$B$91</f>
        <v/>
      </c>
      <c r="G9" s="85">
        <f>E9-F9</f>
        <v/>
      </c>
      <c r="H9" s="138">
        <f>SUMPRODUCT(MMULT(B9:D9,$B$79:$D$81),B9:D9)</f>
        <v/>
      </c>
      <c r="I9" s="103">
        <f>(G9/(1-H9))^2</f>
        <v/>
      </c>
    </row>
    <row r="10" ht="15" customHeight="1" s="68">
      <c r="A10" s="70">
        <f>'11_문서단위'!A10</f>
        <v/>
      </c>
      <c r="B10" s="101" t="n">
        <v>1</v>
      </c>
      <c r="C10" s="85">
        <f>'11_문서단위'!D10</f>
        <v/>
      </c>
      <c r="D10" s="85">
        <f>'11_문서단위'!E10</f>
        <v/>
      </c>
      <c r="E10" s="85">
        <f>'11_문서단위'!B10</f>
        <v/>
      </c>
      <c r="F10" s="85">
        <f>$B10*$B$89+$C10*$B$90+$D10*$B$91</f>
        <v/>
      </c>
      <c r="G10" s="85">
        <f>E10-F10</f>
        <v/>
      </c>
      <c r="H10" s="138">
        <f>SUMPRODUCT(MMULT(B10:D10,$B$79:$D$81),B10:D10)</f>
        <v/>
      </c>
      <c r="I10" s="103">
        <f>(G10/(1-H10))^2</f>
        <v/>
      </c>
    </row>
    <row r="11" ht="15" customHeight="1" s="68">
      <c r="A11" s="70">
        <f>'11_문서단위'!A11</f>
        <v/>
      </c>
      <c r="B11" s="101" t="n">
        <v>1</v>
      </c>
      <c r="C11" s="85">
        <f>'11_문서단위'!D11</f>
        <v/>
      </c>
      <c r="D11" s="85">
        <f>'11_문서단위'!E11</f>
        <v/>
      </c>
      <c r="E11" s="85">
        <f>'11_문서단위'!B11</f>
        <v/>
      </c>
      <c r="F11" s="85">
        <f>$B11*$B$89+$C11*$B$90+$D11*$B$91</f>
        <v/>
      </c>
      <c r="G11" s="85">
        <f>E11-F11</f>
        <v/>
      </c>
      <c r="H11" s="138">
        <f>SUMPRODUCT(MMULT(B11:D11,$B$79:$D$81),B11:D11)</f>
        <v/>
      </c>
      <c r="I11" s="103">
        <f>(G11/(1-H11))^2</f>
        <v/>
      </c>
    </row>
    <row r="12" ht="15" customHeight="1" s="68">
      <c r="A12" s="70">
        <f>'11_문서단위'!A12</f>
        <v/>
      </c>
      <c r="B12" s="101" t="n">
        <v>1</v>
      </c>
      <c r="C12" s="85">
        <f>'11_문서단위'!D12</f>
        <v/>
      </c>
      <c r="D12" s="85">
        <f>'11_문서단위'!E12</f>
        <v/>
      </c>
      <c r="E12" s="85">
        <f>'11_문서단위'!B12</f>
        <v/>
      </c>
      <c r="F12" s="85">
        <f>$B12*$B$89+$C12*$B$90+$D12*$B$91</f>
        <v/>
      </c>
      <c r="G12" s="85">
        <f>E12-F12</f>
        <v/>
      </c>
      <c r="H12" s="138">
        <f>SUMPRODUCT(MMULT(B12:D12,$B$79:$D$81),B12:D12)</f>
        <v/>
      </c>
      <c r="I12" s="103">
        <f>(G12/(1-H12))^2</f>
        <v/>
      </c>
    </row>
    <row r="13" ht="15" customHeight="1" s="68">
      <c r="A13" s="70">
        <f>'11_문서단위'!A13</f>
        <v/>
      </c>
      <c r="B13" s="101" t="n">
        <v>1</v>
      </c>
      <c r="C13" s="85">
        <f>'11_문서단위'!D13</f>
        <v/>
      </c>
      <c r="D13" s="85">
        <f>'11_문서단위'!E13</f>
        <v/>
      </c>
      <c r="E13" s="85">
        <f>'11_문서단위'!B13</f>
        <v/>
      </c>
      <c r="F13" s="85">
        <f>$B13*$B$89+$C13*$B$90+$D13*$B$91</f>
        <v/>
      </c>
      <c r="G13" s="85">
        <f>E13-F13</f>
        <v/>
      </c>
      <c r="H13" s="138">
        <f>SUMPRODUCT(MMULT(B13:D13,$B$79:$D$81),B13:D13)</f>
        <v/>
      </c>
      <c r="I13" s="103">
        <f>(G13/(1-H13))^2</f>
        <v/>
      </c>
    </row>
    <row r="14" ht="15" customHeight="1" s="68">
      <c r="A14" s="70">
        <f>'11_문서단위'!A14</f>
        <v/>
      </c>
      <c r="B14" s="101" t="n">
        <v>1</v>
      </c>
      <c r="C14" s="85">
        <f>'11_문서단위'!D14</f>
        <v/>
      </c>
      <c r="D14" s="85">
        <f>'11_문서단위'!E14</f>
        <v/>
      </c>
      <c r="E14" s="85">
        <f>'11_문서단위'!B14</f>
        <v/>
      </c>
      <c r="F14" s="85">
        <f>$B14*$B$89+$C14*$B$90+$D14*$B$91</f>
        <v/>
      </c>
      <c r="G14" s="85">
        <f>E14-F14</f>
        <v/>
      </c>
      <c r="H14" s="138">
        <f>SUMPRODUCT(MMULT(B14:D14,$B$79:$D$81),B14:D14)</f>
        <v/>
      </c>
      <c r="I14" s="103">
        <f>(G14/(1-H14))^2</f>
        <v/>
      </c>
    </row>
    <row r="15" ht="15" customHeight="1" s="68">
      <c r="A15" s="70">
        <f>'11_문서단위'!A15</f>
        <v/>
      </c>
      <c r="B15" s="101" t="n">
        <v>1</v>
      </c>
      <c r="C15" s="85">
        <f>'11_문서단위'!D15</f>
        <v/>
      </c>
      <c r="D15" s="85">
        <f>'11_문서단위'!E15</f>
        <v/>
      </c>
      <c r="E15" s="85">
        <f>'11_문서단위'!B15</f>
        <v/>
      </c>
      <c r="F15" s="85">
        <f>$B15*$B$89+$C15*$B$90+$D15*$B$91</f>
        <v/>
      </c>
      <c r="G15" s="85">
        <f>E15-F15</f>
        <v/>
      </c>
      <c r="H15" s="138">
        <f>SUMPRODUCT(MMULT(B15:D15,$B$79:$D$81),B15:D15)</f>
        <v/>
      </c>
      <c r="I15" s="103">
        <f>(G15/(1-H15))^2</f>
        <v/>
      </c>
    </row>
    <row r="16" ht="15" customHeight="1" s="68">
      <c r="A16" s="70">
        <f>'11_문서단위'!A16</f>
        <v/>
      </c>
      <c r="B16" s="101" t="n">
        <v>1</v>
      </c>
      <c r="C16" s="85">
        <f>'11_문서단위'!D16</f>
        <v/>
      </c>
      <c r="D16" s="85">
        <f>'11_문서단위'!E16</f>
        <v/>
      </c>
      <c r="E16" s="85">
        <f>'11_문서단위'!B16</f>
        <v/>
      </c>
      <c r="F16" s="85">
        <f>$B16*$B$89+$C16*$B$90+$D16*$B$91</f>
        <v/>
      </c>
      <c r="G16" s="85">
        <f>E16-F16</f>
        <v/>
      </c>
      <c r="H16" s="138">
        <f>SUMPRODUCT(MMULT(B16:D16,$B$79:$D$81),B16:D16)</f>
        <v/>
      </c>
      <c r="I16" s="103">
        <f>(G16/(1-H16))^2</f>
        <v/>
      </c>
    </row>
    <row r="17" ht="15" customHeight="1" s="68">
      <c r="A17" s="70">
        <f>'11_문서단위'!A17</f>
        <v/>
      </c>
      <c r="B17" s="101" t="n">
        <v>1</v>
      </c>
      <c r="C17" s="85">
        <f>'11_문서단위'!D17</f>
        <v/>
      </c>
      <c r="D17" s="85">
        <f>'11_문서단위'!E17</f>
        <v/>
      </c>
      <c r="E17" s="85">
        <f>'11_문서단위'!B17</f>
        <v/>
      </c>
      <c r="F17" s="85">
        <f>$B17*$B$89+$C17*$B$90+$D17*$B$91</f>
        <v/>
      </c>
      <c r="G17" s="85">
        <f>E17-F17</f>
        <v/>
      </c>
      <c r="H17" s="138">
        <f>SUMPRODUCT(MMULT(B17:D17,$B$79:$D$81),B17:D17)</f>
        <v/>
      </c>
      <c r="I17" s="103">
        <f>(G17/(1-H17))^2</f>
        <v/>
      </c>
    </row>
    <row r="18" ht="15" customHeight="1" s="68">
      <c r="A18" s="70">
        <f>'11_문서단위'!A18</f>
        <v/>
      </c>
      <c r="B18" s="101" t="n">
        <v>1</v>
      </c>
      <c r="C18" s="85">
        <f>'11_문서단위'!D18</f>
        <v/>
      </c>
      <c r="D18" s="85">
        <f>'11_문서단위'!E18</f>
        <v/>
      </c>
      <c r="E18" s="85">
        <f>'11_문서단위'!B18</f>
        <v/>
      </c>
      <c r="F18" s="85">
        <f>$B18*$B$89+$C18*$B$90+$D18*$B$91</f>
        <v/>
      </c>
      <c r="G18" s="85">
        <f>E18-F18</f>
        <v/>
      </c>
      <c r="H18" s="138">
        <f>SUMPRODUCT(MMULT(B18:D18,$B$79:$D$81),B18:D18)</f>
        <v/>
      </c>
      <c r="I18" s="103">
        <f>(G18/(1-H18))^2</f>
        <v/>
      </c>
    </row>
    <row r="19" ht="15" customHeight="1" s="68">
      <c r="A19" s="70">
        <f>'11_문서단위'!A19</f>
        <v/>
      </c>
      <c r="B19" s="101" t="n">
        <v>1</v>
      </c>
      <c r="C19" s="85">
        <f>'11_문서단위'!D19</f>
        <v/>
      </c>
      <c r="D19" s="85">
        <f>'11_문서단위'!E19</f>
        <v/>
      </c>
      <c r="E19" s="85">
        <f>'11_문서단위'!B19</f>
        <v/>
      </c>
      <c r="F19" s="85">
        <f>$B19*$B$89+$C19*$B$90+$D19*$B$91</f>
        <v/>
      </c>
      <c r="G19" s="85">
        <f>E19-F19</f>
        <v/>
      </c>
      <c r="H19" s="138">
        <f>SUMPRODUCT(MMULT(B19:D19,$B$79:$D$81),B19:D19)</f>
        <v/>
      </c>
      <c r="I19" s="103">
        <f>(G19/(1-H19))^2</f>
        <v/>
      </c>
    </row>
    <row r="20" ht="15" customHeight="1" s="68">
      <c r="A20" s="70">
        <f>'11_문서단위'!A20</f>
        <v/>
      </c>
      <c r="B20" s="101" t="n">
        <v>1</v>
      </c>
      <c r="C20" s="85">
        <f>'11_문서단위'!D20</f>
        <v/>
      </c>
      <c r="D20" s="85">
        <f>'11_문서단위'!E20</f>
        <v/>
      </c>
      <c r="E20" s="85">
        <f>'11_문서단위'!B20</f>
        <v/>
      </c>
      <c r="F20" s="85">
        <f>$B20*$B$89+$C20*$B$90+$D20*$B$91</f>
        <v/>
      </c>
      <c r="G20" s="85">
        <f>E20-F20</f>
        <v/>
      </c>
      <c r="H20" s="138">
        <f>SUMPRODUCT(MMULT(B20:D20,$B$79:$D$81),B20:D20)</f>
        <v/>
      </c>
      <c r="I20" s="103">
        <f>(G20/(1-H20))^2</f>
        <v/>
      </c>
    </row>
    <row r="21" ht="15" customHeight="1" s="68">
      <c r="A21" s="70">
        <f>'11_문서단위'!A21</f>
        <v/>
      </c>
      <c r="B21" s="101" t="n">
        <v>1</v>
      </c>
      <c r="C21" s="85">
        <f>'11_문서단위'!D21</f>
        <v/>
      </c>
      <c r="D21" s="85">
        <f>'11_문서단위'!E21</f>
        <v/>
      </c>
      <c r="E21" s="85">
        <f>'11_문서단위'!B21</f>
        <v/>
      </c>
      <c r="F21" s="85">
        <f>$B21*$B$89+$C21*$B$90+$D21*$B$91</f>
        <v/>
      </c>
      <c r="G21" s="85">
        <f>E21-F21</f>
        <v/>
      </c>
      <c r="H21" s="138">
        <f>SUMPRODUCT(MMULT(B21:D21,$B$79:$D$81),B21:D21)</f>
        <v/>
      </c>
      <c r="I21" s="103">
        <f>(G21/(1-H21))^2</f>
        <v/>
      </c>
    </row>
    <row r="22" ht="15" customHeight="1" s="68">
      <c r="A22" s="70">
        <f>'11_문서단위'!A22</f>
        <v/>
      </c>
      <c r="B22" s="101" t="n">
        <v>1</v>
      </c>
      <c r="C22" s="85">
        <f>'11_문서단위'!D22</f>
        <v/>
      </c>
      <c r="D22" s="85">
        <f>'11_문서단위'!E22</f>
        <v/>
      </c>
      <c r="E22" s="85">
        <f>'11_문서단위'!B22</f>
        <v/>
      </c>
      <c r="F22" s="85">
        <f>$B22*$B$89+$C22*$B$90+$D22*$B$91</f>
        <v/>
      </c>
      <c r="G22" s="85">
        <f>E22-F22</f>
        <v/>
      </c>
      <c r="H22" s="138">
        <f>SUMPRODUCT(MMULT(B22:D22,$B$79:$D$81),B22:D22)</f>
        <v/>
      </c>
      <c r="I22" s="103">
        <f>(G22/(1-H22))^2</f>
        <v/>
      </c>
    </row>
    <row r="23" ht="15" customHeight="1" s="68">
      <c r="A23" s="70">
        <f>'11_문서단위'!A23</f>
        <v/>
      </c>
      <c r="B23" s="101" t="n">
        <v>1</v>
      </c>
      <c r="C23" s="85">
        <f>'11_문서단위'!D23</f>
        <v/>
      </c>
      <c r="D23" s="85">
        <f>'11_문서단위'!E23</f>
        <v/>
      </c>
      <c r="E23" s="85">
        <f>'11_문서단위'!B23</f>
        <v/>
      </c>
      <c r="F23" s="85">
        <f>$B23*$B$89+$C23*$B$90+$D23*$B$91</f>
        <v/>
      </c>
      <c r="G23" s="85">
        <f>E23-F23</f>
        <v/>
      </c>
      <c r="H23" s="138">
        <f>SUMPRODUCT(MMULT(B23:D23,$B$79:$D$81),B23:D23)</f>
        <v/>
      </c>
      <c r="I23" s="103">
        <f>(G23/(1-H23))^2</f>
        <v/>
      </c>
    </row>
    <row r="24" ht="15" customHeight="1" s="68">
      <c r="A24" s="70">
        <f>'11_문서단위'!A24</f>
        <v/>
      </c>
      <c r="B24" s="101" t="n">
        <v>1</v>
      </c>
      <c r="C24" s="85">
        <f>'11_문서단위'!D24</f>
        <v/>
      </c>
      <c r="D24" s="85">
        <f>'11_문서단위'!E24</f>
        <v/>
      </c>
      <c r="E24" s="85">
        <f>'11_문서단위'!B24</f>
        <v/>
      </c>
      <c r="F24" s="85">
        <f>$B24*$B$89+$C24*$B$90+$D24*$B$91</f>
        <v/>
      </c>
      <c r="G24" s="85">
        <f>E24-F24</f>
        <v/>
      </c>
      <c r="H24" s="138">
        <f>SUMPRODUCT(MMULT(B24:D24,$B$79:$D$81),B24:D24)</f>
        <v/>
      </c>
      <c r="I24" s="103">
        <f>(G24/(1-H24))^2</f>
        <v/>
      </c>
    </row>
    <row r="25" ht="15" customHeight="1" s="68">
      <c r="A25" s="70">
        <f>'11_문서단위'!A25</f>
        <v/>
      </c>
      <c r="B25" s="101" t="n">
        <v>1</v>
      </c>
      <c r="C25" s="85">
        <f>'11_문서단위'!D25</f>
        <v/>
      </c>
      <c r="D25" s="85">
        <f>'11_문서단위'!E25</f>
        <v/>
      </c>
      <c r="E25" s="85">
        <f>'11_문서단위'!B25</f>
        <v/>
      </c>
      <c r="F25" s="85">
        <f>$B25*$B$89+$C25*$B$90+$D25*$B$91</f>
        <v/>
      </c>
      <c r="G25" s="85">
        <f>E25-F25</f>
        <v/>
      </c>
      <c r="H25" s="138">
        <f>SUMPRODUCT(MMULT(B25:D25,$B$79:$D$81),B25:D25)</f>
        <v/>
      </c>
      <c r="I25" s="103">
        <f>(G25/(1-H25))^2</f>
        <v/>
      </c>
    </row>
    <row r="26" ht="15" customHeight="1" s="68">
      <c r="A26" s="70">
        <f>'11_문서단위'!A26</f>
        <v/>
      </c>
      <c r="B26" s="101" t="n">
        <v>1</v>
      </c>
      <c r="C26" s="85">
        <f>'11_문서단위'!D26</f>
        <v/>
      </c>
      <c r="D26" s="85">
        <f>'11_문서단위'!E26</f>
        <v/>
      </c>
      <c r="E26" s="85">
        <f>'11_문서단위'!B26</f>
        <v/>
      </c>
      <c r="F26" s="85">
        <f>$B26*$B$89+$C26*$B$90+$D26*$B$91</f>
        <v/>
      </c>
      <c r="G26" s="85">
        <f>E26-F26</f>
        <v/>
      </c>
      <c r="H26" s="138">
        <f>SUMPRODUCT(MMULT(B26:D26,$B$79:$D$81),B26:D26)</f>
        <v/>
      </c>
      <c r="I26" s="103">
        <f>(G26/(1-H26))^2</f>
        <v/>
      </c>
    </row>
    <row r="27" ht="15" customHeight="1" s="68">
      <c r="A27" s="70">
        <f>'11_문서단위'!A27</f>
        <v/>
      </c>
      <c r="B27" s="101" t="n">
        <v>1</v>
      </c>
      <c r="C27" s="85">
        <f>'11_문서단위'!D27</f>
        <v/>
      </c>
      <c r="D27" s="85">
        <f>'11_문서단위'!E27</f>
        <v/>
      </c>
      <c r="E27" s="85">
        <f>'11_문서단위'!B27</f>
        <v/>
      </c>
      <c r="F27" s="85">
        <f>$B27*$B$89+$C27*$B$90+$D27*$B$91</f>
        <v/>
      </c>
      <c r="G27" s="85">
        <f>E27-F27</f>
        <v/>
      </c>
      <c r="H27" s="138">
        <f>SUMPRODUCT(MMULT(B27:D27,$B$79:$D$81),B27:D27)</f>
        <v/>
      </c>
      <c r="I27" s="103">
        <f>(G27/(1-H27))^2</f>
        <v/>
      </c>
    </row>
    <row r="28" ht="15" customHeight="1" s="68">
      <c r="A28" s="70">
        <f>'11_문서단위'!A28</f>
        <v/>
      </c>
      <c r="B28" s="101" t="n">
        <v>1</v>
      </c>
      <c r="C28" s="85">
        <f>'11_문서단위'!D28</f>
        <v/>
      </c>
      <c r="D28" s="85">
        <f>'11_문서단위'!E28</f>
        <v/>
      </c>
      <c r="E28" s="85">
        <f>'11_문서단위'!B28</f>
        <v/>
      </c>
      <c r="F28" s="85">
        <f>$B28*$B$89+$C28*$B$90+$D28*$B$91</f>
        <v/>
      </c>
      <c r="G28" s="85">
        <f>E28-F28</f>
        <v/>
      </c>
      <c r="H28" s="138">
        <f>SUMPRODUCT(MMULT(B28:D28,$B$79:$D$81),B28:D28)</f>
        <v/>
      </c>
      <c r="I28" s="103">
        <f>(G28/(1-H28))^2</f>
        <v/>
      </c>
    </row>
    <row r="29" ht="15" customHeight="1" s="68">
      <c r="A29" s="70">
        <f>'11_문서단위'!A29</f>
        <v/>
      </c>
      <c r="B29" s="101" t="n">
        <v>1</v>
      </c>
      <c r="C29" s="85">
        <f>'11_문서단위'!D29</f>
        <v/>
      </c>
      <c r="D29" s="85">
        <f>'11_문서단위'!E29</f>
        <v/>
      </c>
      <c r="E29" s="85">
        <f>'11_문서단위'!B29</f>
        <v/>
      </c>
      <c r="F29" s="85">
        <f>$B29*$B$89+$C29*$B$90+$D29*$B$91</f>
        <v/>
      </c>
      <c r="G29" s="85">
        <f>E29-F29</f>
        <v/>
      </c>
      <c r="H29" s="138">
        <f>SUMPRODUCT(MMULT(B29:D29,$B$79:$D$81),B29:D29)</f>
        <v/>
      </c>
      <c r="I29" s="103">
        <f>(G29/(1-H29))^2</f>
        <v/>
      </c>
    </row>
    <row r="30" ht="15" customHeight="1" s="68">
      <c r="A30" s="70">
        <f>'11_문서단위'!A30</f>
        <v/>
      </c>
      <c r="B30" s="101" t="n">
        <v>1</v>
      </c>
      <c r="C30" s="85">
        <f>'11_문서단위'!D30</f>
        <v/>
      </c>
      <c r="D30" s="85">
        <f>'11_문서단위'!E30</f>
        <v/>
      </c>
      <c r="E30" s="85">
        <f>'11_문서단위'!B30</f>
        <v/>
      </c>
      <c r="F30" s="85">
        <f>$B30*$B$89+$C30*$B$90+$D30*$B$91</f>
        <v/>
      </c>
      <c r="G30" s="85">
        <f>E30-F30</f>
        <v/>
      </c>
      <c r="H30" s="138">
        <f>SUMPRODUCT(MMULT(B30:D30,$B$79:$D$81),B30:D30)</f>
        <v/>
      </c>
      <c r="I30" s="103">
        <f>(G30/(1-H30))^2</f>
        <v/>
      </c>
    </row>
    <row r="31" ht="15" customHeight="1" s="68">
      <c r="A31" s="70">
        <f>'11_문서단위'!A31</f>
        <v/>
      </c>
      <c r="B31" s="101" t="n">
        <v>1</v>
      </c>
      <c r="C31" s="85">
        <f>'11_문서단위'!D31</f>
        <v/>
      </c>
      <c r="D31" s="85">
        <f>'11_문서단위'!E31</f>
        <v/>
      </c>
      <c r="E31" s="85">
        <f>'11_문서단위'!B31</f>
        <v/>
      </c>
      <c r="F31" s="85">
        <f>$B31*$B$89+$C31*$B$90+$D31*$B$91</f>
        <v/>
      </c>
      <c r="G31" s="85">
        <f>E31-F31</f>
        <v/>
      </c>
      <c r="H31" s="138">
        <f>SUMPRODUCT(MMULT(B31:D31,$B$79:$D$81),B31:D31)</f>
        <v/>
      </c>
      <c r="I31" s="103">
        <f>(G31/(1-H31))^2</f>
        <v/>
      </c>
    </row>
    <row r="32" ht="15" customHeight="1" s="68">
      <c r="A32" s="70">
        <f>'11_문서단위'!A32</f>
        <v/>
      </c>
      <c r="B32" s="101" t="n">
        <v>1</v>
      </c>
      <c r="C32" s="85">
        <f>'11_문서단위'!D32</f>
        <v/>
      </c>
      <c r="D32" s="85">
        <f>'11_문서단위'!E32</f>
        <v/>
      </c>
      <c r="E32" s="85">
        <f>'11_문서단위'!B32</f>
        <v/>
      </c>
      <c r="F32" s="85">
        <f>$B32*$B$89+$C32*$B$90+$D32*$B$91</f>
        <v/>
      </c>
      <c r="G32" s="85">
        <f>E32-F32</f>
        <v/>
      </c>
      <c r="H32" s="138">
        <f>SUMPRODUCT(MMULT(B32:D32,$B$79:$D$81),B32:D32)</f>
        <v/>
      </c>
      <c r="I32" s="103">
        <f>(G32/(1-H32))^2</f>
        <v/>
      </c>
    </row>
    <row r="33" ht="15" customHeight="1" s="68">
      <c r="A33" s="70">
        <f>'11_문서단위'!A33</f>
        <v/>
      </c>
      <c r="B33" s="101" t="n">
        <v>1</v>
      </c>
      <c r="C33" s="85">
        <f>'11_문서단위'!D33</f>
        <v/>
      </c>
      <c r="D33" s="85">
        <f>'11_문서단위'!E33</f>
        <v/>
      </c>
      <c r="E33" s="85">
        <f>'11_문서단위'!B33</f>
        <v/>
      </c>
      <c r="F33" s="85">
        <f>$B33*$B$89+$C33*$B$90+$D33*$B$91</f>
        <v/>
      </c>
      <c r="G33" s="85">
        <f>E33-F33</f>
        <v/>
      </c>
      <c r="H33" s="138">
        <f>SUMPRODUCT(MMULT(B33:D33,$B$79:$D$81),B33:D33)</f>
        <v/>
      </c>
      <c r="I33" s="103">
        <f>(G33/(1-H33))^2</f>
        <v/>
      </c>
    </row>
    <row r="34" ht="15" customHeight="1" s="68">
      <c r="A34" s="70">
        <f>'11_문서단위'!A34</f>
        <v/>
      </c>
      <c r="B34" s="101" t="n">
        <v>1</v>
      </c>
      <c r="C34" s="85">
        <f>'11_문서단위'!D34</f>
        <v/>
      </c>
      <c r="D34" s="85">
        <f>'11_문서단위'!E34</f>
        <v/>
      </c>
      <c r="E34" s="85">
        <f>'11_문서단위'!B34</f>
        <v/>
      </c>
      <c r="F34" s="85">
        <f>$B34*$B$89+$C34*$B$90+$D34*$B$91</f>
        <v/>
      </c>
      <c r="G34" s="85">
        <f>E34-F34</f>
        <v/>
      </c>
      <c r="H34" s="138">
        <f>SUMPRODUCT(MMULT(B34:D34,$B$79:$D$81),B34:D34)</f>
        <v/>
      </c>
      <c r="I34" s="103">
        <f>(G34/(1-H34))^2</f>
        <v/>
      </c>
    </row>
    <row r="35" ht="15" customHeight="1" s="68">
      <c r="A35" s="70">
        <f>'11_문서단위'!A35</f>
        <v/>
      </c>
      <c r="B35" s="101" t="n">
        <v>1</v>
      </c>
      <c r="C35" s="85">
        <f>'11_문서단위'!D35</f>
        <v/>
      </c>
      <c r="D35" s="85">
        <f>'11_문서단위'!E35</f>
        <v/>
      </c>
      <c r="E35" s="85">
        <f>'11_문서단위'!B35</f>
        <v/>
      </c>
      <c r="F35" s="85">
        <f>$B35*$B$89+$C35*$B$90+$D35*$B$91</f>
        <v/>
      </c>
      <c r="G35" s="85">
        <f>E35-F35</f>
        <v/>
      </c>
      <c r="H35" s="138">
        <f>SUMPRODUCT(MMULT(B35:D35,$B$79:$D$81),B35:D35)</f>
        <v/>
      </c>
      <c r="I35" s="103">
        <f>(G35/(1-H35))^2</f>
        <v/>
      </c>
    </row>
    <row r="36" ht="15" customHeight="1" s="68">
      <c r="A36" s="70">
        <f>'11_문서단위'!A36</f>
        <v/>
      </c>
      <c r="B36" s="101" t="n">
        <v>1</v>
      </c>
      <c r="C36" s="85">
        <f>'11_문서단위'!D36</f>
        <v/>
      </c>
      <c r="D36" s="85">
        <f>'11_문서단위'!E36</f>
        <v/>
      </c>
      <c r="E36" s="85">
        <f>'11_문서단위'!B36</f>
        <v/>
      </c>
      <c r="F36" s="85">
        <f>$B36*$B$89+$C36*$B$90+$D36*$B$91</f>
        <v/>
      </c>
      <c r="G36" s="85">
        <f>E36-F36</f>
        <v/>
      </c>
      <c r="H36" s="138">
        <f>SUMPRODUCT(MMULT(B36:D36,$B$79:$D$81),B36:D36)</f>
        <v/>
      </c>
      <c r="I36" s="103">
        <f>(G36/(1-H36))^2</f>
        <v/>
      </c>
    </row>
    <row r="37" ht="15" customHeight="1" s="68">
      <c r="A37" s="70">
        <f>'11_문서단위'!A37</f>
        <v/>
      </c>
      <c r="B37" s="101" t="n">
        <v>1</v>
      </c>
      <c r="C37" s="85">
        <f>'11_문서단위'!D37</f>
        <v/>
      </c>
      <c r="D37" s="85">
        <f>'11_문서단위'!E37</f>
        <v/>
      </c>
      <c r="E37" s="85">
        <f>'11_문서단위'!B37</f>
        <v/>
      </c>
      <c r="F37" s="85">
        <f>$B37*$B$89+$C37*$B$90+$D37*$B$91</f>
        <v/>
      </c>
      <c r="G37" s="85">
        <f>E37-F37</f>
        <v/>
      </c>
      <c r="H37" s="138">
        <f>SUMPRODUCT(MMULT(B37:D37,$B$79:$D$81),B37:D37)</f>
        <v/>
      </c>
      <c r="I37" s="103">
        <f>(G37/(1-H37))^2</f>
        <v/>
      </c>
    </row>
    <row r="38" ht="15" customHeight="1" s="68">
      <c r="A38" s="70">
        <f>'11_문서단위'!A38</f>
        <v/>
      </c>
      <c r="B38" s="101" t="n">
        <v>1</v>
      </c>
      <c r="C38" s="85">
        <f>'11_문서단위'!D38</f>
        <v/>
      </c>
      <c r="D38" s="85">
        <f>'11_문서단위'!E38</f>
        <v/>
      </c>
      <c r="E38" s="85">
        <f>'11_문서단위'!B38</f>
        <v/>
      </c>
      <c r="F38" s="85">
        <f>$B38*$B$89+$C38*$B$90+$D38*$B$91</f>
        <v/>
      </c>
      <c r="G38" s="85">
        <f>E38-F38</f>
        <v/>
      </c>
      <c r="H38" s="138">
        <f>SUMPRODUCT(MMULT(B38:D38,$B$79:$D$81),B38:D38)</f>
        <v/>
      </c>
      <c r="I38" s="103">
        <f>(G38/(1-H38))^2</f>
        <v/>
      </c>
    </row>
    <row r="39" ht="15" customHeight="1" s="68">
      <c r="A39" s="70">
        <f>'11_문서단위'!A39</f>
        <v/>
      </c>
      <c r="B39" s="101" t="n">
        <v>1</v>
      </c>
      <c r="C39" s="85">
        <f>'11_문서단위'!D39</f>
        <v/>
      </c>
      <c r="D39" s="85">
        <f>'11_문서단위'!E39</f>
        <v/>
      </c>
      <c r="E39" s="85">
        <f>'11_문서단위'!B39</f>
        <v/>
      </c>
      <c r="F39" s="85">
        <f>$B39*$B$89+$C39*$B$90+$D39*$B$91</f>
        <v/>
      </c>
      <c r="G39" s="85">
        <f>E39-F39</f>
        <v/>
      </c>
      <c r="H39" s="138">
        <f>SUMPRODUCT(MMULT(B39:D39,$B$79:$D$81),B39:D39)</f>
        <v/>
      </c>
      <c r="I39" s="103">
        <f>(G39/(1-H39))^2</f>
        <v/>
      </c>
    </row>
    <row r="40" ht="15" customHeight="1" s="68">
      <c r="A40" s="70">
        <f>'11_문서단위'!A40</f>
        <v/>
      </c>
      <c r="B40" s="101" t="n">
        <v>1</v>
      </c>
      <c r="C40" s="85">
        <f>'11_문서단위'!D40</f>
        <v/>
      </c>
      <c r="D40" s="85">
        <f>'11_문서단위'!E40</f>
        <v/>
      </c>
      <c r="E40" s="85">
        <f>'11_문서단위'!B40</f>
        <v/>
      </c>
      <c r="F40" s="85">
        <f>$B40*$B$89+$C40*$B$90+$D40*$B$91</f>
        <v/>
      </c>
      <c r="G40" s="85">
        <f>E40-F40</f>
        <v/>
      </c>
      <c r="H40" s="138">
        <f>SUMPRODUCT(MMULT(B40:D40,$B$79:$D$81),B40:D40)</f>
        <v/>
      </c>
      <c r="I40" s="103">
        <f>(G40/(1-H40))^2</f>
        <v/>
      </c>
    </row>
    <row r="41" ht="15" customHeight="1" s="68">
      <c r="A41" s="70">
        <f>'11_문서단위'!A41</f>
        <v/>
      </c>
      <c r="B41" s="101" t="n">
        <v>1</v>
      </c>
      <c r="C41" s="85">
        <f>'11_문서단위'!D41</f>
        <v/>
      </c>
      <c r="D41" s="85">
        <f>'11_문서단위'!E41</f>
        <v/>
      </c>
      <c r="E41" s="85">
        <f>'11_문서단위'!B41</f>
        <v/>
      </c>
      <c r="F41" s="85">
        <f>$B41*$B$89+$C41*$B$90+$D41*$B$91</f>
        <v/>
      </c>
      <c r="G41" s="85">
        <f>E41-F41</f>
        <v/>
      </c>
      <c r="H41" s="138">
        <f>SUMPRODUCT(MMULT(B41:D41,$B$79:$D$81),B41:D41)</f>
        <v/>
      </c>
      <c r="I41" s="103">
        <f>(G41/(1-H41))^2</f>
        <v/>
      </c>
    </row>
    <row r="42" ht="15" customHeight="1" s="68">
      <c r="A42" s="70">
        <f>'11_문서단위'!A42</f>
        <v/>
      </c>
      <c r="B42" s="101" t="n">
        <v>1</v>
      </c>
      <c r="C42" s="85">
        <f>'11_문서단위'!D42</f>
        <v/>
      </c>
      <c r="D42" s="85">
        <f>'11_문서단위'!E42</f>
        <v/>
      </c>
      <c r="E42" s="85">
        <f>'11_문서단위'!B42</f>
        <v/>
      </c>
      <c r="F42" s="85">
        <f>$B42*$B$89+$C42*$B$90+$D42*$B$91</f>
        <v/>
      </c>
      <c r="G42" s="85">
        <f>E42-F42</f>
        <v/>
      </c>
      <c r="H42" s="138">
        <f>SUMPRODUCT(MMULT(B42:D42,$B$79:$D$81),B42:D42)</f>
        <v/>
      </c>
      <c r="I42" s="103">
        <f>(G42/(1-H42))^2</f>
        <v/>
      </c>
    </row>
    <row r="43" ht="15" customHeight="1" s="68">
      <c r="A43" s="70">
        <f>'11_문서단위'!A43</f>
        <v/>
      </c>
      <c r="B43" s="101" t="n">
        <v>1</v>
      </c>
      <c r="C43" s="85">
        <f>'11_문서단위'!D43</f>
        <v/>
      </c>
      <c r="D43" s="85">
        <f>'11_문서단위'!E43</f>
        <v/>
      </c>
      <c r="E43" s="85">
        <f>'11_문서단위'!B43</f>
        <v/>
      </c>
      <c r="F43" s="85">
        <f>$B43*$B$89+$C43*$B$90+$D43*$B$91</f>
        <v/>
      </c>
      <c r="G43" s="85">
        <f>E43-F43</f>
        <v/>
      </c>
      <c r="H43" s="138">
        <f>SUMPRODUCT(MMULT(B43:D43,$B$79:$D$81),B43:D43)</f>
        <v/>
      </c>
      <c r="I43" s="103">
        <f>(G43/(1-H43))^2</f>
        <v/>
      </c>
    </row>
    <row r="44" ht="15" customHeight="1" s="68">
      <c r="A44" s="70">
        <f>'11_문서단위'!A44</f>
        <v/>
      </c>
      <c r="B44" s="101" t="n">
        <v>1</v>
      </c>
      <c r="C44" s="85">
        <f>'11_문서단위'!D44</f>
        <v/>
      </c>
      <c r="D44" s="85">
        <f>'11_문서단위'!E44</f>
        <v/>
      </c>
      <c r="E44" s="85">
        <f>'11_문서단위'!B44</f>
        <v/>
      </c>
      <c r="F44" s="85">
        <f>$B44*$B$89+$C44*$B$90+$D44*$B$91</f>
        <v/>
      </c>
      <c r="G44" s="85">
        <f>E44-F44</f>
        <v/>
      </c>
      <c r="H44" s="138">
        <f>SUMPRODUCT(MMULT(B44:D44,$B$79:$D$81),B44:D44)</f>
        <v/>
      </c>
      <c r="I44" s="103">
        <f>(G44/(1-H44))^2</f>
        <v/>
      </c>
    </row>
    <row r="45" ht="15" customHeight="1" s="68">
      <c r="A45" s="70">
        <f>'11_문서단위'!A45</f>
        <v/>
      </c>
      <c r="B45" s="101" t="n">
        <v>1</v>
      </c>
      <c r="C45" s="85">
        <f>'11_문서단위'!D45</f>
        <v/>
      </c>
      <c r="D45" s="85">
        <f>'11_문서단위'!E45</f>
        <v/>
      </c>
      <c r="E45" s="85">
        <f>'11_문서단위'!B45</f>
        <v/>
      </c>
      <c r="F45" s="85">
        <f>$B45*$B$89+$C45*$B$90+$D45*$B$91</f>
        <v/>
      </c>
      <c r="G45" s="85">
        <f>E45-F45</f>
        <v/>
      </c>
      <c r="H45" s="138">
        <f>SUMPRODUCT(MMULT(B45:D45,$B$79:$D$81),B45:D45)</f>
        <v/>
      </c>
      <c r="I45" s="103">
        <f>(G45/(1-H45))^2</f>
        <v/>
      </c>
    </row>
    <row r="46" ht="15" customHeight="1" s="68">
      <c r="A46" s="70">
        <f>'11_문서단위'!A46</f>
        <v/>
      </c>
      <c r="B46" s="101" t="n">
        <v>1</v>
      </c>
      <c r="C46" s="85">
        <f>'11_문서단위'!D46</f>
        <v/>
      </c>
      <c r="D46" s="85">
        <f>'11_문서단위'!E46</f>
        <v/>
      </c>
      <c r="E46" s="85">
        <f>'11_문서단위'!B46</f>
        <v/>
      </c>
      <c r="F46" s="85">
        <f>$B46*$B$89+$C46*$B$90+$D46*$B$91</f>
        <v/>
      </c>
      <c r="G46" s="85">
        <f>E46-F46</f>
        <v/>
      </c>
      <c r="H46" s="138">
        <f>SUMPRODUCT(MMULT(B46:D46,$B$79:$D$81),B46:D46)</f>
        <v/>
      </c>
      <c r="I46" s="103">
        <f>(G46/(1-H46))^2</f>
        <v/>
      </c>
    </row>
    <row r="47" ht="15" customHeight="1" s="68">
      <c r="A47" s="70">
        <f>'11_문서단위'!A47</f>
        <v/>
      </c>
      <c r="B47" s="101" t="n">
        <v>1</v>
      </c>
      <c r="C47" s="85">
        <f>'11_문서단위'!D47</f>
        <v/>
      </c>
      <c r="D47" s="85">
        <f>'11_문서단위'!E47</f>
        <v/>
      </c>
      <c r="E47" s="85">
        <f>'11_문서단위'!B47</f>
        <v/>
      </c>
      <c r="F47" s="85">
        <f>$B47*$B$89+$C47*$B$90+$D47*$B$91</f>
        <v/>
      </c>
      <c r="G47" s="85">
        <f>E47-F47</f>
        <v/>
      </c>
      <c r="H47" s="138">
        <f>SUMPRODUCT(MMULT(B47:D47,$B$79:$D$81),B47:D47)</f>
        <v/>
      </c>
      <c r="I47" s="103">
        <f>(G47/(1-H47))^2</f>
        <v/>
      </c>
    </row>
    <row r="48" ht="15" customHeight="1" s="68">
      <c r="A48" s="70">
        <f>'11_문서단위'!A48</f>
        <v/>
      </c>
      <c r="B48" s="101" t="n">
        <v>1</v>
      </c>
      <c r="C48" s="85">
        <f>'11_문서단위'!D48</f>
        <v/>
      </c>
      <c r="D48" s="85">
        <f>'11_문서단위'!E48</f>
        <v/>
      </c>
      <c r="E48" s="85">
        <f>'11_문서단위'!B48</f>
        <v/>
      </c>
      <c r="F48" s="85">
        <f>$B48*$B$89+$C48*$B$90+$D48*$B$91</f>
        <v/>
      </c>
      <c r="G48" s="85">
        <f>E48-F48</f>
        <v/>
      </c>
      <c r="H48" s="138">
        <f>SUMPRODUCT(MMULT(B48:D48,$B$79:$D$81),B48:D48)</f>
        <v/>
      </c>
      <c r="I48" s="103">
        <f>(G48/(1-H48))^2</f>
        <v/>
      </c>
    </row>
    <row r="49" ht="15" customHeight="1" s="68">
      <c r="A49" s="70">
        <f>'11_문서단위'!A49</f>
        <v/>
      </c>
      <c r="B49" s="101" t="n">
        <v>1</v>
      </c>
      <c r="C49" s="85">
        <f>'11_문서단위'!D49</f>
        <v/>
      </c>
      <c r="D49" s="85">
        <f>'11_문서단위'!E49</f>
        <v/>
      </c>
      <c r="E49" s="85">
        <f>'11_문서단위'!B49</f>
        <v/>
      </c>
      <c r="F49" s="85">
        <f>$B49*$B$89+$C49*$B$90+$D49*$B$91</f>
        <v/>
      </c>
      <c r="G49" s="85">
        <f>E49-F49</f>
        <v/>
      </c>
      <c r="H49" s="138">
        <f>SUMPRODUCT(MMULT(B49:D49,$B$79:$D$81),B49:D49)</f>
        <v/>
      </c>
      <c r="I49" s="103">
        <f>(G49/(1-H49))^2</f>
        <v/>
      </c>
    </row>
    <row r="50" ht="15" customHeight="1" s="68">
      <c r="A50" s="70">
        <f>'11_문서단위'!A50</f>
        <v/>
      </c>
      <c r="B50" s="101" t="n">
        <v>1</v>
      </c>
      <c r="C50" s="85">
        <f>'11_문서단위'!D50</f>
        <v/>
      </c>
      <c r="D50" s="85">
        <f>'11_문서단위'!E50</f>
        <v/>
      </c>
      <c r="E50" s="85">
        <f>'11_문서단위'!B50</f>
        <v/>
      </c>
      <c r="F50" s="85">
        <f>$B50*$B$89+$C50*$B$90+$D50*$B$91</f>
        <v/>
      </c>
      <c r="G50" s="85">
        <f>E50-F50</f>
        <v/>
      </c>
      <c r="H50" s="138">
        <f>SUMPRODUCT(MMULT(B50:D50,$B$79:$D$81),B50:D50)</f>
        <v/>
      </c>
      <c r="I50" s="103">
        <f>(G50/(1-H50))^2</f>
        <v/>
      </c>
    </row>
    <row r="51" ht="15" customHeight="1" s="68">
      <c r="A51" s="70">
        <f>'11_문서단위'!A51</f>
        <v/>
      </c>
      <c r="B51" s="101" t="n">
        <v>1</v>
      </c>
      <c r="C51" s="85">
        <f>'11_문서단위'!D51</f>
        <v/>
      </c>
      <c r="D51" s="85">
        <f>'11_문서단위'!E51</f>
        <v/>
      </c>
      <c r="E51" s="85">
        <f>'11_문서단위'!B51</f>
        <v/>
      </c>
      <c r="F51" s="85">
        <f>$B51*$B$89+$C51*$B$90+$D51*$B$91</f>
        <v/>
      </c>
      <c r="G51" s="85">
        <f>E51-F51</f>
        <v/>
      </c>
      <c r="H51" s="138">
        <f>SUMPRODUCT(MMULT(B51:D51,$B$79:$D$81),B51:D51)</f>
        <v/>
      </c>
      <c r="I51" s="103">
        <f>(G51/(1-H51))^2</f>
        <v/>
      </c>
    </row>
    <row r="52" ht="15" customHeight="1" s="68">
      <c r="A52" s="70">
        <f>'11_문서단위'!A52</f>
        <v/>
      </c>
      <c r="B52" s="101" t="n">
        <v>1</v>
      </c>
      <c r="C52" s="85">
        <f>'11_문서단위'!D52</f>
        <v/>
      </c>
      <c r="D52" s="85">
        <f>'11_문서단위'!E52</f>
        <v/>
      </c>
      <c r="E52" s="85">
        <f>'11_문서단위'!B52</f>
        <v/>
      </c>
      <c r="F52" s="85">
        <f>$B52*$B$89+$C52*$B$90+$D52*$B$91</f>
        <v/>
      </c>
      <c r="G52" s="85">
        <f>E52-F52</f>
        <v/>
      </c>
      <c r="H52" s="138">
        <f>SUMPRODUCT(MMULT(B52:D52,$B$79:$D$81),B52:D52)</f>
        <v/>
      </c>
      <c r="I52" s="103">
        <f>(G52/(1-H52))^2</f>
        <v/>
      </c>
    </row>
    <row r="53" ht="15" customHeight="1" s="68">
      <c r="A53" s="70">
        <f>'11_문서단위'!A53</f>
        <v/>
      </c>
      <c r="B53" s="101" t="n">
        <v>1</v>
      </c>
      <c r="C53" s="85">
        <f>'11_문서단위'!D53</f>
        <v/>
      </c>
      <c r="D53" s="85">
        <f>'11_문서단위'!E53</f>
        <v/>
      </c>
      <c r="E53" s="85">
        <f>'11_문서단위'!B53</f>
        <v/>
      </c>
      <c r="F53" s="85">
        <f>$B53*$B$89+$C53*$B$90+$D53*$B$91</f>
        <v/>
      </c>
      <c r="G53" s="85">
        <f>E53-F53</f>
        <v/>
      </c>
      <c r="H53" s="138">
        <f>SUMPRODUCT(MMULT(B53:D53,$B$79:$D$81),B53:D53)</f>
        <v/>
      </c>
      <c r="I53" s="103">
        <f>(G53/(1-H53))^2</f>
        <v/>
      </c>
    </row>
    <row r="54" ht="15" customHeight="1" s="68">
      <c r="A54" s="70">
        <f>'11_문서단위'!A54</f>
        <v/>
      </c>
      <c r="B54" s="101" t="n">
        <v>1</v>
      </c>
      <c r="C54" s="85">
        <f>'11_문서단위'!D54</f>
        <v/>
      </c>
      <c r="D54" s="85">
        <f>'11_문서단위'!E54</f>
        <v/>
      </c>
      <c r="E54" s="85">
        <f>'11_문서단위'!B54</f>
        <v/>
      </c>
      <c r="F54" s="85">
        <f>$B54*$B$89+$C54*$B$90+$D54*$B$91</f>
        <v/>
      </c>
      <c r="G54" s="85">
        <f>E54-F54</f>
        <v/>
      </c>
      <c r="H54" s="138">
        <f>SUMPRODUCT(MMULT(B54:D54,$B$79:$D$81),B54:D54)</f>
        <v/>
      </c>
      <c r="I54" s="103">
        <f>(G54/(1-H54))^2</f>
        <v/>
      </c>
    </row>
    <row r="55" ht="15" customHeight="1" s="68">
      <c r="A55" s="70">
        <f>'11_문서단위'!A55</f>
        <v/>
      </c>
      <c r="B55" s="101" t="n">
        <v>1</v>
      </c>
      <c r="C55" s="85">
        <f>'11_문서단위'!D55</f>
        <v/>
      </c>
      <c r="D55" s="85">
        <f>'11_문서단위'!E55</f>
        <v/>
      </c>
      <c r="E55" s="85">
        <f>'11_문서단위'!B55</f>
        <v/>
      </c>
      <c r="F55" s="85">
        <f>$B55*$B$89+$C55*$B$90+$D55*$B$91</f>
        <v/>
      </c>
      <c r="G55" s="85">
        <f>E55-F55</f>
        <v/>
      </c>
      <c r="H55" s="138">
        <f>SUMPRODUCT(MMULT(B55:D55,$B$79:$D$81),B55:D55)</f>
        <v/>
      </c>
      <c r="I55" s="103">
        <f>(G55/(1-H55))^2</f>
        <v/>
      </c>
    </row>
    <row r="56" ht="15" customHeight="1" s="68">
      <c r="A56" s="70">
        <f>'11_문서단위'!A56</f>
        <v/>
      </c>
      <c r="B56" s="101" t="n">
        <v>1</v>
      </c>
      <c r="C56" s="85">
        <f>'11_문서단위'!D56</f>
        <v/>
      </c>
      <c r="D56" s="85">
        <f>'11_문서단위'!E56</f>
        <v/>
      </c>
      <c r="E56" s="85">
        <f>'11_문서단위'!B56</f>
        <v/>
      </c>
      <c r="F56" s="85">
        <f>$B56*$B$89+$C56*$B$90+$D56*$B$91</f>
        <v/>
      </c>
      <c r="G56" s="85">
        <f>E56-F56</f>
        <v/>
      </c>
      <c r="H56" s="138">
        <f>SUMPRODUCT(MMULT(B56:D56,$B$79:$D$81),B56:D56)</f>
        <v/>
      </c>
      <c r="I56" s="103">
        <f>(G56/(1-H56))^2</f>
        <v/>
      </c>
    </row>
    <row r="57" ht="15" customHeight="1" s="68">
      <c r="A57" s="70">
        <f>'11_문서단위'!A57</f>
        <v/>
      </c>
      <c r="B57" s="101" t="n">
        <v>1</v>
      </c>
      <c r="C57" s="85">
        <f>'11_문서단위'!D57</f>
        <v/>
      </c>
      <c r="D57" s="85">
        <f>'11_문서단위'!E57</f>
        <v/>
      </c>
      <c r="E57" s="85">
        <f>'11_문서단위'!B57</f>
        <v/>
      </c>
      <c r="F57" s="85">
        <f>$B57*$B$89+$C57*$B$90+$D57*$B$91</f>
        <v/>
      </c>
      <c r="G57" s="85">
        <f>E57-F57</f>
        <v/>
      </c>
      <c r="H57" s="138">
        <f>SUMPRODUCT(MMULT(B57:D57,$B$79:$D$81),B57:D57)</f>
        <v/>
      </c>
      <c r="I57" s="103">
        <f>(G57/(1-H57))^2</f>
        <v/>
      </c>
    </row>
    <row r="58" ht="15" customHeight="1" s="68">
      <c r="A58" s="70">
        <f>'11_문서단위'!A58</f>
        <v/>
      </c>
      <c r="B58" s="101" t="n">
        <v>1</v>
      </c>
      <c r="C58" s="85">
        <f>'11_문서단위'!D58</f>
        <v/>
      </c>
      <c r="D58" s="85">
        <f>'11_문서단위'!E58</f>
        <v/>
      </c>
      <c r="E58" s="85">
        <f>'11_문서단위'!B58</f>
        <v/>
      </c>
      <c r="F58" s="85">
        <f>$B58*$B$89+$C58*$B$90+$D58*$B$91</f>
        <v/>
      </c>
      <c r="G58" s="85">
        <f>E58-F58</f>
        <v/>
      </c>
      <c r="H58" s="138">
        <f>SUMPRODUCT(MMULT(B58:D58,$B$79:$D$81),B58:D58)</f>
        <v/>
      </c>
      <c r="I58" s="103">
        <f>(G58/(1-H58))^2</f>
        <v/>
      </c>
    </row>
    <row r="59" ht="15" customHeight="1" s="68">
      <c r="A59" s="70">
        <f>'11_문서단위'!A59</f>
        <v/>
      </c>
      <c r="B59" s="101" t="n">
        <v>1</v>
      </c>
      <c r="C59" s="85">
        <f>'11_문서단위'!D59</f>
        <v/>
      </c>
      <c r="D59" s="85">
        <f>'11_문서단위'!E59</f>
        <v/>
      </c>
      <c r="E59" s="85">
        <f>'11_문서단위'!B59</f>
        <v/>
      </c>
      <c r="F59" s="85">
        <f>$B59*$B$89+$C59*$B$90+$D59*$B$91</f>
        <v/>
      </c>
      <c r="G59" s="85">
        <f>E59-F59</f>
        <v/>
      </c>
      <c r="H59" s="138">
        <f>SUMPRODUCT(MMULT(B59:D59,$B$79:$D$81),B59:D59)</f>
        <v/>
      </c>
      <c r="I59" s="103">
        <f>(G59/(1-H59))^2</f>
        <v/>
      </c>
    </row>
    <row r="60" ht="15" customHeight="1" s="68">
      <c r="A60" s="70">
        <f>'11_문서단위'!A60</f>
        <v/>
      </c>
      <c r="B60" s="101" t="n">
        <v>1</v>
      </c>
      <c r="C60" s="85">
        <f>'11_문서단위'!D60</f>
        <v/>
      </c>
      <c r="D60" s="85">
        <f>'11_문서단위'!E60</f>
        <v/>
      </c>
      <c r="E60" s="85">
        <f>'11_문서단위'!B60</f>
        <v/>
      </c>
      <c r="F60" s="85">
        <f>$B60*$B$89+$C60*$B$90+$D60*$B$91</f>
        <v/>
      </c>
      <c r="G60" s="85">
        <f>E60-F60</f>
        <v/>
      </c>
      <c r="H60" s="138">
        <f>SUMPRODUCT(MMULT(B60:D60,$B$79:$D$81),B60:D60)</f>
        <v/>
      </c>
      <c r="I60" s="103">
        <f>(G60/(1-H60))^2</f>
        <v/>
      </c>
    </row>
    <row r="61" ht="15" customHeight="1" s="68">
      <c r="A61" s="70">
        <f>'11_문서단위'!A61</f>
        <v/>
      </c>
      <c r="B61" s="101" t="n">
        <v>1</v>
      </c>
      <c r="C61" s="85">
        <f>'11_문서단위'!D61</f>
        <v/>
      </c>
      <c r="D61" s="85">
        <f>'11_문서단위'!E61</f>
        <v/>
      </c>
      <c r="E61" s="85">
        <f>'11_문서단위'!B61</f>
        <v/>
      </c>
      <c r="F61" s="85">
        <f>$B61*$B$89+$C61*$B$90+$D61*$B$91</f>
        <v/>
      </c>
      <c r="G61" s="85">
        <f>E61-F61</f>
        <v/>
      </c>
      <c r="H61" s="138">
        <f>SUMPRODUCT(MMULT(B61:D61,$B$79:$D$81),B61:D61)</f>
        <v/>
      </c>
      <c r="I61" s="103">
        <f>(G61/(1-H61))^2</f>
        <v/>
      </c>
    </row>
    <row r="62" ht="15" customHeight="1" s="68">
      <c r="A62" s="70">
        <f>'11_문서단위'!A62</f>
        <v/>
      </c>
      <c r="B62" s="101" t="n">
        <v>1</v>
      </c>
      <c r="C62" s="85">
        <f>'11_문서단위'!D62</f>
        <v/>
      </c>
      <c r="D62" s="85">
        <f>'11_문서단위'!E62</f>
        <v/>
      </c>
      <c r="E62" s="85">
        <f>'11_문서단위'!B62</f>
        <v/>
      </c>
      <c r="F62" s="85">
        <f>$B62*$B$89+$C62*$B$90+$D62*$B$91</f>
        <v/>
      </c>
      <c r="G62" s="85">
        <f>E62-F62</f>
        <v/>
      </c>
      <c r="H62" s="138">
        <f>SUMPRODUCT(MMULT(B62:D62,$B$79:$D$81),B62:D62)</f>
        <v/>
      </c>
      <c r="I62" s="103">
        <f>(G62/(1-H62))^2</f>
        <v/>
      </c>
    </row>
    <row r="63" ht="15" customHeight="1" s="68">
      <c r="A63" s="70">
        <f>'11_문서단위'!A63</f>
        <v/>
      </c>
      <c r="B63" s="101" t="n">
        <v>1</v>
      </c>
      <c r="C63" s="85">
        <f>'11_문서단위'!D63</f>
        <v/>
      </c>
      <c r="D63" s="85">
        <f>'11_문서단위'!E63</f>
        <v/>
      </c>
      <c r="E63" s="85">
        <f>'11_문서단위'!B63</f>
        <v/>
      </c>
      <c r="F63" s="85">
        <f>$B63*$B$89+$C63*$B$90+$D63*$B$91</f>
        <v/>
      </c>
      <c r="G63" s="85">
        <f>E63-F63</f>
        <v/>
      </c>
      <c r="H63" s="138">
        <f>SUMPRODUCT(MMULT(B63:D63,$B$79:$D$81),B63:D63)</f>
        <v/>
      </c>
      <c r="I63" s="103">
        <f>(G63/(1-H63))^2</f>
        <v/>
      </c>
    </row>
    <row r="64" ht="15" customHeight="1" s="68">
      <c r="A64" s="70">
        <f>'11_문서단위'!A64</f>
        <v/>
      </c>
      <c r="B64" s="101" t="n">
        <v>1</v>
      </c>
      <c r="C64" s="85">
        <f>'11_문서단위'!D64</f>
        <v/>
      </c>
      <c r="D64" s="85">
        <f>'11_문서단위'!E64</f>
        <v/>
      </c>
      <c r="E64" s="85">
        <f>'11_문서단위'!B64</f>
        <v/>
      </c>
      <c r="F64" s="85">
        <f>$B64*$B$89+$C64*$B$90+$D64*$B$91</f>
        <v/>
      </c>
      <c r="G64" s="85">
        <f>E64-F64</f>
        <v/>
      </c>
      <c r="H64" s="138">
        <f>SUMPRODUCT(MMULT(B64:D64,$B$79:$D$81),B64:D64)</f>
        <v/>
      </c>
      <c r="I64" s="103">
        <f>(G64/(1-H64))^2</f>
        <v/>
      </c>
    </row>
    <row r="65" ht="15" customHeight="1" s="68">
      <c r="A65" s="70">
        <f>'11_문서단위'!A65</f>
        <v/>
      </c>
      <c r="B65" s="101" t="n">
        <v>1</v>
      </c>
      <c r="C65" s="85">
        <f>'11_문서단위'!D65</f>
        <v/>
      </c>
      <c r="D65" s="85">
        <f>'11_문서단위'!E65</f>
        <v/>
      </c>
      <c r="E65" s="85">
        <f>'11_문서단위'!B65</f>
        <v/>
      </c>
      <c r="F65" s="85">
        <f>$B65*$B$89+$C65*$B$90+$D65*$B$91</f>
        <v/>
      </c>
      <c r="G65" s="85">
        <f>E65-F65</f>
        <v/>
      </c>
      <c r="H65" s="138">
        <f>SUMPRODUCT(MMULT(B65:D65,$B$79:$D$81),B65:D65)</f>
        <v/>
      </c>
      <c r="I65" s="103">
        <f>(G65/(1-H65))^2</f>
        <v/>
      </c>
    </row>
    <row r="66" ht="15" customHeight="1" s="68">
      <c r="A66" s="70">
        <f>'11_문서단위'!A66</f>
        <v/>
      </c>
      <c r="B66" s="101" t="n">
        <v>1</v>
      </c>
      <c r="C66" s="85">
        <f>'11_문서단위'!D66</f>
        <v/>
      </c>
      <c r="D66" s="85">
        <f>'11_문서단위'!E66</f>
        <v/>
      </c>
      <c r="E66" s="85">
        <f>'11_문서단위'!B66</f>
        <v/>
      </c>
      <c r="F66" s="85">
        <f>$B66*$B$89+$C66*$B$90+$D66*$B$91</f>
        <v/>
      </c>
      <c r="G66" s="85">
        <f>E66-F66</f>
        <v/>
      </c>
      <c r="H66" s="138">
        <f>SUMPRODUCT(MMULT(B66:D66,$B$79:$D$81),B66:D66)</f>
        <v/>
      </c>
      <c r="I66" s="103">
        <f>(G66/(1-H66))^2</f>
        <v/>
      </c>
    </row>
    <row r="67" ht="15" customHeight="1" s="68">
      <c r="A67" s="70">
        <f>'11_문서단위'!A67</f>
        <v/>
      </c>
      <c r="B67" s="101" t="n">
        <v>1</v>
      </c>
      <c r="C67" s="85">
        <f>'11_문서단위'!D67</f>
        <v/>
      </c>
      <c r="D67" s="85">
        <f>'11_문서단위'!E67</f>
        <v/>
      </c>
      <c r="E67" s="85">
        <f>'11_문서단위'!B67</f>
        <v/>
      </c>
      <c r="F67" s="85">
        <f>$B67*$B$89+$C67*$B$90+$D67*$B$91</f>
        <v/>
      </c>
      <c r="G67" s="85">
        <f>E67-F67</f>
        <v/>
      </c>
      <c r="H67" s="138">
        <f>SUMPRODUCT(MMULT(B67:D67,$B$79:$D$81),B67:D67)</f>
        <v/>
      </c>
      <c r="I67" s="103">
        <f>(G67/(1-H67))^2</f>
        <v/>
      </c>
    </row>
    <row r="68" ht="15" customHeight="1" s="68">
      <c r="A68" s="70">
        <f>'11_문서단위'!A68</f>
        <v/>
      </c>
      <c r="B68" s="101" t="n">
        <v>1</v>
      </c>
      <c r="C68" s="85">
        <f>'11_문서단위'!D68</f>
        <v/>
      </c>
      <c r="D68" s="85">
        <f>'11_문서단위'!E68</f>
        <v/>
      </c>
      <c r="E68" s="85">
        <f>'11_문서단위'!B68</f>
        <v/>
      </c>
      <c r="F68" s="85">
        <f>$B68*$B$89+$C68*$B$90+$D68*$B$91</f>
        <v/>
      </c>
      <c r="G68" s="85">
        <f>E68-F68</f>
        <v/>
      </c>
      <c r="H68" s="138">
        <f>SUMPRODUCT(MMULT(B68:D68,$B$79:$D$81),B68:D68)</f>
        <v/>
      </c>
      <c r="I68" s="103">
        <f>(G68/(1-H68))^2</f>
        <v/>
      </c>
    </row>
    <row r="69" ht="15" customHeight="1" s="68">
      <c r="A69" s="70">
        <f>'11_문서단위'!A69</f>
        <v/>
      </c>
      <c r="B69" s="101" t="n">
        <v>1</v>
      </c>
      <c r="C69" s="85">
        <f>'11_문서단위'!D69</f>
        <v/>
      </c>
      <c r="D69" s="85">
        <f>'11_문서단위'!E69</f>
        <v/>
      </c>
      <c r="E69" s="85">
        <f>'11_문서단위'!B69</f>
        <v/>
      </c>
      <c r="F69" s="85">
        <f>$B69*$B$89+$C69*$B$90+$D69*$B$91</f>
        <v/>
      </c>
      <c r="G69" s="85">
        <f>E69-F69</f>
        <v/>
      </c>
      <c r="H69" s="138">
        <f>SUMPRODUCT(MMULT(B69:D69,$B$79:$D$81),B69:D69)</f>
        <v/>
      </c>
      <c r="I69" s="103">
        <f>(G69/(1-H69))^2</f>
        <v/>
      </c>
    </row>
    <row r="72" ht="17.15" customHeight="1" s="68">
      <c r="A72" s="94" t="inlineStr">
        <is>
          <t>1단계: X'X  (설계행렬의 교차곱, 3x3)</t>
        </is>
      </c>
    </row>
    <row r="73" ht="15" customHeight="1" s="68">
      <c r="A73" s="79" t="inlineStr">
        <is>
          <t>X = [1, TEDS표_표준편차, 출력어휘량] 의 65x3 행렬. 각 셀 = SUMPRODUCT(열_i, 열_j)</t>
        </is>
      </c>
    </row>
    <row r="74" ht="15" customHeight="1" s="68">
      <c r="A74" s="79" t="inlineStr">
        <is>
          <t>B열</t>
        </is>
      </c>
      <c r="B74" s="96">
        <f>SUMPRODUCT($B$5:$B$69,$B$5:$B$69)</f>
        <v/>
      </c>
      <c r="C74" s="96">
        <f>SUMPRODUCT($B$5:$B$69,$C$5:$C$69)</f>
        <v/>
      </c>
      <c r="D74" s="96">
        <f>SUMPRODUCT($B$5:$B$69,$D$5:$D$69)</f>
        <v/>
      </c>
    </row>
    <row r="75" ht="15" customHeight="1" s="68">
      <c r="A75" s="79" t="inlineStr">
        <is>
          <t>C열</t>
        </is>
      </c>
      <c r="B75" s="96">
        <f>SUMPRODUCT($C$5:$C$69,$B$5:$B$69)</f>
        <v/>
      </c>
      <c r="C75" s="96">
        <f>SUMPRODUCT($C$5:$C$69,$C$5:$C$69)</f>
        <v/>
      </c>
      <c r="D75" s="96">
        <f>SUMPRODUCT($C$5:$C$69,$D$5:$D$69)</f>
        <v/>
      </c>
    </row>
    <row r="76" ht="15" customHeight="1" s="68">
      <c r="A76" s="79" t="inlineStr">
        <is>
          <t>D열</t>
        </is>
      </c>
      <c r="B76" s="96">
        <f>SUMPRODUCT($D$5:$D$69,$B$5:$B$69)</f>
        <v/>
      </c>
      <c r="C76" s="96">
        <f>SUMPRODUCT($D$5:$D$69,$C$5:$C$69)</f>
        <v/>
      </c>
      <c r="D76" s="96">
        <f>SUMPRODUCT($D$5:$D$69,$D$5:$D$69)</f>
        <v/>
      </c>
    </row>
    <row r="78" ht="17.15" customHeight="1" s="68">
      <c r="A78" s="94" t="inlineStr">
        <is>
          <t>2단계: inv(X'X)  (역행렬)</t>
        </is>
      </c>
    </row>
    <row r="79" ht="15" customHeight="1" s="68">
      <c r="B79" s="85">
        <f>INDEX(MINVERSE($B$74:$D$76),1,1)</f>
        <v/>
      </c>
      <c r="C79" s="85">
        <f>INDEX(MINVERSE($B$74:$D$76),1,2)</f>
        <v/>
      </c>
      <c r="D79" s="85">
        <f>INDEX(MINVERSE($B$74:$D$76),1,3)</f>
        <v/>
      </c>
    </row>
    <row r="80" ht="15" customHeight="1" s="68">
      <c r="B80" s="85">
        <f>INDEX(MINVERSE($B$74:$D$76),2,1)</f>
        <v/>
      </c>
      <c r="C80" s="85">
        <f>INDEX(MINVERSE($B$74:$D$76),2,2)</f>
        <v/>
      </c>
      <c r="D80" s="85">
        <f>INDEX(MINVERSE($B$74:$D$76),2,3)</f>
        <v/>
      </c>
    </row>
    <row r="81" ht="15" customHeight="1" s="68">
      <c r="B81" s="85">
        <f>INDEX(MINVERSE($B$74:$D$76),3,1)</f>
        <v/>
      </c>
      <c r="C81" s="85">
        <f>INDEX(MINVERSE($B$74:$D$76),3,2)</f>
        <v/>
      </c>
      <c r="D81" s="85">
        <f>INDEX(MINVERSE($B$74:$D$76),3,3)</f>
        <v/>
      </c>
    </row>
    <row r="83" ht="17.15" customHeight="1" s="68">
      <c r="A83" s="94" t="inlineStr">
        <is>
          <t>3단계: X'y 와 회귀계수 beta = inv(X'X)·X'y</t>
        </is>
      </c>
    </row>
    <row r="84" ht="15" customHeight="1" s="68">
      <c r="A84" s="79" t="inlineStr">
        <is>
          <t>X'y B</t>
        </is>
      </c>
      <c r="B84" s="96">
        <f>SUMPRODUCT($B$5:$B$69,$E$5:$E$69)</f>
        <v/>
      </c>
    </row>
    <row r="85" ht="15" customHeight="1" s="68">
      <c r="A85" s="79" t="inlineStr">
        <is>
          <t>X'y C</t>
        </is>
      </c>
      <c r="B85" s="96">
        <f>SUMPRODUCT($C$5:$C$69,$E$5:$E$69)</f>
        <v/>
      </c>
    </row>
    <row r="86" ht="15" customHeight="1" s="68">
      <c r="A86" s="79" t="inlineStr">
        <is>
          <t>X'y D</t>
        </is>
      </c>
      <c r="B86" s="96">
        <f>SUMPRODUCT($D$5:$D$69,$E$5:$E$69)</f>
        <v/>
      </c>
    </row>
    <row r="89" ht="15" customHeight="1" s="68">
      <c r="A89" s="74" t="inlineStr">
        <is>
          <t>beta 절편</t>
        </is>
      </c>
      <c r="B89" s="139">
        <f>INDEX(MMULT($B$79:$D$81,$B$84:$B$86),1,1)</f>
        <v/>
      </c>
    </row>
    <row r="90" ht="15" customHeight="1" s="68">
      <c r="A90" s="74" t="inlineStr">
        <is>
          <t>beta TEDS표_표준편차</t>
        </is>
      </c>
      <c r="B90" s="139">
        <f>INDEX(MMULT($B$79:$D$81,$B$84:$B$86),2,1)</f>
        <v/>
      </c>
    </row>
    <row r="91" ht="15" customHeight="1" s="68">
      <c r="A91" s="74" t="inlineStr">
        <is>
          <t>beta 출력어휘량</t>
        </is>
      </c>
      <c r="B91" s="139">
        <f>INDEX(MMULT($B$79:$D$81,$B$84:$B$86),3,1)</f>
        <v/>
      </c>
    </row>
    <row r="92" ht="17.15" customHeight="1" s="68">
      <c r="A92" s="94" t="inlineStr">
        <is>
          <t>4단계: 적합도 통계</t>
        </is>
      </c>
    </row>
    <row r="93" ht="15" customHeight="1" s="68">
      <c r="A93" s="74" t="inlineStr">
        <is>
          <t>n (문서 수)</t>
        </is>
      </c>
      <c r="B93" s="101">
        <f>COUNT($E$5:$E$69)</f>
        <v/>
      </c>
      <c r="C93" s="79" t="inlineStr">
        <is>
          <t>n</t>
        </is>
      </c>
    </row>
    <row r="94" ht="15" customHeight="1" s="68">
      <c r="A94" s="74" t="inlineStr">
        <is>
          <t>p (모수 개수, 절편 포함)</t>
        </is>
      </c>
      <c r="B94" s="101">
        <f>3</f>
        <v/>
      </c>
      <c r="C94" s="79" t="inlineStr">
        <is>
          <t>k</t>
        </is>
      </c>
    </row>
    <row r="95" ht="15" customHeight="1" s="68">
      <c r="A95" s="74" t="inlineStr">
        <is>
          <t>SS_total</t>
        </is>
      </c>
      <c r="B95" s="85">
        <f>SUMPRODUCT(($E$5:$E$69-AVERAGE($E$5:$E$69))^2)</f>
        <v/>
      </c>
      <c r="C95" s="79" t="inlineStr">
        <is>
          <t>Σ(y − ȳ)²</t>
        </is>
      </c>
    </row>
    <row r="96" ht="15" customHeight="1" s="68">
      <c r="A96" s="74" t="inlineStr">
        <is>
          <t>SS_residual</t>
        </is>
      </c>
      <c r="B96" s="85">
        <f>SUMPRODUCT($G$5:$G$69,$G$5:$G$69)</f>
        <v/>
      </c>
      <c r="C96" s="79" t="inlineStr">
        <is>
          <t>Σe²</t>
        </is>
      </c>
    </row>
    <row r="97" ht="15" customHeight="1" s="68">
      <c r="A97" s="74" t="inlineStr">
        <is>
          <t>R²</t>
        </is>
      </c>
      <c r="B97" s="97">
        <f>1-B96/B95</f>
        <v/>
      </c>
      <c r="C97" s="79" t="inlineStr">
        <is>
          <t>1 − SS_res/SS_tot</t>
        </is>
      </c>
    </row>
    <row r="98" ht="15" customHeight="1" s="68">
      <c r="A98" s="74" t="inlineStr">
        <is>
          <t>adjusted R²</t>
        </is>
      </c>
      <c r="B98" s="97">
        <f>1-(1-B97)*(B93-1)/(B93-B94)</f>
        <v/>
      </c>
      <c r="C98" s="79" t="inlineStr">
        <is>
          <t>1 − (1−R²)(n−1)/(n−p)</t>
        </is>
      </c>
    </row>
    <row r="99" ht="15" customHeight="1" s="68">
      <c r="A99" s="74" t="inlineStr">
        <is>
          <t>F</t>
        </is>
      </c>
      <c r="B99" s="86">
        <f>(B97/(B94-1))/((1-B97)/(B93-B94))</f>
        <v/>
      </c>
      <c r="C99" s="79" t="inlineStr">
        <is>
          <t>(R²/(p−1)) / ((1−R²)/(n−p))</t>
        </is>
      </c>
    </row>
    <row r="100" ht="15" customHeight="1" s="68">
      <c r="A100" s="74" t="inlineStr">
        <is>
          <t>p (F 검정)</t>
        </is>
      </c>
      <c r="B100" s="103">
        <f>FDIST(B99,B94-1,B93-B94)</f>
        <v/>
      </c>
      <c r="C100" s="79" t="inlineStr">
        <is>
          <t>FDIST</t>
        </is>
      </c>
    </row>
    <row r="101" ht="15" customHeight="1" s="68">
      <c r="A101" s="74" t="inlineStr">
        <is>
          <t>PRESS</t>
        </is>
      </c>
      <c r="B101" s="85">
        <f>SUM($I$5:$I$69)</f>
        <v/>
      </c>
      <c r="C101" s="79" t="inlineStr">
        <is>
          <t>Σ (e_i/(1−h_ii))²</t>
        </is>
      </c>
    </row>
    <row r="102" ht="15" customHeight="1" s="68">
      <c r="A102" s="74" t="inlineStr">
        <is>
          <t>LOOCV R²</t>
        </is>
      </c>
      <c r="B102" s="97">
        <f>1-B101/B95</f>
        <v/>
      </c>
      <c r="C102" s="79" t="inlineStr">
        <is>
          <t>1 − PRESS/SS_tot</t>
        </is>
      </c>
    </row>
    <row r="104" ht="17.15" customHeight="1" s="68">
      <c r="A104" s="94" t="inlineStr">
        <is>
          <t>LOOCV(단일제거 교차검증)를 행렬로 계산하는 원리</t>
        </is>
      </c>
    </row>
    <row r="105" ht="15" customHeight="1" s="68">
      <c r="A105" s="70" t="inlineStr">
        <is>
          <t>관측치 i를 빼고 다시 적합한 뒤 i를 예측한 오차는, 전체 적합 잔차 e_i와 레버리지 h_ii만으로 e_i/(1−h_ii)로 정확히 구해진다(PRESS 항등식). 65번 재적합할 필요가 없다.</t>
        </is>
      </c>
    </row>
    <row r="106" ht="15" customHeight="1" s="68">
      <c r="A106" s="79" t="inlineStr">
        <is>
          <t>h_ii = x_i · inv(X'X) · x_iᵀ 이며, 관측치 i가 자기 적합값을 끌어당기는 힘이다. LOOCV R² = 1 − PRESS/SS_total 이 음수면 표본평균보다도 예측이 나쁘다는 뜻이다.</t>
        </is>
      </c>
    </row>
    <row r="108" ht="15" customHeight="1" s="68">
      <c r="A108" s="70" t="inlineStr">
        <is>
          <t>해석: 두 신호가 문서별 평가 결과 변동의 약 67%를 설명한다. TEDS 표구조 분산이 지배적이며(단독 R²=0.632), 출력 어휘량은 단독 설명력은 약하나 TEDS 분산과 거의 독립이어서 결합 시 교차검증 성능을 개선한다.</t>
        </is>
      </c>
    </row>
    <row r="109" ht="15" customHeight="1" s="68">
      <c r="A109" s="70" t="inlineStr">
        <is>
          <t>두 계수 모두 음수다. 표 구조 정합성의 조합 간 분산이 크거나 출력이 장황한 문서일수록 레퍼런스 정합성이 낮다.</t>
        </is>
      </c>
    </row>
    <row r="110" ht="15" customHeight="1" s="68">
      <c r="A110" s="70" t="inlineStr">
        <is>
          <t>한계: TEDS 분산은 Overall Score의 구성요소에서 파생된 신호이며, 운영 시점에 레퍼런스 호출을 전제한다. 이를 해소한 것이 13_레퍼런스프리 시트다.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J1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6" customWidth="1" style="67" min="1" max="1"/>
    <col width="15" customWidth="1" style="67" min="2" max="6"/>
    <col width="14" customWidth="1" style="67" min="7" max="10"/>
  </cols>
  <sheetData>
    <row r="1" ht="21.6" customHeight="1" s="68">
      <c r="A1" s="89" t="inlineStr">
        <is>
          <t>레퍼런스-프리 3신호 회귀 (논문 4.3 후반)</t>
        </is>
      </c>
    </row>
    <row r="2" ht="15" customHeight="1" s="68">
      <c r="A2" s="70" t="inlineStr">
        <is>
          <t>레퍼런스를 전혀 호출하지 않고 로컬 모델 출력끼리의 상호 합의도만으로 정합성을 예측할 수 있는가</t>
        </is>
      </c>
    </row>
    <row r="4" ht="15" customHeight="1" s="68">
      <c r="A4" s="82" t="inlineStr">
        <is>
          <t>document_id</t>
        </is>
      </c>
      <c r="B4" s="82" t="inlineStr">
        <is>
          <t>x0 (절편)</t>
        </is>
      </c>
      <c r="C4" s="78" t="inlineStr">
        <is>
          <t>로컬합의도_평균</t>
        </is>
      </c>
      <c r="D4" s="78" t="inlineStr">
        <is>
          <t>로컬합의도_분산</t>
        </is>
      </c>
      <c r="E4" s="78" t="inlineStr">
        <is>
          <t>출력어휘량</t>
        </is>
      </c>
      <c r="F4" s="82" t="inlineStr">
        <is>
          <t>y (종속변수)</t>
        </is>
      </c>
      <c r="G4" s="82" t="inlineStr">
        <is>
          <t>y_hat (적합값)</t>
        </is>
      </c>
      <c r="H4" s="82" t="inlineStr">
        <is>
          <t>e (잔차)</t>
        </is>
      </c>
      <c r="I4" s="82" t="inlineStr">
        <is>
          <t>h_ii (레버리지)</t>
        </is>
      </c>
      <c r="J4" s="82" t="inlineStr">
        <is>
          <t>(e/(1-h))²</t>
        </is>
      </c>
    </row>
    <row r="5" ht="15" customHeight="1" s="68">
      <c r="A5" s="70">
        <f>'11_문서단위'!A5</f>
        <v/>
      </c>
      <c r="B5" s="101" t="n">
        <v>1</v>
      </c>
      <c r="C5" s="85">
        <f>'11_문서단위'!F5</f>
        <v/>
      </c>
      <c r="D5" s="85">
        <f>'11_문서단위'!G5</f>
        <v/>
      </c>
      <c r="E5" s="85">
        <f>'11_문서단위'!E5</f>
        <v/>
      </c>
      <c r="F5" s="85">
        <f>'11_문서단위'!B5</f>
        <v/>
      </c>
      <c r="G5" s="85">
        <f>$B5*$B$92+$C5*$B$93+$D5*$B$94+$E5*$B$95</f>
        <v/>
      </c>
      <c r="H5" s="85">
        <f>F5-G5</f>
        <v/>
      </c>
      <c r="I5" s="138">
        <f>SUMPRODUCT(MMULT(B5:E5,$B$80:$E$83),B5:E5)</f>
        <v/>
      </c>
      <c r="J5" s="103">
        <f>(H5/(1-I5))^2</f>
        <v/>
      </c>
    </row>
    <row r="6" ht="15" customHeight="1" s="68">
      <c r="A6" s="70">
        <f>'11_문서단위'!A6</f>
        <v/>
      </c>
      <c r="B6" s="101" t="n">
        <v>1</v>
      </c>
      <c r="C6" s="85">
        <f>'11_문서단위'!F6</f>
        <v/>
      </c>
      <c r="D6" s="85">
        <f>'11_문서단위'!G6</f>
        <v/>
      </c>
      <c r="E6" s="85">
        <f>'11_문서단위'!E6</f>
        <v/>
      </c>
      <c r="F6" s="85">
        <f>'11_문서단위'!B6</f>
        <v/>
      </c>
      <c r="G6" s="85">
        <f>$B6*$B$92+$C6*$B$93+$D6*$B$94+$E6*$B$95</f>
        <v/>
      </c>
      <c r="H6" s="85">
        <f>F6-G6</f>
        <v/>
      </c>
      <c r="I6" s="138">
        <f>SUMPRODUCT(MMULT(B6:E6,$B$80:$E$83),B6:E6)</f>
        <v/>
      </c>
      <c r="J6" s="103">
        <f>(H6/(1-I6))^2</f>
        <v/>
      </c>
    </row>
    <row r="7" ht="15" customHeight="1" s="68">
      <c r="A7" s="70">
        <f>'11_문서단위'!A7</f>
        <v/>
      </c>
      <c r="B7" s="101" t="n">
        <v>1</v>
      </c>
      <c r="C7" s="85">
        <f>'11_문서단위'!F7</f>
        <v/>
      </c>
      <c r="D7" s="85">
        <f>'11_문서단위'!G7</f>
        <v/>
      </c>
      <c r="E7" s="85">
        <f>'11_문서단위'!E7</f>
        <v/>
      </c>
      <c r="F7" s="85">
        <f>'11_문서단위'!B7</f>
        <v/>
      </c>
      <c r="G7" s="85">
        <f>$B7*$B$92+$C7*$B$93+$D7*$B$94+$E7*$B$95</f>
        <v/>
      </c>
      <c r="H7" s="85">
        <f>F7-G7</f>
        <v/>
      </c>
      <c r="I7" s="138">
        <f>SUMPRODUCT(MMULT(B7:E7,$B$80:$E$83),B7:E7)</f>
        <v/>
      </c>
      <c r="J7" s="103">
        <f>(H7/(1-I7))^2</f>
        <v/>
      </c>
    </row>
    <row r="8" ht="15" customHeight="1" s="68">
      <c r="A8" s="70">
        <f>'11_문서단위'!A8</f>
        <v/>
      </c>
      <c r="B8" s="101" t="n">
        <v>1</v>
      </c>
      <c r="C8" s="85">
        <f>'11_문서단위'!F8</f>
        <v/>
      </c>
      <c r="D8" s="85">
        <f>'11_문서단위'!G8</f>
        <v/>
      </c>
      <c r="E8" s="85">
        <f>'11_문서단위'!E8</f>
        <v/>
      </c>
      <c r="F8" s="85">
        <f>'11_문서단위'!B8</f>
        <v/>
      </c>
      <c r="G8" s="85">
        <f>$B8*$B$92+$C8*$B$93+$D8*$B$94+$E8*$B$95</f>
        <v/>
      </c>
      <c r="H8" s="85">
        <f>F8-G8</f>
        <v/>
      </c>
      <c r="I8" s="138">
        <f>SUMPRODUCT(MMULT(B8:E8,$B$80:$E$83),B8:E8)</f>
        <v/>
      </c>
      <c r="J8" s="103">
        <f>(H8/(1-I8))^2</f>
        <v/>
      </c>
    </row>
    <row r="9" ht="15" customHeight="1" s="68">
      <c r="A9" s="70">
        <f>'11_문서단위'!A9</f>
        <v/>
      </c>
      <c r="B9" s="101" t="n">
        <v>1</v>
      </c>
      <c r="C9" s="85">
        <f>'11_문서단위'!F9</f>
        <v/>
      </c>
      <c r="D9" s="85">
        <f>'11_문서단위'!G9</f>
        <v/>
      </c>
      <c r="E9" s="85">
        <f>'11_문서단위'!E9</f>
        <v/>
      </c>
      <c r="F9" s="85">
        <f>'11_문서단위'!B9</f>
        <v/>
      </c>
      <c r="G9" s="85">
        <f>$B9*$B$92+$C9*$B$93+$D9*$B$94+$E9*$B$95</f>
        <v/>
      </c>
      <c r="H9" s="85">
        <f>F9-G9</f>
        <v/>
      </c>
      <c r="I9" s="138">
        <f>SUMPRODUCT(MMULT(B9:E9,$B$80:$E$83),B9:E9)</f>
        <v/>
      </c>
      <c r="J9" s="103">
        <f>(H9/(1-I9))^2</f>
        <v/>
      </c>
    </row>
    <row r="10" ht="15" customHeight="1" s="68">
      <c r="A10" s="70">
        <f>'11_문서단위'!A10</f>
        <v/>
      </c>
      <c r="B10" s="101" t="n">
        <v>1</v>
      </c>
      <c r="C10" s="85">
        <f>'11_문서단위'!F10</f>
        <v/>
      </c>
      <c r="D10" s="85">
        <f>'11_문서단위'!G10</f>
        <v/>
      </c>
      <c r="E10" s="85">
        <f>'11_문서단위'!E10</f>
        <v/>
      </c>
      <c r="F10" s="85">
        <f>'11_문서단위'!B10</f>
        <v/>
      </c>
      <c r="G10" s="85">
        <f>$B10*$B$92+$C10*$B$93+$D10*$B$94+$E10*$B$95</f>
        <v/>
      </c>
      <c r="H10" s="85">
        <f>F10-G10</f>
        <v/>
      </c>
      <c r="I10" s="138">
        <f>SUMPRODUCT(MMULT(B10:E10,$B$80:$E$83),B10:E10)</f>
        <v/>
      </c>
      <c r="J10" s="103">
        <f>(H10/(1-I10))^2</f>
        <v/>
      </c>
    </row>
    <row r="11" ht="15" customHeight="1" s="68">
      <c r="A11" s="70">
        <f>'11_문서단위'!A11</f>
        <v/>
      </c>
      <c r="B11" s="101" t="n">
        <v>1</v>
      </c>
      <c r="C11" s="85">
        <f>'11_문서단위'!F11</f>
        <v/>
      </c>
      <c r="D11" s="85">
        <f>'11_문서단위'!G11</f>
        <v/>
      </c>
      <c r="E11" s="85">
        <f>'11_문서단위'!E11</f>
        <v/>
      </c>
      <c r="F11" s="85">
        <f>'11_문서단위'!B11</f>
        <v/>
      </c>
      <c r="G11" s="85">
        <f>$B11*$B$92+$C11*$B$93+$D11*$B$94+$E11*$B$95</f>
        <v/>
      </c>
      <c r="H11" s="85">
        <f>F11-G11</f>
        <v/>
      </c>
      <c r="I11" s="138">
        <f>SUMPRODUCT(MMULT(B11:E11,$B$80:$E$83),B11:E11)</f>
        <v/>
      </c>
      <c r="J11" s="103">
        <f>(H11/(1-I11))^2</f>
        <v/>
      </c>
    </row>
    <row r="12" ht="15" customHeight="1" s="68">
      <c r="A12" s="70">
        <f>'11_문서단위'!A12</f>
        <v/>
      </c>
      <c r="B12" s="101" t="n">
        <v>1</v>
      </c>
      <c r="C12" s="85">
        <f>'11_문서단위'!F12</f>
        <v/>
      </c>
      <c r="D12" s="85">
        <f>'11_문서단위'!G12</f>
        <v/>
      </c>
      <c r="E12" s="85">
        <f>'11_문서단위'!E12</f>
        <v/>
      </c>
      <c r="F12" s="85">
        <f>'11_문서단위'!B12</f>
        <v/>
      </c>
      <c r="G12" s="85">
        <f>$B12*$B$92+$C12*$B$93+$D12*$B$94+$E12*$B$95</f>
        <v/>
      </c>
      <c r="H12" s="85">
        <f>F12-G12</f>
        <v/>
      </c>
      <c r="I12" s="138">
        <f>SUMPRODUCT(MMULT(B12:E12,$B$80:$E$83),B12:E12)</f>
        <v/>
      </c>
      <c r="J12" s="103">
        <f>(H12/(1-I12))^2</f>
        <v/>
      </c>
    </row>
    <row r="13" ht="15" customHeight="1" s="68">
      <c r="A13" s="70">
        <f>'11_문서단위'!A13</f>
        <v/>
      </c>
      <c r="B13" s="101" t="n">
        <v>1</v>
      </c>
      <c r="C13" s="85">
        <f>'11_문서단위'!F13</f>
        <v/>
      </c>
      <c r="D13" s="85">
        <f>'11_문서단위'!G13</f>
        <v/>
      </c>
      <c r="E13" s="85">
        <f>'11_문서단위'!E13</f>
        <v/>
      </c>
      <c r="F13" s="85">
        <f>'11_문서단위'!B13</f>
        <v/>
      </c>
      <c r="G13" s="85">
        <f>$B13*$B$92+$C13*$B$93+$D13*$B$94+$E13*$B$95</f>
        <v/>
      </c>
      <c r="H13" s="85">
        <f>F13-G13</f>
        <v/>
      </c>
      <c r="I13" s="138">
        <f>SUMPRODUCT(MMULT(B13:E13,$B$80:$E$83),B13:E13)</f>
        <v/>
      </c>
      <c r="J13" s="103">
        <f>(H13/(1-I13))^2</f>
        <v/>
      </c>
    </row>
    <row r="14" ht="15" customHeight="1" s="68">
      <c r="A14" s="70">
        <f>'11_문서단위'!A14</f>
        <v/>
      </c>
      <c r="B14" s="101" t="n">
        <v>1</v>
      </c>
      <c r="C14" s="85">
        <f>'11_문서단위'!F14</f>
        <v/>
      </c>
      <c r="D14" s="85">
        <f>'11_문서단위'!G14</f>
        <v/>
      </c>
      <c r="E14" s="85">
        <f>'11_문서단위'!E14</f>
        <v/>
      </c>
      <c r="F14" s="85">
        <f>'11_문서단위'!B14</f>
        <v/>
      </c>
      <c r="G14" s="85">
        <f>$B14*$B$92+$C14*$B$93+$D14*$B$94+$E14*$B$95</f>
        <v/>
      </c>
      <c r="H14" s="85">
        <f>F14-G14</f>
        <v/>
      </c>
      <c r="I14" s="138">
        <f>SUMPRODUCT(MMULT(B14:E14,$B$80:$E$83),B14:E14)</f>
        <v/>
      </c>
      <c r="J14" s="103">
        <f>(H14/(1-I14))^2</f>
        <v/>
      </c>
    </row>
    <row r="15" ht="15" customHeight="1" s="68">
      <c r="A15" s="70">
        <f>'11_문서단위'!A15</f>
        <v/>
      </c>
      <c r="B15" s="101" t="n">
        <v>1</v>
      </c>
      <c r="C15" s="85">
        <f>'11_문서단위'!F15</f>
        <v/>
      </c>
      <c r="D15" s="85">
        <f>'11_문서단위'!G15</f>
        <v/>
      </c>
      <c r="E15" s="85">
        <f>'11_문서단위'!E15</f>
        <v/>
      </c>
      <c r="F15" s="85">
        <f>'11_문서단위'!B15</f>
        <v/>
      </c>
      <c r="G15" s="85">
        <f>$B15*$B$92+$C15*$B$93+$D15*$B$94+$E15*$B$95</f>
        <v/>
      </c>
      <c r="H15" s="85">
        <f>F15-G15</f>
        <v/>
      </c>
      <c r="I15" s="138">
        <f>SUMPRODUCT(MMULT(B15:E15,$B$80:$E$83),B15:E15)</f>
        <v/>
      </c>
      <c r="J15" s="103">
        <f>(H15/(1-I15))^2</f>
        <v/>
      </c>
    </row>
    <row r="16" ht="15" customHeight="1" s="68">
      <c r="A16" s="70">
        <f>'11_문서단위'!A16</f>
        <v/>
      </c>
      <c r="B16" s="101" t="n">
        <v>1</v>
      </c>
      <c r="C16" s="85">
        <f>'11_문서단위'!F16</f>
        <v/>
      </c>
      <c r="D16" s="85">
        <f>'11_문서단위'!G16</f>
        <v/>
      </c>
      <c r="E16" s="85">
        <f>'11_문서단위'!E16</f>
        <v/>
      </c>
      <c r="F16" s="85">
        <f>'11_문서단위'!B16</f>
        <v/>
      </c>
      <c r="G16" s="85">
        <f>$B16*$B$92+$C16*$B$93+$D16*$B$94+$E16*$B$95</f>
        <v/>
      </c>
      <c r="H16" s="85">
        <f>F16-G16</f>
        <v/>
      </c>
      <c r="I16" s="138">
        <f>SUMPRODUCT(MMULT(B16:E16,$B$80:$E$83),B16:E16)</f>
        <v/>
      </c>
      <c r="J16" s="103">
        <f>(H16/(1-I16))^2</f>
        <v/>
      </c>
    </row>
    <row r="17" ht="15" customHeight="1" s="68">
      <c r="A17" s="70">
        <f>'11_문서단위'!A17</f>
        <v/>
      </c>
      <c r="B17" s="101" t="n">
        <v>1</v>
      </c>
      <c r="C17" s="85">
        <f>'11_문서단위'!F17</f>
        <v/>
      </c>
      <c r="D17" s="85">
        <f>'11_문서단위'!G17</f>
        <v/>
      </c>
      <c r="E17" s="85">
        <f>'11_문서단위'!E17</f>
        <v/>
      </c>
      <c r="F17" s="85">
        <f>'11_문서단위'!B17</f>
        <v/>
      </c>
      <c r="G17" s="85">
        <f>$B17*$B$92+$C17*$B$93+$D17*$B$94+$E17*$B$95</f>
        <v/>
      </c>
      <c r="H17" s="85">
        <f>F17-G17</f>
        <v/>
      </c>
      <c r="I17" s="138">
        <f>SUMPRODUCT(MMULT(B17:E17,$B$80:$E$83),B17:E17)</f>
        <v/>
      </c>
      <c r="J17" s="103">
        <f>(H17/(1-I17))^2</f>
        <v/>
      </c>
    </row>
    <row r="18" ht="15" customHeight="1" s="68">
      <c r="A18" s="70">
        <f>'11_문서단위'!A18</f>
        <v/>
      </c>
      <c r="B18" s="101" t="n">
        <v>1</v>
      </c>
      <c r="C18" s="85">
        <f>'11_문서단위'!F18</f>
        <v/>
      </c>
      <c r="D18" s="85">
        <f>'11_문서단위'!G18</f>
        <v/>
      </c>
      <c r="E18" s="85">
        <f>'11_문서단위'!E18</f>
        <v/>
      </c>
      <c r="F18" s="85">
        <f>'11_문서단위'!B18</f>
        <v/>
      </c>
      <c r="G18" s="85">
        <f>$B18*$B$92+$C18*$B$93+$D18*$B$94+$E18*$B$95</f>
        <v/>
      </c>
      <c r="H18" s="85">
        <f>F18-G18</f>
        <v/>
      </c>
      <c r="I18" s="138">
        <f>SUMPRODUCT(MMULT(B18:E18,$B$80:$E$83),B18:E18)</f>
        <v/>
      </c>
      <c r="J18" s="103">
        <f>(H18/(1-I18))^2</f>
        <v/>
      </c>
    </row>
    <row r="19" ht="15" customHeight="1" s="68">
      <c r="A19" s="70">
        <f>'11_문서단위'!A19</f>
        <v/>
      </c>
      <c r="B19" s="101" t="n">
        <v>1</v>
      </c>
      <c r="C19" s="85">
        <f>'11_문서단위'!F19</f>
        <v/>
      </c>
      <c r="D19" s="85">
        <f>'11_문서단위'!G19</f>
        <v/>
      </c>
      <c r="E19" s="85">
        <f>'11_문서단위'!E19</f>
        <v/>
      </c>
      <c r="F19" s="85">
        <f>'11_문서단위'!B19</f>
        <v/>
      </c>
      <c r="G19" s="85">
        <f>$B19*$B$92+$C19*$B$93+$D19*$B$94+$E19*$B$95</f>
        <v/>
      </c>
      <c r="H19" s="85">
        <f>F19-G19</f>
        <v/>
      </c>
      <c r="I19" s="138">
        <f>SUMPRODUCT(MMULT(B19:E19,$B$80:$E$83),B19:E19)</f>
        <v/>
      </c>
      <c r="J19" s="103">
        <f>(H19/(1-I19))^2</f>
        <v/>
      </c>
    </row>
    <row r="20" ht="15" customHeight="1" s="68">
      <c r="A20" s="70">
        <f>'11_문서단위'!A20</f>
        <v/>
      </c>
      <c r="B20" s="101" t="n">
        <v>1</v>
      </c>
      <c r="C20" s="85">
        <f>'11_문서단위'!F20</f>
        <v/>
      </c>
      <c r="D20" s="85">
        <f>'11_문서단위'!G20</f>
        <v/>
      </c>
      <c r="E20" s="85">
        <f>'11_문서단위'!E20</f>
        <v/>
      </c>
      <c r="F20" s="85">
        <f>'11_문서단위'!B20</f>
        <v/>
      </c>
      <c r="G20" s="85">
        <f>$B20*$B$92+$C20*$B$93+$D20*$B$94+$E20*$B$95</f>
        <v/>
      </c>
      <c r="H20" s="85">
        <f>F20-G20</f>
        <v/>
      </c>
      <c r="I20" s="138">
        <f>SUMPRODUCT(MMULT(B20:E20,$B$80:$E$83),B20:E20)</f>
        <v/>
      </c>
      <c r="J20" s="103">
        <f>(H20/(1-I20))^2</f>
        <v/>
      </c>
    </row>
    <row r="21" ht="15" customHeight="1" s="68">
      <c r="A21" s="70">
        <f>'11_문서단위'!A21</f>
        <v/>
      </c>
      <c r="B21" s="101" t="n">
        <v>1</v>
      </c>
      <c r="C21" s="85">
        <f>'11_문서단위'!F21</f>
        <v/>
      </c>
      <c r="D21" s="85">
        <f>'11_문서단위'!G21</f>
        <v/>
      </c>
      <c r="E21" s="85">
        <f>'11_문서단위'!E21</f>
        <v/>
      </c>
      <c r="F21" s="85">
        <f>'11_문서단위'!B21</f>
        <v/>
      </c>
      <c r="G21" s="85">
        <f>$B21*$B$92+$C21*$B$93+$D21*$B$94+$E21*$B$95</f>
        <v/>
      </c>
      <c r="H21" s="85">
        <f>F21-G21</f>
        <v/>
      </c>
      <c r="I21" s="138">
        <f>SUMPRODUCT(MMULT(B21:E21,$B$80:$E$83),B21:E21)</f>
        <v/>
      </c>
      <c r="J21" s="103">
        <f>(H21/(1-I21))^2</f>
        <v/>
      </c>
    </row>
    <row r="22" ht="15" customHeight="1" s="68">
      <c r="A22" s="70">
        <f>'11_문서단위'!A22</f>
        <v/>
      </c>
      <c r="B22" s="101" t="n">
        <v>1</v>
      </c>
      <c r="C22" s="85">
        <f>'11_문서단위'!F22</f>
        <v/>
      </c>
      <c r="D22" s="85">
        <f>'11_문서단위'!G22</f>
        <v/>
      </c>
      <c r="E22" s="85">
        <f>'11_문서단위'!E22</f>
        <v/>
      </c>
      <c r="F22" s="85">
        <f>'11_문서단위'!B22</f>
        <v/>
      </c>
      <c r="G22" s="85">
        <f>$B22*$B$92+$C22*$B$93+$D22*$B$94+$E22*$B$95</f>
        <v/>
      </c>
      <c r="H22" s="85">
        <f>F22-G22</f>
        <v/>
      </c>
      <c r="I22" s="138">
        <f>SUMPRODUCT(MMULT(B22:E22,$B$80:$E$83),B22:E22)</f>
        <v/>
      </c>
      <c r="J22" s="103">
        <f>(H22/(1-I22))^2</f>
        <v/>
      </c>
    </row>
    <row r="23" ht="15" customHeight="1" s="68">
      <c r="A23" s="70">
        <f>'11_문서단위'!A23</f>
        <v/>
      </c>
      <c r="B23" s="101" t="n">
        <v>1</v>
      </c>
      <c r="C23" s="85">
        <f>'11_문서단위'!F23</f>
        <v/>
      </c>
      <c r="D23" s="85">
        <f>'11_문서단위'!G23</f>
        <v/>
      </c>
      <c r="E23" s="85">
        <f>'11_문서단위'!E23</f>
        <v/>
      </c>
      <c r="F23" s="85">
        <f>'11_문서단위'!B23</f>
        <v/>
      </c>
      <c r="G23" s="85">
        <f>$B23*$B$92+$C23*$B$93+$D23*$B$94+$E23*$B$95</f>
        <v/>
      </c>
      <c r="H23" s="85">
        <f>F23-G23</f>
        <v/>
      </c>
      <c r="I23" s="138">
        <f>SUMPRODUCT(MMULT(B23:E23,$B$80:$E$83),B23:E23)</f>
        <v/>
      </c>
      <c r="J23" s="103">
        <f>(H23/(1-I23))^2</f>
        <v/>
      </c>
    </row>
    <row r="24" ht="15" customHeight="1" s="68">
      <c r="A24" s="70">
        <f>'11_문서단위'!A24</f>
        <v/>
      </c>
      <c r="B24" s="101" t="n">
        <v>1</v>
      </c>
      <c r="C24" s="85">
        <f>'11_문서단위'!F24</f>
        <v/>
      </c>
      <c r="D24" s="85">
        <f>'11_문서단위'!G24</f>
        <v/>
      </c>
      <c r="E24" s="85">
        <f>'11_문서단위'!E24</f>
        <v/>
      </c>
      <c r="F24" s="85">
        <f>'11_문서단위'!B24</f>
        <v/>
      </c>
      <c r="G24" s="85">
        <f>$B24*$B$92+$C24*$B$93+$D24*$B$94+$E24*$B$95</f>
        <v/>
      </c>
      <c r="H24" s="85">
        <f>F24-G24</f>
        <v/>
      </c>
      <c r="I24" s="138">
        <f>SUMPRODUCT(MMULT(B24:E24,$B$80:$E$83),B24:E24)</f>
        <v/>
      </c>
      <c r="J24" s="103">
        <f>(H24/(1-I24))^2</f>
        <v/>
      </c>
    </row>
    <row r="25" ht="15" customHeight="1" s="68">
      <c r="A25" s="70">
        <f>'11_문서단위'!A25</f>
        <v/>
      </c>
      <c r="B25" s="101" t="n">
        <v>1</v>
      </c>
      <c r="C25" s="85">
        <f>'11_문서단위'!F25</f>
        <v/>
      </c>
      <c r="D25" s="85">
        <f>'11_문서단위'!G25</f>
        <v/>
      </c>
      <c r="E25" s="85">
        <f>'11_문서단위'!E25</f>
        <v/>
      </c>
      <c r="F25" s="85">
        <f>'11_문서단위'!B25</f>
        <v/>
      </c>
      <c r="G25" s="85">
        <f>$B25*$B$92+$C25*$B$93+$D25*$B$94+$E25*$B$95</f>
        <v/>
      </c>
      <c r="H25" s="85">
        <f>F25-G25</f>
        <v/>
      </c>
      <c r="I25" s="138">
        <f>SUMPRODUCT(MMULT(B25:E25,$B$80:$E$83),B25:E25)</f>
        <v/>
      </c>
      <c r="J25" s="103">
        <f>(H25/(1-I25))^2</f>
        <v/>
      </c>
    </row>
    <row r="26" ht="15" customHeight="1" s="68">
      <c r="A26" s="70">
        <f>'11_문서단위'!A26</f>
        <v/>
      </c>
      <c r="B26" s="101" t="n">
        <v>1</v>
      </c>
      <c r="C26" s="85">
        <f>'11_문서단위'!F26</f>
        <v/>
      </c>
      <c r="D26" s="85">
        <f>'11_문서단위'!G26</f>
        <v/>
      </c>
      <c r="E26" s="85">
        <f>'11_문서단위'!E26</f>
        <v/>
      </c>
      <c r="F26" s="85">
        <f>'11_문서단위'!B26</f>
        <v/>
      </c>
      <c r="G26" s="85">
        <f>$B26*$B$92+$C26*$B$93+$D26*$B$94+$E26*$B$95</f>
        <v/>
      </c>
      <c r="H26" s="85">
        <f>F26-G26</f>
        <v/>
      </c>
      <c r="I26" s="138">
        <f>SUMPRODUCT(MMULT(B26:E26,$B$80:$E$83),B26:E26)</f>
        <v/>
      </c>
      <c r="J26" s="103">
        <f>(H26/(1-I26))^2</f>
        <v/>
      </c>
    </row>
    <row r="27" ht="15" customHeight="1" s="68">
      <c r="A27" s="70">
        <f>'11_문서단위'!A27</f>
        <v/>
      </c>
      <c r="B27" s="101" t="n">
        <v>1</v>
      </c>
      <c r="C27" s="85">
        <f>'11_문서단위'!F27</f>
        <v/>
      </c>
      <c r="D27" s="85">
        <f>'11_문서단위'!G27</f>
        <v/>
      </c>
      <c r="E27" s="85">
        <f>'11_문서단위'!E27</f>
        <v/>
      </c>
      <c r="F27" s="85">
        <f>'11_문서단위'!B27</f>
        <v/>
      </c>
      <c r="G27" s="85">
        <f>$B27*$B$92+$C27*$B$93+$D27*$B$94+$E27*$B$95</f>
        <v/>
      </c>
      <c r="H27" s="85">
        <f>F27-G27</f>
        <v/>
      </c>
      <c r="I27" s="138">
        <f>SUMPRODUCT(MMULT(B27:E27,$B$80:$E$83),B27:E27)</f>
        <v/>
      </c>
      <c r="J27" s="103">
        <f>(H27/(1-I27))^2</f>
        <v/>
      </c>
    </row>
    <row r="28" ht="15" customHeight="1" s="68">
      <c r="A28" s="70">
        <f>'11_문서단위'!A28</f>
        <v/>
      </c>
      <c r="B28" s="101" t="n">
        <v>1</v>
      </c>
      <c r="C28" s="85">
        <f>'11_문서단위'!F28</f>
        <v/>
      </c>
      <c r="D28" s="85">
        <f>'11_문서단위'!G28</f>
        <v/>
      </c>
      <c r="E28" s="85">
        <f>'11_문서단위'!E28</f>
        <v/>
      </c>
      <c r="F28" s="85">
        <f>'11_문서단위'!B28</f>
        <v/>
      </c>
      <c r="G28" s="85">
        <f>$B28*$B$92+$C28*$B$93+$D28*$B$94+$E28*$B$95</f>
        <v/>
      </c>
      <c r="H28" s="85">
        <f>F28-G28</f>
        <v/>
      </c>
      <c r="I28" s="138">
        <f>SUMPRODUCT(MMULT(B28:E28,$B$80:$E$83),B28:E28)</f>
        <v/>
      </c>
      <c r="J28" s="103">
        <f>(H28/(1-I28))^2</f>
        <v/>
      </c>
    </row>
    <row r="29" ht="15" customHeight="1" s="68">
      <c r="A29" s="70">
        <f>'11_문서단위'!A29</f>
        <v/>
      </c>
      <c r="B29" s="101" t="n">
        <v>1</v>
      </c>
      <c r="C29" s="85">
        <f>'11_문서단위'!F29</f>
        <v/>
      </c>
      <c r="D29" s="85">
        <f>'11_문서단위'!G29</f>
        <v/>
      </c>
      <c r="E29" s="85">
        <f>'11_문서단위'!E29</f>
        <v/>
      </c>
      <c r="F29" s="85">
        <f>'11_문서단위'!B29</f>
        <v/>
      </c>
      <c r="G29" s="85">
        <f>$B29*$B$92+$C29*$B$93+$D29*$B$94+$E29*$B$95</f>
        <v/>
      </c>
      <c r="H29" s="85">
        <f>F29-G29</f>
        <v/>
      </c>
      <c r="I29" s="138">
        <f>SUMPRODUCT(MMULT(B29:E29,$B$80:$E$83),B29:E29)</f>
        <v/>
      </c>
      <c r="J29" s="103">
        <f>(H29/(1-I29))^2</f>
        <v/>
      </c>
    </row>
    <row r="30" ht="15" customHeight="1" s="68">
      <c r="A30" s="70">
        <f>'11_문서단위'!A30</f>
        <v/>
      </c>
      <c r="B30" s="101" t="n">
        <v>1</v>
      </c>
      <c r="C30" s="85">
        <f>'11_문서단위'!F30</f>
        <v/>
      </c>
      <c r="D30" s="85">
        <f>'11_문서단위'!G30</f>
        <v/>
      </c>
      <c r="E30" s="85">
        <f>'11_문서단위'!E30</f>
        <v/>
      </c>
      <c r="F30" s="85">
        <f>'11_문서단위'!B30</f>
        <v/>
      </c>
      <c r="G30" s="85">
        <f>$B30*$B$92+$C30*$B$93+$D30*$B$94+$E30*$B$95</f>
        <v/>
      </c>
      <c r="H30" s="85">
        <f>F30-G30</f>
        <v/>
      </c>
      <c r="I30" s="138">
        <f>SUMPRODUCT(MMULT(B30:E30,$B$80:$E$83),B30:E30)</f>
        <v/>
      </c>
      <c r="J30" s="103">
        <f>(H30/(1-I30))^2</f>
        <v/>
      </c>
    </row>
    <row r="31" ht="15" customHeight="1" s="68">
      <c r="A31" s="70">
        <f>'11_문서단위'!A31</f>
        <v/>
      </c>
      <c r="B31" s="101" t="n">
        <v>1</v>
      </c>
      <c r="C31" s="85">
        <f>'11_문서단위'!F31</f>
        <v/>
      </c>
      <c r="D31" s="85">
        <f>'11_문서단위'!G31</f>
        <v/>
      </c>
      <c r="E31" s="85">
        <f>'11_문서단위'!E31</f>
        <v/>
      </c>
      <c r="F31" s="85">
        <f>'11_문서단위'!B31</f>
        <v/>
      </c>
      <c r="G31" s="85">
        <f>$B31*$B$92+$C31*$B$93+$D31*$B$94+$E31*$B$95</f>
        <v/>
      </c>
      <c r="H31" s="85">
        <f>F31-G31</f>
        <v/>
      </c>
      <c r="I31" s="138">
        <f>SUMPRODUCT(MMULT(B31:E31,$B$80:$E$83),B31:E31)</f>
        <v/>
      </c>
      <c r="J31" s="103">
        <f>(H31/(1-I31))^2</f>
        <v/>
      </c>
    </row>
    <row r="32" ht="15" customHeight="1" s="68">
      <c r="A32" s="70">
        <f>'11_문서단위'!A32</f>
        <v/>
      </c>
      <c r="B32" s="101" t="n">
        <v>1</v>
      </c>
      <c r="C32" s="85">
        <f>'11_문서단위'!F32</f>
        <v/>
      </c>
      <c r="D32" s="85">
        <f>'11_문서단위'!G32</f>
        <v/>
      </c>
      <c r="E32" s="85">
        <f>'11_문서단위'!E32</f>
        <v/>
      </c>
      <c r="F32" s="85">
        <f>'11_문서단위'!B32</f>
        <v/>
      </c>
      <c r="G32" s="85">
        <f>$B32*$B$92+$C32*$B$93+$D32*$B$94+$E32*$B$95</f>
        <v/>
      </c>
      <c r="H32" s="85">
        <f>F32-G32</f>
        <v/>
      </c>
      <c r="I32" s="138">
        <f>SUMPRODUCT(MMULT(B32:E32,$B$80:$E$83),B32:E32)</f>
        <v/>
      </c>
      <c r="J32" s="103">
        <f>(H32/(1-I32))^2</f>
        <v/>
      </c>
    </row>
    <row r="33" ht="15" customHeight="1" s="68">
      <c r="A33" s="70">
        <f>'11_문서단위'!A33</f>
        <v/>
      </c>
      <c r="B33" s="101" t="n">
        <v>1</v>
      </c>
      <c r="C33" s="85">
        <f>'11_문서단위'!F33</f>
        <v/>
      </c>
      <c r="D33" s="85">
        <f>'11_문서단위'!G33</f>
        <v/>
      </c>
      <c r="E33" s="85">
        <f>'11_문서단위'!E33</f>
        <v/>
      </c>
      <c r="F33" s="85">
        <f>'11_문서단위'!B33</f>
        <v/>
      </c>
      <c r="G33" s="85">
        <f>$B33*$B$92+$C33*$B$93+$D33*$B$94+$E33*$B$95</f>
        <v/>
      </c>
      <c r="H33" s="85">
        <f>F33-G33</f>
        <v/>
      </c>
      <c r="I33" s="138">
        <f>SUMPRODUCT(MMULT(B33:E33,$B$80:$E$83),B33:E33)</f>
        <v/>
      </c>
      <c r="J33" s="103">
        <f>(H33/(1-I33))^2</f>
        <v/>
      </c>
    </row>
    <row r="34" ht="15" customHeight="1" s="68">
      <c r="A34" s="70">
        <f>'11_문서단위'!A34</f>
        <v/>
      </c>
      <c r="B34" s="101" t="n">
        <v>1</v>
      </c>
      <c r="C34" s="85">
        <f>'11_문서단위'!F34</f>
        <v/>
      </c>
      <c r="D34" s="85">
        <f>'11_문서단위'!G34</f>
        <v/>
      </c>
      <c r="E34" s="85">
        <f>'11_문서단위'!E34</f>
        <v/>
      </c>
      <c r="F34" s="85">
        <f>'11_문서단위'!B34</f>
        <v/>
      </c>
      <c r="G34" s="85">
        <f>$B34*$B$92+$C34*$B$93+$D34*$B$94+$E34*$B$95</f>
        <v/>
      </c>
      <c r="H34" s="85">
        <f>F34-G34</f>
        <v/>
      </c>
      <c r="I34" s="138">
        <f>SUMPRODUCT(MMULT(B34:E34,$B$80:$E$83),B34:E34)</f>
        <v/>
      </c>
      <c r="J34" s="103">
        <f>(H34/(1-I34))^2</f>
        <v/>
      </c>
    </row>
    <row r="35" ht="15" customHeight="1" s="68">
      <c r="A35" s="70">
        <f>'11_문서단위'!A35</f>
        <v/>
      </c>
      <c r="B35" s="101" t="n">
        <v>1</v>
      </c>
      <c r="C35" s="85">
        <f>'11_문서단위'!F35</f>
        <v/>
      </c>
      <c r="D35" s="85">
        <f>'11_문서단위'!G35</f>
        <v/>
      </c>
      <c r="E35" s="85">
        <f>'11_문서단위'!E35</f>
        <v/>
      </c>
      <c r="F35" s="85">
        <f>'11_문서단위'!B35</f>
        <v/>
      </c>
      <c r="G35" s="85">
        <f>$B35*$B$92+$C35*$B$93+$D35*$B$94+$E35*$B$95</f>
        <v/>
      </c>
      <c r="H35" s="85">
        <f>F35-G35</f>
        <v/>
      </c>
      <c r="I35" s="138">
        <f>SUMPRODUCT(MMULT(B35:E35,$B$80:$E$83),B35:E35)</f>
        <v/>
      </c>
      <c r="J35" s="103">
        <f>(H35/(1-I35))^2</f>
        <v/>
      </c>
    </row>
    <row r="36" ht="15" customHeight="1" s="68">
      <c r="A36" s="70">
        <f>'11_문서단위'!A36</f>
        <v/>
      </c>
      <c r="B36" s="101" t="n">
        <v>1</v>
      </c>
      <c r="C36" s="85">
        <f>'11_문서단위'!F36</f>
        <v/>
      </c>
      <c r="D36" s="85">
        <f>'11_문서단위'!G36</f>
        <v/>
      </c>
      <c r="E36" s="85">
        <f>'11_문서단위'!E36</f>
        <v/>
      </c>
      <c r="F36" s="85">
        <f>'11_문서단위'!B36</f>
        <v/>
      </c>
      <c r="G36" s="85">
        <f>$B36*$B$92+$C36*$B$93+$D36*$B$94+$E36*$B$95</f>
        <v/>
      </c>
      <c r="H36" s="85">
        <f>F36-G36</f>
        <v/>
      </c>
      <c r="I36" s="138">
        <f>SUMPRODUCT(MMULT(B36:E36,$B$80:$E$83),B36:E36)</f>
        <v/>
      </c>
      <c r="J36" s="103">
        <f>(H36/(1-I36))^2</f>
        <v/>
      </c>
    </row>
    <row r="37" ht="15" customHeight="1" s="68">
      <c r="A37" s="70">
        <f>'11_문서단위'!A37</f>
        <v/>
      </c>
      <c r="B37" s="101" t="n">
        <v>1</v>
      </c>
      <c r="C37" s="85">
        <f>'11_문서단위'!F37</f>
        <v/>
      </c>
      <c r="D37" s="85">
        <f>'11_문서단위'!G37</f>
        <v/>
      </c>
      <c r="E37" s="85">
        <f>'11_문서단위'!E37</f>
        <v/>
      </c>
      <c r="F37" s="85">
        <f>'11_문서단위'!B37</f>
        <v/>
      </c>
      <c r="G37" s="85">
        <f>$B37*$B$92+$C37*$B$93+$D37*$B$94+$E37*$B$95</f>
        <v/>
      </c>
      <c r="H37" s="85">
        <f>F37-G37</f>
        <v/>
      </c>
      <c r="I37" s="138">
        <f>SUMPRODUCT(MMULT(B37:E37,$B$80:$E$83),B37:E37)</f>
        <v/>
      </c>
      <c r="J37" s="103">
        <f>(H37/(1-I37))^2</f>
        <v/>
      </c>
    </row>
    <row r="38" ht="15" customHeight="1" s="68">
      <c r="A38" s="70">
        <f>'11_문서단위'!A38</f>
        <v/>
      </c>
      <c r="B38" s="101" t="n">
        <v>1</v>
      </c>
      <c r="C38" s="85">
        <f>'11_문서단위'!F38</f>
        <v/>
      </c>
      <c r="D38" s="85">
        <f>'11_문서단위'!G38</f>
        <v/>
      </c>
      <c r="E38" s="85">
        <f>'11_문서단위'!E38</f>
        <v/>
      </c>
      <c r="F38" s="85">
        <f>'11_문서단위'!B38</f>
        <v/>
      </c>
      <c r="G38" s="85">
        <f>$B38*$B$92+$C38*$B$93+$D38*$B$94+$E38*$B$95</f>
        <v/>
      </c>
      <c r="H38" s="85">
        <f>F38-G38</f>
        <v/>
      </c>
      <c r="I38" s="138">
        <f>SUMPRODUCT(MMULT(B38:E38,$B$80:$E$83),B38:E38)</f>
        <v/>
      </c>
      <c r="J38" s="103">
        <f>(H38/(1-I38))^2</f>
        <v/>
      </c>
    </row>
    <row r="39" ht="15" customHeight="1" s="68">
      <c r="A39" s="70">
        <f>'11_문서단위'!A39</f>
        <v/>
      </c>
      <c r="B39" s="101" t="n">
        <v>1</v>
      </c>
      <c r="C39" s="85">
        <f>'11_문서단위'!F39</f>
        <v/>
      </c>
      <c r="D39" s="85">
        <f>'11_문서단위'!G39</f>
        <v/>
      </c>
      <c r="E39" s="85">
        <f>'11_문서단위'!E39</f>
        <v/>
      </c>
      <c r="F39" s="85">
        <f>'11_문서단위'!B39</f>
        <v/>
      </c>
      <c r="G39" s="85">
        <f>$B39*$B$92+$C39*$B$93+$D39*$B$94+$E39*$B$95</f>
        <v/>
      </c>
      <c r="H39" s="85">
        <f>F39-G39</f>
        <v/>
      </c>
      <c r="I39" s="138">
        <f>SUMPRODUCT(MMULT(B39:E39,$B$80:$E$83),B39:E39)</f>
        <v/>
      </c>
      <c r="J39" s="103">
        <f>(H39/(1-I39))^2</f>
        <v/>
      </c>
    </row>
    <row r="40" ht="15" customHeight="1" s="68">
      <c r="A40" s="70">
        <f>'11_문서단위'!A40</f>
        <v/>
      </c>
      <c r="B40" s="101" t="n">
        <v>1</v>
      </c>
      <c r="C40" s="85">
        <f>'11_문서단위'!F40</f>
        <v/>
      </c>
      <c r="D40" s="85">
        <f>'11_문서단위'!G40</f>
        <v/>
      </c>
      <c r="E40" s="85">
        <f>'11_문서단위'!E40</f>
        <v/>
      </c>
      <c r="F40" s="85">
        <f>'11_문서단위'!B40</f>
        <v/>
      </c>
      <c r="G40" s="85">
        <f>$B40*$B$92+$C40*$B$93+$D40*$B$94+$E40*$B$95</f>
        <v/>
      </c>
      <c r="H40" s="85">
        <f>F40-G40</f>
        <v/>
      </c>
      <c r="I40" s="138">
        <f>SUMPRODUCT(MMULT(B40:E40,$B$80:$E$83),B40:E40)</f>
        <v/>
      </c>
      <c r="J40" s="103">
        <f>(H40/(1-I40))^2</f>
        <v/>
      </c>
    </row>
    <row r="41" ht="15" customHeight="1" s="68">
      <c r="A41" s="70">
        <f>'11_문서단위'!A41</f>
        <v/>
      </c>
      <c r="B41" s="101" t="n">
        <v>1</v>
      </c>
      <c r="C41" s="85">
        <f>'11_문서단위'!F41</f>
        <v/>
      </c>
      <c r="D41" s="85">
        <f>'11_문서단위'!G41</f>
        <v/>
      </c>
      <c r="E41" s="85">
        <f>'11_문서단위'!E41</f>
        <v/>
      </c>
      <c r="F41" s="85">
        <f>'11_문서단위'!B41</f>
        <v/>
      </c>
      <c r="G41" s="85">
        <f>$B41*$B$92+$C41*$B$93+$D41*$B$94+$E41*$B$95</f>
        <v/>
      </c>
      <c r="H41" s="85">
        <f>F41-G41</f>
        <v/>
      </c>
      <c r="I41" s="138">
        <f>SUMPRODUCT(MMULT(B41:E41,$B$80:$E$83),B41:E41)</f>
        <v/>
      </c>
      <c r="J41" s="103">
        <f>(H41/(1-I41))^2</f>
        <v/>
      </c>
    </row>
    <row r="42" ht="15" customHeight="1" s="68">
      <c r="A42" s="70">
        <f>'11_문서단위'!A42</f>
        <v/>
      </c>
      <c r="B42" s="101" t="n">
        <v>1</v>
      </c>
      <c r="C42" s="85">
        <f>'11_문서단위'!F42</f>
        <v/>
      </c>
      <c r="D42" s="85">
        <f>'11_문서단위'!G42</f>
        <v/>
      </c>
      <c r="E42" s="85">
        <f>'11_문서단위'!E42</f>
        <v/>
      </c>
      <c r="F42" s="85">
        <f>'11_문서단위'!B42</f>
        <v/>
      </c>
      <c r="G42" s="85">
        <f>$B42*$B$92+$C42*$B$93+$D42*$B$94+$E42*$B$95</f>
        <v/>
      </c>
      <c r="H42" s="85">
        <f>F42-G42</f>
        <v/>
      </c>
      <c r="I42" s="138">
        <f>SUMPRODUCT(MMULT(B42:E42,$B$80:$E$83),B42:E42)</f>
        <v/>
      </c>
      <c r="J42" s="103">
        <f>(H42/(1-I42))^2</f>
        <v/>
      </c>
    </row>
    <row r="43" ht="15" customHeight="1" s="68">
      <c r="A43" s="70">
        <f>'11_문서단위'!A43</f>
        <v/>
      </c>
      <c r="B43" s="101" t="n">
        <v>1</v>
      </c>
      <c r="C43" s="85">
        <f>'11_문서단위'!F43</f>
        <v/>
      </c>
      <c r="D43" s="85">
        <f>'11_문서단위'!G43</f>
        <v/>
      </c>
      <c r="E43" s="85">
        <f>'11_문서단위'!E43</f>
        <v/>
      </c>
      <c r="F43" s="85">
        <f>'11_문서단위'!B43</f>
        <v/>
      </c>
      <c r="G43" s="85">
        <f>$B43*$B$92+$C43*$B$93+$D43*$B$94+$E43*$B$95</f>
        <v/>
      </c>
      <c r="H43" s="85">
        <f>F43-G43</f>
        <v/>
      </c>
      <c r="I43" s="138">
        <f>SUMPRODUCT(MMULT(B43:E43,$B$80:$E$83),B43:E43)</f>
        <v/>
      </c>
      <c r="J43" s="103">
        <f>(H43/(1-I43))^2</f>
        <v/>
      </c>
    </row>
    <row r="44" ht="15" customHeight="1" s="68">
      <c r="A44" s="70">
        <f>'11_문서단위'!A44</f>
        <v/>
      </c>
      <c r="B44" s="101" t="n">
        <v>1</v>
      </c>
      <c r="C44" s="85">
        <f>'11_문서단위'!F44</f>
        <v/>
      </c>
      <c r="D44" s="85">
        <f>'11_문서단위'!G44</f>
        <v/>
      </c>
      <c r="E44" s="85">
        <f>'11_문서단위'!E44</f>
        <v/>
      </c>
      <c r="F44" s="85">
        <f>'11_문서단위'!B44</f>
        <v/>
      </c>
      <c r="G44" s="85">
        <f>$B44*$B$92+$C44*$B$93+$D44*$B$94+$E44*$B$95</f>
        <v/>
      </c>
      <c r="H44" s="85">
        <f>F44-G44</f>
        <v/>
      </c>
      <c r="I44" s="138">
        <f>SUMPRODUCT(MMULT(B44:E44,$B$80:$E$83),B44:E44)</f>
        <v/>
      </c>
      <c r="J44" s="103">
        <f>(H44/(1-I44))^2</f>
        <v/>
      </c>
    </row>
    <row r="45" ht="15" customHeight="1" s="68">
      <c r="A45" s="70">
        <f>'11_문서단위'!A45</f>
        <v/>
      </c>
      <c r="B45" s="101" t="n">
        <v>1</v>
      </c>
      <c r="C45" s="85">
        <f>'11_문서단위'!F45</f>
        <v/>
      </c>
      <c r="D45" s="85">
        <f>'11_문서단위'!G45</f>
        <v/>
      </c>
      <c r="E45" s="85">
        <f>'11_문서단위'!E45</f>
        <v/>
      </c>
      <c r="F45" s="85">
        <f>'11_문서단위'!B45</f>
        <v/>
      </c>
      <c r="G45" s="85">
        <f>$B45*$B$92+$C45*$B$93+$D45*$B$94+$E45*$B$95</f>
        <v/>
      </c>
      <c r="H45" s="85">
        <f>F45-G45</f>
        <v/>
      </c>
      <c r="I45" s="138">
        <f>SUMPRODUCT(MMULT(B45:E45,$B$80:$E$83),B45:E45)</f>
        <v/>
      </c>
      <c r="J45" s="103">
        <f>(H45/(1-I45))^2</f>
        <v/>
      </c>
    </row>
    <row r="46" ht="15" customHeight="1" s="68">
      <c r="A46" s="70">
        <f>'11_문서단위'!A46</f>
        <v/>
      </c>
      <c r="B46" s="101" t="n">
        <v>1</v>
      </c>
      <c r="C46" s="85">
        <f>'11_문서단위'!F46</f>
        <v/>
      </c>
      <c r="D46" s="85">
        <f>'11_문서단위'!G46</f>
        <v/>
      </c>
      <c r="E46" s="85">
        <f>'11_문서단위'!E46</f>
        <v/>
      </c>
      <c r="F46" s="85">
        <f>'11_문서단위'!B46</f>
        <v/>
      </c>
      <c r="G46" s="85">
        <f>$B46*$B$92+$C46*$B$93+$D46*$B$94+$E46*$B$95</f>
        <v/>
      </c>
      <c r="H46" s="85">
        <f>F46-G46</f>
        <v/>
      </c>
      <c r="I46" s="138">
        <f>SUMPRODUCT(MMULT(B46:E46,$B$80:$E$83),B46:E46)</f>
        <v/>
      </c>
      <c r="J46" s="103">
        <f>(H46/(1-I46))^2</f>
        <v/>
      </c>
    </row>
    <row r="47" ht="15" customHeight="1" s="68">
      <c r="A47" s="70">
        <f>'11_문서단위'!A47</f>
        <v/>
      </c>
      <c r="B47" s="101" t="n">
        <v>1</v>
      </c>
      <c r="C47" s="85">
        <f>'11_문서단위'!F47</f>
        <v/>
      </c>
      <c r="D47" s="85">
        <f>'11_문서단위'!G47</f>
        <v/>
      </c>
      <c r="E47" s="85">
        <f>'11_문서단위'!E47</f>
        <v/>
      </c>
      <c r="F47" s="85">
        <f>'11_문서단위'!B47</f>
        <v/>
      </c>
      <c r="G47" s="85">
        <f>$B47*$B$92+$C47*$B$93+$D47*$B$94+$E47*$B$95</f>
        <v/>
      </c>
      <c r="H47" s="85">
        <f>F47-G47</f>
        <v/>
      </c>
      <c r="I47" s="138">
        <f>SUMPRODUCT(MMULT(B47:E47,$B$80:$E$83),B47:E47)</f>
        <v/>
      </c>
      <c r="J47" s="103">
        <f>(H47/(1-I47))^2</f>
        <v/>
      </c>
    </row>
    <row r="48" ht="15" customHeight="1" s="68">
      <c r="A48" s="70">
        <f>'11_문서단위'!A48</f>
        <v/>
      </c>
      <c r="B48" s="101" t="n">
        <v>1</v>
      </c>
      <c r="C48" s="85">
        <f>'11_문서단위'!F48</f>
        <v/>
      </c>
      <c r="D48" s="85">
        <f>'11_문서단위'!G48</f>
        <v/>
      </c>
      <c r="E48" s="85">
        <f>'11_문서단위'!E48</f>
        <v/>
      </c>
      <c r="F48" s="85">
        <f>'11_문서단위'!B48</f>
        <v/>
      </c>
      <c r="G48" s="85">
        <f>$B48*$B$92+$C48*$B$93+$D48*$B$94+$E48*$B$95</f>
        <v/>
      </c>
      <c r="H48" s="85">
        <f>F48-G48</f>
        <v/>
      </c>
      <c r="I48" s="138">
        <f>SUMPRODUCT(MMULT(B48:E48,$B$80:$E$83),B48:E48)</f>
        <v/>
      </c>
      <c r="J48" s="103">
        <f>(H48/(1-I48))^2</f>
        <v/>
      </c>
    </row>
    <row r="49" ht="15" customHeight="1" s="68">
      <c r="A49" s="70">
        <f>'11_문서단위'!A49</f>
        <v/>
      </c>
      <c r="B49" s="101" t="n">
        <v>1</v>
      </c>
      <c r="C49" s="85">
        <f>'11_문서단위'!F49</f>
        <v/>
      </c>
      <c r="D49" s="85">
        <f>'11_문서단위'!G49</f>
        <v/>
      </c>
      <c r="E49" s="85">
        <f>'11_문서단위'!E49</f>
        <v/>
      </c>
      <c r="F49" s="85">
        <f>'11_문서단위'!B49</f>
        <v/>
      </c>
      <c r="G49" s="85">
        <f>$B49*$B$92+$C49*$B$93+$D49*$B$94+$E49*$B$95</f>
        <v/>
      </c>
      <c r="H49" s="85">
        <f>F49-G49</f>
        <v/>
      </c>
      <c r="I49" s="138">
        <f>SUMPRODUCT(MMULT(B49:E49,$B$80:$E$83),B49:E49)</f>
        <v/>
      </c>
      <c r="J49" s="103">
        <f>(H49/(1-I49))^2</f>
        <v/>
      </c>
    </row>
    <row r="50" ht="15" customHeight="1" s="68">
      <c r="A50" s="70">
        <f>'11_문서단위'!A50</f>
        <v/>
      </c>
      <c r="B50" s="101" t="n">
        <v>1</v>
      </c>
      <c r="C50" s="85">
        <f>'11_문서단위'!F50</f>
        <v/>
      </c>
      <c r="D50" s="85">
        <f>'11_문서단위'!G50</f>
        <v/>
      </c>
      <c r="E50" s="85">
        <f>'11_문서단위'!E50</f>
        <v/>
      </c>
      <c r="F50" s="85">
        <f>'11_문서단위'!B50</f>
        <v/>
      </c>
      <c r="G50" s="85">
        <f>$B50*$B$92+$C50*$B$93+$D50*$B$94+$E50*$B$95</f>
        <v/>
      </c>
      <c r="H50" s="85">
        <f>F50-G50</f>
        <v/>
      </c>
      <c r="I50" s="138">
        <f>SUMPRODUCT(MMULT(B50:E50,$B$80:$E$83),B50:E50)</f>
        <v/>
      </c>
      <c r="J50" s="103">
        <f>(H50/(1-I50))^2</f>
        <v/>
      </c>
    </row>
    <row r="51" ht="15" customHeight="1" s="68">
      <c r="A51" s="70">
        <f>'11_문서단위'!A51</f>
        <v/>
      </c>
      <c r="B51" s="101" t="n">
        <v>1</v>
      </c>
      <c r="C51" s="85">
        <f>'11_문서단위'!F51</f>
        <v/>
      </c>
      <c r="D51" s="85">
        <f>'11_문서단위'!G51</f>
        <v/>
      </c>
      <c r="E51" s="85">
        <f>'11_문서단위'!E51</f>
        <v/>
      </c>
      <c r="F51" s="85">
        <f>'11_문서단위'!B51</f>
        <v/>
      </c>
      <c r="G51" s="85">
        <f>$B51*$B$92+$C51*$B$93+$D51*$B$94+$E51*$B$95</f>
        <v/>
      </c>
      <c r="H51" s="85">
        <f>F51-G51</f>
        <v/>
      </c>
      <c r="I51" s="138">
        <f>SUMPRODUCT(MMULT(B51:E51,$B$80:$E$83),B51:E51)</f>
        <v/>
      </c>
      <c r="J51" s="103">
        <f>(H51/(1-I51))^2</f>
        <v/>
      </c>
    </row>
    <row r="52" ht="15" customHeight="1" s="68">
      <c r="A52" s="70">
        <f>'11_문서단위'!A52</f>
        <v/>
      </c>
      <c r="B52" s="101" t="n">
        <v>1</v>
      </c>
      <c r="C52" s="85">
        <f>'11_문서단위'!F52</f>
        <v/>
      </c>
      <c r="D52" s="85">
        <f>'11_문서단위'!G52</f>
        <v/>
      </c>
      <c r="E52" s="85">
        <f>'11_문서단위'!E52</f>
        <v/>
      </c>
      <c r="F52" s="85">
        <f>'11_문서단위'!B52</f>
        <v/>
      </c>
      <c r="G52" s="85">
        <f>$B52*$B$92+$C52*$B$93+$D52*$B$94+$E52*$B$95</f>
        <v/>
      </c>
      <c r="H52" s="85">
        <f>F52-G52</f>
        <v/>
      </c>
      <c r="I52" s="138">
        <f>SUMPRODUCT(MMULT(B52:E52,$B$80:$E$83),B52:E52)</f>
        <v/>
      </c>
      <c r="J52" s="103">
        <f>(H52/(1-I52))^2</f>
        <v/>
      </c>
    </row>
    <row r="53" ht="15" customHeight="1" s="68">
      <c r="A53" s="70">
        <f>'11_문서단위'!A53</f>
        <v/>
      </c>
      <c r="B53" s="101" t="n">
        <v>1</v>
      </c>
      <c r="C53" s="85">
        <f>'11_문서단위'!F53</f>
        <v/>
      </c>
      <c r="D53" s="85">
        <f>'11_문서단위'!G53</f>
        <v/>
      </c>
      <c r="E53" s="85">
        <f>'11_문서단위'!E53</f>
        <v/>
      </c>
      <c r="F53" s="85">
        <f>'11_문서단위'!B53</f>
        <v/>
      </c>
      <c r="G53" s="85">
        <f>$B53*$B$92+$C53*$B$93+$D53*$B$94+$E53*$B$95</f>
        <v/>
      </c>
      <c r="H53" s="85">
        <f>F53-G53</f>
        <v/>
      </c>
      <c r="I53" s="138">
        <f>SUMPRODUCT(MMULT(B53:E53,$B$80:$E$83),B53:E53)</f>
        <v/>
      </c>
      <c r="J53" s="103">
        <f>(H53/(1-I53))^2</f>
        <v/>
      </c>
    </row>
    <row r="54" ht="15" customHeight="1" s="68">
      <c r="A54" s="70">
        <f>'11_문서단위'!A54</f>
        <v/>
      </c>
      <c r="B54" s="101" t="n">
        <v>1</v>
      </c>
      <c r="C54" s="85">
        <f>'11_문서단위'!F54</f>
        <v/>
      </c>
      <c r="D54" s="85">
        <f>'11_문서단위'!G54</f>
        <v/>
      </c>
      <c r="E54" s="85">
        <f>'11_문서단위'!E54</f>
        <v/>
      </c>
      <c r="F54" s="85">
        <f>'11_문서단위'!B54</f>
        <v/>
      </c>
      <c r="G54" s="85">
        <f>$B54*$B$92+$C54*$B$93+$D54*$B$94+$E54*$B$95</f>
        <v/>
      </c>
      <c r="H54" s="85">
        <f>F54-G54</f>
        <v/>
      </c>
      <c r="I54" s="138">
        <f>SUMPRODUCT(MMULT(B54:E54,$B$80:$E$83),B54:E54)</f>
        <v/>
      </c>
      <c r="J54" s="103">
        <f>(H54/(1-I54))^2</f>
        <v/>
      </c>
    </row>
    <row r="55" ht="15" customHeight="1" s="68">
      <c r="A55" s="70">
        <f>'11_문서단위'!A55</f>
        <v/>
      </c>
      <c r="B55" s="101" t="n">
        <v>1</v>
      </c>
      <c r="C55" s="85">
        <f>'11_문서단위'!F55</f>
        <v/>
      </c>
      <c r="D55" s="85">
        <f>'11_문서단위'!G55</f>
        <v/>
      </c>
      <c r="E55" s="85">
        <f>'11_문서단위'!E55</f>
        <v/>
      </c>
      <c r="F55" s="85">
        <f>'11_문서단위'!B55</f>
        <v/>
      </c>
      <c r="G55" s="85">
        <f>$B55*$B$92+$C55*$B$93+$D55*$B$94+$E55*$B$95</f>
        <v/>
      </c>
      <c r="H55" s="85">
        <f>F55-G55</f>
        <v/>
      </c>
      <c r="I55" s="138">
        <f>SUMPRODUCT(MMULT(B55:E55,$B$80:$E$83),B55:E55)</f>
        <v/>
      </c>
      <c r="J55" s="103">
        <f>(H55/(1-I55))^2</f>
        <v/>
      </c>
    </row>
    <row r="56" ht="15" customHeight="1" s="68">
      <c r="A56" s="70">
        <f>'11_문서단위'!A56</f>
        <v/>
      </c>
      <c r="B56" s="101" t="n">
        <v>1</v>
      </c>
      <c r="C56" s="85">
        <f>'11_문서단위'!F56</f>
        <v/>
      </c>
      <c r="D56" s="85">
        <f>'11_문서단위'!G56</f>
        <v/>
      </c>
      <c r="E56" s="85">
        <f>'11_문서단위'!E56</f>
        <v/>
      </c>
      <c r="F56" s="85">
        <f>'11_문서단위'!B56</f>
        <v/>
      </c>
      <c r="G56" s="85">
        <f>$B56*$B$92+$C56*$B$93+$D56*$B$94+$E56*$B$95</f>
        <v/>
      </c>
      <c r="H56" s="85">
        <f>F56-G56</f>
        <v/>
      </c>
      <c r="I56" s="138">
        <f>SUMPRODUCT(MMULT(B56:E56,$B$80:$E$83),B56:E56)</f>
        <v/>
      </c>
      <c r="J56" s="103">
        <f>(H56/(1-I56))^2</f>
        <v/>
      </c>
    </row>
    <row r="57" ht="15" customHeight="1" s="68">
      <c r="A57" s="70">
        <f>'11_문서단위'!A57</f>
        <v/>
      </c>
      <c r="B57" s="101" t="n">
        <v>1</v>
      </c>
      <c r="C57" s="85">
        <f>'11_문서단위'!F57</f>
        <v/>
      </c>
      <c r="D57" s="85">
        <f>'11_문서단위'!G57</f>
        <v/>
      </c>
      <c r="E57" s="85">
        <f>'11_문서단위'!E57</f>
        <v/>
      </c>
      <c r="F57" s="85">
        <f>'11_문서단위'!B57</f>
        <v/>
      </c>
      <c r="G57" s="85">
        <f>$B57*$B$92+$C57*$B$93+$D57*$B$94+$E57*$B$95</f>
        <v/>
      </c>
      <c r="H57" s="85">
        <f>F57-G57</f>
        <v/>
      </c>
      <c r="I57" s="138">
        <f>SUMPRODUCT(MMULT(B57:E57,$B$80:$E$83),B57:E57)</f>
        <v/>
      </c>
      <c r="J57" s="103">
        <f>(H57/(1-I57))^2</f>
        <v/>
      </c>
    </row>
    <row r="58" ht="15" customHeight="1" s="68">
      <c r="A58" s="70">
        <f>'11_문서단위'!A58</f>
        <v/>
      </c>
      <c r="B58" s="101" t="n">
        <v>1</v>
      </c>
      <c r="C58" s="85">
        <f>'11_문서단위'!F58</f>
        <v/>
      </c>
      <c r="D58" s="85">
        <f>'11_문서단위'!G58</f>
        <v/>
      </c>
      <c r="E58" s="85">
        <f>'11_문서단위'!E58</f>
        <v/>
      </c>
      <c r="F58" s="85">
        <f>'11_문서단위'!B58</f>
        <v/>
      </c>
      <c r="G58" s="85">
        <f>$B58*$B$92+$C58*$B$93+$D58*$B$94+$E58*$B$95</f>
        <v/>
      </c>
      <c r="H58" s="85">
        <f>F58-G58</f>
        <v/>
      </c>
      <c r="I58" s="138">
        <f>SUMPRODUCT(MMULT(B58:E58,$B$80:$E$83),B58:E58)</f>
        <v/>
      </c>
      <c r="J58" s="103">
        <f>(H58/(1-I58))^2</f>
        <v/>
      </c>
    </row>
    <row r="59" ht="15" customHeight="1" s="68">
      <c r="A59" s="70">
        <f>'11_문서단위'!A59</f>
        <v/>
      </c>
      <c r="B59" s="101" t="n">
        <v>1</v>
      </c>
      <c r="C59" s="85">
        <f>'11_문서단위'!F59</f>
        <v/>
      </c>
      <c r="D59" s="85">
        <f>'11_문서단위'!G59</f>
        <v/>
      </c>
      <c r="E59" s="85">
        <f>'11_문서단위'!E59</f>
        <v/>
      </c>
      <c r="F59" s="85">
        <f>'11_문서단위'!B59</f>
        <v/>
      </c>
      <c r="G59" s="85">
        <f>$B59*$B$92+$C59*$B$93+$D59*$B$94+$E59*$B$95</f>
        <v/>
      </c>
      <c r="H59" s="85">
        <f>F59-G59</f>
        <v/>
      </c>
      <c r="I59" s="138">
        <f>SUMPRODUCT(MMULT(B59:E59,$B$80:$E$83),B59:E59)</f>
        <v/>
      </c>
      <c r="J59" s="103">
        <f>(H59/(1-I59))^2</f>
        <v/>
      </c>
    </row>
    <row r="60" ht="15" customHeight="1" s="68">
      <c r="A60" s="70">
        <f>'11_문서단위'!A60</f>
        <v/>
      </c>
      <c r="B60" s="101" t="n">
        <v>1</v>
      </c>
      <c r="C60" s="85">
        <f>'11_문서단위'!F60</f>
        <v/>
      </c>
      <c r="D60" s="85">
        <f>'11_문서단위'!G60</f>
        <v/>
      </c>
      <c r="E60" s="85">
        <f>'11_문서단위'!E60</f>
        <v/>
      </c>
      <c r="F60" s="85">
        <f>'11_문서단위'!B60</f>
        <v/>
      </c>
      <c r="G60" s="85">
        <f>$B60*$B$92+$C60*$B$93+$D60*$B$94+$E60*$B$95</f>
        <v/>
      </c>
      <c r="H60" s="85">
        <f>F60-G60</f>
        <v/>
      </c>
      <c r="I60" s="138">
        <f>SUMPRODUCT(MMULT(B60:E60,$B$80:$E$83),B60:E60)</f>
        <v/>
      </c>
      <c r="J60" s="103">
        <f>(H60/(1-I60))^2</f>
        <v/>
      </c>
    </row>
    <row r="61" ht="15" customHeight="1" s="68">
      <c r="A61" s="70">
        <f>'11_문서단위'!A61</f>
        <v/>
      </c>
      <c r="B61" s="101" t="n">
        <v>1</v>
      </c>
      <c r="C61" s="85">
        <f>'11_문서단위'!F61</f>
        <v/>
      </c>
      <c r="D61" s="85">
        <f>'11_문서단위'!G61</f>
        <v/>
      </c>
      <c r="E61" s="85">
        <f>'11_문서단위'!E61</f>
        <v/>
      </c>
      <c r="F61" s="85">
        <f>'11_문서단위'!B61</f>
        <v/>
      </c>
      <c r="G61" s="85">
        <f>$B61*$B$92+$C61*$B$93+$D61*$B$94+$E61*$B$95</f>
        <v/>
      </c>
      <c r="H61" s="85">
        <f>F61-G61</f>
        <v/>
      </c>
      <c r="I61" s="138">
        <f>SUMPRODUCT(MMULT(B61:E61,$B$80:$E$83),B61:E61)</f>
        <v/>
      </c>
      <c r="J61" s="103">
        <f>(H61/(1-I61))^2</f>
        <v/>
      </c>
    </row>
    <row r="62" ht="15" customHeight="1" s="68">
      <c r="A62" s="70">
        <f>'11_문서단위'!A62</f>
        <v/>
      </c>
      <c r="B62" s="101" t="n">
        <v>1</v>
      </c>
      <c r="C62" s="85">
        <f>'11_문서단위'!F62</f>
        <v/>
      </c>
      <c r="D62" s="85">
        <f>'11_문서단위'!G62</f>
        <v/>
      </c>
      <c r="E62" s="85">
        <f>'11_문서단위'!E62</f>
        <v/>
      </c>
      <c r="F62" s="85">
        <f>'11_문서단위'!B62</f>
        <v/>
      </c>
      <c r="G62" s="85">
        <f>$B62*$B$92+$C62*$B$93+$D62*$B$94+$E62*$B$95</f>
        <v/>
      </c>
      <c r="H62" s="85">
        <f>F62-G62</f>
        <v/>
      </c>
      <c r="I62" s="138">
        <f>SUMPRODUCT(MMULT(B62:E62,$B$80:$E$83),B62:E62)</f>
        <v/>
      </c>
      <c r="J62" s="103">
        <f>(H62/(1-I62))^2</f>
        <v/>
      </c>
    </row>
    <row r="63" ht="15" customHeight="1" s="68">
      <c r="A63" s="70">
        <f>'11_문서단위'!A63</f>
        <v/>
      </c>
      <c r="B63" s="101" t="n">
        <v>1</v>
      </c>
      <c r="C63" s="85">
        <f>'11_문서단위'!F63</f>
        <v/>
      </c>
      <c r="D63" s="85">
        <f>'11_문서단위'!G63</f>
        <v/>
      </c>
      <c r="E63" s="85">
        <f>'11_문서단위'!E63</f>
        <v/>
      </c>
      <c r="F63" s="85">
        <f>'11_문서단위'!B63</f>
        <v/>
      </c>
      <c r="G63" s="85">
        <f>$B63*$B$92+$C63*$B$93+$D63*$B$94+$E63*$B$95</f>
        <v/>
      </c>
      <c r="H63" s="85">
        <f>F63-G63</f>
        <v/>
      </c>
      <c r="I63" s="138">
        <f>SUMPRODUCT(MMULT(B63:E63,$B$80:$E$83),B63:E63)</f>
        <v/>
      </c>
      <c r="J63" s="103">
        <f>(H63/(1-I63))^2</f>
        <v/>
      </c>
    </row>
    <row r="64" ht="15" customHeight="1" s="68">
      <c r="A64" s="70">
        <f>'11_문서단위'!A64</f>
        <v/>
      </c>
      <c r="B64" s="101" t="n">
        <v>1</v>
      </c>
      <c r="C64" s="85">
        <f>'11_문서단위'!F64</f>
        <v/>
      </c>
      <c r="D64" s="85">
        <f>'11_문서단위'!G64</f>
        <v/>
      </c>
      <c r="E64" s="85">
        <f>'11_문서단위'!E64</f>
        <v/>
      </c>
      <c r="F64" s="85">
        <f>'11_문서단위'!B64</f>
        <v/>
      </c>
      <c r="G64" s="85">
        <f>$B64*$B$92+$C64*$B$93+$D64*$B$94+$E64*$B$95</f>
        <v/>
      </c>
      <c r="H64" s="85">
        <f>F64-G64</f>
        <v/>
      </c>
      <c r="I64" s="138">
        <f>SUMPRODUCT(MMULT(B64:E64,$B$80:$E$83),B64:E64)</f>
        <v/>
      </c>
      <c r="J64" s="103">
        <f>(H64/(1-I64))^2</f>
        <v/>
      </c>
    </row>
    <row r="65" ht="15" customHeight="1" s="68">
      <c r="A65" s="70">
        <f>'11_문서단위'!A65</f>
        <v/>
      </c>
      <c r="B65" s="101" t="n">
        <v>1</v>
      </c>
      <c r="C65" s="85">
        <f>'11_문서단위'!F65</f>
        <v/>
      </c>
      <c r="D65" s="85">
        <f>'11_문서단위'!G65</f>
        <v/>
      </c>
      <c r="E65" s="85">
        <f>'11_문서단위'!E65</f>
        <v/>
      </c>
      <c r="F65" s="85">
        <f>'11_문서단위'!B65</f>
        <v/>
      </c>
      <c r="G65" s="85">
        <f>$B65*$B$92+$C65*$B$93+$D65*$B$94+$E65*$B$95</f>
        <v/>
      </c>
      <c r="H65" s="85">
        <f>F65-G65</f>
        <v/>
      </c>
      <c r="I65" s="138">
        <f>SUMPRODUCT(MMULT(B65:E65,$B$80:$E$83),B65:E65)</f>
        <v/>
      </c>
      <c r="J65" s="103">
        <f>(H65/(1-I65))^2</f>
        <v/>
      </c>
    </row>
    <row r="66" ht="15" customHeight="1" s="68">
      <c r="A66" s="70">
        <f>'11_문서단위'!A66</f>
        <v/>
      </c>
      <c r="B66" s="101" t="n">
        <v>1</v>
      </c>
      <c r="C66" s="85">
        <f>'11_문서단위'!F66</f>
        <v/>
      </c>
      <c r="D66" s="85">
        <f>'11_문서단위'!G66</f>
        <v/>
      </c>
      <c r="E66" s="85">
        <f>'11_문서단위'!E66</f>
        <v/>
      </c>
      <c r="F66" s="85">
        <f>'11_문서단위'!B66</f>
        <v/>
      </c>
      <c r="G66" s="85">
        <f>$B66*$B$92+$C66*$B$93+$D66*$B$94+$E66*$B$95</f>
        <v/>
      </c>
      <c r="H66" s="85">
        <f>F66-G66</f>
        <v/>
      </c>
      <c r="I66" s="138">
        <f>SUMPRODUCT(MMULT(B66:E66,$B$80:$E$83),B66:E66)</f>
        <v/>
      </c>
      <c r="J66" s="103">
        <f>(H66/(1-I66))^2</f>
        <v/>
      </c>
    </row>
    <row r="67" ht="15" customHeight="1" s="68">
      <c r="A67" s="70">
        <f>'11_문서단위'!A67</f>
        <v/>
      </c>
      <c r="B67" s="101" t="n">
        <v>1</v>
      </c>
      <c r="C67" s="85">
        <f>'11_문서단위'!F67</f>
        <v/>
      </c>
      <c r="D67" s="85">
        <f>'11_문서단위'!G67</f>
        <v/>
      </c>
      <c r="E67" s="85">
        <f>'11_문서단위'!E67</f>
        <v/>
      </c>
      <c r="F67" s="85">
        <f>'11_문서단위'!B67</f>
        <v/>
      </c>
      <c r="G67" s="85">
        <f>$B67*$B$92+$C67*$B$93+$D67*$B$94+$E67*$B$95</f>
        <v/>
      </c>
      <c r="H67" s="85">
        <f>F67-G67</f>
        <v/>
      </c>
      <c r="I67" s="138">
        <f>SUMPRODUCT(MMULT(B67:E67,$B$80:$E$83),B67:E67)</f>
        <v/>
      </c>
      <c r="J67" s="103">
        <f>(H67/(1-I67))^2</f>
        <v/>
      </c>
    </row>
    <row r="68" ht="15" customHeight="1" s="68">
      <c r="A68" s="70">
        <f>'11_문서단위'!A68</f>
        <v/>
      </c>
      <c r="B68" s="101" t="n">
        <v>1</v>
      </c>
      <c r="C68" s="85">
        <f>'11_문서단위'!F68</f>
        <v/>
      </c>
      <c r="D68" s="85">
        <f>'11_문서단위'!G68</f>
        <v/>
      </c>
      <c r="E68" s="85">
        <f>'11_문서단위'!E68</f>
        <v/>
      </c>
      <c r="F68" s="85">
        <f>'11_문서단위'!B68</f>
        <v/>
      </c>
      <c r="G68" s="85">
        <f>$B68*$B$92+$C68*$B$93+$D68*$B$94+$E68*$B$95</f>
        <v/>
      </c>
      <c r="H68" s="85">
        <f>F68-G68</f>
        <v/>
      </c>
      <c r="I68" s="138">
        <f>SUMPRODUCT(MMULT(B68:E68,$B$80:$E$83),B68:E68)</f>
        <v/>
      </c>
      <c r="J68" s="103">
        <f>(H68/(1-I68))^2</f>
        <v/>
      </c>
    </row>
    <row r="69" ht="15" customHeight="1" s="68">
      <c r="A69" s="70">
        <f>'11_문서단위'!A69</f>
        <v/>
      </c>
      <c r="B69" s="101" t="n">
        <v>1</v>
      </c>
      <c r="C69" s="85">
        <f>'11_문서단위'!F69</f>
        <v/>
      </c>
      <c r="D69" s="85">
        <f>'11_문서단위'!G69</f>
        <v/>
      </c>
      <c r="E69" s="85">
        <f>'11_문서단위'!E69</f>
        <v/>
      </c>
      <c r="F69" s="85">
        <f>'11_문서단위'!B69</f>
        <v/>
      </c>
      <c r="G69" s="85">
        <f>$B69*$B$92+$C69*$B$93+$D69*$B$94+$E69*$B$95</f>
        <v/>
      </c>
      <c r="H69" s="85">
        <f>F69-G69</f>
        <v/>
      </c>
      <c r="I69" s="138">
        <f>SUMPRODUCT(MMULT(B69:E69,$B$80:$E$83),B69:E69)</f>
        <v/>
      </c>
      <c r="J69" s="103">
        <f>(H69/(1-I69))^2</f>
        <v/>
      </c>
    </row>
    <row r="72" ht="17.15" customHeight="1" s="68">
      <c r="A72" s="94" t="inlineStr">
        <is>
          <t>1단계: X'X  (설계행렬의 교차곱, 4x4)</t>
        </is>
      </c>
    </row>
    <row r="73" ht="15" customHeight="1" s="68">
      <c r="A73" s="79" t="inlineStr">
        <is>
          <t>X = [1, 로컬합의도_평균, 로컬합의도_분산, 출력어휘량] 의 65x4 행렬. 각 셀 = SUMPRODUCT(열_i, 열_j)</t>
        </is>
      </c>
    </row>
    <row r="74" ht="15" customHeight="1" s="68">
      <c r="A74" s="79" t="inlineStr">
        <is>
          <t>B열</t>
        </is>
      </c>
      <c r="B74" s="96">
        <f>SUMPRODUCT($B$5:$B$69,$B$5:$B$69)</f>
        <v/>
      </c>
      <c r="C74" s="96">
        <f>SUMPRODUCT($B$5:$B$69,$C$5:$C$69)</f>
        <v/>
      </c>
      <c r="D74" s="96">
        <f>SUMPRODUCT($B$5:$B$69,$D$5:$D$69)</f>
        <v/>
      </c>
      <c r="E74" s="96">
        <f>SUMPRODUCT($B$5:$B$69,$E$5:$E$69)</f>
        <v/>
      </c>
    </row>
    <row r="75" ht="15" customHeight="1" s="68">
      <c r="A75" s="79" t="inlineStr">
        <is>
          <t>C열</t>
        </is>
      </c>
      <c r="B75" s="96">
        <f>SUMPRODUCT($C$5:$C$69,$B$5:$B$69)</f>
        <v/>
      </c>
      <c r="C75" s="96">
        <f>SUMPRODUCT($C$5:$C$69,$C$5:$C$69)</f>
        <v/>
      </c>
      <c r="D75" s="96">
        <f>SUMPRODUCT($C$5:$C$69,$D$5:$D$69)</f>
        <v/>
      </c>
      <c r="E75" s="96">
        <f>SUMPRODUCT($C$5:$C$69,$E$5:$E$69)</f>
        <v/>
      </c>
    </row>
    <row r="76" ht="15" customHeight="1" s="68">
      <c r="A76" s="79" t="inlineStr">
        <is>
          <t>D열</t>
        </is>
      </c>
      <c r="B76" s="96">
        <f>SUMPRODUCT($D$5:$D$69,$B$5:$B$69)</f>
        <v/>
      </c>
      <c r="C76" s="96">
        <f>SUMPRODUCT($D$5:$D$69,$C$5:$C$69)</f>
        <v/>
      </c>
      <c r="D76" s="96">
        <f>SUMPRODUCT($D$5:$D$69,$D$5:$D$69)</f>
        <v/>
      </c>
      <c r="E76" s="96">
        <f>SUMPRODUCT($D$5:$D$69,$E$5:$E$69)</f>
        <v/>
      </c>
    </row>
    <row r="77" ht="15" customHeight="1" s="68">
      <c r="A77" s="79" t="inlineStr">
        <is>
          <t>E열</t>
        </is>
      </c>
      <c r="B77" s="96">
        <f>SUMPRODUCT($E$5:$E$69,$B$5:$B$69)</f>
        <v/>
      </c>
      <c r="C77" s="96">
        <f>SUMPRODUCT($E$5:$E$69,$C$5:$C$69)</f>
        <v/>
      </c>
      <c r="D77" s="96">
        <f>SUMPRODUCT($E$5:$E$69,$D$5:$D$69)</f>
        <v/>
      </c>
      <c r="E77" s="96">
        <f>SUMPRODUCT($E$5:$E$69,$E$5:$E$69)</f>
        <v/>
      </c>
    </row>
    <row r="79" ht="17.15" customHeight="1" s="68">
      <c r="A79" s="94" t="inlineStr">
        <is>
          <t>2단계: inv(X'X)  (역행렬)</t>
        </is>
      </c>
    </row>
    <row r="80" ht="15" customHeight="1" s="68">
      <c r="B80" s="85">
        <f>INDEX(MINVERSE($B$74:$E$77),1,1)</f>
        <v/>
      </c>
      <c r="C80" s="85">
        <f>INDEX(MINVERSE($B$74:$E$77),1,2)</f>
        <v/>
      </c>
      <c r="D80" s="85">
        <f>INDEX(MINVERSE($B$74:$E$77),1,3)</f>
        <v/>
      </c>
      <c r="E80" s="85">
        <f>INDEX(MINVERSE($B$74:$E$77),1,4)</f>
        <v/>
      </c>
    </row>
    <row r="81" ht="15" customHeight="1" s="68">
      <c r="B81" s="85">
        <f>INDEX(MINVERSE($B$74:$E$77),2,1)</f>
        <v/>
      </c>
      <c r="C81" s="85">
        <f>INDEX(MINVERSE($B$74:$E$77),2,2)</f>
        <v/>
      </c>
      <c r="D81" s="85">
        <f>INDEX(MINVERSE($B$74:$E$77),2,3)</f>
        <v/>
      </c>
      <c r="E81" s="85">
        <f>INDEX(MINVERSE($B$74:$E$77),2,4)</f>
        <v/>
      </c>
    </row>
    <row r="82" ht="15" customHeight="1" s="68">
      <c r="B82" s="85">
        <f>INDEX(MINVERSE($B$74:$E$77),3,1)</f>
        <v/>
      </c>
      <c r="C82" s="85">
        <f>INDEX(MINVERSE($B$74:$E$77),3,2)</f>
        <v/>
      </c>
      <c r="D82" s="85">
        <f>INDEX(MINVERSE($B$74:$E$77),3,3)</f>
        <v/>
      </c>
      <c r="E82" s="85">
        <f>INDEX(MINVERSE($B$74:$E$77),3,4)</f>
        <v/>
      </c>
    </row>
    <row r="83" ht="15" customHeight="1" s="68">
      <c r="B83" s="85">
        <f>INDEX(MINVERSE($B$74:$E$77),4,1)</f>
        <v/>
      </c>
      <c r="C83" s="85">
        <f>INDEX(MINVERSE($B$74:$E$77),4,2)</f>
        <v/>
      </c>
      <c r="D83" s="85">
        <f>INDEX(MINVERSE($B$74:$E$77),4,3)</f>
        <v/>
      </c>
      <c r="E83" s="85">
        <f>INDEX(MINVERSE($B$74:$E$77),4,4)</f>
        <v/>
      </c>
    </row>
    <row r="85" ht="17.15" customHeight="1" s="68">
      <c r="A85" s="94" t="inlineStr">
        <is>
          <t>3단계: X'y 와 회귀계수 beta = inv(X'X)·X'y</t>
        </is>
      </c>
    </row>
    <row r="86" ht="15" customHeight="1" s="68">
      <c r="A86" s="79" t="inlineStr">
        <is>
          <t>X'y B</t>
        </is>
      </c>
      <c r="B86" s="96">
        <f>SUMPRODUCT($B$5:$B$69,$F$5:$F$69)</f>
        <v/>
      </c>
    </row>
    <row r="87" ht="15" customHeight="1" s="68">
      <c r="A87" s="79" t="inlineStr">
        <is>
          <t>X'y C</t>
        </is>
      </c>
      <c r="B87" s="96">
        <f>SUMPRODUCT($C$5:$C$69,$F$5:$F$69)</f>
        <v/>
      </c>
    </row>
    <row r="88" ht="15" customHeight="1" s="68">
      <c r="A88" s="79" t="inlineStr">
        <is>
          <t>X'y D</t>
        </is>
      </c>
      <c r="B88" s="96">
        <f>SUMPRODUCT($D$5:$D$69,$F$5:$F$69)</f>
        <v/>
      </c>
    </row>
    <row r="89" ht="15" customHeight="1" s="68">
      <c r="A89" s="79" t="inlineStr">
        <is>
          <t>X'y E</t>
        </is>
      </c>
      <c r="B89" s="96">
        <f>SUMPRODUCT($E$5:$E$69,$F$5:$F$69)</f>
        <v/>
      </c>
    </row>
    <row r="92" ht="15" customHeight="1" s="68">
      <c r="A92" s="74" t="inlineStr">
        <is>
          <t>beta 절편</t>
        </is>
      </c>
      <c r="B92" s="139">
        <f>INDEX(MMULT($B$80:$E$83,$B$86:$B$89),1,1)</f>
        <v/>
      </c>
    </row>
    <row r="93" ht="15" customHeight="1" s="68">
      <c r="A93" s="74" t="inlineStr">
        <is>
          <t>beta 로컬합의도_평균</t>
        </is>
      </c>
      <c r="B93" s="139">
        <f>INDEX(MMULT($B$80:$E$83,$B$86:$B$89),2,1)</f>
        <v/>
      </c>
    </row>
    <row r="94" ht="15" customHeight="1" s="68">
      <c r="A94" s="74" t="inlineStr">
        <is>
          <t>beta 로컬합의도_분산</t>
        </is>
      </c>
      <c r="B94" s="139">
        <f>INDEX(MMULT($B$80:$E$83,$B$86:$B$89),3,1)</f>
        <v/>
      </c>
    </row>
    <row r="95" ht="15" customHeight="1" s="68">
      <c r="A95" s="74" t="inlineStr">
        <is>
          <t>beta 출력어휘량</t>
        </is>
      </c>
      <c r="B95" s="139">
        <f>INDEX(MMULT($B$80:$E$83,$B$86:$B$89),4,1)</f>
        <v/>
      </c>
    </row>
    <row r="96" ht="17.15" customHeight="1" s="68">
      <c r="A96" s="94" t="inlineStr">
        <is>
          <t>4단계: 적합도 통계</t>
        </is>
      </c>
    </row>
    <row r="97" ht="15" customHeight="1" s="68">
      <c r="A97" s="74" t="inlineStr">
        <is>
          <t>n (문서 수)</t>
        </is>
      </c>
      <c r="B97" s="101">
        <f>COUNT($F$5:$F$69)</f>
        <v/>
      </c>
      <c r="C97" s="79" t="inlineStr">
        <is>
          <t>n</t>
        </is>
      </c>
    </row>
    <row r="98" ht="15" customHeight="1" s="68">
      <c r="A98" s="74" t="inlineStr">
        <is>
          <t>p (모수 개수, 절편 포함)</t>
        </is>
      </c>
      <c r="B98" s="101">
        <f>4</f>
        <v/>
      </c>
      <c r="C98" s="79" t="inlineStr">
        <is>
          <t>k</t>
        </is>
      </c>
    </row>
    <row r="99" ht="15" customHeight="1" s="68">
      <c r="A99" s="74" t="inlineStr">
        <is>
          <t>SS_total</t>
        </is>
      </c>
      <c r="B99" s="85">
        <f>SUMPRODUCT(($F$5:$F$69-AVERAGE($F$5:$F$69))^2)</f>
        <v/>
      </c>
      <c r="C99" s="79" t="inlineStr">
        <is>
          <t>Σ(y − ȳ)²</t>
        </is>
      </c>
    </row>
    <row r="100" ht="15" customHeight="1" s="68">
      <c r="A100" s="74" t="inlineStr">
        <is>
          <t>SS_residual</t>
        </is>
      </c>
      <c r="B100" s="85">
        <f>SUMPRODUCT($H$5:$H$69,$H$5:$H$69)</f>
        <v/>
      </c>
      <c r="C100" s="79" t="inlineStr">
        <is>
          <t>Σe²</t>
        </is>
      </c>
    </row>
    <row r="101" ht="15" customHeight="1" s="68">
      <c r="A101" s="74" t="inlineStr">
        <is>
          <t>R²</t>
        </is>
      </c>
      <c r="B101" s="97">
        <f>1-B100/B99</f>
        <v/>
      </c>
      <c r="C101" s="79" t="inlineStr">
        <is>
          <t>1 − SS_res/SS_tot</t>
        </is>
      </c>
    </row>
    <row r="102" ht="15" customHeight="1" s="68">
      <c r="A102" s="74" t="inlineStr">
        <is>
          <t>adjusted R²</t>
        </is>
      </c>
      <c r="B102" s="97">
        <f>1-(1-B101)*(B97-1)/(B97-B98)</f>
        <v/>
      </c>
      <c r="C102" s="79" t="inlineStr">
        <is>
          <t>1 − (1−R²)(n−1)/(n−p)</t>
        </is>
      </c>
    </row>
    <row r="103" ht="15" customHeight="1" s="68">
      <c r="A103" s="74" t="inlineStr">
        <is>
          <t>F</t>
        </is>
      </c>
      <c r="B103" s="86">
        <f>(B101/(B98-1))/((1-B101)/(B97-B98))</f>
        <v/>
      </c>
      <c r="C103" s="79" t="inlineStr">
        <is>
          <t>(R²/(p−1)) / ((1−R²)/(n−p))</t>
        </is>
      </c>
    </row>
    <row r="104" ht="15" customHeight="1" s="68">
      <c r="A104" s="74" t="inlineStr">
        <is>
          <t>p (F 검정)</t>
        </is>
      </c>
      <c r="B104" s="103">
        <f>FDIST(B103,B98-1,B97-B98)</f>
        <v/>
      </c>
      <c r="C104" s="79" t="inlineStr">
        <is>
          <t>FDIST</t>
        </is>
      </c>
    </row>
    <row r="105" ht="15" customHeight="1" s="68">
      <c r="A105" s="74" t="inlineStr">
        <is>
          <t>PRESS</t>
        </is>
      </c>
      <c r="B105" s="85">
        <f>SUM($J$5:$J$69)</f>
        <v/>
      </c>
      <c r="C105" s="79" t="inlineStr">
        <is>
          <t>Σ (e_i/(1−h_ii))²</t>
        </is>
      </c>
    </row>
    <row r="106" ht="15" customHeight="1" s="68">
      <c r="A106" s="74" t="inlineStr">
        <is>
          <t>LOOCV R²</t>
        </is>
      </c>
      <c r="B106" s="97">
        <f>1-B105/B99</f>
        <v/>
      </c>
      <c r="C106" s="79" t="inlineStr">
        <is>
          <t>1 − PRESS/SS_tot</t>
        </is>
      </c>
    </row>
    <row r="108" ht="17.15" customHeight="1" s="68">
      <c r="A108" s="94" t="inlineStr">
        <is>
          <t>LOOCV(단일제거 교차검증)를 행렬로 계산하는 원리</t>
        </is>
      </c>
    </row>
    <row r="109" ht="15" customHeight="1" s="68">
      <c r="A109" s="70" t="inlineStr">
        <is>
          <t>관측치 i를 빼고 다시 적합한 뒤 i를 예측한 오차는, 전체 적합 잔차 e_i와 레버리지 h_ii만으로 e_i/(1−h_ii)로 정확히 구해진다(PRESS 항등식). 65번 재적합할 필요가 없다.</t>
        </is>
      </c>
    </row>
    <row r="110" ht="15" customHeight="1" s="68">
      <c r="A110" s="79" t="inlineStr">
        <is>
          <t>h_ii = x_i · inv(X'X) · x_iᵀ 이며, 관측치 i가 자기 적합값을 끌어당기는 힘이다. LOOCV R² = 1 − PRESS/SS_total 이 음수면 표본평균보다도 예측이 나쁘다는 뜻이다.</t>
        </is>
      </c>
    </row>
    <row r="112" ht="15" customHeight="1" s="68">
      <c r="A112" s="70" t="inlineStr">
        <is>
          <t>핵심: 이 모형은 레퍼런스 기반 2신호 모형(12_사후회귀)을 상회한다. 즉 운영 환경에서 레퍼런스 LLM을 호출하지 않고도 동등 이상의 모니터링 신호를 얻을 수 있다.</t>
        </is>
      </c>
    </row>
    <row r="113" ht="15" customHeight="1" s="68">
      <c r="A113" s="70" t="inlineStr">
        <is>
          <t>원리: 서로 다른 로컬 모델이 같은 입력에 대해 구조적으로 일치하는 출력을 내면 그 문서는 정합성이 높고, 서로 흩어지면 낮다. query-by-committee 및 self-consistency 계열 아이디어와 통한다.</t>
        </is>
      </c>
    </row>
    <row r="114" ht="15" customHeight="1" s="68">
      <c r="A114" s="70" t="inlineStr">
        <is>
          <t>검증: 14_논문대조 시트에서 이 모형의 값이 논문 보고치와 다르게 나오는 유일한 항목이므로 반드시 확인할 것.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J1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6" customWidth="1" style="67" min="1" max="1"/>
    <col width="15" customWidth="1" style="67" min="2" max="6"/>
    <col width="14" customWidth="1" style="67" min="7" max="10"/>
  </cols>
  <sheetData>
    <row r="1" ht="21.6" customHeight="1" s="68">
      <c r="A1" s="89" t="inlineStr">
        <is>
          <t>레퍼런스-프리 3신호 회귀 — 종속변수를 어휘+의미로 교체 (논문 4.3)</t>
        </is>
      </c>
    </row>
    <row r="2" ht="15" customHeight="1" s="68">
      <c r="A2" s="70" t="inlineStr">
        <is>
          <t>구조 성분을 제외한 종속변수에 대해서도 레퍼런스-프리 신호가 설명력을 유지하는지 확인한다.</t>
        </is>
      </c>
    </row>
    <row r="4" ht="15" customHeight="1" s="68">
      <c r="A4" s="82" t="inlineStr">
        <is>
          <t>document_id</t>
        </is>
      </c>
      <c r="B4" s="82" t="inlineStr">
        <is>
          <t>x0 (절편)</t>
        </is>
      </c>
      <c r="C4" s="78" t="inlineStr">
        <is>
          <t>로컬합의도_평균</t>
        </is>
      </c>
      <c r="D4" s="78" t="inlineStr">
        <is>
          <t>로컬합의도_분산</t>
        </is>
      </c>
      <c r="E4" s="78" t="inlineStr">
        <is>
          <t>출력어휘량</t>
        </is>
      </c>
      <c r="F4" s="82" t="inlineStr">
        <is>
          <t>y (종속변수)</t>
        </is>
      </c>
      <c r="G4" s="82" t="inlineStr">
        <is>
          <t>y_hat (적합값)</t>
        </is>
      </c>
      <c r="H4" s="82" t="inlineStr">
        <is>
          <t>e (잔차)</t>
        </is>
      </c>
      <c r="I4" s="82" t="inlineStr">
        <is>
          <t>h_ii (레버리지)</t>
        </is>
      </c>
      <c r="J4" s="82" t="inlineStr">
        <is>
          <t>(e/(1-h))²</t>
        </is>
      </c>
    </row>
    <row r="5" ht="15" customHeight="1" s="68">
      <c r="A5" s="70">
        <f>'11_문서단위'!A5</f>
        <v/>
      </c>
      <c r="B5" s="101" t="n">
        <v>1</v>
      </c>
      <c r="C5" s="85">
        <f>'11_문서단위'!F5</f>
        <v/>
      </c>
      <c r="D5" s="85">
        <f>'11_문서단위'!G5</f>
        <v/>
      </c>
      <c r="E5" s="85">
        <f>'11_문서단위'!E5</f>
        <v/>
      </c>
      <c r="F5" s="85">
        <f>'11_문서단위'!J5</f>
        <v/>
      </c>
      <c r="G5" s="85">
        <f>$B5*$B$92+$C5*$B$93+$D5*$B$94+$E5*$B$95</f>
        <v/>
      </c>
      <c r="H5" s="85">
        <f>F5-G5</f>
        <v/>
      </c>
      <c r="I5" s="138">
        <f>SUMPRODUCT(MMULT(B5:E5,$B$80:$E$83),B5:E5)</f>
        <v/>
      </c>
      <c r="J5" s="103">
        <f>(H5/(1-I5))^2</f>
        <v/>
      </c>
    </row>
    <row r="6" ht="15" customHeight="1" s="68">
      <c r="A6" s="70">
        <f>'11_문서단위'!A6</f>
        <v/>
      </c>
      <c r="B6" s="101" t="n">
        <v>1</v>
      </c>
      <c r="C6" s="85">
        <f>'11_문서단위'!F6</f>
        <v/>
      </c>
      <c r="D6" s="85">
        <f>'11_문서단위'!G6</f>
        <v/>
      </c>
      <c r="E6" s="85">
        <f>'11_문서단위'!E6</f>
        <v/>
      </c>
      <c r="F6" s="85">
        <f>'11_문서단위'!J6</f>
        <v/>
      </c>
      <c r="G6" s="85">
        <f>$B6*$B$92+$C6*$B$93+$D6*$B$94+$E6*$B$95</f>
        <v/>
      </c>
      <c r="H6" s="85">
        <f>F6-G6</f>
        <v/>
      </c>
      <c r="I6" s="138">
        <f>SUMPRODUCT(MMULT(B6:E6,$B$80:$E$83),B6:E6)</f>
        <v/>
      </c>
      <c r="J6" s="103">
        <f>(H6/(1-I6))^2</f>
        <v/>
      </c>
    </row>
    <row r="7" ht="15" customHeight="1" s="68">
      <c r="A7" s="70">
        <f>'11_문서단위'!A7</f>
        <v/>
      </c>
      <c r="B7" s="101" t="n">
        <v>1</v>
      </c>
      <c r="C7" s="85">
        <f>'11_문서단위'!F7</f>
        <v/>
      </c>
      <c r="D7" s="85">
        <f>'11_문서단위'!G7</f>
        <v/>
      </c>
      <c r="E7" s="85">
        <f>'11_문서단위'!E7</f>
        <v/>
      </c>
      <c r="F7" s="85">
        <f>'11_문서단위'!J7</f>
        <v/>
      </c>
      <c r="G7" s="85">
        <f>$B7*$B$92+$C7*$B$93+$D7*$B$94+$E7*$B$95</f>
        <v/>
      </c>
      <c r="H7" s="85">
        <f>F7-G7</f>
        <v/>
      </c>
      <c r="I7" s="138">
        <f>SUMPRODUCT(MMULT(B7:E7,$B$80:$E$83),B7:E7)</f>
        <v/>
      </c>
      <c r="J7" s="103">
        <f>(H7/(1-I7))^2</f>
        <v/>
      </c>
    </row>
    <row r="8" ht="15" customHeight="1" s="68">
      <c r="A8" s="70">
        <f>'11_문서단위'!A8</f>
        <v/>
      </c>
      <c r="B8" s="101" t="n">
        <v>1</v>
      </c>
      <c r="C8" s="85">
        <f>'11_문서단위'!F8</f>
        <v/>
      </c>
      <c r="D8" s="85">
        <f>'11_문서단위'!G8</f>
        <v/>
      </c>
      <c r="E8" s="85">
        <f>'11_문서단위'!E8</f>
        <v/>
      </c>
      <c r="F8" s="85">
        <f>'11_문서단위'!J8</f>
        <v/>
      </c>
      <c r="G8" s="85">
        <f>$B8*$B$92+$C8*$B$93+$D8*$B$94+$E8*$B$95</f>
        <v/>
      </c>
      <c r="H8" s="85">
        <f>F8-G8</f>
        <v/>
      </c>
      <c r="I8" s="138">
        <f>SUMPRODUCT(MMULT(B8:E8,$B$80:$E$83),B8:E8)</f>
        <v/>
      </c>
      <c r="J8" s="103">
        <f>(H8/(1-I8))^2</f>
        <v/>
      </c>
    </row>
    <row r="9" ht="15" customHeight="1" s="68">
      <c r="A9" s="70">
        <f>'11_문서단위'!A9</f>
        <v/>
      </c>
      <c r="B9" s="101" t="n">
        <v>1</v>
      </c>
      <c r="C9" s="85">
        <f>'11_문서단위'!F9</f>
        <v/>
      </c>
      <c r="D9" s="85">
        <f>'11_문서단위'!G9</f>
        <v/>
      </c>
      <c r="E9" s="85">
        <f>'11_문서단위'!E9</f>
        <v/>
      </c>
      <c r="F9" s="85">
        <f>'11_문서단위'!J9</f>
        <v/>
      </c>
      <c r="G9" s="85">
        <f>$B9*$B$92+$C9*$B$93+$D9*$B$94+$E9*$B$95</f>
        <v/>
      </c>
      <c r="H9" s="85">
        <f>F9-G9</f>
        <v/>
      </c>
      <c r="I9" s="138">
        <f>SUMPRODUCT(MMULT(B9:E9,$B$80:$E$83),B9:E9)</f>
        <v/>
      </c>
      <c r="J9" s="103">
        <f>(H9/(1-I9))^2</f>
        <v/>
      </c>
    </row>
    <row r="10" ht="15" customHeight="1" s="68">
      <c r="A10" s="70">
        <f>'11_문서단위'!A10</f>
        <v/>
      </c>
      <c r="B10" s="101" t="n">
        <v>1</v>
      </c>
      <c r="C10" s="85">
        <f>'11_문서단위'!F10</f>
        <v/>
      </c>
      <c r="D10" s="85">
        <f>'11_문서단위'!G10</f>
        <v/>
      </c>
      <c r="E10" s="85">
        <f>'11_문서단위'!E10</f>
        <v/>
      </c>
      <c r="F10" s="85">
        <f>'11_문서단위'!J10</f>
        <v/>
      </c>
      <c r="G10" s="85">
        <f>$B10*$B$92+$C10*$B$93+$D10*$B$94+$E10*$B$95</f>
        <v/>
      </c>
      <c r="H10" s="85">
        <f>F10-G10</f>
        <v/>
      </c>
      <c r="I10" s="138">
        <f>SUMPRODUCT(MMULT(B10:E10,$B$80:$E$83),B10:E10)</f>
        <v/>
      </c>
      <c r="J10" s="103">
        <f>(H10/(1-I10))^2</f>
        <v/>
      </c>
    </row>
    <row r="11" ht="15" customHeight="1" s="68">
      <c r="A11" s="70">
        <f>'11_문서단위'!A11</f>
        <v/>
      </c>
      <c r="B11" s="101" t="n">
        <v>1</v>
      </c>
      <c r="C11" s="85">
        <f>'11_문서단위'!F11</f>
        <v/>
      </c>
      <c r="D11" s="85">
        <f>'11_문서단위'!G11</f>
        <v/>
      </c>
      <c r="E11" s="85">
        <f>'11_문서단위'!E11</f>
        <v/>
      </c>
      <c r="F11" s="85">
        <f>'11_문서단위'!J11</f>
        <v/>
      </c>
      <c r="G11" s="85">
        <f>$B11*$B$92+$C11*$B$93+$D11*$B$94+$E11*$B$95</f>
        <v/>
      </c>
      <c r="H11" s="85">
        <f>F11-G11</f>
        <v/>
      </c>
      <c r="I11" s="138">
        <f>SUMPRODUCT(MMULT(B11:E11,$B$80:$E$83),B11:E11)</f>
        <v/>
      </c>
      <c r="J11" s="103">
        <f>(H11/(1-I11))^2</f>
        <v/>
      </c>
    </row>
    <row r="12" ht="15" customHeight="1" s="68">
      <c r="A12" s="70">
        <f>'11_문서단위'!A12</f>
        <v/>
      </c>
      <c r="B12" s="101" t="n">
        <v>1</v>
      </c>
      <c r="C12" s="85">
        <f>'11_문서단위'!F12</f>
        <v/>
      </c>
      <c r="D12" s="85">
        <f>'11_문서단위'!G12</f>
        <v/>
      </c>
      <c r="E12" s="85">
        <f>'11_문서단위'!E12</f>
        <v/>
      </c>
      <c r="F12" s="85">
        <f>'11_문서단위'!J12</f>
        <v/>
      </c>
      <c r="G12" s="85">
        <f>$B12*$B$92+$C12*$B$93+$D12*$B$94+$E12*$B$95</f>
        <v/>
      </c>
      <c r="H12" s="85">
        <f>F12-G12</f>
        <v/>
      </c>
      <c r="I12" s="138">
        <f>SUMPRODUCT(MMULT(B12:E12,$B$80:$E$83),B12:E12)</f>
        <v/>
      </c>
      <c r="J12" s="103">
        <f>(H12/(1-I12))^2</f>
        <v/>
      </c>
    </row>
    <row r="13" ht="15" customHeight="1" s="68">
      <c r="A13" s="70">
        <f>'11_문서단위'!A13</f>
        <v/>
      </c>
      <c r="B13" s="101" t="n">
        <v>1</v>
      </c>
      <c r="C13" s="85">
        <f>'11_문서단위'!F13</f>
        <v/>
      </c>
      <c r="D13" s="85">
        <f>'11_문서단위'!G13</f>
        <v/>
      </c>
      <c r="E13" s="85">
        <f>'11_문서단위'!E13</f>
        <v/>
      </c>
      <c r="F13" s="85">
        <f>'11_문서단위'!J13</f>
        <v/>
      </c>
      <c r="G13" s="85">
        <f>$B13*$B$92+$C13*$B$93+$D13*$B$94+$E13*$B$95</f>
        <v/>
      </c>
      <c r="H13" s="85">
        <f>F13-G13</f>
        <v/>
      </c>
      <c r="I13" s="138">
        <f>SUMPRODUCT(MMULT(B13:E13,$B$80:$E$83),B13:E13)</f>
        <v/>
      </c>
      <c r="J13" s="103">
        <f>(H13/(1-I13))^2</f>
        <v/>
      </c>
    </row>
    <row r="14" ht="15" customHeight="1" s="68">
      <c r="A14" s="70">
        <f>'11_문서단위'!A14</f>
        <v/>
      </c>
      <c r="B14" s="101" t="n">
        <v>1</v>
      </c>
      <c r="C14" s="85">
        <f>'11_문서단위'!F14</f>
        <v/>
      </c>
      <c r="D14" s="85">
        <f>'11_문서단위'!G14</f>
        <v/>
      </c>
      <c r="E14" s="85">
        <f>'11_문서단위'!E14</f>
        <v/>
      </c>
      <c r="F14" s="85">
        <f>'11_문서단위'!J14</f>
        <v/>
      </c>
      <c r="G14" s="85">
        <f>$B14*$B$92+$C14*$B$93+$D14*$B$94+$E14*$B$95</f>
        <v/>
      </c>
      <c r="H14" s="85">
        <f>F14-G14</f>
        <v/>
      </c>
      <c r="I14" s="138">
        <f>SUMPRODUCT(MMULT(B14:E14,$B$80:$E$83),B14:E14)</f>
        <v/>
      </c>
      <c r="J14" s="103">
        <f>(H14/(1-I14))^2</f>
        <v/>
      </c>
    </row>
    <row r="15" ht="15" customHeight="1" s="68">
      <c r="A15" s="70">
        <f>'11_문서단위'!A15</f>
        <v/>
      </c>
      <c r="B15" s="101" t="n">
        <v>1</v>
      </c>
      <c r="C15" s="85">
        <f>'11_문서단위'!F15</f>
        <v/>
      </c>
      <c r="D15" s="85">
        <f>'11_문서단위'!G15</f>
        <v/>
      </c>
      <c r="E15" s="85">
        <f>'11_문서단위'!E15</f>
        <v/>
      </c>
      <c r="F15" s="85">
        <f>'11_문서단위'!J15</f>
        <v/>
      </c>
      <c r="G15" s="85">
        <f>$B15*$B$92+$C15*$B$93+$D15*$B$94+$E15*$B$95</f>
        <v/>
      </c>
      <c r="H15" s="85">
        <f>F15-G15</f>
        <v/>
      </c>
      <c r="I15" s="138">
        <f>SUMPRODUCT(MMULT(B15:E15,$B$80:$E$83),B15:E15)</f>
        <v/>
      </c>
      <c r="J15" s="103">
        <f>(H15/(1-I15))^2</f>
        <v/>
      </c>
    </row>
    <row r="16" ht="15" customHeight="1" s="68">
      <c r="A16" s="70">
        <f>'11_문서단위'!A16</f>
        <v/>
      </c>
      <c r="B16" s="101" t="n">
        <v>1</v>
      </c>
      <c r="C16" s="85">
        <f>'11_문서단위'!F16</f>
        <v/>
      </c>
      <c r="D16" s="85">
        <f>'11_문서단위'!G16</f>
        <v/>
      </c>
      <c r="E16" s="85">
        <f>'11_문서단위'!E16</f>
        <v/>
      </c>
      <c r="F16" s="85">
        <f>'11_문서단위'!J16</f>
        <v/>
      </c>
      <c r="G16" s="85">
        <f>$B16*$B$92+$C16*$B$93+$D16*$B$94+$E16*$B$95</f>
        <v/>
      </c>
      <c r="H16" s="85">
        <f>F16-G16</f>
        <v/>
      </c>
      <c r="I16" s="138">
        <f>SUMPRODUCT(MMULT(B16:E16,$B$80:$E$83),B16:E16)</f>
        <v/>
      </c>
      <c r="J16" s="103">
        <f>(H16/(1-I16))^2</f>
        <v/>
      </c>
    </row>
    <row r="17" ht="15" customHeight="1" s="68">
      <c r="A17" s="70">
        <f>'11_문서단위'!A17</f>
        <v/>
      </c>
      <c r="B17" s="101" t="n">
        <v>1</v>
      </c>
      <c r="C17" s="85">
        <f>'11_문서단위'!F17</f>
        <v/>
      </c>
      <c r="D17" s="85">
        <f>'11_문서단위'!G17</f>
        <v/>
      </c>
      <c r="E17" s="85">
        <f>'11_문서단위'!E17</f>
        <v/>
      </c>
      <c r="F17" s="85">
        <f>'11_문서단위'!J17</f>
        <v/>
      </c>
      <c r="G17" s="85">
        <f>$B17*$B$92+$C17*$B$93+$D17*$B$94+$E17*$B$95</f>
        <v/>
      </c>
      <c r="H17" s="85">
        <f>F17-G17</f>
        <v/>
      </c>
      <c r="I17" s="138">
        <f>SUMPRODUCT(MMULT(B17:E17,$B$80:$E$83),B17:E17)</f>
        <v/>
      </c>
      <c r="J17" s="103">
        <f>(H17/(1-I17))^2</f>
        <v/>
      </c>
    </row>
    <row r="18" ht="15" customHeight="1" s="68">
      <c r="A18" s="70">
        <f>'11_문서단위'!A18</f>
        <v/>
      </c>
      <c r="B18" s="101" t="n">
        <v>1</v>
      </c>
      <c r="C18" s="85">
        <f>'11_문서단위'!F18</f>
        <v/>
      </c>
      <c r="D18" s="85">
        <f>'11_문서단위'!G18</f>
        <v/>
      </c>
      <c r="E18" s="85">
        <f>'11_문서단위'!E18</f>
        <v/>
      </c>
      <c r="F18" s="85">
        <f>'11_문서단위'!J18</f>
        <v/>
      </c>
      <c r="G18" s="85">
        <f>$B18*$B$92+$C18*$B$93+$D18*$B$94+$E18*$B$95</f>
        <v/>
      </c>
      <c r="H18" s="85">
        <f>F18-G18</f>
        <v/>
      </c>
      <c r="I18" s="138">
        <f>SUMPRODUCT(MMULT(B18:E18,$B$80:$E$83),B18:E18)</f>
        <v/>
      </c>
      <c r="J18" s="103">
        <f>(H18/(1-I18))^2</f>
        <v/>
      </c>
    </row>
    <row r="19" ht="15" customHeight="1" s="68">
      <c r="A19" s="70">
        <f>'11_문서단위'!A19</f>
        <v/>
      </c>
      <c r="B19" s="101" t="n">
        <v>1</v>
      </c>
      <c r="C19" s="85">
        <f>'11_문서단위'!F19</f>
        <v/>
      </c>
      <c r="D19" s="85">
        <f>'11_문서단위'!G19</f>
        <v/>
      </c>
      <c r="E19" s="85">
        <f>'11_문서단위'!E19</f>
        <v/>
      </c>
      <c r="F19" s="85">
        <f>'11_문서단위'!J19</f>
        <v/>
      </c>
      <c r="G19" s="85">
        <f>$B19*$B$92+$C19*$B$93+$D19*$B$94+$E19*$B$95</f>
        <v/>
      </c>
      <c r="H19" s="85">
        <f>F19-G19</f>
        <v/>
      </c>
      <c r="I19" s="138">
        <f>SUMPRODUCT(MMULT(B19:E19,$B$80:$E$83),B19:E19)</f>
        <v/>
      </c>
      <c r="J19" s="103">
        <f>(H19/(1-I19))^2</f>
        <v/>
      </c>
    </row>
    <row r="20" ht="15" customHeight="1" s="68">
      <c r="A20" s="70">
        <f>'11_문서단위'!A20</f>
        <v/>
      </c>
      <c r="B20" s="101" t="n">
        <v>1</v>
      </c>
      <c r="C20" s="85">
        <f>'11_문서단위'!F20</f>
        <v/>
      </c>
      <c r="D20" s="85">
        <f>'11_문서단위'!G20</f>
        <v/>
      </c>
      <c r="E20" s="85">
        <f>'11_문서단위'!E20</f>
        <v/>
      </c>
      <c r="F20" s="85">
        <f>'11_문서단위'!J20</f>
        <v/>
      </c>
      <c r="G20" s="85">
        <f>$B20*$B$92+$C20*$B$93+$D20*$B$94+$E20*$B$95</f>
        <v/>
      </c>
      <c r="H20" s="85">
        <f>F20-G20</f>
        <v/>
      </c>
      <c r="I20" s="138">
        <f>SUMPRODUCT(MMULT(B20:E20,$B$80:$E$83),B20:E20)</f>
        <v/>
      </c>
      <c r="J20" s="103">
        <f>(H20/(1-I20))^2</f>
        <v/>
      </c>
    </row>
    <row r="21" ht="15" customHeight="1" s="68">
      <c r="A21" s="70">
        <f>'11_문서단위'!A21</f>
        <v/>
      </c>
      <c r="B21" s="101" t="n">
        <v>1</v>
      </c>
      <c r="C21" s="85">
        <f>'11_문서단위'!F21</f>
        <v/>
      </c>
      <c r="D21" s="85">
        <f>'11_문서단위'!G21</f>
        <v/>
      </c>
      <c r="E21" s="85">
        <f>'11_문서단위'!E21</f>
        <v/>
      </c>
      <c r="F21" s="85">
        <f>'11_문서단위'!J21</f>
        <v/>
      </c>
      <c r="G21" s="85">
        <f>$B21*$B$92+$C21*$B$93+$D21*$B$94+$E21*$B$95</f>
        <v/>
      </c>
      <c r="H21" s="85">
        <f>F21-G21</f>
        <v/>
      </c>
      <c r="I21" s="138">
        <f>SUMPRODUCT(MMULT(B21:E21,$B$80:$E$83),B21:E21)</f>
        <v/>
      </c>
      <c r="J21" s="103">
        <f>(H21/(1-I21))^2</f>
        <v/>
      </c>
    </row>
    <row r="22" ht="15" customHeight="1" s="68">
      <c r="A22" s="70">
        <f>'11_문서단위'!A22</f>
        <v/>
      </c>
      <c r="B22" s="101" t="n">
        <v>1</v>
      </c>
      <c r="C22" s="85">
        <f>'11_문서단위'!F22</f>
        <v/>
      </c>
      <c r="D22" s="85">
        <f>'11_문서단위'!G22</f>
        <v/>
      </c>
      <c r="E22" s="85">
        <f>'11_문서단위'!E22</f>
        <v/>
      </c>
      <c r="F22" s="85">
        <f>'11_문서단위'!J22</f>
        <v/>
      </c>
      <c r="G22" s="85">
        <f>$B22*$B$92+$C22*$B$93+$D22*$B$94+$E22*$B$95</f>
        <v/>
      </c>
      <c r="H22" s="85">
        <f>F22-G22</f>
        <v/>
      </c>
      <c r="I22" s="138">
        <f>SUMPRODUCT(MMULT(B22:E22,$B$80:$E$83),B22:E22)</f>
        <v/>
      </c>
      <c r="J22" s="103">
        <f>(H22/(1-I22))^2</f>
        <v/>
      </c>
    </row>
    <row r="23" ht="15" customHeight="1" s="68">
      <c r="A23" s="70">
        <f>'11_문서단위'!A23</f>
        <v/>
      </c>
      <c r="B23" s="101" t="n">
        <v>1</v>
      </c>
      <c r="C23" s="85">
        <f>'11_문서단위'!F23</f>
        <v/>
      </c>
      <c r="D23" s="85">
        <f>'11_문서단위'!G23</f>
        <v/>
      </c>
      <c r="E23" s="85">
        <f>'11_문서단위'!E23</f>
        <v/>
      </c>
      <c r="F23" s="85">
        <f>'11_문서단위'!J23</f>
        <v/>
      </c>
      <c r="G23" s="85">
        <f>$B23*$B$92+$C23*$B$93+$D23*$B$94+$E23*$B$95</f>
        <v/>
      </c>
      <c r="H23" s="85">
        <f>F23-G23</f>
        <v/>
      </c>
      <c r="I23" s="138">
        <f>SUMPRODUCT(MMULT(B23:E23,$B$80:$E$83),B23:E23)</f>
        <v/>
      </c>
      <c r="J23" s="103">
        <f>(H23/(1-I23))^2</f>
        <v/>
      </c>
    </row>
    <row r="24" ht="15" customHeight="1" s="68">
      <c r="A24" s="70">
        <f>'11_문서단위'!A24</f>
        <v/>
      </c>
      <c r="B24" s="101" t="n">
        <v>1</v>
      </c>
      <c r="C24" s="85">
        <f>'11_문서단위'!F24</f>
        <v/>
      </c>
      <c r="D24" s="85">
        <f>'11_문서단위'!G24</f>
        <v/>
      </c>
      <c r="E24" s="85">
        <f>'11_문서단위'!E24</f>
        <v/>
      </c>
      <c r="F24" s="85">
        <f>'11_문서단위'!J24</f>
        <v/>
      </c>
      <c r="G24" s="85">
        <f>$B24*$B$92+$C24*$B$93+$D24*$B$94+$E24*$B$95</f>
        <v/>
      </c>
      <c r="H24" s="85">
        <f>F24-G24</f>
        <v/>
      </c>
      <c r="I24" s="138">
        <f>SUMPRODUCT(MMULT(B24:E24,$B$80:$E$83),B24:E24)</f>
        <v/>
      </c>
      <c r="J24" s="103">
        <f>(H24/(1-I24))^2</f>
        <v/>
      </c>
    </row>
    <row r="25" ht="15" customHeight="1" s="68">
      <c r="A25" s="70">
        <f>'11_문서단위'!A25</f>
        <v/>
      </c>
      <c r="B25" s="101" t="n">
        <v>1</v>
      </c>
      <c r="C25" s="85">
        <f>'11_문서단위'!F25</f>
        <v/>
      </c>
      <c r="D25" s="85">
        <f>'11_문서단위'!G25</f>
        <v/>
      </c>
      <c r="E25" s="85">
        <f>'11_문서단위'!E25</f>
        <v/>
      </c>
      <c r="F25" s="85">
        <f>'11_문서단위'!J25</f>
        <v/>
      </c>
      <c r="G25" s="85">
        <f>$B25*$B$92+$C25*$B$93+$D25*$B$94+$E25*$B$95</f>
        <v/>
      </c>
      <c r="H25" s="85">
        <f>F25-G25</f>
        <v/>
      </c>
      <c r="I25" s="138">
        <f>SUMPRODUCT(MMULT(B25:E25,$B$80:$E$83),B25:E25)</f>
        <v/>
      </c>
      <c r="J25" s="103">
        <f>(H25/(1-I25))^2</f>
        <v/>
      </c>
    </row>
    <row r="26" ht="15" customHeight="1" s="68">
      <c r="A26" s="70">
        <f>'11_문서단위'!A26</f>
        <v/>
      </c>
      <c r="B26" s="101" t="n">
        <v>1</v>
      </c>
      <c r="C26" s="85">
        <f>'11_문서단위'!F26</f>
        <v/>
      </c>
      <c r="D26" s="85">
        <f>'11_문서단위'!G26</f>
        <v/>
      </c>
      <c r="E26" s="85">
        <f>'11_문서단위'!E26</f>
        <v/>
      </c>
      <c r="F26" s="85">
        <f>'11_문서단위'!J26</f>
        <v/>
      </c>
      <c r="G26" s="85">
        <f>$B26*$B$92+$C26*$B$93+$D26*$B$94+$E26*$B$95</f>
        <v/>
      </c>
      <c r="H26" s="85">
        <f>F26-G26</f>
        <v/>
      </c>
      <c r="I26" s="138">
        <f>SUMPRODUCT(MMULT(B26:E26,$B$80:$E$83),B26:E26)</f>
        <v/>
      </c>
      <c r="J26" s="103">
        <f>(H26/(1-I26))^2</f>
        <v/>
      </c>
    </row>
    <row r="27" ht="15" customHeight="1" s="68">
      <c r="A27" s="70">
        <f>'11_문서단위'!A27</f>
        <v/>
      </c>
      <c r="B27" s="101" t="n">
        <v>1</v>
      </c>
      <c r="C27" s="85">
        <f>'11_문서단위'!F27</f>
        <v/>
      </c>
      <c r="D27" s="85">
        <f>'11_문서단위'!G27</f>
        <v/>
      </c>
      <c r="E27" s="85">
        <f>'11_문서단위'!E27</f>
        <v/>
      </c>
      <c r="F27" s="85">
        <f>'11_문서단위'!J27</f>
        <v/>
      </c>
      <c r="G27" s="85">
        <f>$B27*$B$92+$C27*$B$93+$D27*$B$94+$E27*$B$95</f>
        <v/>
      </c>
      <c r="H27" s="85">
        <f>F27-G27</f>
        <v/>
      </c>
      <c r="I27" s="138">
        <f>SUMPRODUCT(MMULT(B27:E27,$B$80:$E$83),B27:E27)</f>
        <v/>
      </c>
      <c r="J27" s="103">
        <f>(H27/(1-I27))^2</f>
        <v/>
      </c>
    </row>
    <row r="28" ht="15" customHeight="1" s="68">
      <c r="A28" s="70">
        <f>'11_문서단위'!A28</f>
        <v/>
      </c>
      <c r="B28" s="101" t="n">
        <v>1</v>
      </c>
      <c r="C28" s="85">
        <f>'11_문서단위'!F28</f>
        <v/>
      </c>
      <c r="D28" s="85">
        <f>'11_문서단위'!G28</f>
        <v/>
      </c>
      <c r="E28" s="85">
        <f>'11_문서단위'!E28</f>
        <v/>
      </c>
      <c r="F28" s="85">
        <f>'11_문서단위'!J28</f>
        <v/>
      </c>
      <c r="G28" s="85">
        <f>$B28*$B$92+$C28*$B$93+$D28*$B$94+$E28*$B$95</f>
        <v/>
      </c>
      <c r="H28" s="85">
        <f>F28-G28</f>
        <v/>
      </c>
      <c r="I28" s="138">
        <f>SUMPRODUCT(MMULT(B28:E28,$B$80:$E$83),B28:E28)</f>
        <v/>
      </c>
      <c r="J28" s="103">
        <f>(H28/(1-I28))^2</f>
        <v/>
      </c>
    </row>
    <row r="29" ht="15" customHeight="1" s="68">
      <c r="A29" s="70">
        <f>'11_문서단위'!A29</f>
        <v/>
      </c>
      <c r="B29" s="101" t="n">
        <v>1</v>
      </c>
      <c r="C29" s="85">
        <f>'11_문서단위'!F29</f>
        <v/>
      </c>
      <c r="D29" s="85">
        <f>'11_문서단위'!G29</f>
        <v/>
      </c>
      <c r="E29" s="85">
        <f>'11_문서단위'!E29</f>
        <v/>
      </c>
      <c r="F29" s="85">
        <f>'11_문서단위'!J29</f>
        <v/>
      </c>
      <c r="G29" s="85">
        <f>$B29*$B$92+$C29*$B$93+$D29*$B$94+$E29*$B$95</f>
        <v/>
      </c>
      <c r="H29" s="85">
        <f>F29-G29</f>
        <v/>
      </c>
      <c r="I29" s="138">
        <f>SUMPRODUCT(MMULT(B29:E29,$B$80:$E$83),B29:E29)</f>
        <v/>
      </c>
      <c r="J29" s="103">
        <f>(H29/(1-I29))^2</f>
        <v/>
      </c>
    </row>
    <row r="30" ht="15" customHeight="1" s="68">
      <c r="A30" s="70">
        <f>'11_문서단위'!A30</f>
        <v/>
      </c>
      <c r="B30" s="101" t="n">
        <v>1</v>
      </c>
      <c r="C30" s="85">
        <f>'11_문서단위'!F30</f>
        <v/>
      </c>
      <c r="D30" s="85">
        <f>'11_문서단위'!G30</f>
        <v/>
      </c>
      <c r="E30" s="85">
        <f>'11_문서단위'!E30</f>
        <v/>
      </c>
      <c r="F30" s="85">
        <f>'11_문서단위'!J30</f>
        <v/>
      </c>
      <c r="G30" s="85">
        <f>$B30*$B$92+$C30*$B$93+$D30*$B$94+$E30*$B$95</f>
        <v/>
      </c>
      <c r="H30" s="85">
        <f>F30-G30</f>
        <v/>
      </c>
      <c r="I30" s="138">
        <f>SUMPRODUCT(MMULT(B30:E30,$B$80:$E$83),B30:E30)</f>
        <v/>
      </c>
      <c r="J30" s="103">
        <f>(H30/(1-I30))^2</f>
        <v/>
      </c>
    </row>
    <row r="31" ht="15" customHeight="1" s="68">
      <c r="A31" s="70">
        <f>'11_문서단위'!A31</f>
        <v/>
      </c>
      <c r="B31" s="101" t="n">
        <v>1</v>
      </c>
      <c r="C31" s="85">
        <f>'11_문서단위'!F31</f>
        <v/>
      </c>
      <c r="D31" s="85">
        <f>'11_문서단위'!G31</f>
        <v/>
      </c>
      <c r="E31" s="85">
        <f>'11_문서단위'!E31</f>
        <v/>
      </c>
      <c r="F31" s="85">
        <f>'11_문서단위'!J31</f>
        <v/>
      </c>
      <c r="G31" s="85">
        <f>$B31*$B$92+$C31*$B$93+$D31*$B$94+$E31*$B$95</f>
        <v/>
      </c>
      <c r="H31" s="85">
        <f>F31-G31</f>
        <v/>
      </c>
      <c r="I31" s="138">
        <f>SUMPRODUCT(MMULT(B31:E31,$B$80:$E$83),B31:E31)</f>
        <v/>
      </c>
      <c r="J31" s="103">
        <f>(H31/(1-I31))^2</f>
        <v/>
      </c>
    </row>
    <row r="32" ht="15" customHeight="1" s="68">
      <c r="A32" s="70">
        <f>'11_문서단위'!A32</f>
        <v/>
      </c>
      <c r="B32" s="101" t="n">
        <v>1</v>
      </c>
      <c r="C32" s="85">
        <f>'11_문서단위'!F32</f>
        <v/>
      </c>
      <c r="D32" s="85">
        <f>'11_문서단위'!G32</f>
        <v/>
      </c>
      <c r="E32" s="85">
        <f>'11_문서단위'!E32</f>
        <v/>
      </c>
      <c r="F32" s="85">
        <f>'11_문서단위'!J32</f>
        <v/>
      </c>
      <c r="G32" s="85">
        <f>$B32*$B$92+$C32*$B$93+$D32*$B$94+$E32*$B$95</f>
        <v/>
      </c>
      <c r="H32" s="85">
        <f>F32-G32</f>
        <v/>
      </c>
      <c r="I32" s="138">
        <f>SUMPRODUCT(MMULT(B32:E32,$B$80:$E$83),B32:E32)</f>
        <v/>
      </c>
      <c r="J32" s="103">
        <f>(H32/(1-I32))^2</f>
        <v/>
      </c>
    </row>
    <row r="33" ht="15" customHeight="1" s="68">
      <c r="A33" s="70">
        <f>'11_문서단위'!A33</f>
        <v/>
      </c>
      <c r="B33" s="101" t="n">
        <v>1</v>
      </c>
      <c r="C33" s="85">
        <f>'11_문서단위'!F33</f>
        <v/>
      </c>
      <c r="D33" s="85">
        <f>'11_문서단위'!G33</f>
        <v/>
      </c>
      <c r="E33" s="85">
        <f>'11_문서단위'!E33</f>
        <v/>
      </c>
      <c r="F33" s="85">
        <f>'11_문서단위'!J33</f>
        <v/>
      </c>
      <c r="G33" s="85">
        <f>$B33*$B$92+$C33*$B$93+$D33*$B$94+$E33*$B$95</f>
        <v/>
      </c>
      <c r="H33" s="85">
        <f>F33-G33</f>
        <v/>
      </c>
      <c r="I33" s="138">
        <f>SUMPRODUCT(MMULT(B33:E33,$B$80:$E$83),B33:E33)</f>
        <v/>
      </c>
      <c r="J33" s="103">
        <f>(H33/(1-I33))^2</f>
        <v/>
      </c>
    </row>
    <row r="34" ht="15" customHeight="1" s="68">
      <c r="A34" s="70">
        <f>'11_문서단위'!A34</f>
        <v/>
      </c>
      <c r="B34" s="101" t="n">
        <v>1</v>
      </c>
      <c r="C34" s="85">
        <f>'11_문서단위'!F34</f>
        <v/>
      </c>
      <c r="D34" s="85">
        <f>'11_문서단위'!G34</f>
        <v/>
      </c>
      <c r="E34" s="85">
        <f>'11_문서단위'!E34</f>
        <v/>
      </c>
      <c r="F34" s="85">
        <f>'11_문서단위'!J34</f>
        <v/>
      </c>
      <c r="G34" s="85">
        <f>$B34*$B$92+$C34*$B$93+$D34*$B$94+$E34*$B$95</f>
        <v/>
      </c>
      <c r="H34" s="85">
        <f>F34-G34</f>
        <v/>
      </c>
      <c r="I34" s="138">
        <f>SUMPRODUCT(MMULT(B34:E34,$B$80:$E$83),B34:E34)</f>
        <v/>
      </c>
      <c r="J34" s="103">
        <f>(H34/(1-I34))^2</f>
        <v/>
      </c>
    </row>
    <row r="35" ht="15" customHeight="1" s="68">
      <c r="A35" s="70">
        <f>'11_문서단위'!A35</f>
        <v/>
      </c>
      <c r="B35" s="101" t="n">
        <v>1</v>
      </c>
      <c r="C35" s="85">
        <f>'11_문서단위'!F35</f>
        <v/>
      </c>
      <c r="D35" s="85">
        <f>'11_문서단위'!G35</f>
        <v/>
      </c>
      <c r="E35" s="85">
        <f>'11_문서단위'!E35</f>
        <v/>
      </c>
      <c r="F35" s="85">
        <f>'11_문서단위'!J35</f>
        <v/>
      </c>
      <c r="G35" s="85">
        <f>$B35*$B$92+$C35*$B$93+$D35*$B$94+$E35*$B$95</f>
        <v/>
      </c>
      <c r="H35" s="85">
        <f>F35-G35</f>
        <v/>
      </c>
      <c r="I35" s="138">
        <f>SUMPRODUCT(MMULT(B35:E35,$B$80:$E$83),B35:E35)</f>
        <v/>
      </c>
      <c r="J35" s="103">
        <f>(H35/(1-I35))^2</f>
        <v/>
      </c>
    </row>
    <row r="36" ht="15" customHeight="1" s="68">
      <c r="A36" s="70">
        <f>'11_문서단위'!A36</f>
        <v/>
      </c>
      <c r="B36" s="101" t="n">
        <v>1</v>
      </c>
      <c r="C36" s="85">
        <f>'11_문서단위'!F36</f>
        <v/>
      </c>
      <c r="D36" s="85">
        <f>'11_문서단위'!G36</f>
        <v/>
      </c>
      <c r="E36" s="85">
        <f>'11_문서단위'!E36</f>
        <v/>
      </c>
      <c r="F36" s="85">
        <f>'11_문서단위'!J36</f>
        <v/>
      </c>
      <c r="G36" s="85">
        <f>$B36*$B$92+$C36*$B$93+$D36*$B$94+$E36*$B$95</f>
        <v/>
      </c>
      <c r="H36" s="85">
        <f>F36-G36</f>
        <v/>
      </c>
      <c r="I36" s="138">
        <f>SUMPRODUCT(MMULT(B36:E36,$B$80:$E$83),B36:E36)</f>
        <v/>
      </c>
      <c r="J36" s="103">
        <f>(H36/(1-I36))^2</f>
        <v/>
      </c>
    </row>
    <row r="37" ht="15" customHeight="1" s="68">
      <c r="A37" s="70">
        <f>'11_문서단위'!A37</f>
        <v/>
      </c>
      <c r="B37" s="101" t="n">
        <v>1</v>
      </c>
      <c r="C37" s="85">
        <f>'11_문서단위'!F37</f>
        <v/>
      </c>
      <c r="D37" s="85">
        <f>'11_문서단위'!G37</f>
        <v/>
      </c>
      <c r="E37" s="85">
        <f>'11_문서단위'!E37</f>
        <v/>
      </c>
      <c r="F37" s="85">
        <f>'11_문서단위'!J37</f>
        <v/>
      </c>
      <c r="G37" s="85">
        <f>$B37*$B$92+$C37*$B$93+$D37*$B$94+$E37*$B$95</f>
        <v/>
      </c>
      <c r="H37" s="85">
        <f>F37-G37</f>
        <v/>
      </c>
      <c r="I37" s="138">
        <f>SUMPRODUCT(MMULT(B37:E37,$B$80:$E$83),B37:E37)</f>
        <v/>
      </c>
      <c r="J37" s="103">
        <f>(H37/(1-I37))^2</f>
        <v/>
      </c>
    </row>
    <row r="38" ht="15" customHeight="1" s="68">
      <c r="A38" s="70">
        <f>'11_문서단위'!A38</f>
        <v/>
      </c>
      <c r="B38" s="101" t="n">
        <v>1</v>
      </c>
      <c r="C38" s="85">
        <f>'11_문서단위'!F38</f>
        <v/>
      </c>
      <c r="D38" s="85">
        <f>'11_문서단위'!G38</f>
        <v/>
      </c>
      <c r="E38" s="85">
        <f>'11_문서단위'!E38</f>
        <v/>
      </c>
      <c r="F38" s="85">
        <f>'11_문서단위'!J38</f>
        <v/>
      </c>
      <c r="G38" s="85">
        <f>$B38*$B$92+$C38*$B$93+$D38*$B$94+$E38*$B$95</f>
        <v/>
      </c>
      <c r="H38" s="85">
        <f>F38-G38</f>
        <v/>
      </c>
      <c r="I38" s="138">
        <f>SUMPRODUCT(MMULT(B38:E38,$B$80:$E$83),B38:E38)</f>
        <v/>
      </c>
      <c r="J38" s="103">
        <f>(H38/(1-I38))^2</f>
        <v/>
      </c>
    </row>
    <row r="39" ht="15" customHeight="1" s="68">
      <c r="A39" s="70">
        <f>'11_문서단위'!A39</f>
        <v/>
      </c>
      <c r="B39" s="101" t="n">
        <v>1</v>
      </c>
      <c r="C39" s="85">
        <f>'11_문서단위'!F39</f>
        <v/>
      </c>
      <c r="D39" s="85">
        <f>'11_문서단위'!G39</f>
        <v/>
      </c>
      <c r="E39" s="85">
        <f>'11_문서단위'!E39</f>
        <v/>
      </c>
      <c r="F39" s="85">
        <f>'11_문서단위'!J39</f>
        <v/>
      </c>
      <c r="G39" s="85">
        <f>$B39*$B$92+$C39*$B$93+$D39*$B$94+$E39*$B$95</f>
        <v/>
      </c>
      <c r="H39" s="85">
        <f>F39-G39</f>
        <v/>
      </c>
      <c r="I39" s="138">
        <f>SUMPRODUCT(MMULT(B39:E39,$B$80:$E$83),B39:E39)</f>
        <v/>
      </c>
      <c r="J39" s="103">
        <f>(H39/(1-I39))^2</f>
        <v/>
      </c>
    </row>
    <row r="40" ht="15" customHeight="1" s="68">
      <c r="A40" s="70">
        <f>'11_문서단위'!A40</f>
        <v/>
      </c>
      <c r="B40" s="101" t="n">
        <v>1</v>
      </c>
      <c r="C40" s="85">
        <f>'11_문서단위'!F40</f>
        <v/>
      </c>
      <c r="D40" s="85">
        <f>'11_문서단위'!G40</f>
        <v/>
      </c>
      <c r="E40" s="85">
        <f>'11_문서단위'!E40</f>
        <v/>
      </c>
      <c r="F40" s="85">
        <f>'11_문서단위'!J40</f>
        <v/>
      </c>
      <c r="G40" s="85">
        <f>$B40*$B$92+$C40*$B$93+$D40*$B$94+$E40*$B$95</f>
        <v/>
      </c>
      <c r="H40" s="85">
        <f>F40-G40</f>
        <v/>
      </c>
      <c r="I40" s="138">
        <f>SUMPRODUCT(MMULT(B40:E40,$B$80:$E$83),B40:E40)</f>
        <v/>
      </c>
      <c r="J40" s="103">
        <f>(H40/(1-I40))^2</f>
        <v/>
      </c>
    </row>
    <row r="41" ht="15" customHeight="1" s="68">
      <c r="A41" s="70">
        <f>'11_문서단위'!A41</f>
        <v/>
      </c>
      <c r="B41" s="101" t="n">
        <v>1</v>
      </c>
      <c r="C41" s="85">
        <f>'11_문서단위'!F41</f>
        <v/>
      </c>
      <c r="D41" s="85">
        <f>'11_문서단위'!G41</f>
        <v/>
      </c>
      <c r="E41" s="85">
        <f>'11_문서단위'!E41</f>
        <v/>
      </c>
      <c r="F41" s="85">
        <f>'11_문서단위'!J41</f>
        <v/>
      </c>
      <c r="G41" s="85">
        <f>$B41*$B$92+$C41*$B$93+$D41*$B$94+$E41*$B$95</f>
        <v/>
      </c>
      <c r="H41" s="85">
        <f>F41-G41</f>
        <v/>
      </c>
      <c r="I41" s="138">
        <f>SUMPRODUCT(MMULT(B41:E41,$B$80:$E$83),B41:E41)</f>
        <v/>
      </c>
      <c r="J41" s="103">
        <f>(H41/(1-I41))^2</f>
        <v/>
      </c>
    </row>
    <row r="42" ht="15" customHeight="1" s="68">
      <c r="A42" s="70">
        <f>'11_문서단위'!A42</f>
        <v/>
      </c>
      <c r="B42" s="101" t="n">
        <v>1</v>
      </c>
      <c r="C42" s="85">
        <f>'11_문서단위'!F42</f>
        <v/>
      </c>
      <c r="D42" s="85">
        <f>'11_문서단위'!G42</f>
        <v/>
      </c>
      <c r="E42" s="85">
        <f>'11_문서단위'!E42</f>
        <v/>
      </c>
      <c r="F42" s="85">
        <f>'11_문서단위'!J42</f>
        <v/>
      </c>
      <c r="G42" s="85">
        <f>$B42*$B$92+$C42*$B$93+$D42*$B$94+$E42*$B$95</f>
        <v/>
      </c>
      <c r="H42" s="85">
        <f>F42-G42</f>
        <v/>
      </c>
      <c r="I42" s="138">
        <f>SUMPRODUCT(MMULT(B42:E42,$B$80:$E$83),B42:E42)</f>
        <v/>
      </c>
      <c r="J42" s="103">
        <f>(H42/(1-I42))^2</f>
        <v/>
      </c>
    </row>
    <row r="43" ht="15" customHeight="1" s="68">
      <c r="A43" s="70">
        <f>'11_문서단위'!A43</f>
        <v/>
      </c>
      <c r="B43" s="101" t="n">
        <v>1</v>
      </c>
      <c r="C43" s="85">
        <f>'11_문서단위'!F43</f>
        <v/>
      </c>
      <c r="D43" s="85">
        <f>'11_문서단위'!G43</f>
        <v/>
      </c>
      <c r="E43" s="85">
        <f>'11_문서단위'!E43</f>
        <v/>
      </c>
      <c r="F43" s="85">
        <f>'11_문서단위'!J43</f>
        <v/>
      </c>
      <c r="G43" s="85">
        <f>$B43*$B$92+$C43*$B$93+$D43*$B$94+$E43*$B$95</f>
        <v/>
      </c>
      <c r="H43" s="85">
        <f>F43-G43</f>
        <v/>
      </c>
      <c r="I43" s="138">
        <f>SUMPRODUCT(MMULT(B43:E43,$B$80:$E$83),B43:E43)</f>
        <v/>
      </c>
      <c r="J43" s="103">
        <f>(H43/(1-I43))^2</f>
        <v/>
      </c>
    </row>
    <row r="44" ht="15" customHeight="1" s="68">
      <c r="A44" s="70">
        <f>'11_문서단위'!A44</f>
        <v/>
      </c>
      <c r="B44" s="101" t="n">
        <v>1</v>
      </c>
      <c r="C44" s="85">
        <f>'11_문서단위'!F44</f>
        <v/>
      </c>
      <c r="D44" s="85">
        <f>'11_문서단위'!G44</f>
        <v/>
      </c>
      <c r="E44" s="85">
        <f>'11_문서단위'!E44</f>
        <v/>
      </c>
      <c r="F44" s="85">
        <f>'11_문서단위'!J44</f>
        <v/>
      </c>
      <c r="G44" s="85">
        <f>$B44*$B$92+$C44*$B$93+$D44*$B$94+$E44*$B$95</f>
        <v/>
      </c>
      <c r="H44" s="85">
        <f>F44-G44</f>
        <v/>
      </c>
      <c r="I44" s="138">
        <f>SUMPRODUCT(MMULT(B44:E44,$B$80:$E$83),B44:E44)</f>
        <v/>
      </c>
      <c r="J44" s="103">
        <f>(H44/(1-I44))^2</f>
        <v/>
      </c>
    </row>
    <row r="45" ht="15" customHeight="1" s="68">
      <c r="A45" s="70">
        <f>'11_문서단위'!A45</f>
        <v/>
      </c>
      <c r="B45" s="101" t="n">
        <v>1</v>
      </c>
      <c r="C45" s="85">
        <f>'11_문서단위'!F45</f>
        <v/>
      </c>
      <c r="D45" s="85">
        <f>'11_문서단위'!G45</f>
        <v/>
      </c>
      <c r="E45" s="85">
        <f>'11_문서단위'!E45</f>
        <v/>
      </c>
      <c r="F45" s="85">
        <f>'11_문서단위'!J45</f>
        <v/>
      </c>
      <c r="G45" s="85">
        <f>$B45*$B$92+$C45*$B$93+$D45*$B$94+$E45*$B$95</f>
        <v/>
      </c>
      <c r="H45" s="85">
        <f>F45-G45</f>
        <v/>
      </c>
      <c r="I45" s="138">
        <f>SUMPRODUCT(MMULT(B45:E45,$B$80:$E$83),B45:E45)</f>
        <v/>
      </c>
      <c r="J45" s="103">
        <f>(H45/(1-I45))^2</f>
        <v/>
      </c>
    </row>
    <row r="46" ht="15" customHeight="1" s="68">
      <c r="A46" s="70">
        <f>'11_문서단위'!A46</f>
        <v/>
      </c>
      <c r="B46" s="101" t="n">
        <v>1</v>
      </c>
      <c r="C46" s="85">
        <f>'11_문서단위'!F46</f>
        <v/>
      </c>
      <c r="D46" s="85">
        <f>'11_문서단위'!G46</f>
        <v/>
      </c>
      <c r="E46" s="85">
        <f>'11_문서단위'!E46</f>
        <v/>
      </c>
      <c r="F46" s="85">
        <f>'11_문서단위'!J46</f>
        <v/>
      </c>
      <c r="G46" s="85">
        <f>$B46*$B$92+$C46*$B$93+$D46*$B$94+$E46*$B$95</f>
        <v/>
      </c>
      <c r="H46" s="85">
        <f>F46-G46</f>
        <v/>
      </c>
      <c r="I46" s="138">
        <f>SUMPRODUCT(MMULT(B46:E46,$B$80:$E$83),B46:E46)</f>
        <v/>
      </c>
      <c r="J46" s="103">
        <f>(H46/(1-I46))^2</f>
        <v/>
      </c>
    </row>
    <row r="47" ht="15" customHeight="1" s="68">
      <c r="A47" s="70">
        <f>'11_문서단위'!A47</f>
        <v/>
      </c>
      <c r="B47" s="101" t="n">
        <v>1</v>
      </c>
      <c r="C47" s="85">
        <f>'11_문서단위'!F47</f>
        <v/>
      </c>
      <c r="D47" s="85">
        <f>'11_문서단위'!G47</f>
        <v/>
      </c>
      <c r="E47" s="85">
        <f>'11_문서단위'!E47</f>
        <v/>
      </c>
      <c r="F47" s="85">
        <f>'11_문서단위'!J47</f>
        <v/>
      </c>
      <c r="G47" s="85">
        <f>$B47*$B$92+$C47*$B$93+$D47*$B$94+$E47*$B$95</f>
        <v/>
      </c>
      <c r="H47" s="85">
        <f>F47-G47</f>
        <v/>
      </c>
      <c r="I47" s="138">
        <f>SUMPRODUCT(MMULT(B47:E47,$B$80:$E$83),B47:E47)</f>
        <v/>
      </c>
      <c r="J47" s="103">
        <f>(H47/(1-I47))^2</f>
        <v/>
      </c>
    </row>
    <row r="48" ht="15" customHeight="1" s="68">
      <c r="A48" s="70">
        <f>'11_문서단위'!A48</f>
        <v/>
      </c>
      <c r="B48" s="101" t="n">
        <v>1</v>
      </c>
      <c r="C48" s="85">
        <f>'11_문서단위'!F48</f>
        <v/>
      </c>
      <c r="D48" s="85">
        <f>'11_문서단위'!G48</f>
        <v/>
      </c>
      <c r="E48" s="85">
        <f>'11_문서단위'!E48</f>
        <v/>
      </c>
      <c r="F48" s="85">
        <f>'11_문서단위'!J48</f>
        <v/>
      </c>
      <c r="G48" s="85">
        <f>$B48*$B$92+$C48*$B$93+$D48*$B$94+$E48*$B$95</f>
        <v/>
      </c>
      <c r="H48" s="85">
        <f>F48-G48</f>
        <v/>
      </c>
      <c r="I48" s="138">
        <f>SUMPRODUCT(MMULT(B48:E48,$B$80:$E$83),B48:E48)</f>
        <v/>
      </c>
      <c r="J48" s="103">
        <f>(H48/(1-I48))^2</f>
        <v/>
      </c>
    </row>
    <row r="49" ht="15" customHeight="1" s="68">
      <c r="A49" s="70">
        <f>'11_문서단위'!A49</f>
        <v/>
      </c>
      <c r="B49" s="101" t="n">
        <v>1</v>
      </c>
      <c r="C49" s="85">
        <f>'11_문서단위'!F49</f>
        <v/>
      </c>
      <c r="D49" s="85">
        <f>'11_문서단위'!G49</f>
        <v/>
      </c>
      <c r="E49" s="85">
        <f>'11_문서단위'!E49</f>
        <v/>
      </c>
      <c r="F49" s="85">
        <f>'11_문서단위'!J49</f>
        <v/>
      </c>
      <c r="G49" s="85">
        <f>$B49*$B$92+$C49*$B$93+$D49*$B$94+$E49*$B$95</f>
        <v/>
      </c>
      <c r="H49" s="85">
        <f>F49-G49</f>
        <v/>
      </c>
      <c r="I49" s="138">
        <f>SUMPRODUCT(MMULT(B49:E49,$B$80:$E$83),B49:E49)</f>
        <v/>
      </c>
      <c r="J49" s="103">
        <f>(H49/(1-I49))^2</f>
        <v/>
      </c>
    </row>
    <row r="50" ht="15" customHeight="1" s="68">
      <c r="A50" s="70">
        <f>'11_문서단위'!A50</f>
        <v/>
      </c>
      <c r="B50" s="101" t="n">
        <v>1</v>
      </c>
      <c r="C50" s="85">
        <f>'11_문서단위'!F50</f>
        <v/>
      </c>
      <c r="D50" s="85">
        <f>'11_문서단위'!G50</f>
        <v/>
      </c>
      <c r="E50" s="85">
        <f>'11_문서단위'!E50</f>
        <v/>
      </c>
      <c r="F50" s="85">
        <f>'11_문서단위'!J50</f>
        <v/>
      </c>
      <c r="G50" s="85">
        <f>$B50*$B$92+$C50*$B$93+$D50*$B$94+$E50*$B$95</f>
        <v/>
      </c>
      <c r="H50" s="85">
        <f>F50-G50</f>
        <v/>
      </c>
      <c r="I50" s="138">
        <f>SUMPRODUCT(MMULT(B50:E50,$B$80:$E$83),B50:E50)</f>
        <v/>
      </c>
      <c r="J50" s="103">
        <f>(H50/(1-I50))^2</f>
        <v/>
      </c>
    </row>
    <row r="51" ht="15" customHeight="1" s="68">
      <c r="A51" s="70">
        <f>'11_문서단위'!A51</f>
        <v/>
      </c>
      <c r="B51" s="101" t="n">
        <v>1</v>
      </c>
      <c r="C51" s="85">
        <f>'11_문서단위'!F51</f>
        <v/>
      </c>
      <c r="D51" s="85">
        <f>'11_문서단위'!G51</f>
        <v/>
      </c>
      <c r="E51" s="85">
        <f>'11_문서단위'!E51</f>
        <v/>
      </c>
      <c r="F51" s="85">
        <f>'11_문서단위'!J51</f>
        <v/>
      </c>
      <c r="G51" s="85">
        <f>$B51*$B$92+$C51*$B$93+$D51*$B$94+$E51*$B$95</f>
        <v/>
      </c>
      <c r="H51" s="85">
        <f>F51-G51</f>
        <v/>
      </c>
      <c r="I51" s="138">
        <f>SUMPRODUCT(MMULT(B51:E51,$B$80:$E$83),B51:E51)</f>
        <v/>
      </c>
      <c r="J51" s="103">
        <f>(H51/(1-I51))^2</f>
        <v/>
      </c>
    </row>
    <row r="52" ht="15" customHeight="1" s="68">
      <c r="A52" s="70">
        <f>'11_문서단위'!A52</f>
        <v/>
      </c>
      <c r="B52" s="101" t="n">
        <v>1</v>
      </c>
      <c r="C52" s="85">
        <f>'11_문서단위'!F52</f>
        <v/>
      </c>
      <c r="D52" s="85">
        <f>'11_문서단위'!G52</f>
        <v/>
      </c>
      <c r="E52" s="85">
        <f>'11_문서단위'!E52</f>
        <v/>
      </c>
      <c r="F52" s="85">
        <f>'11_문서단위'!J52</f>
        <v/>
      </c>
      <c r="G52" s="85">
        <f>$B52*$B$92+$C52*$B$93+$D52*$B$94+$E52*$B$95</f>
        <v/>
      </c>
      <c r="H52" s="85">
        <f>F52-G52</f>
        <v/>
      </c>
      <c r="I52" s="138">
        <f>SUMPRODUCT(MMULT(B52:E52,$B$80:$E$83),B52:E52)</f>
        <v/>
      </c>
      <c r="J52" s="103">
        <f>(H52/(1-I52))^2</f>
        <v/>
      </c>
    </row>
    <row r="53" ht="15" customHeight="1" s="68">
      <c r="A53" s="70">
        <f>'11_문서단위'!A53</f>
        <v/>
      </c>
      <c r="B53" s="101" t="n">
        <v>1</v>
      </c>
      <c r="C53" s="85">
        <f>'11_문서단위'!F53</f>
        <v/>
      </c>
      <c r="D53" s="85">
        <f>'11_문서단위'!G53</f>
        <v/>
      </c>
      <c r="E53" s="85">
        <f>'11_문서단위'!E53</f>
        <v/>
      </c>
      <c r="F53" s="85">
        <f>'11_문서단위'!J53</f>
        <v/>
      </c>
      <c r="G53" s="85">
        <f>$B53*$B$92+$C53*$B$93+$D53*$B$94+$E53*$B$95</f>
        <v/>
      </c>
      <c r="H53" s="85">
        <f>F53-G53</f>
        <v/>
      </c>
      <c r="I53" s="138">
        <f>SUMPRODUCT(MMULT(B53:E53,$B$80:$E$83),B53:E53)</f>
        <v/>
      </c>
      <c r="J53" s="103">
        <f>(H53/(1-I53))^2</f>
        <v/>
      </c>
    </row>
    <row r="54" ht="15" customHeight="1" s="68">
      <c r="A54" s="70">
        <f>'11_문서단위'!A54</f>
        <v/>
      </c>
      <c r="B54" s="101" t="n">
        <v>1</v>
      </c>
      <c r="C54" s="85">
        <f>'11_문서단위'!F54</f>
        <v/>
      </c>
      <c r="D54" s="85">
        <f>'11_문서단위'!G54</f>
        <v/>
      </c>
      <c r="E54" s="85">
        <f>'11_문서단위'!E54</f>
        <v/>
      </c>
      <c r="F54" s="85">
        <f>'11_문서단위'!J54</f>
        <v/>
      </c>
      <c r="G54" s="85">
        <f>$B54*$B$92+$C54*$B$93+$D54*$B$94+$E54*$B$95</f>
        <v/>
      </c>
      <c r="H54" s="85">
        <f>F54-G54</f>
        <v/>
      </c>
      <c r="I54" s="138">
        <f>SUMPRODUCT(MMULT(B54:E54,$B$80:$E$83),B54:E54)</f>
        <v/>
      </c>
      <c r="J54" s="103">
        <f>(H54/(1-I54))^2</f>
        <v/>
      </c>
    </row>
    <row r="55" ht="15" customHeight="1" s="68">
      <c r="A55" s="70">
        <f>'11_문서단위'!A55</f>
        <v/>
      </c>
      <c r="B55" s="101" t="n">
        <v>1</v>
      </c>
      <c r="C55" s="85">
        <f>'11_문서단위'!F55</f>
        <v/>
      </c>
      <c r="D55" s="85">
        <f>'11_문서단위'!G55</f>
        <v/>
      </c>
      <c r="E55" s="85">
        <f>'11_문서단위'!E55</f>
        <v/>
      </c>
      <c r="F55" s="85">
        <f>'11_문서단위'!J55</f>
        <v/>
      </c>
      <c r="G55" s="85">
        <f>$B55*$B$92+$C55*$B$93+$D55*$B$94+$E55*$B$95</f>
        <v/>
      </c>
      <c r="H55" s="85">
        <f>F55-G55</f>
        <v/>
      </c>
      <c r="I55" s="138">
        <f>SUMPRODUCT(MMULT(B55:E55,$B$80:$E$83),B55:E55)</f>
        <v/>
      </c>
      <c r="J55" s="103">
        <f>(H55/(1-I55))^2</f>
        <v/>
      </c>
    </row>
    <row r="56" ht="15" customHeight="1" s="68">
      <c r="A56" s="70">
        <f>'11_문서단위'!A56</f>
        <v/>
      </c>
      <c r="B56" s="101" t="n">
        <v>1</v>
      </c>
      <c r="C56" s="85">
        <f>'11_문서단위'!F56</f>
        <v/>
      </c>
      <c r="D56" s="85">
        <f>'11_문서단위'!G56</f>
        <v/>
      </c>
      <c r="E56" s="85">
        <f>'11_문서단위'!E56</f>
        <v/>
      </c>
      <c r="F56" s="85">
        <f>'11_문서단위'!J56</f>
        <v/>
      </c>
      <c r="G56" s="85">
        <f>$B56*$B$92+$C56*$B$93+$D56*$B$94+$E56*$B$95</f>
        <v/>
      </c>
      <c r="H56" s="85">
        <f>F56-G56</f>
        <v/>
      </c>
      <c r="I56" s="138">
        <f>SUMPRODUCT(MMULT(B56:E56,$B$80:$E$83),B56:E56)</f>
        <v/>
      </c>
      <c r="J56" s="103">
        <f>(H56/(1-I56))^2</f>
        <v/>
      </c>
    </row>
    <row r="57" ht="15" customHeight="1" s="68">
      <c r="A57" s="70">
        <f>'11_문서단위'!A57</f>
        <v/>
      </c>
      <c r="B57" s="101" t="n">
        <v>1</v>
      </c>
      <c r="C57" s="85">
        <f>'11_문서단위'!F57</f>
        <v/>
      </c>
      <c r="D57" s="85">
        <f>'11_문서단위'!G57</f>
        <v/>
      </c>
      <c r="E57" s="85">
        <f>'11_문서단위'!E57</f>
        <v/>
      </c>
      <c r="F57" s="85">
        <f>'11_문서단위'!J57</f>
        <v/>
      </c>
      <c r="G57" s="85">
        <f>$B57*$B$92+$C57*$B$93+$D57*$B$94+$E57*$B$95</f>
        <v/>
      </c>
      <c r="H57" s="85">
        <f>F57-G57</f>
        <v/>
      </c>
      <c r="I57" s="138">
        <f>SUMPRODUCT(MMULT(B57:E57,$B$80:$E$83),B57:E57)</f>
        <v/>
      </c>
      <c r="J57" s="103">
        <f>(H57/(1-I57))^2</f>
        <v/>
      </c>
    </row>
    <row r="58" ht="15" customHeight="1" s="68">
      <c r="A58" s="70">
        <f>'11_문서단위'!A58</f>
        <v/>
      </c>
      <c r="B58" s="101" t="n">
        <v>1</v>
      </c>
      <c r="C58" s="85">
        <f>'11_문서단위'!F58</f>
        <v/>
      </c>
      <c r="D58" s="85">
        <f>'11_문서단위'!G58</f>
        <v/>
      </c>
      <c r="E58" s="85">
        <f>'11_문서단위'!E58</f>
        <v/>
      </c>
      <c r="F58" s="85">
        <f>'11_문서단위'!J58</f>
        <v/>
      </c>
      <c r="G58" s="85">
        <f>$B58*$B$92+$C58*$B$93+$D58*$B$94+$E58*$B$95</f>
        <v/>
      </c>
      <c r="H58" s="85">
        <f>F58-G58</f>
        <v/>
      </c>
      <c r="I58" s="138">
        <f>SUMPRODUCT(MMULT(B58:E58,$B$80:$E$83),B58:E58)</f>
        <v/>
      </c>
      <c r="J58" s="103">
        <f>(H58/(1-I58))^2</f>
        <v/>
      </c>
    </row>
    <row r="59" ht="15" customHeight="1" s="68">
      <c r="A59" s="70">
        <f>'11_문서단위'!A59</f>
        <v/>
      </c>
      <c r="B59" s="101" t="n">
        <v>1</v>
      </c>
      <c r="C59" s="85">
        <f>'11_문서단위'!F59</f>
        <v/>
      </c>
      <c r="D59" s="85">
        <f>'11_문서단위'!G59</f>
        <v/>
      </c>
      <c r="E59" s="85">
        <f>'11_문서단위'!E59</f>
        <v/>
      </c>
      <c r="F59" s="85">
        <f>'11_문서단위'!J59</f>
        <v/>
      </c>
      <c r="G59" s="85">
        <f>$B59*$B$92+$C59*$B$93+$D59*$B$94+$E59*$B$95</f>
        <v/>
      </c>
      <c r="H59" s="85">
        <f>F59-G59</f>
        <v/>
      </c>
      <c r="I59" s="138">
        <f>SUMPRODUCT(MMULT(B59:E59,$B$80:$E$83),B59:E59)</f>
        <v/>
      </c>
      <c r="J59" s="103">
        <f>(H59/(1-I59))^2</f>
        <v/>
      </c>
    </row>
    <row r="60" ht="15" customHeight="1" s="68">
      <c r="A60" s="70">
        <f>'11_문서단위'!A60</f>
        <v/>
      </c>
      <c r="B60" s="101" t="n">
        <v>1</v>
      </c>
      <c r="C60" s="85">
        <f>'11_문서단위'!F60</f>
        <v/>
      </c>
      <c r="D60" s="85">
        <f>'11_문서단위'!G60</f>
        <v/>
      </c>
      <c r="E60" s="85">
        <f>'11_문서단위'!E60</f>
        <v/>
      </c>
      <c r="F60" s="85">
        <f>'11_문서단위'!J60</f>
        <v/>
      </c>
      <c r="G60" s="85">
        <f>$B60*$B$92+$C60*$B$93+$D60*$B$94+$E60*$B$95</f>
        <v/>
      </c>
      <c r="H60" s="85">
        <f>F60-G60</f>
        <v/>
      </c>
      <c r="I60" s="138">
        <f>SUMPRODUCT(MMULT(B60:E60,$B$80:$E$83),B60:E60)</f>
        <v/>
      </c>
      <c r="J60" s="103">
        <f>(H60/(1-I60))^2</f>
        <v/>
      </c>
    </row>
    <row r="61" ht="15" customHeight="1" s="68">
      <c r="A61" s="70">
        <f>'11_문서단위'!A61</f>
        <v/>
      </c>
      <c r="B61" s="101" t="n">
        <v>1</v>
      </c>
      <c r="C61" s="85">
        <f>'11_문서단위'!F61</f>
        <v/>
      </c>
      <c r="D61" s="85">
        <f>'11_문서단위'!G61</f>
        <v/>
      </c>
      <c r="E61" s="85">
        <f>'11_문서단위'!E61</f>
        <v/>
      </c>
      <c r="F61" s="85">
        <f>'11_문서단위'!J61</f>
        <v/>
      </c>
      <c r="G61" s="85">
        <f>$B61*$B$92+$C61*$B$93+$D61*$B$94+$E61*$B$95</f>
        <v/>
      </c>
      <c r="H61" s="85">
        <f>F61-G61</f>
        <v/>
      </c>
      <c r="I61" s="138">
        <f>SUMPRODUCT(MMULT(B61:E61,$B$80:$E$83),B61:E61)</f>
        <v/>
      </c>
      <c r="J61" s="103">
        <f>(H61/(1-I61))^2</f>
        <v/>
      </c>
    </row>
    <row r="62" ht="15" customHeight="1" s="68">
      <c r="A62" s="70">
        <f>'11_문서단위'!A62</f>
        <v/>
      </c>
      <c r="B62" s="101" t="n">
        <v>1</v>
      </c>
      <c r="C62" s="85">
        <f>'11_문서단위'!F62</f>
        <v/>
      </c>
      <c r="D62" s="85">
        <f>'11_문서단위'!G62</f>
        <v/>
      </c>
      <c r="E62" s="85">
        <f>'11_문서단위'!E62</f>
        <v/>
      </c>
      <c r="F62" s="85">
        <f>'11_문서단위'!J62</f>
        <v/>
      </c>
      <c r="G62" s="85">
        <f>$B62*$B$92+$C62*$B$93+$D62*$B$94+$E62*$B$95</f>
        <v/>
      </c>
      <c r="H62" s="85">
        <f>F62-G62</f>
        <v/>
      </c>
      <c r="I62" s="138">
        <f>SUMPRODUCT(MMULT(B62:E62,$B$80:$E$83),B62:E62)</f>
        <v/>
      </c>
      <c r="J62" s="103">
        <f>(H62/(1-I62))^2</f>
        <v/>
      </c>
    </row>
    <row r="63" ht="15" customHeight="1" s="68">
      <c r="A63" s="70">
        <f>'11_문서단위'!A63</f>
        <v/>
      </c>
      <c r="B63" s="101" t="n">
        <v>1</v>
      </c>
      <c r="C63" s="85">
        <f>'11_문서단위'!F63</f>
        <v/>
      </c>
      <c r="D63" s="85">
        <f>'11_문서단위'!G63</f>
        <v/>
      </c>
      <c r="E63" s="85">
        <f>'11_문서단위'!E63</f>
        <v/>
      </c>
      <c r="F63" s="85">
        <f>'11_문서단위'!J63</f>
        <v/>
      </c>
      <c r="G63" s="85">
        <f>$B63*$B$92+$C63*$B$93+$D63*$B$94+$E63*$B$95</f>
        <v/>
      </c>
      <c r="H63" s="85">
        <f>F63-G63</f>
        <v/>
      </c>
      <c r="I63" s="138">
        <f>SUMPRODUCT(MMULT(B63:E63,$B$80:$E$83),B63:E63)</f>
        <v/>
      </c>
      <c r="J63" s="103">
        <f>(H63/(1-I63))^2</f>
        <v/>
      </c>
    </row>
    <row r="64" ht="15" customHeight="1" s="68">
      <c r="A64" s="70">
        <f>'11_문서단위'!A64</f>
        <v/>
      </c>
      <c r="B64" s="101" t="n">
        <v>1</v>
      </c>
      <c r="C64" s="85">
        <f>'11_문서단위'!F64</f>
        <v/>
      </c>
      <c r="D64" s="85">
        <f>'11_문서단위'!G64</f>
        <v/>
      </c>
      <c r="E64" s="85">
        <f>'11_문서단위'!E64</f>
        <v/>
      </c>
      <c r="F64" s="85">
        <f>'11_문서단위'!J64</f>
        <v/>
      </c>
      <c r="G64" s="85">
        <f>$B64*$B$92+$C64*$B$93+$D64*$B$94+$E64*$B$95</f>
        <v/>
      </c>
      <c r="H64" s="85">
        <f>F64-G64</f>
        <v/>
      </c>
      <c r="I64" s="138">
        <f>SUMPRODUCT(MMULT(B64:E64,$B$80:$E$83),B64:E64)</f>
        <v/>
      </c>
      <c r="J64" s="103">
        <f>(H64/(1-I64))^2</f>
        <v/>
      </c>
    </row>
    <row r="65" ht="15" customHeight="1" s="68">
      <c r="A65" s="70">
        <f>'11_문서단위'!A65</f>
        <v/>
      </c>
      <c r="B65" s="101" t="n">
        <v>1</v>
      </c>
      <c r="C65" s="85">
        <f>'11_문서단위'!F65</f>
        <v/>
      </c>
      <c r="D65" s="85">
        <f>'11_문서단위'!G65</f>
        <v/>
      </c>
      <c r="E65" s="85">
        <f>'11_문서단위'!E65</f>
        <v/>
      </c>
      <c r="F65" s="85">
        <f>'11_문서단위'!J65</f>
        <v/>
      </c>
      <c r="G65" s="85">
        <f>$B65*$B$92+$C65*$B$93+$D65*$B$94+$E65*$B$95</f>
        <v/>
      </c>
      <c r="H65" s="85">
        <f>F65-G65</f>
        <v/>
      </c>
      <c r="I65" s="138">
        <f>SUMPRODUCT(MMULT(B65:E65,$B$80:$E$83),B65:E65)</f>
        <v/>
      </c>
      <c r="J65" s="103">
        <f>(H65/(1-I65))^2</f>
        <v/>
      </c>
    </row>
    <row r="66" ht="15" customHeight="1" s="68">
      <c r="A66" s="70">
        <f>'11_문서단위'!A66</f>
        <v/>
      </c>
      <c r="B66" s="101" t="n">
        <v>1</v>
      </c>
      <c r="C66" s="85">
        <f>'11_문서단위'!F66</f>
        <v/>
      </c>
      <c r="D66" s="85">
        <f>'11_문서단위'!G66</f>
        <v/>
      </c>
      <c r="E66" s="85">
        <f>'11_문서단위'!E66</f>
        <v/>
      </c>
      <c r="F66" s="85">
        <f>'11_문서단위'!J66</f>
        <v/>
      </c>
      <c r="G66" s="85">
        <f>$B66*$B$92+$C66*$B$93+$D66*$B$94+$E66*$B$95</f>
        <v/>
      </c>
      <c r="H66" s="85">
        <f>F66-G66</f>
        <v/>
      </c>
      <c r="I66" s="138">
        <f>SUMPRODUCT(MMULT(B66:E66,$B$80:$E$83),B66:E66)</f>
        <v/>
      </c>
      <c r="J66" s="103">
        <f>(H66/(1-I66))^2</f>
        <v/>
      </c>
    </row>
    <row r="67" ht="15" customHeight="1" s="68">
      <c r="A67" s="70">
        <f>'11_문서단위'!A67</f>
        <v/>
      </c>
      <c r="B67" s="101" t="n">
        <v>1</v>
      </c>
      <c r="C67" s="85">
        <f>'11_문서단위'!F67</f>
        <v/>
      </c>
      <c r="D67" s="85">
        <f>'11_문서단위'!G67</f>
        <v/>
      </c>
      <c r="E67" s="85">
        <f>'11_문서단위'!E67</f>
        <v/>
      </c>
      <c r="F67" s="85">
        <f>'11_문서단위'!J67</f>
        <v/>
      </c>
      <c r="G67" s="85">
        <f>$B67*$B$92+$C67*$B$93+$D67*$B$94+$E67*$B$95</f>
        <v/>
      </c>
      <c r="H67" s="85">
        <f>F67-G67</f>
        <v/>
      </c>
      <c r="I67" s="138">
        <f>SUMPRODUCT(MMULT(B67:E67,$B$80:$E$83),B67:E67)</f>
        <v/>
      </c>
      <c r="J67" s="103">
        <f>(H67/(1-I67))^2</f>
        <v/>
      </c>
    </row>
    <row r="68" ht="15" customHeight="1" s="68">
      <c r="A68" s="70">
        <f>'11_문서단위'!A68</f>
        <v/>
      </c>
      <c r="B68" s="101" t="n">
        <v>1</v>
      </c>
      <c r="C68" s="85">
        <f>'11_문서단위'!F68</f>
        <v/>
      </c>
      <c r="D68" s="85">
        <f>'11_문서단위'!G68</f>
        <v/>
      </c>
      <c r="E68" s="85">
        <f>'11_문서단위'!E68</f>
        <v/>
      </c>
      <c r="F68" s="85">
        <f>'11_문서단위'!J68</f>
        <v/>
      </c>
      <c r="G68" s="85">
        <f>$B68*$B$92+$C68*$B$93+$D68*$B$94+$E68*$B$95</f>
        <v/>
      </c>
      <c r="H68" s="85">
        <f>F68-G68</f>
        <v/>
      </c>
      <c r="I68" s="138">
        <f>SUMPRODUCT(MMULT(B68:E68,$B$80:$E$83),B68:E68)</f>
        <v/>
      </c>
      <c r="J68" s="103">
        <f>(H68/(1-I68))^2</f>
        <v/>
      </c>
    </row>
    <row r="69" ht="15" customHeight="1" s="68">
      <c r="A69" s="70">
        <f>'11_문서단위'!A69</f>
        <v/>
      </c>
      <c r="B69" s="101" t="n">
        <v>1</v>
      </c>
      <c r="C69" s="85">
        <f>'11_문서단위'!F69</f>
        <v/>
      </c>
      <c r="D69" s="85">
        <f>'11_문서단위'!G69</f>
        <v/>
      </c>
      <c r="E69" s="85">
        <f>'11_문서단위'!E69</f>
        <v/>
      </c>
      <c r="F69" s="85">
        <f>'11_문서단위'!J69</f>
        <v/>
      </c>
      <c r="G69" s="85">
        <f>$B69*$B$92+$C69*$B$93+$D69*$B$94+$E69*$B$95</f>
        <v/>
      </c>
      <c r="H69" s="85">
        <f>F69-G69</f>
        <v/>
      </c>
      <c r="I69" s="138">
        <f>SUMPRODUCT(MMULT(B69:E69,$B$80:$E$83),B69:E69)</f>
        <v/>
      </c>
      <c r="J69" s="103">
        <f>(H69/(1-I69))^2</f>
        <v/>
      </c>
    </row>
    <row r="72" ht="17.15" customHeight="1" s="68">
      <c r="A72" s="94" t="inlineStr">
        <is>
          <t>1단계: X'X  (설계행렬의 교차곱, 4x4)</t>
        </is>
      </c>
    </row>
    <row r="73" ht="15" customHeight="1" s="68">
      <c r="A73" s="79" t="inlineStr">
        <is>
          <t>X = [1, 로컬합의도_평균, 로컬합의도_분산, 출력어휘량] 의 65x4 행렬. 각 셀 = SUMPRODUCT(열_i, 열_j)</t>
        </is>
      </c>
    </row>
    <row r="74" ht="15" customHeight="1" s="68">
      <c r="A74" s="79" t="inlineStr">
        <is>
          <t>B열</t>
        </is>
      </c>
      <c r="B74" s="96">
        <f>SUMPRODUCT($B$5:$B$69,$B$5:$B$69)</f>
        <v/>
      </c>
      <c r="C74" s="96">
        <f>SUMPRODUCT($B$5:$B$69,$C$5:$C$69)</f>
        <v/>
      </c>
      <c r="D74" s="96">
        <f>SUMPRODUCT($B$5:$B$69,$D$5:$D$69)</f>
        <v/>
      </c>
      <c r="E74" s="96">
        <f>SUMPRODUCT($B$5:$B$69,$E$5:$E$69)</f>
        <v/>
      </c>
    </row>
    <row r="75" ht="15" customHeight="1" s="68">
      <c r="A75" s="79" t="inlineStr">
        <is>
          <t>C열</t>
        </is>
      </c>
      <c r="B75" s="96">
        <f>SUMPRODUCT($C$5:$C$69,$B$5:$B$69)</f>
        <v/>
      </c>
      <c r="C75" s="96">
        <f>SUMPRODUCT($C$5:$C$69,$C$5:$C$69)</f>
        <v/>
      </c>
      <c r="D75" s="96">
        <f>SUMPRODUCT($C$5:$C$69,$D$5:$D$69)</f>
        <v/>
      </c>
      <c r="E75" s="96">
        <f>SUMPRODUCT($C$5:$C$69,$E$5:$E$69)</f>
        <v/>
      </c>
    </row>
    <row r="76" ht="15" customHeight="1" s="68">
      <c r="A76" s="79" t="inlineStr">
        <is>
          <t>D열</t>
        </is>
      </c>
      <c r="B76" s="96">
        <f>SUMPRODUCT($D$5:$D$69,$B$5:$B$69)</f>
        <v/>
      </c>
      <c r="C76" s="96">
        <f>SUMPRODUCT($D$5:$D$69,$C$5:$C$69)</f>
        <v/>
      </c>
      <c r="D76" s="96">
        <f>SUMPRODUCT($D$5:$D$69,$D$5:$D$69)</f>
        <v/>
      </c>
      <c r="E76" s="96">
        <f>SUMPRODUCT($D$5:$D$69,$E$5:$E$69)</f>
        <v/>
      </c>
    </row>
    <row r="77" ht="15" customHeight="1" s="68">
      <c r="A77" s="79" t="inlineStr">
        <is>
          <t>E열</t>
        </is>
      </c>
      <c r="B77" s="96">
        <f>SUMPRODUCT($E$5:$E$69,$B$5:$B$69)</f>
        <v/>
      </c>
      <c r="C77" s="96">
        <f>SUMPRODUCT($E$5:$E$69,$C$5:$C$69)</f>
        <v/>
      </c>
      <c r="D77" s="96">
        <f>SUMPRODUCT($E$5:$E$69,$D$5:$D$69)</f>
        <v/>
      </c>
      <c r="E77" s="96">
        <f>SUMPRODUCT($E$5:$E$69,$E$5:$E$69)</f>
        <v/>
      </c>
    </row>
    <row r="79" ht="17.15" customHeight="1" s="68">
      <c r="A79" s="94" t="inlineStr">
        <is>
          <t>2단계: inv(X'X)  (역행렬)</t>
        </is>
      </c>
    </row>
    <row r="80" ht="15" customHeight="1" s="68">
      <c r="B80" s="85">
        <f>INDEX(MINVERSE($B$74:$E$77),1,1)</f>
        <v/>
      </c>
      <c r="C80" s="85">
        <f>INDEX(MINVERSE($B$74:$E$77),1,2)</f>
        <v/>
      </c>
      <c r="D80" s="85">
        <f>INDEX(MINVERSE($B$74:$E$77),1,3)</f>
        <v/>
      </c>
      <c r="E80" s="85">
        <f>INDEX(MINVERSE($B$74:$E$77),1,4)</f>
        <v/>
      </c>
    </row>
    <row r="81" ht="15" customHeight="1" s="68">
      <c r="B81" s="85">
        <f>INDEX(MINVERSE($B$74:$E$77),2,1)</f>
        <v/>
      </c>
      <c r="C81" s="85">
        <f>INDEX(MINVERSE($B$74:$E$77),2,2)</f>
        <v/>
      </c>
      <c r="D81" s="85">
        <f>INDEX(MINVERSE($B$74:$E$77),2,3)</f>
        <v/>
      </c>
      <c r="E81" s="85">
        <f>INDEX(MINVERSE($B$74:$E$77),2,4)</f>
        <v/>
      </c>
    </row>
    <row r="82" ht="15" customHeight="1" s="68">
      <c r="B82" s="85">
        <f>INDEX(MINVERSE($B$74:$E$77),3,1)</f>
        <v/>
      </c>
      <c r="C82" s="85">
        <f>INDEX(MINVERSE($B$74:$E$77),3,2)</f>
        <v/>
      </c>
      <c r="D82" s="85">
        <f>INDEX(MINVERSE($B$74:$E$77),3,3)</f>
        <v/>
      </c>
      <c r="E82" s="85">
        <f>INDEX(MINVERSE($B$74:$E$77),3,4)</f>
        <v/>
      </c>
    </row>
    <row r="83" ht="15" customHeight="1" s="68">
      <c r="B83" s="85">
        <f>INDEX(MINVERSE($B$74:$E$77),4,1)</f>
        <v/>
      </c>
      <c r="C83" s="85">
        <f>INDEX(MINVERSE($B$74:$E$77),4,2)</f>
        <v/>
      </c>
      <c r="D83" s="85">
        <f>INDEX(MINVERSE($B$74:$E$77),4,3)</f>
        <v/>
      </c>
      <c r="E83" s="85">
        <f>INDEX(MINVERSE($B$74:$E$77),4,4)</f>
        <v/>
      </c>
    </row>
    <row r="85" ht="17.15" customHeight="1" s="68">
      <c r="A85" s="94" t="inlineStr">
        <is>
          <t>3단계: X'y 와 회귀계수 beta = inv(X'X)·X'y</t>
        </is>
      </c>
    </row>
    <row r="86" ht="15" customHeight="1" s="68">
      <c r="A86" s="79" t="inlineStr">
        <is>
          <t>X'y B</t>
        </is>
      </c>
      <c r="B86" s="96">
        <f>SUMPRODUCT($B$5:$B$69,$F$5:$F$69)</f>
        <v/>
      </c>
    </row>
    <row r="87" ht="15" customHeight="1" s="68">
      <c r="A87" s="79" t="inlineStr">
        <is>
          <t>X'y C</t>
        </is>
      </c>
      <c r="B87" s="96">
        <f>SUMPRODUCT($C$5:$C$69,$F$5:$F$69)</f>
        <v/>
      </c>
    </row>
    <row r="88" ht="15" customHeight="1" s="68">
      <c r="A88" s="79" t="inlineStr">
        <is>
          <t>X'y D</t>
        </is>
      </c>
      <c r="B88" s="96">
        <f>SUMPRODUCT($D$5:$D$69,$F$5:$F$69)</f>
        <v/>
      </c>
    </row>
    <row r="89" ht="15" customHeight="1" s="68">
      <c r="A89" s="79" t="inlineStr">
        <is>
          <t>X'y E</t>
        </is>
      </c>
      <c r="B89" s="96">
        <f>SUMPRODUCT($E$5:$E$69,$F$5:$F$69)</f>
        <v/>
      </c>
    </row>
    <row r="92" ht="15" customHeight="1" s="68">
      <c r="A92" s="74" t="inlineStr">
        <is>
          <t>beta 절편</t>
        </is>
      </c>
      <c r="B92" s="139">
        <f>INDEX(MMULT($B$80:$E$83,$B$86:$B$89),1,1)</f>
        <v/>
      </c>
    </row>
    <row r="93" ht="15" customHeight="1" s="68">
      <c r="A93" s="74" t="inlineStr">
        <is>
          <t>beta 로컬합의도_평균</t>
        </is>
      </c>
      <c r="B93" s="139">
        <f>INDEX(MMULT($B$80:$E$83,$B$86:$B$89),2,1)</f>
        <v/>
      </c>
    </row>
    <row r="94" ht="15" customHeight="1" s="68">
      <c r="A94" s="74" t="inlineStr">
        <is>
          <t>beta 로컬합의도_분산</t>
        </is>
      </c>
      <c r="B94" s="139">
        <f>INDEX(MMULT($B$80:$E$83,$B$86:$B$89),3,1)</f>
        <v/>
      </c>
    </row>
    <row r="95" ht="15" customHeight="1" s="68">
      <c r="A95" s="74" t="inlineStr">
        <is>
          <t>beta 출력어휘량</t>
        </is>
      </c>
      <c r="B95" s="139">
        <f>INDEX(MMULT($B$80:$E$83,$B$86:$B$89),4,1)</f>
        <v/>
      </c>
    </row>
    <row r="96" ht="17.15" customHeight="1" s="68">
      <c r="A96" s="94" t="inlineStr">
        <is>
          <t>4단계: 적합도 통계</t>
        </is>
      </c>
    </row>
    <row r="97" ht="15" customHeight="1" s="68">
      <c r="A97" s="74" t="inlineStr">
        <is>
          <t>n (문서 수)</t>
        </is>
      </c>
      <c r="B97" s="101">
        <f>COUNT($F$5:$F$69)</f>
        <v/>
      </c>
      <c r="C97" s="79" t="inlineStr">
        <is>
          <t>n</t>
        </is>
      </c>
    </row>
    <row r="98" ht="15" customHeight="1" s="68">
      <c r="A98" s="74" t="inlineStr">
        <is>
          <t>p (모수 개수, 절편 포함)</t>
        </is>
      </c>
      <c r="B98" s="101">
        <f>4</f>
        <v/>
      </c>
      <c r="C98" s="79" t="inlineStr">
        <is>
          <t>k</t>
        </is>
      </c>
    </row>
    <row r="99" ht="15" customHeight="1" s="68">
      <c r="A99" s="74" t="inlineStr">
        <is>
          <t>SS_total</t>
        </is>
      </c>
      <c r="B99" s="85">
        <f>SUMPRODUCT(($F$5:$F$69-AVERAGE($F$5:$F$69))^2)</f>
        <v/>
      </c>
      <c r="C99" s="79" t="inlineStr">
        <is>
          <t>Σ(y − ȳ)²</t>
        </is>
      </c>
    </row>
    <row r="100" ht="15" customHeight="1" s="68">
      <c r="A100" s="74" t="inlineStr">
        <is>
          <t>SS_residual</t>
        </is>
      </c>
      <c r="B100" s="85">
        <f>SUMPRODUCT($H$5:$H$69,$H$5:$H$69)</f>
        <v/>
      </c>
      <c r="C100" s="79" t="inlineStr">
        <is>
          <t>Σe²</t>
        </is>
      </c>
    </row>
    <row r="101" ht="15" customHeight="1" s="68">
      <c r="A101" s="74" t="inlineStr">
        <is>
          <t>R²</t>
        </is>
      </c>
      <c r="B101" s="97">
        <f>1-B100/B99</f>
        <v/>
      </c>
      <c r="C101" s="79" t="inlineStr">
        <is>
          <t>1 − SS_res/SS_tot</t>
        </is>
      </c>
    </row>
    <row r="102" ht="15" customHeight="1" s="68">
      <c r="A102" s="74" t="inlineStr">
        <is>
          <t>adjusted R²</t>
        </is>
      </c>
      <c r="B102" s="97">
        <f>1-(1-B101)*(B97-1)/(B97-B98)</f>
        <v/>
      </c>
      <c r="C102" s="79" t="inlineStr">
        <is>
          <t>1 − (1−R²)(n−1)/(n−p)</t>
        </is>
      </c>
    </row>
    <row r="103" ht="15" customHeight="1" s="68">
      <c r="A103" s="74" t="inlineStr">
        <is>
          <t>F</t>
        </is>
      </c>
      <c r="B103" s="86">
        <f>(B101/(B98-1))/((1-B101)/(B97-B98))</f>
        <v/>
      </c>
      <c r="C103" s="79" t="inlineStr">
        <is>
          <t>(R²/(p−1)) / ((1−R²)/(n−p))</t>
        </is>
      </c>
    </row>
    <row r="104" ht="15" customHeight="1" s="68">
      <c r="A104" s="74" t="inlineStr">
        <is>
          <t>p (F 검정)</t>
        </is>
      </c>
      <c r="B104" s="103">
        <f>FDIST(B103,B98-1,B97-B98)</f>
        <v/>
      </c>
      <c r="C104" s="79" t="inlineStr">
        <is>
          <t>FDIST</t>
        </is>
      </c>
    </row>
    <row r="105" ht="15" customHeight="1" s="68">
      <c r="A105" s="74" t="inlineStr">
        <is>
          <t>PRESS</t>
        </is>
      </c>
      <c r="B105" s="85">
        <f>SUM($J$5:$J$69)</f>
        <v/>
      </c>
      <c r="C105" s="79" t="inlineStr">
        <is>
          <t>Σ (e_i/(1−h_ii))²</t>
        </is>
      </c>
    </row>
    <row r="106" ht="15" customHeight="1" s="68">
      <c r="A106" s="74" t="inlineStr">
        <is>
          <t>LOOCV R²</t>
        </is>
      </c>
      <c r="B106" s="97">
        <f>1-B105/B99</f>
        <v/>
      </c>
      <c r="C106" s="79" t="inlineStr">
        <is>
          <t>1 − PRESS/SS_tot</t>
        </is>
      </c>
    </row>
    <row r="108" ht="17.15" customHeight="1" s="68">
      <c r="A108" s="94" t="inlineStr">
        <is>
          <t>LOOCV(단일제거 교차검증)를 행렬로 계산하는 원리</t>
        </is>
      </c>
    </row>
    <row r="109" ht="15" customHeight="1" s="68">
      <c r="A109" s="70" t="inlineStr">
        <is>
          <t>관측치 i를 빼고 다시 적합한 뒤 i를 예측한 오차는, 전체 적합 잔차 e_i와 레버리지 h_ii만으로 e_i/(1−h_ii)로 정확히 구해진다(PRESS 항등식). 65번 재적합할 필요가 없다.</t>
        </is>
      </c>
    </row>
    <row r="110" ht="15" customHeight="1" s="68">
      <c r="A110" s="79" t="inlineStr">
        <is>
          <t>h_ii = x_i · inv(X'X) · x_iᵀ 이며, 관측치 i가 자기 적합값을 끌어당기는 힘이다. LOOCV R² = 1 − PRESS/SS_total 이 음수면 표본평균보다도 예측이 나쁘다는 뜻이다.</t>
        </is>
      </c>
    </row>
    <row r="112" ht="15" customHeight="1" s="68">
      <c r="A112" s="70" t="inlineStr">
        <is>
          <t>종속변수는 어휘 그룹과 의미 그룹만 가중평균한 값이다(11_문서단위 J열). 구조 지표를 완전히 배제했으므로 순환 논리가 없다.</t>
        </is>
      </c>
    </row>
    <row r="113" ht="15" customHeight="1" s="68">
      <c r="A113" s="70" t="inlineStr">
        <is>
          <t>해석: 설명력이 크게 줄지만 소멸하지는 않는다. 레퍼런스 기반 2신호는 같은 조건에서 설명력이 사실상 사라지므로(13C_보조모형 참조), 레퍼런스-프리 신호가 구조 붕괴 탐지를 넘어 정합성 전반에 대한 부분적 예측력을 갖는다는 근거가 된다.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I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6" customWidth="1" style="67" min="1" max="1"/>
    <col width="18" customWidth="1" style="67" min="2" max="2"/>
    <col width="20" customWidth="1" style="67" min="3" max="3"/>
    <col width="12" customWidth="1" style="67" min="4" max="4"/>
    <col width="13" customWidth="1" style="67" min="5" max="5"/>
    <col width="14" customWidth="1" style="67" min="6" max="7"/>
    <col width="10" customWidth="1" style="67" min="8" max="8"/>
    <col width="12" customWidth="1" style="67" min="9" max="9"/>
  </cols>
  <sheetData>
    <row r="1" ht="21.6" customHeight="1" s="68">
      <c r="A1" s="89" t="inlineStr">
        <is>
          <t>보조 모형: 단일 예측변수 회귀와 순위상관</t>
        </is>
      </c>
    </row>
    <row r="2" ht="15" customHeight="1" s="68">
      <c r="A2" s="70" t="inlineStr">
        <is>
          <t>논문 4.3에 인용된 단독 설명력 수치를 닫힌 형태 수식으로 계산한다. 12·13 시트의 행렬 연산 없이도 동일 결과가 나온다.</t>
        </is>
      </c>
    </row>
    <row r="4" ht="17.15" customHeight="1" s="68">
      <c r="A4" s="71" t="inlineStr">
        <is>
          <t>단일 예측변수 회귀 (모두 11_문서단위 열을 직접 참조)</t>
        </is>
      </c>
    </row>
    <row r="5" ht="15" customHeight="1" s="68">
      <c r="A5" s="79" t="inlineStr">
        <is>
          <t>b1=SLOPE, b0=INTERCEPT, R²=RSQ.  레버리지 h_i = 1/n + (x_i−x̄)²/DEVSQ(x) 이므로 PRESS = Σ ((y_i − b0 − b1·x_i)/(1 − h_i))² 를 보조열 없이 한 개의 SUMPRODUCT로 계산할 수 있다.</t>
        </is>
      </c>
    </row>
    <row r="6" ht="15" customHeight="1" s="68">
      <c r="A6" s="78" t="inlineStr">
        <is>
          <t>모형</t>
        </is>
      </c>
      <c r="B6" s="78" t="inlineStr">
        <is>
          <t>종속변수 y</t>
        </is>
      </c>
      <c r="C6" s="78" t="inlineStr">
        <is>
          <t>설명변수 x</t>
        </is>
      </c>
      <c r="D6" s="82" t="inlineStr">
        <is>
          <t>R²</t>
        </is>
      </c>
      <c r="E6" s="82" t="inlineStr">
        <is>
          <t>LOOCV R²</t>
        </is>
      </c>
      <c r="F6" s="78" t="inlineStr">
        <is>
          <t>기울기 b1</t>
        </is>
      </c>
      <c r="G6" s="78" t="inlineStr">
        <is>
          <t>절편 b0</t>
        </is>
      </c>
      <c r="H6" s="82" t="inlineStr">
        <is>
          <t>F</t>
        </is>
      </c>
      <c r="I6" s="82" t="inlineStr">
        <is>
          <t>p</t>
        </is>
      </c>
    </row>
    <row r="7" ht="15" customHeight="1" s="68">
      <c r="A7" s="74" t="inlineStr">
        <is>
          <t>TEDS표 분산 단독</t>
        </is>
      </c>
      <c r="B7" s="79" t="inlineStr">
        <is>
          <t>Overall</t>
        </is>
      </c>
      <c r="C7" s="79" t="inlineStr">
        <is>
          <t>TEDS표 표준편차</t>
        </is>
      </c>
      <c r="D7" s="97">
        <f>RSQ('11_문서단위'!$B$5:$B$69,'11_문서단위'!$D$5:$D$69)</f>
        <v/>
      </c>
      <c r="E7" s="97">
        <f>1-SUMPRODUCT((('11_문서단위'!$B$5:$B$69-G7-F7*'11_문서단위'!$D$5:$D$69)/(1-1/65-('11_문서단위'!$D$5:$D$69-AVERAGE('11_문서단위'!$D$5:$D$69))^2/DEVSQ('11_문서단위'!$D$5:$D$69)))^2)/DEVSQ('11_문서단위'!$B$5:$B$69)</f>
        <v/>
      </c>
      <c r="F7" s="85">
        <f>SLOPE('11_문서단위'!$B$5:$B$69,'11_문서단위'!$D$5:$D$69)</f>
        <v/>
      </c>
      <c r="G7" s="85">
        <f>INTERCEPT('11_문서단위'!$B$5:$B$69,'11_문서단위'!$D$5:$D$69)</f>
        <v/>
      </c>
      <c r="H7" s="102">
        <f>D7/(1-D7)*63</f>
        <v/>
      </c>
      <c r="I7" s="103">
        <f>FDIST(H7,1,63)</f>
        <v/>
      </c>
    </row>
    <row r="8" ht="15" customHeight="1" s="68">
      <c r="A8" s="72" t="inlineStr">
        <is>
          <t>출력 어휘량 단독</t>
        </is>
      </c>
      <c r="B8" s="79" t="inlineStr">
        <is>
          <t>Overall</t>
        </is>
      </c>
      <c r="C8" s="70" t="inlineStr">
        <is>
          <t>출력 어휘량</t>
        </is>
      </c>
      <c r="D8" s="97">
        <f>RSQ('11_문서단위'!$B$5:$B$69,'11_문서단위'!$E$5:$E$69)</f>
        <v/>
      </c>
      <c r="E8" s="97">
        <f>1-SUMPRODUCT((('11_문서단위'!$B$5:$B$69-G8-F8*'11_문서단위'!$E$5:$E$69)/(1-1/65-('11_문서단위'!$E$5:$E$69-AVERAGE('11_문서단위'!$E$5:$E$69))^2/DEVSQ('11_문서단위'!$E$5:$E$69)))^2)/DEVSQ('11_문서단위'!$B$5:$B$69)</f>
        <v/>
      </c>
      <c r="F8" s="85">
        <f>SLOPE('11_문서단위'!$B$5:$B$69,'11_문서단위'!$E$5:$E$69)</f>
        <v/>
      </c>
      <c r="G8" s="85">
        <f>INTERCEPT('11_문서단위'!$B$5:$B$69,'11_문서단위'!$E$5:$E$69)</f>
        <v/>
      </c>
      <c r="H8" s="102">
        <f>D8/(1-D8)*63</f>
        <v/>
      </c>
      <c r="I8" s="103">
        <f>FDIST(H8,1,63)</f>
        <v/>
      </c>
    </row>
    <row r="9" ht="15" customHeight="1" s="68">
      <c r="A9" s="72" t="inlineStr">
        <is>
          <t>로컬 합의도 단독</t>
        </is>
      </c>
      <c r="B9" s="79" t="inlineStr">
        <is>
          <t>Overall</t>
        </is>
      </c>
      <c r="C9" s="70" t="inlineStr">
        <is>
          <t>로컬합의도 평균</t>
        </is>
      </c>
      <c r="D9" s="97">
        <f>RSQ('11_문서단위'!$B$5:$B$69,'11_문서단위'!$F$5:$F$69)</f>
        <v/>
      </c>
      <c r="E9" s="97">
        <f>1-SUMPRODUCT((('11_문서단위'!$B$5:$B$69-G9-F9*'11_문서단위'!$F$5:$F$69)/(1-1/65-('11_문서단위'!$F$5:$F$69-AVERAGE('11_문서단위'!$F$5:$F$69))^2/DEVSQ('11_문서단위'!$F$5:$F$69)))^2)/DEVSQ('11_문서단위'!$B$5:$B$69)</f>
        <v/>
      </c>
      <c r="F9" s="85">
        <f>SLOPE('11_문서단위'!$B$5:$B$69,'11_문서단위'!$F$5:$F$69)</f>
        <v/>
      </c>
      <c r="G9" s="85">
        <f>INTERCEPT('11_문서단위'!$B$5:$B$69,'11_문서단위'!$F$5:$F$69)</f>
        <v/>
      </c>
      <c r="H9" s="102">
        <f>D9/(1-D9)*63</f>
        <v/>
      </c>
      <c r="I9" s="103">
        <f>FDIST(H9,1,63)</f>
        <v/>
      </c>
    </row>
    <row r="10" ht="15" customHeight="1" s="68">
      <c r="A10" s="74" t="inlineStr">
        <is>
          <t>TEDS표 분산 → 어휘+의미</t>
        </is>
      </c>
      <c r="B10" s="70" t="inlineStr">
        <is>
          <t>어휘+의미</t>
        </is>
      </c>
      <c r="C10" s="79" t="inlineStr">
        <is>
          <t>TEDS표 표준편차</t>
        </is>
      </c>
      <c r="D10" s="97">
        <f>RSQ('11_문서단위'!$J$5:$J$69,'11_문서단위'!$D$5:$D$69)</f>
        <v/>
      </c>
      <c r="E10" s="97">
        <f>1-SUMPRODUCT((('11_문서단위'!$J$5:$J$69-G10-F10*'11_문서단위'!$D$5:$D$69)/(1-1/65-('11_문서단위'!$D$5:$D$69-AVERAGE('11_문서단위'!$D$5:$D$69))^2/DEVSQ('11_문서단위'!$D$5:$D$69)))^2)/DEVSQ('11_문서단위'!$J$5:$J$69)</f>
        <v/>
      </c>
      <c r="F10" s="85">
        <f>SLOPE('11_문서단위'!$J$5:$J$69,'11_문서단위'!$D$5:$D$69)</f>
        <v/>
      </c>
      <c r="G10" s="85">
        <f>INTERCEPT('11_문서단위'!$J$5:$J$69,'11_문서단위'!$D$5:$D$69)</f>
        <v/>
      </c>
      <c r="H10" s="102">
        <f>D10/(1-D10)*63</f>
        <v/>
      </c>
      <c r="I10" s="103">
        <f>FDIST(H10,1,63)</f>
        <v/>
      </c>
    </row>
    <row r="11" ht="15" customHeight="1" s="68">
      <c r="A11" s="72" t="inlineStr">
        <is>
          <t>출력 어휘량 → 어휘+의미</t>
        </is>
      </c>
      <c r="B11" s="70" t="inlineStr">
        <is>
          <t>어휘+의미</t>
        </is>
      </c>
      <c r="C11" s="70" t="inlineStr">
        <is>
          <t>출력 어휘량</t>
        </is>
      </c>
      <c r="D11" s="97">
        <f>RSQ('11_문서단위'!$J$5:$J$69,'11_문서단위'!$E$5:$E$69)</f>
        <v/>
      </c>
      <c r="E11" s="97">
        <f>1-SUMPRODUCT((('11_문서단위'!$J$5:$J$69-G11-F11*'11_문서단위'!$E$5:$E$69)/(1-1/65-('11_문서단위'!$E$5:$E$69-AVERAGE('11_문서단위'!$E$5:$E$69))^2/DEVSQ('11_문서단위'!$E$5:$E$69)))^2)/DEVSQ('11_문서단위'!$J$5:$J$69)</f>
        <v/>
      </c>
      <c r="F11" s="85">
        <f>SLOPE('11_문서단위'!$J$5:$J$69,'11_문서단위'!$E$5:$E$69)</f>
        <v/>
      </c>
      <c r="G11" s="85">
        <f>INTERCEPT('11_문서단위'!$J$5:$J$69,'11_문서단위'!$E$5:$E$69)</f>
        <v/>
      </c>
      <c r="H11" s="102">
        <f>D11/(1-D11)*63</f>
        <v/>
      </c>
      <c r="I11" s="103">
        <f>FDIST(H11,1,63)</f>
        <v/>
      </c>
    </row>
    <row r="13" ht="17.15" customHeight="1" s="68">
      <c r="A13" s="94" t="inlineStr">
        <is>
          <t>Spearman 순위상관 (11_문서단위 L~P열의 순위를 CORREL)</t>
        </is>
      </c>
    </row>
    <row r="14" ht="15" customHeight="1" s="68">
      <c r="A14" s="79" t="inlineStr">
        <is>
          <t>Spearman ρ = 두 변수를 각각 순위로 바꾼 뒤의 Pearson 상관. 동점이 있는 변수(TEDS표 표준편차가 0인 문서, 로컬 합의도가 1.0인 문서)가 있으므로 평균순위를 사용한다: COUNTIF(범위,"&lt;"&amp;값) + (COUNTIF(범위,"="&amp;값)+1)/2</t>
        </is>
      </c>
    </row>
    <row r="15" ht="23.85" customHeight="1" s="68">
      <c r="A15" s="78" t="inlineStr">
        <is>
          <t>상관</t>
        </is>
      </c>
      <c r="B15" s="78" t="inlineStr">
        <is>
          <t>변수 1</t>
        </is>
      </c>
      <c r="C15" s="78" t="inlineStr">
        <is>
          <t>변수 2</t>
        </is>
      </c>
      <c r="D15" s="82" t="inlineStr">
        <is>
          <t>Spearman rho</t>
        </is>
      </c>
      <c r="E15" s="78" t="inlineStr">
        <is>
          <t>해석</t>
        </is>
      </c>
    </row>
    <row r="16" ht="15" customHeight="1" s="68">
      <c r="A16" s="72" t="inlineStr">
        <is>
          <t>출력어휘량 ↔ Overall</t>
        </is>
      </c>
      <c r="B16" s="70" t="inlineStr">
        <is>
          <t>출력 어휘량</t>
        </is>
      </c>
      <c r="C16" s="70" t="inlineStr">
        <is>
          <t>문서평균 Overall</t>
        </is>
      </c>
      <c r="D16" s="132">
        <f>CORREL('11_문서단위'!$N$5:$N$69,'11_문서단위'!$L$5:$L$69)</f>
        <v/>
      </c>
      <c r="E16" s="70" t="inlineStr">
        <is>
          <t>출력이 장황할수록 레퍼런스 정합성이 낮다</t>
        </is>
      </c>
    </row>
    <row r="17" ht="15" customHeight="1" s="68">
      <c r="A17" s="72" t="inlineStr">
        <is>
          <t>출력어휘량 ↔ TEDS표 분산</t>
        </is>
      </c>
      <c r="B17" s="70" t="inlineStr">
        <is>
          <t>출력 어휘량</t>
        </is>
      </c>
      <c r="C17" s="79" t="inlineStr">
        <is>
          <t>TEDS표 표준편차</t>
        </is>
      </c>
      <c r="D17" s="132">
        <f>CORREL('11_문서단위'!$N$5:$N$69,'11_문서단위'!$M$5:$M$69)</f>
        <v/>
      </c>
      <c r="E17" s="70" t="inlineStr">
        <is>
          <t>두 신호가 거의 독립이므로 결합 시 설명력이 더해진다</t>
        </is>
      </c>
    </row>
    <row r="18" ht="15" customHeight="1" s="68">
      <c r="A18" s="72" t="inlineStr">
        <is>
          <t>로컬합의도 ↔ TEDS표 분산</t>
        </is>
      </c>
      <c r="B18" s="70" t="inlineStr">
        <is>
          <t>로컬합의도 평균</t>
        </is>
      </c>
      <c r="C18" s="79" t="inlineStr">
        <is>
          <t>TEDS표 표준편차</t>
        </is>
      </c>
      <c r="D18" s="132">
        <f>CORREL('11_문서단위'!$O$5:$O$69,'11_문서단위'!$M$5:$M$69)</f>
        <v/>
      </c>
      <c r="E18" s="70" t="inlineStr">
        <is>
          <t>강한 음의 상관. 레퍼런스 없이도 같은 정보를 담고 있다는 근거</t>
        </is>
      </c>
    </row>
    <row r="20" ht="15" customHeight="1" s="68">
      <c r="A20" s="70" t="inlineStr">
        <is>
          <t>해석: TEDS표 분산 단독으로 이미 R²=0.632이며, 출력 어휘량은 단독으로는 약하지만(R²=0.084) TEDS 분산과 거의 독립이어서 결합 시 교차검증 성능을 0.581에서 0.604로 끌어올린다.</t>
        </is>
      </c>
    </row>
    <row r="21" ht="15" customHeight="1" s="68">
      <c r="A21" s="70" t="inlineStr">
        <is>
          <t>결정적 대비: 종속변수에서 구조 그룹을 빼면 두 레퍼런스 기반 신호는 설명력이 사실상 사라진다(R²=0.036, 0.042, LOOCV R²&lt;0). 즉 이 모형은 정합성 전반의 예측자가 아니라 구조적 정합성 변동의 탐지기다.</t>
        </is>
      </c>
    </row>
    <row r="22" ht="15" customHeight="1" s="68">
      <c r="A22" s="70" t="inlineStr">
        <is>
          <t>반면 레퍼런스-프리 3신호는 같은 조건에서도 설명력을 유지한다(13B 시트).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H1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" customWidth="1" style="67" min="1" max="1"/>
    <col width="14" customWidth="1" style="67" min="2" max="2"/>
    <col width="34" customWidth="1" style="67" min="3" max="3"/>
    <col width="15" customWidth="1" style="67" min="4" max="4"/>
    <col width="17" customWidth="1" style="67" min="5" max="5"/>
    <col width="14" customWidth="1" style="67" min="6" max="6"/>
    <col width="12" customWidth="1" style="67" min="7" max="7"/>
    <col width="11" customWidth="1" style="67" min="8" max="8"/>
  </cols>
  <sheetData>
    <row r="1" ht="21.6" customHeight="1" s="68">
      <c r="A1" s="89" t="inlineStr">
        <is>
          <t>논문 보고값 vs 워크북 재계산값 대조</t>
        </is>
      </c>
    </row>
    <row r="2" ht="15" customHeight="1" s="68">
      <c r="A2" s="70" t="inlineStr">
        <is>
          <t>논문(KIIT논문_최종본)에 인쇄된 모든 수치를 이 워크북의 수식 결과와 1:1로 대조한다. 판정은 자동 계산되므로 입력값을 바꾸면 즉시 갱신된다.</t>
        </is>
      </c>
    </row>
    <row r="4" ht="15" customHeight="1" s="68">
      <c r="A4" s="82" t="inlineStr">
        <is>
          <t>#</t>
        </is>
      </c>
      <c r="B4" s="78" t="inlineStr">
        <is>
          <t>논문 위치</t>
        </is>
      </c>
      <c r="C4" s="78" t="inlineStr">
        <is>
          <t>항목</t>
        </is>
      </c>
      <c r="D4" s="78" t="inlineStr">
        <is>
          <t>논문 보고값</t>
        </is>
      </c>
      <c r="E4" s="78" t="inlineStr">
        <is>
          <t>워크북 계산값</t>
        </is>
      </c>
      <c r="F4" s="78" t="inlineStr">
        <is>
          <t>차이</t>
        </is>
      </c>
      <c r="G4" s="78" t="inlineStr">
        <is>
          <t>판정</t>
        </is>
      </c>
      <c r="H4" s="78" t="inlineStr">
        <is>
          <t>허용오차</t>
        </is>
      </c>
    </row>
    <row r="5" ht="15" customHeight="1" s="68">
      <c r="A5" s="70" t="n">
        <v>1</v>
      </c>
      <c r="B5" s="79" t="inlineStr">
        <is>
          <t>4.2 / 표</t>
        </is>
      </c>
      <c r="C5" s="74" t="inlineStr">
        <is>
          <t>eta² 레퍼런스</t>
        </is>
      </c>
      <c r="D5" s="140" t="n">
        <v>0.282</v>
      </c>
      <c r="E5" s="96">
        <f>'05_이원분산분석'!B20</f>
        <v/>
      </c>
      <c r="F5" s="141">
        <f>E5-D5</f>
        <v/>
      </c>
      <c r="G5" s="72">
        <f>IF(ABS(F5)&lt;=H5,"일치","불일치")</f>
        <v/>
      </c>
      <c r="H5" s="142" t="n">
        <v>0.0005</v>
      </c>
    </row>
    <row r="6" ht="15" customHeight="1" s="68">
      <c r="A6" s="70" t="n">
        <v>2</v>
      </c>
      <c r="B6" s="79" t="inlineStr">
        <is>
          <t>4.2 / 표</t>
        </is>
      </c>
      <c r="C6" s="74" t="inlineStr">
        <is>
          <t>eta² 모델</t>
        </is>
      </c>
      <c r="D6" s="140" t="n">
        <v>0.246</v>
      </c>
      <c r="E6" s="96">
        <f>'05_이원분산분석'!B21</f>
        <v/>
      </c>
      <c r="F6" s="141">
        <f>E6-D6</f>
        <v/>
      </c>
      <c r="G6" s="72">
        <f>IF(ABS(F6)&lt;=H6,"일치","불일치")</f>
        <v/>
      </c>
      <c r="H6" s="142" t="n">
        <v>0.0005</v>
      </c>
    </row>
    <row r="7" ht="15" customHeight="1" s="68">
      <c r="A7" s="70" t="n">
        <v>3</v>
      </c>
      <c r="B7" s="79" t="inlineStr">
        <is>
          <t>4.2 / 표</t>
        </is>
      </c>
      <c r="C7" s="74" t="inlineStr">
        <is>
          <t>eta² 상호작용</t>
        </is>
      </c>
      <c r="D7" s="140" t="n">
        <v>0.082</v>
      </c>
      <c r="E7" s="96">
        <f>'05_이원분산분석'!B22</f>
        <v/>
      </c>
      <c r="F7" s="141">
        <f>E7-D7</f>
        <v/>
      </c>
      <c r="G7" s="72">
        <f>IF(ABS(F7)&lt;=H7,"일치","불일치")</f>
        <v/>
      </c>
      <c r="H7" s="142" t="n">
        <v>0.0005</v>
      </c>
    </row>
    <row r="8" ht="15" customHeight="1" s="68">
      <c r="A8" s="70" t="n">
        <v>4</v>
      </c>
      <c r="B8" s="79" t="inlineStr">
        <is>
          <t>4.2</t>
        </is>
      </c>
      <c r="C8" s="74" t="inlineStr">
        <is>
          <t>eta² 레퍼런스 관련 합</t>
        </is>
      </c>
      <c r="D8" s="140" t="n">
        <v>0.364</v>
      </c>
      <c r="E8" s="96">
        <f>'05_이원분산분석'!B23</f>
        <v/>
      </c>
      <c r="F8" s="141">
        <f>E8-D8</f>
        <v/>
      </c>
      <c r="G8" s="72">
        <f>IF(ABS(F8)&lt;=H8,"일치","불일치")</f>
        <v/>
      </c>
      <c r="H8" s="142" t="n">
        <v>0.0005</v>
      </c>
    </row>
    <row r="9" ht="15" customHeight="1" s="68">
      <c r="A9" s="70" t="n">
        <v>5</v>
      </c>
      <c r="B9" s="79" t="inlineStr">
        <is>
          <t>4.2</t>
        </is>
      </c>
      <c r="C9" s="72" t="inlineStr">
        <is>
          <t>점수 이동 비 (레퍼런스/모델)</t>
        </is>
      </c>
      <c r="D9" s="140" t="n">
        <v>1.4</v>
      </c>
      <c r="E9" s="96">
        <f>'05_이원분산분석'!B27</f>
        <v/>
      </c>
      <c r="F9" s="141">
        <f>E9-D9</f>
        <v/>
      </c>
      <c r="G9" s="72">
        <f>IF(ABS(F9)&lt;=H9,"일치","불일치")</f>
        <v/>
      </c>
      <c r="H9" s="142" t="n">
        <v>0.05</v>
      </c>
    </row>
    <row r="10" ht="15" customHeight="1" s="68">
      <c r="A10" s="70" t="n">
        <v>6</v>
      </c>
      <c r="B10" s="79" t="inlineStr">
        <is>
          <t>4.2</t>
        </is>
      </c>
      <c r="C10" s="74" t="inlineStr">
        <is>
          <t>eta² 비 (레퍼런스합/모델)</t>
        </is>
      </c>
      <c r="D10" s="140" t="n">
        <v>1.15</v>
      </c>
      <c r="E10" s="96">
        <f>'05_이원분산분석'!B24</f>
        <v/>
      </c>
      <c r="F10" s="141">
        <f>E10-D10</f>
        <v/>
      </c>
      <c r="G10" s="72">
        <f>IF(ABS(F10)&lt;=H10,"일치","불일치")</f>
        <v/>
      </c>
      <c r="H10" s="142" t="n">
        <v>0.05</v>
      </c>
    </row>
    <row r="11" ht="15" customHeight="1" s="68">
      <c r="A11" s="70" t="n">
        <v>7</v>
      </c>
      <c r="B11" s="79" t="inlineStr">
        <is>
          <t>4.2</t>
        </is>
      </c>
      <c r="C11" s="74" t="inlineStr">
        <is>
          <t>ICC (문서 확률효과)</t>
        </is>
      </c>
      <c r="D11" s="140" t="n">
        <v>0.269</v>
      </c>
      <c r="E11" s="96">
        <f>'06_ICC'!B16</f>
        <v/>
      </c>
      <c r="F11" s="141">
        <f>E11-D11</f>
        <v/>
      </c>
      <c r="G11" s="72">
        <f>IF(ABS(F11)&lt;=H11,"일치","불일치")</f>
        <v/>
      </c>
      <c r="H11" s="142" t="n">
        <v>0.0005</v>
      </c>
    </row>
    <row r="12" ht="15" customHeight="1" s="68">
      <c r="A12" s="70" t="n">
        <v>8</v>
      </c>
      <c r="B12" s="70" t="inlineStr">
        <is>
          <t>표 4</t>
        </is>
      </c>
      <c r="C12" s="72" t="inlineStr">
        <is>
          <t>평균 ChatGPT (최저 관대함)</t>
        </is>
      </c>
      <c r="D12" s="140" t="n">
        <v>0.5455</v>
      </c>
      <c r="E12" s="96">
        <f>'07_관대함변별력'!C5</f>
        <v/>
      </c>
      <c r="F12" s="141">
        <f>E12-D12</f>
        <v/>
      </c>
      <c r="G12" s="72">
        <f>IF(ABS(F12)&lt;=H12,"일치","불일치")</f>
        <v/>
      </c>
      <c r="H12" s="142" t="n">
        <v>0.0001</v>
      </c>
    </row>
    <row r="13" ht="15" customHeight="1" s="68">
      <c r="A13" s="70" t="n">
        <v>9</v>
      </c>
      <c r="B13" s="70" t="inlineStr">
        <is>
          <t>표 4</t>
        </is>
      </c>
      <c r="C13" s="72" t="inlineStr">
        <is>
          <t>평균 Mistral</t>
        </is>
      </c>
      <c r="D13" s="140" t="n">
        <v>0.6118</v>
      </c>
      <c r="E13" s="96">
        <f>'07_관대함변별력'!C8</f>
        <v/>
      </c>
      <c r="F13" s="141">
        <f>E13-D13</f>
        <v/>
      </c>
      <c r="G13" s="72">
        <f>IF(ABS(F13)&lt;=H13,"일치","불일치")</f>
        <v/>
      </c>
      <c r="H13" s="142" t="n">
        <v>0.0001</v>
      </c>
    </row>
    <row r="14" ht="15" customHeight="1" s="68">
      <c r="A14" s="70" t="n">
        <v>10</v>
      </c>
      <c r="B14" s="70" t="inlineStr">
        <is>
          <t>표 4</t>
        </is>
      </c>
      <c r="C14" s="72" t="inlineStr">
        <is>
          <t>평균 Claude</t>
        </is>
      </c>
      <c r="D14" s="140" t="n">
        <v>0.6215000000000001</v>
      </c>
      <c r="E14" s="96">
        <f>'07_관대함변별력'!C6</f>
        <v/>
      </c>
      <c r="F14" s="141">
        <f>E14-D14</f>
        <v/>
      </c>
      <c r="G14" s="72">
        <f>IF(ABS(F14)&lt;=H14,"일치","불일치")</f>
        <v/>
      </c>
      <c r="H14" s="142" t="n">
        <v>0.0001</v>
      </c>
    </row>
    <row r="15" ht="15" customHeight="1" s="68">
      <c r="A15" s="70" t="n">
        <v>11</v>
      </c>
      <c r="B15" s="70" t="inlineStr">
        <is>
          <t>표 4</t>
        </is>
      </c>
      <c r="C15" s="72" t="inlineStr">
        <is>
          <t>평균 Qwen3.6</t>
        </is>
      </c>
      <c r="D15" s="140" t="n">
        <v>0.6501</v>
      </c>
      <c r="E15" s="96">
        <f>'07_관대함변별력'!C9</f>
        <v/>
      </c>
      <c r="F15" s="141">
        <f>E15-D15</f>
        <v/>
      </c>
      <c r="G15" s="72">
        <f>IF(ABS(F15)&lt;=H15,"일치","불일치")</f>
        <v/>
      </c>
      <c r="H15" s="142" t="n">
        <v>0.0001</v>
      </c>
    </row>
    <row r="16" ht="15" customHeight="1" s="68">
      <c r="A16" s="70" t="n">
        <v>12</v>
      </c>
      <c r="B16" s="70" t="inlineStr">
        <is>
          <t>표 4</t>
        </is>
      </c>
      <c r="C16" s="72" t="inlineStr">
        <is>
          <t>평균 Gemini (최고 관대함)</t>
        </is>
      </c>
      <c r="D16" s="140" t="n">
        <v>0.6618000000000001</v>
      </c>
      <c r="E16" s="96">
        <f>'07_관대함변별력'!C7</f>
        <v/>
      </c>
      <c r="F16" s="141">
        <f>E16-D16</f>
        <v/>
      </c>
      <c r="G16" s="72">
        <f>IF(ABS(F16)&lt;=H16,"일치","불일치")</f>
        <v/>
      </c>
      <c r="H16" s="142" t="n">
        <v>0.0001</v>
      </c>
    </row>
    <row r="17" ht="15" customHeight="1" s="68">
      <c r="A17" s="70" t="n">
        <v>13</v>
      </c>
      <c r="B17" s="70" t="inlineStr">
        <is>
          <t>표 4</t>
        </is>
      </c>
      <c r="C17" s="72" t="inlineStr">
        <is>
          <t>변별폭 ChatGPT</t>
        </is>
      </c>
      <c r="D17" s="140" t="n">
        <v>0.029</v>
      </c>
      <c r="E17" s="96">
        <f>'07_관대함변별력'!H5</f>
        <v/>
      </c>
      <c r="F17" s="141">
        <f>E17-D17</f>
        <v/>
      </c>
      <c r="G17" s="72">
        <f>IF(ABS(F17)&lt;=H17,"일치","불일치")</f>
        <v/>
      </c>
      <c r="H17" s="142" t="n">
        <v>0.0005</v>
      </c>
    </row>
    <row r="18" ht="15" customHeight="1" s="68">
      <c r="A18" s="70" t="n">
        <v>14</v>
      </c>
      <c r="B18" s="70" t="inlineStr">
        <is>
          <t>표 4</t>
        </is>
      </c>
      <c r="C18" s="72" t="inlineStr">
        <is>
          <t>변별폭 Mistral</t>
        </is>
      </c>
      <c r="D18" s="140" t="n">
        <v>0.05</v>
      </c>
      <c r="E18" s="96">
        <f>'07_관대함변별력'!H8</f>
        <v/>
      </c>
      <c r="F18" s="141">
        <f>E18-D18</f>
        <v/>
      </c>
      <c r="G18" s="72">
        <f>IF(ABS(F18)&lt;=H18,"일치","불일치")</f>
        <v/>
      </c>
      <c r="H18" s="142" t="n">
        <v>0.0005</v>
      </c>
    </row>
    <row r="19" ht="15" customHeight="1" s="68">
      <c r="A19" s="70" t="n">
        <v>15</v>
      </c>
      <c r="B19" s="70" t="inlineStr">
        <is>
          <t>표 4</t>
        </is>
      </c>
      <c r="C19" s="72" t="inlineStr">
        <is>
          <t>변별폭 Claude</t>
        </is>
      </c>
      <c r="D19" s="140" t="n">
        <v>0.08400000000000001</v>
      </c>
      <c r="E19" s="96">
        <f>'07_관대함변별력'!H6</f>
        <v/>
      </c>
      <c r="F19" s="141">
        <f>E19-D19</f>
        <v/>
      </c>
      <c r="G19" s="72">
        <f>IF(ABS(F19)&lt;=H19,"일치","불일치")</f>
        <v/>
      </c>
      <c r="H19" s="142" t="n">
        <v>0.0005</v>
      </c>
    </row>
    <row r="20" ht="15" customHeight="1" s="68">
      <c r="A20" s="70" t="n">
        <v>16</v>
      </c>
      <c r="B20" s="70" t="inlineStr">
        <is>
          <t>표 4</t>
        </is>
      </c>
      <c r="C20" s="72" t="inlineStr">
        <is>
          <t>변별폭 Gemini</t>
        </is>
      </c>
      <c r="D20" s="140" t="n">
        <v>0.138</v>
      </c>
      <c r="E20" s="96">
        <f>'07_관대함변별력'!H7</f>
        <v/>
      </c>
      <c r="F20" s="141">
        <f>E20-D20</f>
        <v/>
      </c>
      <c r="G20" s="72">
        <f>IF(ABS(F20)&lt;=H20,"일치","불일치")</f>
        <v/>
      </c>
      <c r="H20" s="142" t="n">
        <v>0.0005</v>
      </c>
    </row>
    <row r="21" ht="15" customHeight="1" s="68">
      <c r="A21" s="70" t="n">
        <v>17</v>
      </c>
      <c r="B21" s="70" t="inlineStr">
        <is>
          <t>표 4</t>
        </is>
      </c>
      <c r="C21" s="72" t="inlineStr">
        <is>
          <t>변별폭 Qwen3.6</t>
        </is>
      </c>
      <c r="D21" s="140" t="n">
        <v>0.148</v>
      </c>
      <c r="E21" s="96">
        <f>'07_관대함변별력'!H9</f>
        <v/>
      </c>
      <c r="F21" s="141">
        <f>E21-D21</f>
        <v/>
      </c>
      <c r="G21" s="72">
        <f>IF(ABS(F21)&lt;=H21,"일치","불일치")</f>
        <v/>
      </c>
      <c r="H21" s="142" t="n">
        <v>0.0005</v>
      </c>
    </row>
    <row r="22" ht="15" customHeight="1" s="68">
      <c r="A22" s="70" t="n">
        <v>18</v>
      </c>
      <c r="B22" s="70" t="inlineStr">
        <is>
          <t>표 4</t>
        </is>
      </c>
      <c r="C22" s="72" t="inlineStr">
        <is>
          <t>모델간 분산비중 ChatGPT(%)</t>
        </is>
      </c>
      <c r="D22" s="140" t="n">
        <v>10</v>
      </c>
      <c r="E22" s="96">
        <f>'07_관대함변별력'!I5</f>
        <v/>
      </c>
      <c r="F22" s="141">
        <f>E22-D22</f>
        <v/>
      </c>
      <c r="G22" s="72">
        <f>IF(ABS(F22)&lt;=H22,"일치","불일치")</f>
        <v/>
      </c>
      <c r="H22" s="142" t="n">
        <v>0.5</v>
      </c>
    </row>
    <row r="23" ht="15" customHeight="1" s="68">
      <c r="A23" s="70" t="n">
        <v>19</v>
      </c>
      <c r="B23" s="70" t="inlineStr">
        <is>
          <t>표 4</t>
        </is>
      </c>
      <c r="C23" s="72" t="inlineStr">
        <is>
          <t>모델간 분산비중 Mistral(%)</t>
        </is>
      </c>
      <c r="D23" s="140" t="n">
        <v>15</v>
      </c>
      <c r="E23" s="96">
        <f>'07_관대함변별력'!I8</f>
        <v/>
      </c>
      <c r="F23" s="141">
        <f>E23-D23</f>
        <v/>
      </c>
      <c r="G23" s="72">
        <f>IF(ABS(F23)&lt;=H23,"일치","불일치")</f>
        <v/>
      </c>
      <c r="H23" s="142" t="n">
        <v>0.5</v>
      </c>
    </row>
    <row r="24" ht="15" customHeight="1" s="68">
      <c r="A24" s="70" t="n">
        <v>20</v>
      </c>
      <c r="B24" s="70" t="inlineStr">
        <is>
          <t>표 4</t>
        </is>
      </c>
      <c r="C24" s="72" t="inlineStr">
        <is>
          <t>모델간 분산비중 Claude(%)</t>
        </is>
      </c>
      <c r="D24" s="140" t="n">
        <v>38</v>
      </c>
      <c r="E24" s="96">
        <f>'07_관대함변별력'!I6</f>
        <v/>
      </c>
      <c r="F24" s="141">
        <f>E24-D24</f>
        <v/>
      </c>
      <c r="G24" s="72">
        <f>IF(ABS(F24)&lt;=H24,"일치","불일치")</f>
        <v/>
      </c>
      <c r="H24" s="142" t="n">
        <v>0.5</v>
      </c>
    </row>
    <row r="25" ht="15" customHeight="1" s="68">
      <c r="A25" s="70" t="n">
        <v>21</v>
      </c>
      <c r="B25" s="70" t="inlineStr">
        <is>
          <t>표 4</t>
        </is>
      </c>
      <c r="C25" s="72" t="inlineStr">
        <is>
          <t>모델간 분산비중 Gemini(%)</t>
        </is>
      </c>
      <c r="D25" s="140" t="n">
        <v>54</v>
      </c>
      <c r="E25" s="96">
        <f>'07_관대함변별력'!I7</f>
        <v/>
      </c>
      <c r="F25" s="141">
        <f>E25-D25</f>
        <v/>
      </c>
      <c r="G25" s="72">
        <f>IF(ABS(F25)&lt;=H25,"일치","불일치")</f>
        <v/>
      </c>
      <c r="H25" s="142" t="n">
        <v>0.5</v>
      </c>
    </row>
    <row r="26" ht="15" customHeight="1" s="68">
      <c r="A26" s="70" t="n">
        <v>22</v>
      </c>
      <c r="B26" s="70" t="inlineStr">
        <is>
          <t>표 4</t>
        </is>
      </c>
      <c r="C26" s="72" t="inlineStr">
        <is>
          <t>모델간 분산비중 Qwen3.6(%)</t>
        </is>
      </c>
      <c r="D26" s="140" t="n">
        <v>65</v>
      </c>
      <c r="E26" s="96">
        <f>'07_관대함변별력'!I9</f>
        <v/>
      </c>
      <c r="F26" s="141">
        <f>E26-D26</f>
        <v/>
      </c>
      <c r="G26" s="72">
        <f>IF(ABS(F26)&lt;=H26,"일치","불일치")</f>
        <v/>
      </c>
      <c r="H26" s="142" t="n">
        <v>0.5</v>
      </c>
    </row>
    <row r="27" ht="15" customHeight="1" s="68">
      <c r="A27" s="70" t="n">
        <v>23</v>
      </c>
      <c r="B27" s="79" t="inlineStr">
        <is>
          <t>4.2</t>
        </is>
      </c>
      <c r="C27" s="72" t="inlineStr">
        <is>
          <t>모델 평균 Ministral</t>
        </is>
      </c>
      <c r="D27" s="140" t="n">
        <v>0.5646</v>
      </c>
      <c r="E27" s="96">
        <f>'04_교차표'!C10</f>
        <v/>
      </c>
      <c r="F27" s="141">
        <f>E27-D27</f>
        <v/>
      </c>
      <c r="G27" s="72">
        <f>IF(ABS(F27)&lt;=H27,"일치","불일치")</f>
        <v/>
      </c>
      <c r="H27" s="142" t="n">
        <v>0.0001</v>
      </c>
    </row>
    <row r="28" ht="15" customHeight="1" s="68">
      <c r="A28" s="70" t="n">
        <v>24</v>
      </c>
      <c r="B28" s="79" t="inlineStr">
        <is>
          <t>4.2</t>
        </is>
      </c>
      <c r="C28" s="72" t="inlineStr">
        <is>
          <t>모델 평균 Qwen</t>
        </is>
      </c>
      <c r="D28" s="140" t="n">
        <v>0.6434</v>
      </c>
      <c r="E28" s="96">
        <f>'04_교차표'!D10</f>
        <v/>
      </c>
      <c r="F28" s="141">
        <f>E28-D28</f>
        <v/>
      </c>
      <c r="G28" s="72">
        <f>IF(ABS(F28)&lt;=H28,"일치","불일치")</f>
        <v/>
      </c>
      <c r="H28" s="142" t="n">
        <v>0.0001</v>
      </c>
    </row>
    <row r="29" ht="15" customHeight="1" s="68">
      <c r="A29" s="70" t="n">
        <v>25</v>
      </c>
      <c r="B29" s="79" t="inlineStr">
        <is>
          <t>4.2</t>
        </is>
      </c>
      <c r="C29" s="72" t="inlineStr">
        <is>
          <t>모델 평균 Gemma</t>
        </is>
      </c>
      <c r="D29" s="140" t="n">
        <v>0.6465</v>
      </c>
      <c r="E29" s="96">
        <f>'04_교차표'!B10</f>
        <v/>
      </c>
      <c r="F29" s="141">
        <f>E29-D29</f>
        <v/>
      </c>
      <c r="G29" s="72">
        <f>IF(ABS(F29)&lt;=H29,"일치","불일치")</f>
        <v/>
      </c>
      <c r="H29" s="142" t="n">
        <v>0.0001</v>
      </c>
    </row>
    <row r="30" ht="15" customHeight="1" s="68">
      <c r="A30" s="70" t="n">
        <v>26</v>
      </c>
      <c r="B30" s="70" t="inlineStr">
        <is>
          <t>표 5</t>
        </is>
      </c>
      <c r="C30" s="74" t="inlineStr">
        <is>
          <t>Friedman χ² (n=65 블록)</t>
        </is>
      </c>
      <c r="D30" s="143" t="n">
        <v>92.215</v>
      </c>
      <c r="E30" s="101">
        <f>'08B_대응표본Wilcoxon'!G78</f>
        <v/>
      </c>
      <c r="F30" s="141">
        <f>E30-D30</f>
        <v/>
      </c>
      <c r="G30" s="72">
        <f>IF(ABS(F30)&lt;=H30,"일치","불일치")</f>
        <v/>
      </c>
      <c r="H30" s="142" t="n">
        <v>0.05</v>
      </c>
    </row>
    <row r="31" ht="15" customHeight="1" s="68">
      <c r="A31" s="70" t="n">
        <v>27</v>
      </c>
      <c r="B31" s="70" t="inlineStr">
        <is>
          <t>표 5</t>
        </is>
      </c>
      <c r="C31" s="74" t="inlineStr">
        <is>
          <t>Kendall W</t>
        </is>
      </c>
      <c r="D31" s="143" t="n">
        <v>0.709</v>
      </c>
      <c r="E31" s="101">
        <f>'08B_대응표본Wilcoxon'!J78</f>
        <v/>
      </c>
      <c r="F31" s="141">
        <f>E31-D31</f>
        <v/>
      </c>
      <c r="G31" s="72">
        <f>IF(ABS(F31)&lt;=H31,"일치","불일치")</f>
        <v/>
      </c>
      <c r="H31" s="142" t="n">
        <v>1</v>
      </c>
    </row>
    <row r="32" ht="15" customHeight="1" s="68">
      <c r="A32" s="70" t="n">
        <v>28</v>
      </c>
      <c r="B32" s="70" t="inlineStr">
        <is>
          <t>표 5</t>
        </is>
      </c>
      <c r="C32" s="74" t="inlineStr">
        <is>
          <t>W (Gemma vs Ministral)</t>
        </is>
      </c>
      <c r="D32" s="140" t="n">
        <v>1</v>
      </c>
      <c r="E32" s="96">
        <f>'08B_대응표본Wilcoxon'!F85</f>
        <v/>
      </c>
      <c r="F32" s="141">
        <f>E32-D32</f>
        <v/>
      </c>
      <c r="G32" s="72">
        <f>IF(ABS(F32)&lt;=H32,"일치","불일치")</f>
        <v/>
      </c>
      <c r="H32" s="142" t="n">
        <v>0.0015</v>
      </c>
    </row>
    <row r="33" ht="15" customHeight="1" s="68">
      <c r="A33" s="70" t="n">
        <v>29</v>
      </c>
      <c r="B33" s="70" t="inlineStr">
        <is>
          <t>표 5</t>
        </is>
      </c>
      <c r="C33" s="74" t="inlineStr">
        <is>
          <t>대응 r (Gemma vs Ministral)</t>
        </is>
      </c>
      <c r="D33" s="143" t="n">
        <v>0.999</v>
      </c>
      <c r="E33" s="101">
        <f>'08B_대응표본Wilcoxon'!L85</f>
        <v/>
      </c>
      <c r="F33" s="141">
        <f>E33-D33</f>
        <v/>
      </c>
      <c r="G33" s="72">
        <f>IF(ABS(F33)&lt;=H33,"일치","불일치")</f>
        <v/>
      </c>
      <c r="H33" s="142" t="n">
        <v>1</v>
      </c>
    </row>
    <row r="34" ht="15" customHeight="1" s="68">
      <c r="A34" s="70" t="n">
        <v>30</v>
      </c>
      <c r="B34" s="70" t="inlineStr">
        <is>
          <t>표 5</t>
        </is>
      </c>
      <c r="C34" s="74" t="inlineStr">
        <is>
          <t>W (Gemma vs Qwen)</t>
        </is>
      </c>
      <c r="D34" s="140" t="n">
        <v>1032</v>
      </c>
      <c r="E34" s="96">
        <f>'08B_대응표본Wilcoxon'!F86</f>
        <v/>
      </c>
      <c r="F34" s="141">
        <f>E34-D34</f>
        <v/>
      </c>
      <c r="G34" s="72">
        <f>IF(ABS(F34)&lt;=H34,"일치","불일치")</f>
        <v/>
      </c>
      <c r="H34" s="142" t="n">
        <v>0.0015</v>
      </c>
    </row>
    <row r="35" ht="15" customHeight="1" s="68">
      <c r="A35" s="70" t="n">
        <v>31</v>
      </c>
      <c r="B35" s="70" t="inlineStr">
        <is>
          <t>표 5</t>
        </is>
      </c>
      <c r="C35" s="74" t="inlineStr">
        <is>
          <t>대응 r (Gemma vs Qwen)</t>
        </is>
      </c>
      <c r="D35" s="143" t="n">
        <v>-0.038</v>
      </c>
      <c r="E35" s="101">
        <f>'08B_대응표본Wilcoxon'!L86</f>
        <v/>
      </c>
      <c r="F35" s="141">
        <f>E35-D35</f>
        <v/>
      </c>
      <c r="G35" s="72">
        <f>IF(ABS(F35)&lt;=H35,"일치","불일치")</f>
        <v/>
      </c>
      <c r="H35" s="142" t="n">
        <v>1</v>
      </c>
    </row>
    <row r="36" ht="15" customHeight="1" s="68">
      <c r="A36" s="70" t="n">
        <v>32</v>
      </c>
      <c r="B36" s="70" t="inlineStr">
        <is>
          <t>표 5</t>
        </is>
      </c>
      <c r="C36" s="74" t="inlineStr">
        <is>
          <t>W (Qwen vs Ministral)</t>
        </is>
      </c>
      <c r="D36" s="140" t="n">
        <v>65</v>
      </c>
      <c r="E36" s="96">
        <f>'08B_대응표본Wilcoxon'!F87</f>
        <v/>
      </c>
      <c r="F36" s="141">
        <f>E36-D36</f>
        <v/>
      </c>
      <c r="G36" s="72">
        <f>IF(ABS(F36)&lt;=H36,"일치","불일치")</f>
        <v/>
      </c>
      <c r="H36" s="142" t="n">
        <v>0.0015</v>
      </c>
    </row>
    <row r="37" ht="15" customHeight="1" s="68">
      <c r="A37" s="70" t="n">
        <v>33</v>
      </c>
      <c r="B37" s="70" t="inlineStr">
        <is>
          <t>표 7</t>
        </is>
      </c>
      <c r="C37" s="74" t="inlineStr">
        <is>
          <t>D_raw Google</t>
        </is>
      </c>
      <c r="D37" s="140" t="n">
        <v>0.089</v>
      </c>
      <c r="E37" s="96">
        <f>'10_계열편향'!F8</f>
        <v/>
      </c>
      <c r="F37" s="141">
        <f>E37-D37</f>
        <v/>
      </c>
      <c r="G37" s="72">
        <f>IF(ABS(F37)&lt;=H37,"일치","불일치")</f>
        <v/>
      </c>
      <c r="H37" s="142" t="n">
        <v>0.0002</v>
      </c>
    </row>
    <row r="38" ht="15" customHeight="1" s="68">
      <c r="A38" s="70" t="n">
        <v>34</v>
      </c>
      <c r="B38" s="70" t="inlineStr">
        <is>
          <t>표 7</t>
        </is>
      </c>
      <c r="C38" s="74" t="inlineStr">
        <is>
          <t>D_raw Alibaba</t>
        </is>
      </c>
      <c r="D38" s="140" t="n">
        <v>0.0488</v>
      </c>
      <c r="E38" s="96">
        <f>'10_계열편향'!F9</f>
        <v/>
      </c>
      <c r="F38" s="141">
        <f>E38-D38</f>
        <v/>
      </c>
      <c r="G38" s="72">
        <f>IF(ABS(F38)&lt;=H38,"일치","불일치")</f>
        <v/>
      </c>
      <c r="H38" s="142" t="n">
        <v>0.0002</v>
      </c>
    </row>
    <row r="39" ht="15" customHeight="1" s="68">
      <c r="A39" s="70" t="n">
        <v>35</v>
      </c>
      <c r="B39" s="70" t="inlineStr">
        <is>
          <t>표 7</t>
        </is>
      </c>
      <c r="C39" s="74" t="inlineStr">
        <is>
          <t>D_raw Mistral</t>
        </is>
      </c>
      <c r="D39" s="140" t="n">
        <v>0.0208</v>
      </c>
      <c r="E39" s="96">
        <f>'10_계열편향'!F10</f>
        <v/>
      </c>
      <c r="F39" s="141">
        <f>E39-D39</f>
        <v/>
      </c>
      <c r="G39" s="72">
        <f>IF(ABS(F39)&lt;=H39,"일치","불일치")</f>
        <v/>
      </c>
      <c r="H39" s="142" t="n">
        <v>0.0002</v>
      </c>
    </row>
    <row r="40" ht="15" customHeight="1" s="68">
      <c r="A40" s="70" t="n">
        <v>36</v>
      </c>
      <c r="B40" s="70" t="inlineStr">
        <is>
          <t>표 7</t>
        </is>
      </c>
      <c r="C40" s="74" t="inlineStr">
        <is>
          <t>D* Google</t>
        </is>
      </c>
      <c r="D40" s="140" t="n">
        <v>0.0276</v>
      </c>
      <c r="E40" s="96">
        <f>'10_계열편향'!C16</f>
        <v/>
      </c>
      <c r="F40" s="141">
        <f>E40-D40</f>
        <v/>
      </c>
      <c r="G40" s="72">
        <f>IF(ABS(F40)&lt;=H40,"일치","불일치")</f>
        <v/>
      </c>
      <c r="H40" s="142" t="n">
        <v>0.0002</v>
      </c>
    </row>
    <row r="41" ht="15" customHeight="1" s="68">
      <c r="A41" s="70" t="n">
        <v>37</v>
      </c>
      <c r="B41" s="70" t="inlineStr">
        <is>
          <t>표 7</t>
        </is>
      </c>
      <c r="C41" s="74" t="inlineStr">
        <is>
          <t>D* Alibaba</t>
        </is>
      </c>
      <c r="D41" s="140" t="n">
        <v>0.0071</v>
      </c>
      <c r="E41" s="96">
        <f>'10_계열편향'!C17</f>
        <v/>
      </c>
      <c r="F41" s="141">
        <f>E41-D41</f>
        <v/>
      </c>
      <c r="G41" s="72">
        <f>IF(ABS(F41)&lt;=H41,"일치","불일치")</f>
        <v/>
      </c>
      <c r="H41" s="142" t="n">
        <v>0.0002</v>
      </c>
    </row>
    <row r="42" ht="15" customHeight="1" s="68">
      <c r="A42" s="70" t="n">
        <v>38</v>
      </c>
      <c r="B42" s="70" t="inlineStr">
        <is>
          <t>표 7</t>
        </is>
      </c>
      <c r="C42" s="74" t="inlineStr">
        <is>
          <t>D* Mistral</t>
        </is>
      </c>
      <c r="D42" s="140" t="n">
        <v>0.023</v>
      </c>
      <c r="E42" s="96">
        <f>'10_계열편향'!C18</f>
        <v/>
      </c>
      <c r="F42" s="141">
        <f>E42-D42</f>
        <v/>
      </c>
      <c r="G42" s="72">
        <f>IF(ABS(F42)&lt;=H42,"일치","불일치")</f>
        <v/>
      </c>
      <c r="H42" s="142" t="n">
        <v>0.0002</v>
      </c>
    </row>
    <row r="43" ht="15" customHeight="1" s="68">
      <c r="A43" s="70" t="n">
        <v>39</v>
      </c>
      <c r="B43" s="79" t="inlineStr">
        <is>
          <t>4.4</t>
        </is>
      </c>
      <c r="C43" s="72" t="inlineStr">
        <is>
          <t>동일계열 평균</t>
        </is>
      </c>
      <c r="D43" s="140" t="n">
        <v>0.6604</v>
      </c>
      <c r="E43" s="96">
        <f>'10_계열편향'!C22</f>
        <v/>
      </c>
      <c r="F43" s="141">
        <f>E43-D43</f>
        <v/>
      </c>
      <c r="G43" s="72">
        <f>IF(ABS(F43)&lt;=H43,"일치","불일치")</f>
        <v/>
      </c>
      <c r="H43" s="142" t="n">
        <v>0.0001</v>
      </c>
    </row>
    <row r="44" ht="15" customHeight="1" s="68">
      <c r="A44" s="70" t="n">
        <v>40</v>
      </c>
      <c r="B44" s="79" t="inlineStr">
        <is>
          <t>4.4</t>
        </is>
      </c>
      <c r="C44" s="72" t="inlineStr">
        <is>
          <t>교차계열 평균</t>
        </is>
      </c>
      <c r="D44" s="140" t="n">
        <v>0.6076</v>
      </c>
      <c r="E44" s="96">
        <f>'10_계열편향'!C23</f>
        <v/>
      </c>
      <c r="F44" s="141">
        <f>E44-D44</f>
        <v/>
      </c>
      <c r="G44" s="72">
        <f>IF(ABS(F44)&lt;=H44,"일치","불일치")</f>
        <v/>
      </c>
      <c r="H44" s="142" t="n">
        <v>0.0001</v>
      </c>
    </row>
    <row r="45" ht="15" customHeight="1" s="68">
      <c r="A45" s="70" t="n">
        <v>41</v>
      </c>
      <c r="B45" s="79" t="inlineStr">
        <is>
          <t>4.4</t>
        </is>
      </c>
      <c r="C45" s="72" t="inlineStr">
        <is>
          <t>동일-교차 차이</t>
        </is>
      </c>
      <c r="D45" s="140" t="n">
        <v>0.053</v>
      </c>
      <c r="E45" s="96">
        <f>'10_계열편향'!C24</f>
        <v/>
      </c>
      <c r="F45" s="141">
        <f>E45-D45</f>
        <v/>
      </c>
      <c r="G45" s="72">
        <f>IF(ABS(F45)&lt;=H45,"일치","불일치")</f>
        <v/>
      </c>
      <c r="H45" s="142" t="n">
        <v>0.0005999999999999999</v>
      </c>
    </row>
    <row r="46" ht="15" customHeight="1" s="68">
      <c r="A46" s="70" t="n">
        <v>42</v>
      </c>
      <c r="B46" s="79" t="inlineStr">
        <is>
          <t>4.4</t>
        </is>
      </c>
      <c r="C46" s="74" t="inlineStr">
        <is>
          <t>U (동일 vs 교차)</t>
        </is>
      </c>
      <c r="D46" s="143" t="n">
        <v>107366</v>
      </c>
      <c r="E46" s="101">
        <f>'10_계열편향'!E22</f>
        <v/>
      </c>
      <c r="F46" s="141">
        <f>E46-D46</f>
        <v/>
      </c>
      <c r="G46" s="72">
        <f>IF(ABS(F46)&lt;=H46,"일치","불일치")</f>
        <v/>
      </c>
      <c r="H46" s="142" t="n">
        <v>1</v>
      </c>
    </row>
    <row r="47" ht="15" customHeight="1" s="68">
      <c r="A47" s="70" t="n">
        <v>43</v>
      </c>
      <c r="B47" s="79" t="inlineStr">
        <is>
          <t>4.4</t>
        </is>
      </c>
      <c r="C47" s="74" t="inlineStr">
        <is>
          <t>rank-biserial r</t>
        </is>
      </c>
      <c r="D47" s="140" t="n">
        <v>0.412</v>
      </c>
      <c r="E47" s="96">
        <f>'10_계열편향'!H22</f>
        <v/>
      </c>
      <c r="F47" s="141">
        <f>E47-D47</f>
        <v/>
      </c>
      <c r="G47" s="72">
        <f>IF(ABS(F47)&lt;=H47,"일치","불일치")</f>
        <v/>
      </c>
      <c r="H47" s="142" t="n">
        <v>0.0015</v>
      </c>
    </row>
    <row r="48" ht="15" customHeight="1" s="68">
      <c r="A48" s="70" t="n">
        <v>44</v>
      </c>
      <c r="B48" s="79" t="inlineStr">
        <is>
          <t>4.3</t>
        </is>
      </c>
      <c r="C48" s="72" t="inlineStr">
        <is>
          <t>문서형식 Mann-Whitney p</t>
        </is>
      </c>
      <c r="D48" s="140" t="n">
        <v>0.458</v>
      </c>
      <c r="E48" s="96">
        <f>'11_문서단위'!G80</f>
        <v/>
      </c>
      <c r="F48" s="141">
        <f>E48-D48</f>
        <v/>
      </c>
      <c r="G48" s="72">
        <f>IF(ABS(F48)&lt;=H48,"일치","불일치")</f>
        <v/>
      </c>
      <c r="H48" s="142" t="n">
        <v>0.01</v>
      </c>
    </row>
    <row r="49" ht="15" customHeight="1" s="68">
      <c r="A49" s="70" t="n">
        <v>45</v>
      </c>
      <c r="B49" s="79" t="inlineStr">
        <is>
          <t>3.4</t>
        </is>
      </c>
      <c r="C49" s="74" t="inlineStr">
        <is>
          <t>Levene F (중앙값 기준)</t>
        </is>
      </c>
      <c r="D49" s="140" t="n">
        <v>4.963</v>
      </c>
      <c r="E49" s="96">
        <f>'05B_가정검정'!B37</f>
        <v/>
      </c>
      <c r="F49" s="141">
        <f>E49-D49</f>
        <v/>
      </c>
      <c r="G49" s="72">
        <f>IF(ABS(F49)&lt;=H49,"일치","불일치")</f>
        <v/>
      </c>
      <c r="H49" s="142" t="n">
        <v>0.0005999999999999999</v>
      </c>
    </row>
    <row r="50" ht="15" customHeight="1" s="68">
      <c r="A50" s="70" t="n">
        <v>46</v>
      </c>
      <c r="B50" s="79" t="inlineStr">
        <is>
          <t>3.4</t>
        </is>
      </c>
      <c r="C50" s="74" t="inlineStr">
        <is>
          <t>Levene df1</t>
        </is>
      </c>
      <c r="D50" s="140" t="n">
        <v>14</v>
      </c>
      <c r="E50" s="96">
        <f>'05B_가정검정'!B35</f>
        <v/>
      </c>
      <c r="F50" s="141">
        <f>E50-D50</f>
        <v/>
      </c>
      <c r="G50" s="72">
        <f>IF(ABS(F50)&lt;=H50,"일치","불일치")</f>
        <v/>
      </c>
      <c r="H50" s="142" t="n">
        <v>0</v>
      </c>
    </row>
    <row r="51" ht="15" customHeight="1" s="68">
      <c r="A51" s="70" t="n">
        <v>47</v>
      </c>
      <c r="B51" s="79" t="inlineStr">
        <is>
          <t>3.4</t>
        </is>
      </c>
      <c r="C51" s="74" t="inlineStr">
        <is>
          <t>Levene df2</t>
        </is>
      </c>
      <c r="D51" s="143" t="n">
        <v>960</v>
      </c>
      <c r="E51" s="101">
        <f>'05B_가정검정'!B36</f>
        <v/>
      </c>
      <c r="F51" s="141">
        <f>E51-D51</f>
        <v/>
      </c>
      <c r="G51" s="72">
        <f>IF(ABS(F51)&lt;=H51,"일치","불일치")</f>
        <v/>
      </c>
      <c r="H51" s="142" t="n">
        <v>0</v>
      </c>
    </row>
    <row r="52" ht="15" customHeight="1" s="68">
      <c r="A52" s="70" t="n">
        <v>48</v>
      </c>
      <c r="B52" s="79" t="inlineStr">
        <is>
          <t>3.4</t>
        </is>
      </c>
      <c r="C52" s="72" t="inlineStr">
        <is>
          <t>전체 잔차 왜도</t>
        </is>
      </c>
      <c r="D52" s="140" t="n">
        <v>-2.4</v>
      </c>
      <c r="E52" s="96">
        <f>'05B_가정검정'!B43</f>
        <v/>
      </c>
      <c r="F52" s="141">
        <f>E52-D52</f>
        <v/>
      </c>
      <c r="G52" s="72">
        <f>IF(ABS(F52)&lt;=H52,"일치","불일치")</f>
        <v/>
      </c>
      <c r="H52" s="142" t="n">
        <v>0.0005999999999999999</v>
      </c>
    </row>
    <row r="53" ht="15" customHeight="1" s="68">
      <c r="A53" s="70" t="n">
        <v>49</v>
      </c>
      <c r="B53" s="79" t="inlineStr">
        <is>
          <t>3.4</t>
        </is>
      </c>
      <c r="C53" s="72" t="inlineStr">
        <is>
          <t>전체 잔차 첨도(초과)</t>
        </is>
      </c>
      <c r="D53" s="140" t="n">
        <v>15.849</v>
      </c>
      <c r="E53" s="96">
        <f>'05B_가정검정'!B44</f>
        <v/>
      </c>
      <c r="F53" s="141">
        <f>E53-D53</f>
        <v/>
      </c>
      <c r="G53" s="72">
        <f>IF(ABS(F53)&lt;=H53,"일치","불일치")</f>
        <v/>
      </c>
      <c r="H53" s="142" t="n">
        <v>0.0005999999999999999</v>
      </c>
    </row>
    <row r="54" ht="15" customHeight="1" s="68">
      <c r="A54" s="70" t="n">
        <v>50</v>
      </c>
      <c r="B54" s="79" t="inlineStr">
        <is>
          <t>4.4</t>
        </is>
      </c>
      <c r="C54" s="72" t="inlineStr">
        <is>
          <t>문서형식×잔차부호 카이제곱</t>
        </is>
      </c>
      <c r="D54" s="140" t="n">
        <v>1.1</v>
      </c>
      <c r="E54" s="96">
        <f>'10B_문서단위잔차'!B92</f>
        <v/>
      </c>
      <c r="F54" s="141">
        <f>E54-D54</f>
        <v/>
      </c>
      <c r="G54" s="72">
        <f>IF(ABS(F54)&lt;=H54,"일치","불일치")</f>
        <v/>
      </c>
      <c r="H54" s="142" t="n">
        <v>0.0005999999999999999</v>
      </c>
    </row>
    <row r="55" ht="15" customHeight="1" s="68">
      <c r="A55" s="70" t="n">
        <v>51</v>
      </c>
      <c r="B55" s="79" t="inlineStr">
        <is>
          <t>4.4</t>
        </is>
      </c>
      <c r="C55" s="72" t="inlineStr">
        <is>
          <t>〃 p</t>
        </is>
      </c>
      <c r="D55" s="140" t="n">
        <v>0.294</v>
      </c>
      <c r="E55" s="96">
        <f>'10B_문서단위잔차'!B94</f>
        <v/>
      </c>
      <c r="F55" s="141">
        <f>E55-D55</f>
        <v/>
      </c>
      <c r="G55" s="72">
        <f>IF(ABS(F55)&lt;=H55,"일치","불일치")</f>
        <v/>
      </c>
      <c r="H55" s="142" t="n">
        <v>0.0005999999999999999</v>
      </c>
    </row>
    <row r="56" ht="15" customHeight="1" s="68">
      <c r="A56" s="70" t="n">
        <v>52</v>
      </c>
      <c r="B56" s="79" t="inlineStr">
        <is>
          <t>4.4</t>
        </is>
      </c>
      <c r="C56" s="72" t="inlineStr">
        <is>
          <t>양의 잔차 비율 특허(%)</t>
        </is>
      </c>
      <c r="D56" s="140" t="n">
        <v>78.5</v>
      </c>
      <c r="E56" s="96">
        <f>('10B_문서단위잔차'!E83)*100</f>
        <v/>
      </c>
      <c r="F56" s="141">
        <f>E56-D56</f>
        <v/>
      </c>
      <c r="G56" s="72">
        <f>IF(ABS(F56)&lt;=H56,"일치","불일치")</f>
        <v/>
      </c>
      <c r="H56" s="142" t="n">
        <v>0.06</v>
      </c>
    </row>
    <row r="57" ht="15" customHeight="1" s="68">
      <c r="A57" s="70" t="n">
        <v>53</v>
      </c>
      <c r="B57" s="79" t="inlineStr">
        <is>
          <t>4.4</t>
        </is>
      </c>
      <c r="C57" s="72" t="inlineStr">
        <is>
          <t>양의 잔차 비율 보고서(%)</t>
        </is>
      </c>
      <c r="D57" s="140" t="n">
        <v>85.3</v>
      </c>
      <c r="E57" s="96">
        <f>('10B_문서단위잔차'!E84)*100</f>
        <v/>
      </c>
      <c r="F57" s="141">
        <f>E57-D57</f>
        <v/>
      </c>
      <c r="G57" s="72">
        <f>IF(ABS(F57)&lt;=H57,"일치","불일치")</f>
        <v/>
      </c>
      <c r="H57" s="142" t="n">
        <v>0.06</v>
      </c>
    </row>
    <row r="58" ht="15" customHeight="1" s="68">
      <c r="A58" s="70" t="n">
        <v>54</v>
      </c>
      <c r="B58" s="79" t="inlineStr">
        <is>
          <t>4.3</t>
        </is>
      </c>
      <c r="C58" s="74" t="inlineStr">
        <is>
          <t>TEDS 분산 단독 R²</t>
        </is>
      </c>
      <c r="D58" s="140" t="n">
        <v>0.632</v>
      </c>
      <c r="E58" s="96">
        <f>'13C_보조모형'!D7</f>
        <v/>
      </c>
      <c r="F58" s="141">
        <f>E58-D58</f>
        <v/>
      </c>
      <c r="G58" s="72">
        <f>IF(ABS(F58)&lt;=H58,"일치","불일치")</f>
        <v/>
      </c>
      <c r="H58" s="142" t="n">
        <v>0.0015</v>
      </c>
    </row>
    <row r="59" ht="15" customHeight="1" s="68">
      <c r="A59" s="70" t="n">
        <v>55</v>
      </c>
      <c r="B59" s="79" t="inlineStr">
        <is>
          <t>4.3</t>
        </is>
      </c>
      <c r="C59" s="74" t="inlineStr">
        <is>
          <t>TEDS 분산 단독 LOOCV R²</t>
        </is>
      </c>
      <c r="D59" s="140" t="n">
        <v>0.581</v>
      </c>
      <c r="E59" s="96">
        <f>'13C_보조모형'!E7</f>
        <v/>
      </c>
      <c r="F59" s="141">
        <f>E59-D59</f>
        <v/>
      </c>
      <c r="G59" s="72">
        <f>IF(ABS(F59)&lt;=H59,"일치","불일치")</f>
        <v/>
      </c>
      <c r="H59" s="142" t="n">
        <v>0.0015</v>
      </c>
    </row>
    <row r="60" ht="15" customHeight="1" s="68">
      <c r="A60" s="70" t="n">
        <v>56</v>
      </c>
      <c r="B60" s="79" t="inlineStr">
        <is>
          <t>4.3</t>
        </is>
      </c>
      <c r="C60" s="72" t="inlineStr">
        <is>
          <t>출력 어휘량 단독 R²</t>
        </is>
      </c>
      <c r="D60" s="140" t="n">
        <v>0.08400000000000001</v>
      </c>
      <c r="E60" s="96">
        <f>'13C_보조모형'!D8</f>
        <v/>
      </c>
      <c r="F60" s="141">
        <f>E60-D60</f>
        <v/>
      </c>
      <c r="G60" s="72">
        <f>IF(ABS(F60)&lt;=H60,"일치","불일치")</f>
        <v/>
      </c>
      <c r="H60" s="142" t="n">
        <v>0.0015</v>
      </c>
    </row>
    <row r="61" ht="15" customHeight="1" s="68">
      <c r="A61" s="70" t="n">
        <v>57</v>
      </c>
      <c r="B61" s="79" t="inlineStr">
        <is>
          <t>4.3</t>
        </is>
      </c>
      <c r="C61" s="74" t="inlineStr">
        <is>
          <t>rho (출력어휘량, Overall)</t>
        </is>
      </c>
      <c r="D61" s="140" t="n">
        <v>-0.427</v>
      </c>
      <c r="E61" s="96">
        <f>'13C_보조모형'!D16</f>
        <v/>
      </c>
      <c r="F61" s="141">
        <f>E61-D61</f>
        <v/>
      </c>
      <c r="G61" s="72">
        <f>IF(ABS(F61)&lt;=H61,"일치","불일치")</f>
        <v/>
      </c>
      <c r="H61" s="142" t="n">
        <v>0.0015</v>
      </c>
    </row>
    <row r="62" ht="15" customHeight="1" s="68">
      <c r="A62" s="70" t="n">
        <v>58</v>
      </c>
      <c r="B62" s="79" t="inlineStr">
        <is>
          <t>4.3</t>
        </is>
      </c>
      <c r="C62" s="74" t="inlineStr">
        <is>
          <t>rho (출력어휘량, TEDS분산)</t>
        </is>
      </c>
      <c r="D62" s="140" t="n">
        <v>0.135</v>
      </c>
      <c r="E62" s="96">
        <f>'13C_보조모형'!D17</f>
        <v/>
      </c>
      <c r="F62" s="141">
        <f>E62-D62</f>
        <v/>
      </c>
      <c r="G62" s="72">
        <f>IF(ABS(F62)&lt;=H62,"일치","불일치")</f>
        <v/>
      </c>
      <c r="H62" s="142" t="n">
        <v>0.0015</v>
      </c>
    </row>
    <row r="63" ht="15" customHeight="1" s="68">
      <c r="A63" s="70" t="n">
        <v>59</v>
      </c>
      <c r="B63" s="79" t="inlineStr">
        <is>
          <t>4.3</t>
        </is>
      </c>
      <c r="C63" s="74" t="inlineStr">
        <is>
          <t>2신호 R²</t>
        </is>
      </c>
      <c r="D63" s="140" t="n">
        <v>0.673</v>
      </c>
      <c r="E63" s="96">
        <f>'12_사후회귀'!B97</f>
        <v/>
      </c>
      <c r="F63" s="141">
        <f>E63-D63</f>
        <v/>
      </c>
      <c r="G63" s="72">
        <f>IF(ABS(F63)&lt;=H63,"일치","불일치")</f>
        <v/>
      </c>
      <c r="H63" s="142" t="n">
        <v>0.0015</v>
      </c>
    </row>
    <row r="64" ht="15" customHeight="1" s="68">
      <c r="A64" s="70" t="n">
        <v>60</v>
      </c>
      <c r="B64" s="79" t="inlineStr">
        <is>
          <t>4.3</t>
        </is>
      </c>
      <c r="C64" s="74" t="inlineStr">
        <is>
          <t>2신호 adjusted R²</t>
        </is>
      </c>
      <c r="D64" s="140" t="n">
        <v>0.662</v>
      </c>
      <c r="E64" s="96">
        <f>'12_사후회귀'!B98</f>
        <v/>
      </c>
      <c r="F64" s="141">
        <f>E64-D64</f>
        <v/>
      </c>
      <c r="G64" s="72">
        <f>IF(ABS(F64)&lt;=H64,"일치","불일치")</f>
        <v/>
      </c>
      <c r="H64" s="142" t="n">
        <v>0.0015</v>
      </c>
    </row>
    <row r="65" ht="15" customHeight="1" s="68">
      <c r="A65" s="70" t="n">
        <v>61</v>
      </c>
      <c r="B65" s="79" t="inlineStr">
        <is>
          <t>4.3</t>
        </is>
      </c>
      <c r="C65" s="74" t="inlineStr">
        <is>
          <t>2신호 F</t>
        </is>
      </c>
      <c r="D65" s="140" t="n">
        <v>63.8</v>
      </c>
      <c r="E65" s="96">
        <f>'12_사후회귀'!B99</f>
        <v/>
      </c>
      <c r="F65" s="141">
        <f>E65-D65</f>
        <v/>
      </c>
      <c r="G65" s="72">
        <f>IF(ABS(F65)&lt;=H65,"일치","불일치")</f>
        <v/>
      </c>
      <c r="H65" s="142" t="n">
        <v>0.5</v>
      </c>
    </row>
    <row r="66" ht="15" customHeight="1" s="68">
      <c r="A66" s="70" t="n">
        <v>62</v>
      </c>
      <c r="B66" s="79" t="inlineStr">
        <is>
          <t>4.3</t>
        </is>
      </c>
      <c r="C66" s="74" t="inlineStr">
        <is>
          <t>2신호 LOOCV R²</t>
        </is>
      </c>
      <c r="D66" s="140" t="n">
        <v>0.604</v>
      </c>
      <c r="E66" s="96">
        <f>'12_사후회귀'!B102</f>
        <v/>
      </c>
      <c r="F66" s="141">
        <f>E66-D66</f>
        <v/>
      </c>
      <c r="G66" s="72">
        <f>IF(ABS(F66)&lt;=H66,"일치","불일치")</f>
        <v/>
      </c>
      <c r="H66" s="142" t="n">
        <v>0.0015</v>
      </c>
    </row>
    <row r="67" ht="15" customHeight="1" s="68">
      <c r="A67" s="70" t="n">
        <v>63</v>
      </c>
      <c r="B67" s="79" t="inlineStr">
        <is>
          <t>4.3</t>
        </is>
      </c>
      <c r="C67" s="74" t="inlineStr">
        <is>
          <t>TEDS분산 → 어휘+의미 R²</t>
        </is>
      </c>
      <c r="D67" s="140" t="n">
        <v>0.036</v>
      </c>
      <c r="E67" s="96">
        <f>'13C_보조모형'!D10</f>
        <v/>
      </c>
      <c r="F67" s="141">
        <f>E67-D67</f>
        <v/>
      </c>
      <c r="G67" s="72">
        <f>IF(ABS(F67)&lt;=H67,"일치","불일치")</f>
        <v/>
      </c>
      <c r="H67" s="142" t="n">
        <v>0.0015</v>
      </c>
    </row>
    <row r="68" ht="15" customHeight="1" s="68">
      <c r="A68" s="70" t="n">
        <v>64</v>
      </c>
      <c r="B68" s="79" t="inlineStr">
        <is>
          <t>4.3</t>
        </is>
      </c>
      <c r="C68" s="72" t="inlineStr">
        <is>
          <t>어휘량 → 어휘+의미 R²</t>
        </is>
      </c>
      <c r="D68" s="140" t="n">
        <v>0.042</v>
      </c>
      <c r="E68" s="96">
        <f>'13C_보조모형'!D11</f>
        <v/>
      </c>
      <c r="F68" s="141">
        <f>E68-D68</f>
        <v/>
      </c>
      <c r="G68" s="72">
        <f>IF(ABS(F68)&lt;=H68,"일치","불일치")</f>
        <v/>
      </c>
      <c r="H68" s="142" t="n">
        <v>0.0015</v>
      </c>
    </row>
    <row r="69" ht="15" customHeight="1" s="68">
      <c r="A69" s="70" t="n">
        <v>65</v>
      </c>
      <c r="B69" s="79" t="inlineStr">
        <is>
          <t>4.3</t>
        </is>
      </c>
      <c r="C69" s="72" t="inlineStr">
        <is>
          <t>로컬 합의도 단독 R²</t>
        </is>
      </c>
      <c r="D69" s="140" t="n">
        <v>0.601</v>
      </c>
      <c r="E69" s="96">
        <f>'13C_보조모형'!D9</f>
        <v/>
      </c>
      <c r="F69" s="141">
        <f>E69-D69</f>
        <v/>
      </c>
      <c r="G69" s="72">
        <f>IF(ABS(F69)&lt;=H69,"일치","불일치")</f>
        <v/>
      </c>
      <c r="H69" s="142" t="n">
        <v>0.0015</v>
      </c>
    </row>
    <row r="70" ht="15" customHeight="1" s="68">
      <c r="A70" s="70" t="n">
        <v>66</v>
      </c>
      <c r="B70" s="79" t="inlineStr">
        <is>
          <t>4.3</t>
        </is>
      </c>
      <c r="C70" s="72" t="inlineStr">
        <is>
          <t>로컬 합의도 단독 LOOCV R²</t>
        </is>
      </c>
      <c r="D70" s="140" t="n">
        <v>0.538</v>
      </c>
      <c r="E70" s="96">
        <f>'13C_보조모형'!E9</f>
        <v/>
      </c>
      <c r="F70" s="141">
        <f>E70-D70</f>
        <v/>
      </c>
      <c r="G70" s="72">
        <f>IF(ABS(F70)&lt;=H70,"일치","불일치")</f>
        <v/>
      </c>
      <c r="H70" s="142" t="n">
        <v>0.0015</v>
      </c>
    </row>
    <row r="71" ht="15" customHeight="1" s="68">
      <c r="A71" s="70" t="n">
        <v>67</v>
      </c>
      <c r="B71" s="79" t="inlineStr">
        <is>
          <t>4.3</t>
        </is>
      </c>
      <c r="C71" s="74" t="inlineStr">
        <is>
          <t>rho (로컬합의도, TEDS분산)</t>
        </is>
      </c>
      <c r="D71" s="140" t="n">
        <v>-0.849</v>
      </c>
      <c r="E71" s="96">
        <f>'13C_보조모형'!D18</f>
        <v/>
      </c>
      <c r="F71" s="141">
        <f>E71-D71</f>
        <v/>
      </c>
      <c r="G71" s="72">
        <f>IF(ABS(F71)&lt;=H71,"일치","불일치")</f>
        <v/>
      </c>
      <c r="H71" s="142" t="n">
        <v>0.0015</v>
      </c>
    </row>
    <row r="72" ht="15" customHeight="1" s="68">
      <c r="A72" s="70" t="n">
        <v>68</v>
      </c>
      <c r="B72" s="79" t="inlineStr">
        <is>
          <t>4.3</t>
        </is>
      </c>
      <c r="C72" s="72" t="inlineStr">
        <is>
          <t>레퍼런스-프리 3신호 R²</t>
        </is>
      </c>
      <c r="D72" s="140" t="n">
        <v>0.76</v>
      </c>
      <c r="E72" s="96">
        <f>'13_레퍼런스프리'!B101</f>
        <v/>
      </c>
      <c r="F72" s="141">
        <f>E72-D72</f>
        <v/>
      </c>
      <c r="G72" s="72">
        <f>IF(ABS(F72)&lt;=H72,"일치","불일치")</f>
        <v/>
      </c>
      <c r="H72" s="142" t="n">
        <v>0.0015</v>
      </c>
    </row>
    <row r="73" ht="15" customHeight="1" s="68">
      <c r="A73" s="70" t="n">
        <v>69</v>
      </c>
      <c r="B73" s="79" t="inlineStr">
        <is>
          <t>4.3</t>
        </is>
      </c>
      <c r="C73" s="72" t="inlineStr">
        <is>
          <t>레퍼런스-프리 adjusted R²</t>
        </is>
      </c>
      <c r="D73" s="140" t="n">
        <v>0.749</v>
      </c>
      <c r="E73" s="96">
        <f>'13_레퍼런스프리'!B102</f>
        <v/>
      </c>
      <c r="F73" s="141">
        <f>E73-D73</f>
        <v/>
      </c>
      <c r="G73" s="72">
        <f>IF(ABS(F73)&lt;=H73,"일치","불일치")</f>
        <v/>
      </c>
      <c r="H73" s="142" t="n">
        <v>0.0015</v>
      </c>
    </row>
    <row r="74" ht="15" customHeight="1" s="68">
      <c r="A74" s="70" t="n">
        <v>70</v>
      </c>
      <c r="B74" s="79" t="inlineStr">
        <is>
          <t>4.3</t>
        </is>
      </c>
      <c r="C74" s="72" t="inlineStr">
        <is>
          <t>레퍼런스-프리 LOOCV R²</t>
        </is>
      </c>
      <c r="D74" s="140" t="n">
        <v>0.6879999999999999</v>
      </c>
      <c r="E74" s="96">
        <f>'13_레퍼런스프리'!B106</f>
        <v/>
      </c>
      <c r="F74" s="141">
        <f>E74-D74</f>
        <v/>
      </c>
      <c r="G74" s="72">
        <f>IF(ABS(F74)&lt;=H74,"일치","불일치")</f>
        <v/>
      </c>
      <c r="H74" s="142" t="n">
        <v>0.0015</v>
      </c>
    </row>
    <row r="75" ht="15" customHeight="1" s="68">
      <c r="A75" s="70" t="n">
        <v>71</v>
      </c>
      <c r="B75" s="79" t="inlineStr">
        <is>
          <t>4.3</t>
        </is>
      </c>
      <c r="C75" s="72" t="inlineStr">
        <is>
          <t>레퍼런스-프리 → 어휘+의미 R²</t>
        </is>
      </c>
      <c r="D75" s="140" t="n">
        <v>0.375</v>
      </c>
      <c r="E75" s="96">
        <f>'13B_레퍼런스프리_어휘의미'!B101</f>
        <v/>
      </c>
      <c r="F75" s="141">
        <f>E75-D75</f>
        <v/>
      </c>
      <c r="G75" s="72">
        <f>IF(ABS(F75)&lt;=H75,"일치","불일치")</f>
        <v/>
      </c>
      <c r="H75" s="142" t="n">
        <v>0.0015</v>
      </c>
    </row>
    <row r="76" ht="15" customHeight="1" s="68">
      <c r="A76" s="70" t="n">
        <v>72</v>
      </c>
      <c r="B76" s="79" t="inlineStr">
        <is>
          <t>4.3</t>
        </is>
      </c>
      <c r="C76" s="72" t="inlineStr">
        <is>
          <t>레퍼런스-프리 → 어휘+의미 LOOCV</t>
        </is>
      </c>
      <c r="D76" s="140" t="n">
        <v>0.247</v>
      </c>
      <c r="E76" s="96">
        <f>'13B_레퍼런스프리_어휘의미'!B106</f>
        <v/>
      </c>
      <c r="F76" s="141">
        <f>E76-D76</f>
        <v/>
      </c>
      <c r="G76" s="72">
        <f>IF(ABS(F76)&lt;=H76,"일치","불일치")</f>
        <v/>
      </c>
      <c r="H76" s="142" t="n">
        <v>0.0015</v>
      </c>
    </row>
    <row r="77" ht="15" customHeight="1" s="68">
      <c r="A77" s="70" t="n">
        <v>73</v>
      </c>
      <c r="B77" s="70" t="inlineStr">
        <is>
          <t>표 3</t>
        </is>
      </c>
      <c r="C77" s="74" t="inlineStr">
        <is>
          <t>rho lex_heavy</t>
        </is>
      </c>
      <c r="D77" s="140" t="n">
        <v>0.987</v>
      </c>
      <c r="E77" s="96">
        <f>'03_가중치민감도'!K6</f>
        <v/>
      </c>
      <c r="F77" s="141">
        <f>E77-D77</f>
        <v/>
      </c>
      <c r="G77" s="72">
        <f>IF(ABS(F77)&lt;=H77,"일치","불일치")</f>
        <v/>
      </c>
      <c r="H77" s="142" t="n">
        <v>0.0005999999999999999</v>
      </c>
    </row>
    <row r="78" ht="15" customHeight="1" s="68">
      <c r="A78" s="70" t="n">
        <v>74</v>
      </c>
      <c r="B78" s="70" t="inlineStr">
        <is>
          <t>표 3</t>
        </is>
      </c>
      <c r="C78" s="74" t="inlineStr">
        <is>
          <t>rho sem_heavy</t>
        </is>
      </c>
      <c r="D78" s="140" t="n">
        <v>0.998</v>
      </c>
      <c r="E78" s="96">
        <f>'03_가중치민감도'!K7</f>
        <v/>
      </c>
      <c r="F78" s="141">
        <f>E78-D78</f>
        <v/>
      </c>
      <c r="G78" s="72">
        <f>IF(ABS(F78)&lt;=H78,"일치","불일치")</f>
        <v/>
      </c>
      <c r="H78" s="142" t="n">
        <v>0.0005999999999999999</v>
      </c>
    </row>
    <row r="79" ht="15" customHeight="1" s="68">
      <c r="A79" s="70" t="n">
        <v>75</v>
      </c>
      <c r="B79" s="70" t="inlineStr">
        <is>
          <t>표 3</t>
        </is>
      </c>
      <c r="C79" s="74" t="inlineStr">
        <is>
          <t>rho struct_heavy</t>
        </is>
      </c>
      <c r="D79" s="140" t="n">
        <v>0.987</v>
      </c>
      <c r="E79" s="96">
        <f>'03_가중치민감도'!K8</f>
        <v/>
      </c>
      <c r="F79" s="141">
        <f>E79-D79</f>
        <v/>
      </c>
      <c r="G79" s="72">
        <f>IF(ABS(F79)&lt;=H79,"일치","불일치")</f>
        <v/>
      </c>
      <c r="H79" s="142" t="n">
        <v>0.0005999999999999999</v>
      </c>
    </row>
    <row r="80" ht="15" customHeight="1" s="68">
      <c r="A80" s="70" t="n">
        <v>76</v>
      </c>
      <c r="B80" s="70" t="inlineStr">
        <is>
          <t>표 3</t>
        </is>
      </c>
      <c r="C80" s="74" t="inlineStr">
        <is>
          <t>rho equal</t>
        </is>
      </c>
      <c r="D80" s="140" t="n">
        <v>0.995</v>
      </c>
      <c r="E80" s="96">
        <f>'03_가중치민감도'!K9</f>
        <v/>
      </c>
      <c r="F80" s="141">
        <f>E80-D80</f>
        <v/>
      </c>
      <c r="G80" s="72">
        <f>IF(ABS(F80)&lt;=H80,"일치","불일치")</f>
        <v/>
      </c>
      <c r="H80" s="142" t="n">
        <v>0.0005999999999999999</v>
      </c>
    </row>
    <row r="81" ht="15" customHeight="1" s="68">
      <c r="A81" s="70" t="n">
        <v>77</v>
      </c>
      <c r="B81" s="70" t="inlineStr">
        <is>
          <t>표 3</t>
        </is>
      </c>
      <c r="C81" s="74" t="inlineStr">
        <is>
          <t>rho sem_struct</t>
        </is>
      </c>
      <c r="D81" s="140" t="n">
        <v>0.99</v>
      </c>
      <c r="E81" s="96">
        <f>'03_가중치민감도'!K10</f>
        <v/>
      </c>
      <c r="F81" s="141">
        <f>E81-D81</f>
        <v/>
      </c>
      <c r="G81" s="72">
        <f>IF(ABS(F81)&lt;=H81,"일치","불일치")</f>
        <v/>
      </c>
      <c r="H81" s="142" t="n">
        <v>0.0005999999999999999</v>
      </c>
    </row>
    <row r="82" ht="15" customHeight="1" s="68">
      <c r="A82" s="70" t="n">
        <v>78</v>
      </c>
      <c r="B82" s="70" t="inlineStr">
        <is>
          <t>표 3</t>
        </is>
      </c>
      <c r="C82" s="74" t="inlineStr">
        <is>
          <t>struct_heavy Gemma 평균</t>
        </is>
      </c>
      <c r="D82" s="140" t="n">
        <v>0.6506999999999999</v>
      </c>
      <c r="E82" s="96">
        <f>'03_가중치민감도'!E8</f>
        <v/>
      </c>
      <c r="F82" s="141">
        <f>E82-D82</f>
        <v/>
      </c>
      <c r="G82" s="72">
        <f>IF(ABS(F82)&lt;=H82,"일치","불일치")</f>
        <v/>
      </c>
      <c r="H82" s="142" t="n">
        <v>0.0001</v>
      </c>
    </row>
    <row r="83" ht="15" customHeight="1" s="68">
      <c r="A83" s="70" t="n">
        <v>79</v>
      </c>
      <c r="B83" s="70" t="inlineStr">
        <is>
          <t>표 3</t>
        </is>
      </c>
      <c r="C83" s="74" t="inlineStr">
        <is>
          <t>sem_struct Gemma 평균</t>
        </is>
      </c>
      <c r="D83" s="140" t="n">
        <v>0.7485000000000001</v>
      </c>
      <c r="E83" s="96">
        <f>'03_가중치민감도'!E10</f>
        <v/>
      </c>
      <c r="F83" s="141">
        <f>E83-D83</f>
        <v/>
      </c>
      <c r="G83" s="72">
        <f>IF(ABS(F83)&lt;=H83,"일치","불일치")</f>
        <v/>
      </c>
      <c r="H83" s="142" t="n">
        <v>0.0001</v>
      </c>
    </row>
    <row r="84" ht="15" customHeight="1" s="68">
      <c r="A84" s="70" t="n">
        <v>80</v>
      </c>
      <c r="B84" s="79" t="inlineStr">
        <is>
          <t>3.2</t>
        </is>
      </c>
      <c r="C84" s="74" t="inlineStr">
        <is>
          <t>teds_doc 평균 (방언 교정 후)</t>
        </is>
      </c>
      <c r="D84" s="140" t="n">
        <v>0.4783</v>
      </c>
      <c r="E84" s="96">
        <f>AVERAGE('01_원자료'!$N$2:$N$976)</f>
        <v/>
      </c>
      <c r="F84" s="141">
        <f>E84-D84</f>
        <v/>
      </c>
      <c r="G84" s="72">
        <f>IF(ABS(F84)&lt;=H84,"일치","불일치")</f>
        <v/>
      </c>
      <c r="H84" s="142" t="n">
        <v>0.0002</v>
      </c>
    </row>
    <row r="85" ht="15" customHeight="1" s="68">
      <c r="A85" s="70" t="n">
        <v>81</v>
      </c>
      <c r="B85" s="79" t="inlineStr">
        <is>
          <t>3.2</t>
        </is>
      </c>
      <c r="C85" s="72" t="inlineStr">
        <is>
          <t>총 평가쌍 수</t>
        </is>
      </c>
      <c r="D85" s="143" t="n">
        <v>975</v>
      </c>
      <c r="E85" s="101">
        <f>COUNT('01_원자료'!$S$2:$S$976)</f>
        <v/>
      </c>
      <c r="F85" s="141">
        <f>E85-D85</f>
        <v/>
      </c>
      <c r="G85" s="72">
        <f>IF(ABS(F85)&lt;=H85,"일치","불일치")</f>
        <v/>
      </c>
      <c r="H85" s="142" t="n">
        <v>0</v>
      </c>
    </row>
    <row r="86" ht="15" customHeight="1" s="68">
      <c r="A86" s="70" t="n">
        <v>82</v>
      </c>
      <c r="B86" s="79" t="inlineStr">
        <is>
          <t>3.2</t>
        </is>
      </c>
      <c r="C86" s="72" t="inlineStr">
        <is>
          <t>문서 수</t>
        </is>
      </c>
      <c r="D86" s="140" t="n">
        <v>65</v>
      </c>
      <c r="E86" s="96">
        <f>COUNTA('11_문서단위'!A5:A69)</f>
        <v/>
      </c>
      <c r="F86" s="141">
        <f>E86-D86</f>
        <v/>
      </c>
      <c r="G86" s="72">
        <f>IF(ABS(F86)&lt;=H86,"일치","불일치")</f>
        <v/>
      </c>
      <c r="H86" s="142" t="n">
        <v>0</v>
      </c>
    </row>
    <row r="88" ht="15" customHeight="1" s="68">
      <c r="A88" s="71" t="inlineStr">
        <is>
          <t>대조 요약</t>
        </is>
      </c>
    </row>
    <row r="89" ht="15" customHeight="1" s="68">
      <c r="A89" s="72" t="inlineStr">
        <is>
          <t>자동 대조 항목 수</t>
        </is>
      </c>
      <c r="B89" s="81">
        <f>COUNTIF(G5:G86,"일치")+COUNTIF(G5:G86,"불일치")</f>
        <v/>
      </c>
    </row>
    <row r="90" ht="15" customHeight="1" s="68">
      <c r="A90" s="72" t="inlineStr">
        <is>
          <t>일치</t>
        </is>
      </c>
      <c r="B90" s="144">
        <f>COUNTIF(G5:G86,"일치")</f>
        <v/>
      </c>
    </row>
    <row r="91" ht="15" customHeight="1" s="68">
      <c r="A91" s="72" t="inlineStr">
        <is>
          <t>불일치</t>
        </is>
      </c>
      <c r="B91" s="145">
        <f>COUNTIF(G5:G86,"불일치")</f>
        <v/>
      </c>
    </row>
    <row r="92" ht="15" customHeight="1" s="68">
      <c r="A92" s="72" t="inlineStr">
        <is>
          <t>재현율</t>
        </is>
      </c>
      <c r="B92" s="80">
        <f>B90/B89</f>
        <v/>
      </c>
    </row>
    <row r="94" ht="15" customHeight="1" s="68">
      <c r="A94" s="70" t="inlineStr">
        <is>
          <t>판정 기준: |워크북값 − 논문값| ≤ H열 허용오차. 허용오차는 논문에 인쇄된 반올림 자릿수의 절반으로 설정하였다.</t>
        </is>
      </c>
    </row>
    <row r="95" ht="15" customHeight="1" s="68">
      <c r="A95" s="70" t="inlineStr">
        <is>
          <t>문서형식 p: 워크북은 대표본 정규근사(NORMSDIST)를, 논문은 정확검정(exact)을 사용하였다. n=31/34에서 두 방법의 차이는 0.004이며 결론(유의하지 않음)은 동일하다. 허용오차를 0.01로 둔 이유다.</t>
        </is>
      </c>
    </row>
    <row r="97" ht="15" customHeight="1" s="68">
      <c r="A97" s="71" t="inlineStr">
        <is>
          <t>본 워크북 검증으로 논문에서 교정된 수치</t>
        </is>
      </c>
    </row>
    <row r="98" ht="15" customHeight="1" s="68">
      <c r="A98" s="70" t="inlineStr">
        <is>
          <t>아래 9건은 최초 원고의 값이 재계산과 달라 워크북 계산값으로 교체하였다. D열의 "논문 보고값"은 이미 교정된 값이며, 따라서 전 항목이 일치로 표시된다.</t>
        </is>
      </c>
    </row>
    <row r="99" ht="29.85" customHeight="1" s="68">
      <c r="A99" s="78" t="inlineStr">
        <is>
          <t>논문 위치</t>
        </is>
      </c>
      <c r="B99" s="78" t="inlineStr">
        <is>
          <t>항목</t>
        </is>
      </c>
      <c r="C99" s="78" t="inlineStr">
        <is>
          <t>교정 전</t>
        </is>
      </c>
      <c r="D99" s="78" t="inlineStr">
        <is>
          <t>교정 후</t>
        </is>
      </c>
      <c r="E99" s="78" t="inlineStr">
        <is>
          <t>방향</t>
        </is>
      </c>
    </row>
    <row r="100" ht="15" customHeight="1" s="68">
      <c r="A100" s="79" t="inlineStr">
        <is>
          <t>4.3</t>
        </is>
      </c>
      <c r="B100" s="72" t="inlineStr">
        <is>
          <t>레퍼런스-프리 3신호 R²</t>
        </is>
      </c>
      <c r="C100" s="146" t="n">
        <v>0.741</v>
      </c>
      <c r="D100" s="147" t="n">
        <v>0.76</v>
      </c>
      <c r="E100" s="70" t="inlineStr">
        <is>
          <t>상향</t>
        </is>
      </c>
    </row>
    <row r="101" ht="15" customHeight="1" s="68">
      <c r="A101" s="79" t="inlineStr">
        <is>
          <t>4.3</t>
        </is>
      </c>
      <c r="B101" s="72" t="inlineStr">
        <is>
          <t>레퍼런스-프리 adjusted R²</t>
        </is>
      </c>
      <c r="C101" s="146" t="n">
        <v>0.728</v>
      </c>
      <c r="D101" s="147" t="n">
        <v>0.749</v>
      </c>
      <c r="E101" s="70" t="inlineStr">
        <is>
          <t>상향</t>
        </is>
      </c>
    </row>
    <row r="102" ht="15" customHeight="1" s="68">
      <c r="A102" s="79" t="inlineStr">
        <is>
          <t>4.3</t>
        </is>
      </c>
      <c r="B102" s="72" t="inlineStr">
        <is>
          <t>레퍼런스-프리 LOOCV R²</t>
        </is>
      </c>
      <c r="C102" s="146" t="n">
        <v>0.673</v>
      </c>
      <c r="D102" s="147" t="n">
        <v>0.6879999999999999</v>
      </c>
      <c r="E102" s="70" t="inlineStr">
        <is>
          <t>상향</t>
        </is>
      </c>
    </row>
    <row r="103" ht="15" customHeight="1" s="68">
      <c r="A103" s="79" t="inlineStr">
        <is>
          <t>4.3</t>
        </is>
      </c>
      <c r="B103" s="72" t="inlineStr">
        <is>
          <t>레퍼런스-프리 → 어휘+의미 R²</t>
        </is>
      </c>
      <c r="C103" s="146" t="n">
        <v>0.367</v>
      </c>
      <c r="D103" s="147" t="n">
        <v>0.375</v>
      </c>
      <c r="E103" s="70" t="inlineStr">
        <is>
          <t>상향</t>
        </is>
      </c>
    </row>
    <row r="104" ht="15" customHeight="1" s="68">
      <c r="A104" s="79" t="inlineStr">
        <is>
          <t>4.3</t>
        </is>
      </c>
      <c r="B104" s="72" t="inlineStr">
        <is>
          <t>레퍼런스-프리 → 어휘+의미 LOOCV</t>
        </is>
      </c>
      <c r="C104" s="146" t="n">
        <v>0.242</v>
      </c>
      <c r="D104" s="147" t="n">
        <v>0.247</v>
      </c>
      <c r="E104" s="70" t="inlineStr">
        <is>
          <t>상향</t>
        </is>
      </c>
    </row>
    <row r="105" ht="15" customHeight="1" s="68">
      <c r="A105" s="79" t="inlineStr">
        <is>
          <t>4.3</t>
        </is>
      </c>
      <c r="B105" s="74" t="inlineStr">
        <is>
          <t>2신호 LOOCV R²</t>
        </is>
      </c>
      <c r="C105" s="146" t="n">
        <v>0.607</v>
      </c>
      <c r="D105" s="147" t="n">
        <v>0.604</v>
      </c>
      <c r="E105" s="70" t="inlineStr">
        <is>
          <t>하향</t>
        </is>
      </c>
    </row>
    <row r="106" ht="15" customHeight="1" s="68">
      <c r="A106" s="79" t="inlineStr">
        <is>
          <t>4.3</t>
        </is>
      </c>
      <c r="B106" s="72" t="inlineStr">
        <is>
          <t>출력 어휘량 단독 R²</t>
        </is>
      </c>
      <c r="C106" s="146" t="n">
        <v>0.08500000000000001</v>
      </c>
      <c r="D106" s="147" t="n">
        <v>0.08400000000000001</v>
      </c>
      <c r="E106" s="70" t="inlineStr">
        <is>
          <t>하향</t>
        </is>
      </c>
    </row>
    <row r="107" ht="15" customHeight="1" s="68">
      <c r="A107" s="79" t="inlineStr">
        <is>
          <t>4.3</t>
        </is>
      </c>
      <c r="B107" s="74" t="inlineStr">
        <is>
          <t>rho (출력어휘량, Overall)</t>
        </is>
      </c>
      <c r="C107" s="146" t="n">
        <v>-0.406</v>
      </c>
      <c r="D107" s="147" t="n">
        <v>-0.427</v>
      </c>
      <c r="E107" s="70" t="inlineStr">
        <is>
          <t>절댓값 상향</t>
        </is>
      </c>
    </row>
    <row r="108" ht="15" customHeight="1" s="68">
      <c r="A108" s="79" t="inlineStr">
        <is>
          <t>4.3</t>
        </is>
      </c>
      <c r="B108" s="74" t="inlineStr">
        <is>
          <t>rho (출력어휘량, TEDS분산)</t>
        </is>
      </c>
      <c r="C108" s="146" t="n">
        <v>0.115</v>
      </c>
      <c r="D108" s="147" t="n">
        <v>0.135</v>
      </c>
      <c r="E108" s="70" t="inlineStr">
        <is>
          <t>상향</t>
        </is>
      </c>
    </row>
    <row r="110" ht="15" customHeight="1" s="68">
      <c r="A110" s="70" t="inlineStr">
        <is>
          <t>원인: 레퍼런스-프리 모형과 2신호 모형이 공유하는 변수는 출력 어휘량뿐인데, 2신호 모형은 소수점 넷째 자리까지 일치한다. 따라서 이전 분석에서 두 모형 간 출력 어휘량의 집계 방식이 달랐던 것이 원인이다. 본 워크북은 두 모형 모두 11_문서단위 E열(로컬 3종 토큰 수 평균) 하나만 참조하므로 이 문제가 재발하지 않는다.</t>
        </is>
      </c>
    </row>
    <row r="111" ht="15" customHeight="1" s="68">
      <c r="A111" s="70" t="inlineStr">
        <is>
          <t>결론의 방향은 바뀌지 않았다. 교정된 값은 오히려 레퍼런스-프리 모형이 레퍼런스 기반 2신호 모형을 더 뚜렷하게 상회함을 보여준다(0.741 → 0.760 vs 0.673).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Yonggyu Kim</dc:creator>
  <cp:revision>0</cp:revision>
  <dcterms:created xsi:type="dcterms:W3CDTF">2026-08-16T21:57:55Z</dcterms:created>
  <dcterms:modified xsi:type="dcterms:W3CDTF">2026-08-26T04:43:19Z</dcterms:modified>
  <dc:language>en-US</dc:language>
</cp:coreProperties>
</file>